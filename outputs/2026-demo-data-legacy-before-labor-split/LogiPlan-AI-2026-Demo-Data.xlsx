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ca1e4f292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5243a22a5a42af"/>
    <x:sheet xmlns:r="http://schemas.openxmlformats.org/officeDocument/2006/relationships" name="Assumptions" sheetId="2" r:id="R6969837addc34251"/>
    <x:sheet xmlns:r="http://schemas.openxmlformats.org/officeDocument/2006/relationships" name="Route_Master" sheetId="3" r:id="R04ab8920995547e0"/>
    <x:sheet xmlns:r="http://schemas.openxmlformats.org/officeDocument/2006/relationships" name="Model_Calc" sheetId="4" r:id="R31c59ef78ead4826"/>
    <x:sheet xmlns:r="http://schemas.openxmlformats.org/officeDocument/2006/relationships" name="Cost_Facts" sheetId="5" r:id="Rf456b373f31149a1"/>
    <x:sheet xmlns:r="http://schemas.openxmlformats.org/officeDocument/2006/relationships" name="Fixed_Costs" sheetId="6" r:id="R133e16058566492e"/>
    <x:sheet xmlns:r="http://schemas.openxmlformats.org/officeDocument/2006/relationships" name="GMV_Facts" sheetId="7" r:id="Raf08a196952b4e85"/>
    <x:sheet xmlns:r="http://schemas.openxmlformats.org/officeDocument/2006/relationships" name="Service_Facts" sheetId="8" r:id="Rcd36ef3496a842b5"/>
    <x:sheet xmlns:r="http://schemas.openxmlformats.org/officeDocument/2006/relationships" name="Monthly_Summary" sheetId="9" r:id="R2b0c9f1b1fa44083"/>
    <x:sheet xmlns:r="http://schemas.openxmlformats.org/officeDocument/2006/relationships" name="Country_Summary" sheetId="10" r:id="Rbd99bad87d1d4361"/>
    <x:sheet xmlns:r="http://schemas.openxmlformats.org/officeDocument/2006/relationships" name="Attribution" sheetId="11" r:id="R1f725464d4f846bd"/>
    <x:sheet xmlns:r="http://schemas.openxmlformats.org/officeDocument/2006/relationships" name="Scenarios" sheetId="12" r:id="R9f0964878ca64b03"/>
    <x:sheet xmlns:r="http://schemas.openxmlformats.org/officeDocument/2006/relationships" name="Evaluation" sheetId="13" r:id="Ra3a4e0bb83e543f0"/>
    <x:sheet xmlns:r="http://schemas.openxmlformats.org/officeDocument/2006/relationships" name="Checks" sheetId="14" r:id="R1dc5bb7f54bc411c"/>
    <x:sheet xmlns:r="http://schemas.openxmlformats.org/officeDocument/2006/relationships" name="Sources" sheetId="15" r:id="R171cd0af55154b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;[Red](#,##0);-"/>
    <x:numFmt numFmtId="201" formatCode="yyyy-mm-dd"/>
    <x:numFmt numFmtId="202" formatCode="yyyy-mm"/>
    <x:numFmt numFmtId="203" formatCode="#,##0.0000"/>
    <x:numFmt numFmtId="204" formatCode="0.0000%"/>
    <x:numFmt numFmtId="205" formatCode="0.00%"/>
    <x:numFmt numFmtId="206" formatCode="#,##0.0000;[Red](#,##0.0000);-"/>
    <x:numFmt numFmtId="207" formatCode="#,##0.000000;[Red](#,##0.000000);-"/>
    <x:numFmt numFmtId="208" formatCode="#,##0"/>
    <x:numFmt numFmtId="209" formatCode="0.00"/>
  </x:numFmts>
  <x:fonts count="13">
    <x:font>
      <x:sz val="11"/>
      <x:name val="Carlito"/>
    </x:font>
    <x:font>
      <x:b/>
      <x:sz val="18"/>
      <x:color rgb="FFFFFFFF"/>
      <x:name val="Aptos Display"/>
    </x:font>
    <x:font>
      <x:i/>
      <x:sz val="9"/>
      <x:color rgb="FF667085"/>
      <x:name val="Aptos"/>
    </x:font>
    <x:font>
      <x:b/>
      <x:sz val="9"/>
      <x:color rgb="FF667085"/>
      <x:name val="Carlito"/>
    </x:font>
    <x:font>
      <x:b/>
      <x:sz val="17"/>
      <x:color rgb="FF1F4E78"/>
      <x:name val="Aptos Display"/>
    </x:font>
    <x:font>
      <x:b/>
      <x:sz val="17"/>
      <x:color rgb="FFB42318"/>
      <x:name val="Aptos Display"/>
    </x:font>
    <x:font>
      <x:b/>
      <x:sz val="17"/>
      <x:color rgb="FF15803D"/>
      <x:name val="Aptos Display"/>
    </x:font>
    <x:font>
      <x:sz val="10"/>
      <x:color rgb="FF101828"/>
      <x:name val="Carlito"/>
    </x:font>
    <x:font>
      <x:b/>
      <x:sz val="9"/>
      <x:color rgb="FFFFFFFF"/>
      <x:name val="Aptos"/>
    </x:font>
    <x:font>
      <x:sz val="9"/>
      <x:color rgb="FF101828"/>
      <x:name val="Aptos"/>
    </x:font>
    <x:font>
      <x:b/>
      <x:sz val="9"/>
      <x:color rgb="FF1F4E78"/>
      <x:name val="Aptos"/>
    </x:font>
    <x:font>
      <x:b/>
      <x:sz val="11"/>
      <x:color rgb="FFFFFFFF"/>
      <x:name val="Carlito"/>
    </x:font>
    <x:font>
      <x:b/>
      <x:sz val="22"/>
      <x:color rgb="FF15803D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FDE8E7"/>
      </x:patternFill>
    </x:fill>
    <x:fill>
      <x:patternFill patternType="solid">
        <x:fgColor rgb="FFE5F4EA"/>
      </x:patternFill>
    </x:fill>
    <x:fill>
      <x:patternFill patternType="solid">
        <x:fgColor rgb="FFFFF1D6"/>
      </x:patternFill>
    </x:fill>
    <x:fill>
      <x:patternFill patternType="solid">
        <x:fgColor rgb="FF1F4E78"/>
      </x:patternFill>
    </x:fill>
  </x:fills>
  <x:borders count="27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97706"/>
      </x:left>
      <x:top style="thin">
        <x:color rgb="FFD97706"/>
      </x:top>
    </x:border>
    <x:border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  <x:bottom style="thin">
        <x:color rgb="FFD97706"/>
      </x:bottom>
    </x:border>
    <x:border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</x:border>
    <x:border>
      <x:left style="medium">
        <x:color rgb="FF15803D"/>
      </x:left>
      <x:top style="medium">
        <x:color rgb="FF15803D"/>
      </x:top>
    </x:border>
    <x:border>
      <x:top style="medium">
        <x:color rgb="FF15803D"/>
      </x:top>
    </x:border>
    <x:border>
      <x:right style="medium">
        <x:color rgb="FF15803D"/>
      </x:right>
      <x:top style="medium">
        <x:color rgb="FF15803D"/>
      </x:top>
    </x:border>
    <x:border>
      <x:left style="medium">
        <x:color rgb="FF15803D"/>
      </x:left>
      <x:bottom style="medium">
        <x:color rgb="FF15803D"/>
      </x:bottom>
    </x:border>
    <x:border>
      <x:bottom style="medium">
        <x:color rgb="FF15803D"/>
      </x:bottom>
    </x:border>
    <x:border>
      <x:right style="medium">
        <x:color rgb="FF15803D"/>
      </x:right>
      <x:bottom style="medium">
        <x:color rgb="FF15803D"/>
      </x:bottom>
    </x:border>
  </x:borders>
  <x:cellStyleXfs count="1">
    <x:xf numFmtId="0" fontId="0" fillId="0" borderId="0"/>
  </x:cellStyleXfs>
  <x:cellXfs count="2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200" fontId="4" fillId="3" borderId="4" xfId="0" applyNumberFormat="1" applyFont="1" applyFill="1" applyBorder="1"/>
    <x:xf numFmtId="200" fontId="4" fillId="3" borderId="5" xfId="0" applyNumberFormat="1" applyFont="1" applyFill="1" applyBorder="1"/>
    <x:xf numFmtId="200" fontId="4" fillId="3" borderId="6" xfId="0" applyNumberFormat="1" applyFont="1" applyFill="1" applyBorder="1"/>
    <x:xf numFmtId="200" fontId="4" fillId="3" borderId="7" xfId="0" applyNumberFormat="1" applyFont="1" applyFill="1" applyBorder="1"/>
    <x:xf numFmtId="200" fontId="4" fillId="3" borderId="0" xfId="0" applyNumberFormat="1" applyFont="1" applyFill="1" applyBorder="1"/>
    <x:xf numFmtId="200" fontId="4" fillId="3" borderId="8" xfId="0" applyNumberFormat="1" applyFont="1" applyFill="1" applyBorder="1"/>
    <x:xf numFmtId="200" fontId="4" fillId="3" borderId="9" xfId="0" applyNumberFormat="1" applyFont="1" applyFill="1" applyBorder="1"/>
    <x:xf numFmtId="200" fontId="4" fillId="3" borderId="10" xfId="0" applyNumberFormat="1" applyFont="1" applyFill="1" applyBorder="1"/>
    <x:xf numFmtId="200" fontId="4" fillId="3" borderId="11" xfId="0" applyNumberFormat="1" applyFont="1" applyFill="1" applyBorder="1"/>
    <x:xf numFmtId="200" fontId="4" fillId="3" borderId="4" xfId="0" applyNumberFormat="1" applyFont="1" applyFill="1" applyBorder="1" applyAlignment="1">
      <x:alignment horizontal="center"/>
    </x:xf>
    <x:xf numFmtId="200" fontId="4" fillId="3" borderId="5" xfId="0" applyNumberFormat="1" applyFont="1" applyFill="1" applyBorder="1" applyAlignment="1">
      <x:alignment horizontal="center"/>
    </x:xf>
    <x:xf numFmtId="200" fontId="4" fillId="3" borderId="6" xfId="0" applyNumberFormat="1" applyFont="1" applyFill="1" applyBorder="1" applyAlignment="1">
      <x:alignment horizontal="center"/>
    </x:xf>
    <x:xf numFmtId="200" fontId="4" fillId="3" borderId="7" xfId="0" applyNumberFormat="1" applyFont="1" applyFill="1" applyBorder="1" applyAlignment="1">
      <x:alignment horizontal="center"/>
    </x:xf>
    <x:xf numFmtId="200" fontId="4" fillId="3" borderId="0" xfId="0" applyNumberFormat="1" applyFont="1" applyFill="1" applyBorder="1" applyAlignment="1">
      <x:alignment horizontal="center"/>
    </x:xf>
    <x:xf numFmtId="200" fontId="4" fillId="3" borderId="8" xfId="0" applyNumberFormat="1" applyFont="1" applyFill="1" applyBorder="1" applyAlignment="1">
      <x:alignment horizontal="center"/>
    </x:xf>
    <x:xf numFmtId="200" fontId="4" fillId="3" borderId="9" xfId="0" applyNumberFormat="1" applyFont="1" applyFill="1" applyBorder="1" applyAlignment="1">
      <x:alignment horizontal="center"/>
    </x:xf>
    <x:xf numFmtId="200" fontId="4" fillId="3" borderId="10" xfId="0" applyNumberFormat="1" applyFont="1" applyFill="1" applyBorder="1" applyAlignment="1">
      <x:alignment horizontal="center"/>
    </x:xf>
    <x:xf numFmtId="200" fontId="4" fillId="3" borderId="11" xfId="0" applyNumberFormat="1" applyFont="1" applyFill="1" applyBorder="1" applyAlignment="1">
      <x:alignment horizontal="center"/>
    </x:xf>
    <x:xf numFmtId="200" fontId="4" fillId="3" borderId="4" xfId="0" applyNumberFormat="1" applyFont="1" applyFill="1" applyBorder="1" applyAlignment="1">
      <x:alignment horizontal="center" vertical="center"/>
    </x:xf>
    <x:xf numFmtId="200" fontId="4" fillId="3" borderId="5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200" fontId="4" fillId="3" borderId="7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4" fillId="3" borderId="8" xfId="0" applyNumberFormat="1" applyFont="1" applyFill="1" applyBorder="1" applyAlignment="1">
      <x:alignment horizontal="center" vertical="center"/>
    </x:xf>
    <x:xf numFmtId="200" fontId="4" fillId="3" borderId="9" xfId="0" applyNumberFormat="1" applyFont="1" applyFill="1" applyBorder="1" applyAlignment="1">
      <x:alignment horizontal="center" vertical="center"/>
    </x:xf>
    <x:xf numFmtId="200" fontId="4" fillId="3" borderId="10" xfId="0" applyNumberFormat="1" applyFont="1" applyFill="1" applyBorder="1" applyAlignment="1">
      <x:alignment horizontal="center" vertical="center"/>
    </x:xf>
    <x:xf numFmtId="200" fontId="4" fillId="3" borderId="1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200" fontId="5" fillId="4" borderId="4" xfId="0" applyNumberFormat="1" applyFont="1" applyFill="1" applyBorder="1"/>
    <x:xf numFmtId="200" fontId="5" fillId="4" borderId="5" xfId="0" applyNumberFormat="1" applyFont="1" applyFill="1" applyBorder="1"/>
    <x:xf numFmtId="200" fontId="5" fillId="4" borderId="6" xfId="0" applyNumberFormat="1" applyFont="1" applyFill="1" applyBorder="1"/>
    <x:xf numFmtId="200" fontId="5" fillId="4" borderId="7" xfId="0" applyNumberFormat="1" applyFont="1" applyFill="1" applyBorder="1"/>
    <x:xf numFmtId="200" fontId="5" fillId="4" borderId="0" xfId="0" applyNumberFormat="1" applyFont="1" applyFill="1" applyBorder="1"/>
    <x:xf numFmtId="200" fontId="5" fillId="4" borderId="8" xfId="0" applyNumberFormat="1" applyFont="1" applyFill="1" applyBorder="1"/>
    <x:xf numFmtId="200" fontId="5" fillId="4" borderId="9" xfId="0" applyNumberFormat="1" applyFont="1" applyFill="1" applyBorder="1"/>
    <x:xf numFmtId="200" fontId="5" fillId="4" borderId="10" xfId="0" applyNumberFormat="1" applyFont="1" applyFill="1" applyBorder="1"/>
    <x:xf numFmtId="200" fontId="5" fillId="4" borderId="11" xfId="0" applyNumberFormat="1" applyFont="1" applyFill="1" applyBorder="1"/>
    <x:xf numFmtId="200" fontId="5" fillId="4" borderId="4" xfId="0" applyNumberFormat="1" applyFont="1" applyFill="1" applyBorder="1" applyAlignment="1">
      <x:alignment horizontal="center"/>
    </x:xf>
    <x:xf numFmtId="200" fontId="5" fillId="4" borderId="5" xfId="0" applyNumberFormat="1" applyFont="1" applyFill="1" applyBorder="1" applyAlignment="1">
      <x:alignment horizontal="center"/>
    </x:xf>
    <x:xf numFmtId="200" fontId="5" fillId="4" borderId="6" xfId="0" applyNumberFormat="1" applyFont="1" applyFill="1" applyBorder="1" applyAlignment="1">
      <x:alignment horizontal="center"/>
    </x:xf>
    <x:xf numFmtId="200" fontId="5" fillId="4" borderId="7" xfId="0" applyNumberFormat="1" applyFont="1" applyFill="1" applyBorder="1" applyAlignment="1">
      <x:alignment horizontal="center"/>
    </x:xf>
    <x:xf numFmtId="200" fontId="5" fillId="4" borderId="0" xfId="0" applyNumberFormat="1" applyFont="1" applyFill="1" applyBorder="1" applyAlignment="1">
      <x:alignment horizontal="center"/>
    </x:xf>
    <x:xf numFmtId="200" fontId="5" fillId="4" borderId="8" xfId="0" applyNumberFormat="1" applyFont="1" applyFill="1" applyBorder="1" applyAlignment="1">
      <x:alignment horizontal="center"/>
    </x:xf>
    <x:xf numFmtId="200" fontId="5" fillId="4" borderId="9" xfId="0" applyNumberFormat="1" applyFont="1" applyFill="1" applyBorder="1" applyAlignment="1">
      <x:alignment horizontal="center"/>
    </x:xf>
    <x:xf numFmtId="200" fontId="5" fillId="4" borderId="10" xfId="0" applyNumberFormat="1" applyFont="1" applyFill="1" applyBorder="1" applyAlignment="1">
      <x:alignment horizontal="center"/>
    </x:xf>
    <x:xf numFmtId="200" fontId="5" fillId="4" borderId="11" xfId="0" applyNumberFormat="1" applyFont="1" applyFill="1" applyBorder="1" applyAlignment="1">
      <x:alignment horizontal="center"/>
    </x:xf>
    <x:xf numFmtId="200" fontId="5" fillId="4" borderId="4" xfId="0" applyNumberFormat="1" applyFont="1" applyFill="1" applyBorder="1" applyAlignment="1">
      <x:alignment horizontal="center" vertical="center"/>
    </x:xf>
    <x:xf numFmtId="200" fontId="5" fillId="4" borderId="5" xfId="0" applyNumberFormat="1" applyFont="1" applyFill="1" applyBorder="1" applyAlignment="1">
      <x:alignment horizontal="center" vertical="center"/>
    </x:xf>
    <x:xf numFmtId="200" fontId="5" fillId="4" borderId="6" xfId="0" applyNumberFormat="1" applyFont="1" applyFill="1" applyBorder="1" applyAlignment="1">
      <x:alignment horizontal="center" vertical="center"/>
    </x:xf>
    <x:xf numFmtId="200" fontId="5" fillId="4" borderId="7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200" fontId="5" fillId="4" borderId="8" xfId="0" applyNumberFormat="1" applyFont="1" applyFill="1" applyBorder="1" applyAlignment="1">
      <x:alignment horizontal="center" vertical="center"/>
    </x:xf>
    <x:xf numFmtId="200" fontId="5" fillId="4" borderId="9" xfId="0" applyNumberFormat="1" applyFont="1" applyFill="1" applyBorder="1" applyAlignment="1">
      <x:alignment horizontal="center" vertical="center"/>
    </x:xf>
    <x:xf numFmtId="200" fontId="5" fillId="4" borderId="10" xfId="0" applyNumberFormat="1" applyFont="1" applyFill="1" applyBorder="1" applyAlignment="1">
      <x:alignment horizontal="center" vertical="center"/>
    </x:xf>
    <x:xf numFmtId="200" fontId="5" fillId="4" borderId="1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200" fontId="6" fillId="5" borderId="4" xfId="0" applyNumberFormat="1" applyFont="1" applyFill="1" applyBorder="1"/>
    <x:xf numFmtId="200" fontId="6" fillId="5" borderId="5" xfId="0" applyNumberFormat="1" applyFont="1" applyFill="1" applyBorder="1"/>
    <x:xf numFmtId="200" fontId="6" fillId="5" borderId="6" xfId="0" applyNumberFormat="1" applyFont="1" applyFill="1" applyBorder="1"/>
    <x:xf numFmtId="200" fontId="6" fillId="5" borderId="7" xfId="0" applyNumberFormat="1" applyFont="1" applyFill="1" applyBorder="1"/>
    <x:xf numFmtId="200" fontId="6" fillId="5" borderId="0" xfId="0" applyNumberFormat="1" applyFont="1" applyFill="1" applyBorder="1"/>
    <x:xf numFmtId="200" fontId="6" fillId="5" borderId="8" xfId="0" applyNumberFormat="1" applyFont="1" applyFill="1" applyBorder="1"/>
    <x:xf numFmtId="200" fontId="6" fillId="5" borderId="9" xfId="0" applyNumberFormat="1" applyFont="1" applyFill="1" applyBorder="1"/>
    <x:xf numFmtId="200" fontId="6" fillId="5" borderId="10" xfId="0" applyNumberFormat="1" applyFont="1" applyFill="1" applyBorder="1"/>
    <x:xf numFmtId="200" fontId="6" fillId="5" borderId="11" xfId="0" applyNumberFormat="1" applyFont="1" applyFill="1" applyBorder="1"/>
    <x:xf numFmtId="200" fontId="6" fillId="5" borderId="4" xfId="0" applyNumberFormat="1" applyFont="1" applyFill="1" applyBorder="1" applyAlignment="1">
      <x:alignment horizontal="center"/>
    </x:xf>
    <x:xf numFmtId="200" fontId="6" fillId="5" borderId="5" xfId="0" applyNumberFormat="1" applyFont="1" applyFill="1" applyBorder="1" applyAlignment="1">
      <x:alignment horizontal="center"/>
    </x:xf>
    <x:xf numFmtId="200" fontId="6" fillId="5" borderId="6" xfId="0" applyNumberFormat="1" applyFont="1" applyFill="1" applyBorder="1" applyAlignment="1">
      <x:alignment horizontal="center"/>
    </x:xf>
    <x:xf numFmtId="200" fontId="6" fillId="5" borderId="7" xfId="0" applyNumberFormat="1" applyFont="1" applyFill="1" applyBorder="1" applyAlignment="1">
      <x:alignment horizontal="center"/>
    </x:xf>
    <x:xf numFmtId="200" fontId="6" fillId="5" borderId="0" xfId="0" applyNumberFormat="1" applyFont="1" applyFill="1" applyBorder="1" applyAlignment="1">
      <x:alignment horizontal="center"/>
    </x:xf>
    <x:xf numFmtId="200" fontId="6" fillId="5" borderId="8" xfId="0" applyNumberFormat="1" applyFont="1" applyFill="1" applyBorder="1" applyAlignment="1">
      <x:alignment horizontal="center"/>
    </x:xf>
    <x:xf numFmtId="200" fontId="6" fillId="5" borderId="9" xfId="0" applyNumberFormat="1" applyFont="1" applyFill="1" applyBorder="1" applyAlignment="1">
      <x:alignment horizontal="center"/>
    </x:xf>
    <x:xf numFmtId="200" fontId="6" fillId="5" borderId="10" xfId="0" applyNumberFormat="1" applyFont="1" applyFill="1" applyBorder="1" applyAlignment="1">
      <x:alignment horizontal="center"/>
    </x:xf>
    <x:xf numFmtId="200" fontId="6" fillId="5" borderId="11" xfId="0" applyNumberFormat="1" applyFont="1" applyFill="1" applyBorder="1" applyAlignment="1">
      <x:alignment horizontal="center"/>
    </x:xf>
    <x:xf numFmtId="200" fontId="6" fillId="5" borderId="4" xfId="0" applyNumberFormat="1" applyFont="1" applyFill="1" applyBorder="1" applyAlignment="1">
      <x:alignment horizontal="center" vertical="center"/>
    </x:xf>
    <x:xf numFmtId="200" fontId="6" fillId="5" borderId="5" xfId="0" applyNumberFormat="1" applyFont="1" applyFill="1" applyBorder="1" applyAlignment="1">
      <x:alignment horizontal="center" vertical="center"/>
    </x:xf>
    <x:xf numFmtId="200" fontId="6" fillId="5" borderId="6" xfId="0" applyNumberFormat="1" applyFont="1" applyFill="1" applyBorder="1" applyAlignment="1">
      <x:alignment horizontal="center" vertical="center"/>
    </x:xf>
    <x:xf numFmtId="200" fontId="6" fillId="5" borderId="7" xfId="0" applyNumberFormat="1" applyFont="1" applyFill="1" applyBorder="1" applyAlignment="1">
      <x:alignment horizontal="center" vertical="center"/>
    </x:xf>
    <x:xf numFmtId="200" fontId="6" fillId="5" borderId="0" xfId="0" applyNumberFormat="1" applyFont="1" applyFill="1" applyBorder="1" applyAlignment="1">
      <x:alignment horizontal="center" vertical="center"/>
    </x:xf>
    <x:xf numFmtId="200" fontId="6" fillId="5" borderId="8" xfId="0" applyNumberFormat="1" applyFont="1" applyFill="1" applyBorder="1" applyAlignment="1">
      <x:alignment horizontal="center" vertical="center"/>
    </x:xf>
    <x:xf numFmtId="200" fontId="6" fillId="5" borderId="9" xfId="0" applyNumberFormat="1" applyFont="1" applyFill="1" applyBorder="1" applyAlignment="1">
      <x:alignment horizontal="center" vertical="center"/>
    </x:xf>
    <x:xf numFmtId="200" fontId="6" fillId="5" borderId="10" xfId="0" applyNumberFormat="1" applyFont="1" applyFill="1" applyBorder="1" applyAlignment="1">
      <x:alignment horizontal="center" vertical="center"/>
    </x:xf>
    <x:xf numFmtId="200" fontId="6" fillId="5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7" fillId="6" borderId="16" xfId="0" applyNumberFormat="1" applyFont="1" applyFill="1" applyBorder="1" applyAlignment="1">
      <x:alignment vertical="center" wrapText="1"/>
    </x:xf>
    <x:xf numFmtId="0" fontId="7" fillId="6" borderId="1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3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horizontal="center" wrapText="1"/>
    </x:xf>
    <x:xf numFmtId="0" fontId="8" fillId="7" borderId="2" xfId="0" applyNumberFormat="1" applyFont="1" applyFill="1" applyBorder="1" applyAlignment="1">
      <x:alignment horizontal="center" wrapText="1"/>
    </x:xf>
    <x:xf numFmtId="0" fontId="8" fillId="7" borderId="3" xfId="0" applyNumberFormat="1" applyFont="1" applyFill="1" applyBorder="1" applyAlignment="1">
      <x:alignment horizont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0" fontId="8" fillId="7" borderId="3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18" xfId="0" applyNumberFormat="1" applyFont="1" applyFill="1" applyBorder="1" applyAlignment="1">
      <x:alignment vertical="center"/>
    </x:xf>
    <x:xf numFmtId="0" fontId="9" fillId="0" borderId="19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vertical="center"/>
    </x:xf>
    <x:xf numFmtId="200" fontId="9" fillId="0" borderId="18" xfId="0" applyNumberFormat="1" applyFont="1" applyFill="1" applyBorder="1" applyAlignment="1">
      <x:alignment vertical="center"/>
    </x:xf>
    <x:xf numFmtId="200" fontId="9" fillId="0" borderId="19" xfId="0" applyNumberFormat="1" applyFont="1" applyFill="1" applyBorder="1" applyAlignment="1">
      <x:alignment vertical="center"/>
    </x:xf>
    <x:xf numFmtId="200" fontId="9" fillId="0" borderId="20" xfId="0" applyNumberFormat="1" applyFont="1" applyFill="1" applyBorder="1" applyAlignment="1">
      <x:alignment vertical="center"/>
    </x:xf>
    <x:xf numFmtId="0" fontId="10" fillId="0" borderId="18" xfId="0" applyNumberFormat="1" applyFont="1" applyFill="1" applyBorder="1" applyAlignment="1">
      <x:alignment vertical="center"/>
    </x:xf>
    <x:xf numFmtId="0" fontId="10" fillId="0" borderId="19" xfId="0" applyNumberFormat="1" applyFont="1" applyFill="1" applyBorder="1" applyAlignment="1">
      <x:alignment vertical="center"/>
    </x:xf>
    <x:xf numFmtId="0" fontId="10" fillId="0" borderId="20" xfId="0" applyNumberFormat="1" applyFont="1" applyFill="1" applyBorder="1" applyAlignment="1">
      <x:alignment vertical="center"/>
    </x:xf>
    <x:xf numFmtId="0" fontId="9" fillId="6" borderId="18" xfId="0" applyNumberFormat="1" applyFont="1" applyFill="1" applyBorder="1" applyAlignment="1">
      <x:alignment vertical="center"/>
    </x:xf>
    <x:xf numFmtId="0" fontId="9" fillId="6" borderId="19" xfId="0" applyNumberFormat="1" applyFont="1" applyFill="1" applyBorder="1" applyAlignment="1">
      <x:alignment vertical="center"/>
    </x:xf>
    <x:xf numFmtId="0" fontId="9" fillId="6" borderId="20" xfId="0" applyNumberFormat="1" applyFont="1" applyFill="1" applyBorder="1" applyAlignment="1">
      <x:alignment vertical="center"/>
    </x:xf>
    <x:xf numFmtId="0" fontId="10" fillId="0" borderId="18" xfId="0" applyNumberFormat="1" applyFont="1" applyFill="1" applyBorder="1" applyAlignment="1">
      <x:alignment vertical="center" wrapText="1"/>
    </x:xf>
    <x:xf numFmtId="0" fontId="9" fillId="0" borderId="18" xfId="0" applyNumberFormat="1" applyFont="1" applyFill="1" applyBorder="1" applyAlignment="1">
      <x:alignment vertical="center" wrapText="1"/>
    </x:xf>
    <x:xf numFmtId="0" fontId="9" fillId="6" borderId="18" xfId="0" applyNumberFormat="1" applyFont="1" applyFill="1" applyBorder="1" applyAlignment="1">
      <x:alignment vertical="center" wrapText="1"/>
    </x:xf>
    <x:xf numFmtId="0" fontId="10" fillId="0" borderId="19" xfId="0" applyNumberFormat="1" applyFont="1" applyFill="1" applyBorder="1" applyAlignment="1">
      <x:alignment vertical="center" wrapText="1"/>
    </x:xf>
    <x:xf numFmtId="0" fontId="9" fillId="0" borderId="19" xfId="0" applyNumberFormat="1" applyFont="1" applyFill="1" applyBorder="1" applyAlignment="1">
      <x:alignment vertical="center" wrapText="1"/>
    </x:xf>
    <x:xf numFmtId="0" fontId="9" fillId="6" borderId="19" xfId="0" applyNumberFormat="1" applyFont="1" applyFill="1" applyBorder="1" applyAlignment="1">
      <x:alignment vertical="center" wrapText="1"/>
    </x:xf>
    <x:xf numFmtId="0" fontId="10" fillId="0" borderId="20" xfId="0" applyNumberFormat="1" applyFont="1" applyFill="1" applyBorder="1" applyAlignment="1">
      <x:alignment vertical="center" wrapText="1"/>
    </x:xf>
    <x:xf numFmtId="0" fontId="9" fillId="0" borderId="20" xfId="0" applyNumberFormat="1" applyFont="1" applyFill="1" applyBorder="1" applyAlignment="1">
      <x:alignment vertical="center" wrapText="1"/>
    </x:xf>
    <x:xf numFmtId="0" fontId="9" fillId="6" borderId="20" xfId="0" applyNumberFormat="1" applyFont="1" applyFill="1" applyBorder="1" applyAlignment="1">
      <x:alignment vertical="center" wrapText="1"/>
    </x:xf>
    <x:xf numFmtId="201" fontId="9" fillId="0" borderId="18" xfId="0" applyNumberFormat="1" applyFont="1" applyFill="1" applyBorder="1" applyAlignment="1">
      <x:alignment vertical="center"/>
    </x:xf>
    <x:xf numFmtId="201" fontId="9" fillId="0" borderId="19" xfId="0" applyNumberFormat="1" applyFont="1" applyFill="1" applyBorder="1" applyAlignment="1">
      <x:alignment vertical="center"/>
    </x:xf>
    <x:xf numFmtId="201" fontId="9" fillId="0" borderId="20" xfId="0" applyNumberFormat="1" applyFont="1" applyFill="1" applyBorder="1" applyAlignment="1">
      <x:alignment vertical="center"/>
    </x:xf>
    <x:xf numFmtId="201" fontId="9" fillId="0" borderId="18" xfId="0" applyNumberFormat="1" applyFont="1" applyFill="1" applyBorder="1" applyAlignment="1">
      <x:alignment vertical="center" wrapText="1"/>
    </x:xf>
    <x:xf numFmtId="201" fontId="9" fillId="0" borderId="19" xfId="0" applyNumberFormat="1" applyFont="1" applyFill="1" applyBorder="1" applyAlignment="1">
      <x:alignment vertical="center" wrapText="1"/>
    </x:xf>
    <x:xf numFmtId="201" fontId="9" fillId="0" borderId="20" xfId="0" applyNumberFormat="1" applyFont="1" applyFill="1" applyBorder="1" applyAlignment="1">
      <x:alignment vertical="center" wrapText="1"/>
    </x:xf>
    <x:xf numFmtId="0" fontId="9" fillId="3" borderId="18" xfId="0" applyNumberFormat="1" applyFont="1" applyFill="1" applyBorder="1" applyAlignment="1">
      <x:alignment vertical="center"/>
    </x:xf>
    <x:xf numFmtId="0" fontId="9" fillId="3" borderId="19" xfId="0" applyNumberFormat="1" applyFont="1" applyFill="1" applyBorder="1" applyAlignment="1">
      <x:alignment vertical="center"/>
    </x:xf>
    <x:xf numFmtId="0" fontId="9" fillId="3" borderId="20" xfId="0" applyNumberFormat="1" applyFont="1" applyFill="1" applyBorder="1" applyAlignment="1">
      <x:alignment vertical="center"/>
    </x:xf>
    <x:xf numFmtId="202" fontId="9" fillId="0" borderId="18" xfId="0" applyNumberFormat="1" applyFont="1" applyFill="1" applyBorder="1" applyAlignment="1">
      <x:alignment vertical="center"/>
    </x:xf>
    <x:xf numFmtId="202" fontId="9" fillId="0" borderId="19" xfId="0" applyNumberFormat="1" applyFont="1" applyFill="1" applyBorder="1" applyAlignment="1">
      <x:alignment vertical="center"/>
    </x:xf>
    <x:xf numFmtId="202" fontId="9" fillId="0" borderId="20" xfId="0" applyNumberFormat="1" applyFont="1" applyFill="1" applyBorder="1" applyAlignment="1">
      <x:alignment vertical="center"/>
    </x:xf>
    <x:xf numFmtId="203" fontId="9" fillId="6" borderId="18" xfId="0" applyNumberFormat="1" applyFont="1" applyFill="1" applyBorder="1" applyAlignment="1">
      <x:alignment vertical="center"/>
    </x:xf>
    <x:xf numFmtId="203" fontId="9" fillId="6" borderId="19" xfId="0" applyNumberFormat="1" applyFont="1" applyFill="1" applyBorder="1" applyAlignment="1">
      <x:alignment vertical="center"/>
    </x:xf>
    <x:xf numFmtId="203" fontId="9" fillId="6" borderId="20" xfId="0" applyNumberFormat="1" applyFont="1" applyFill="1" applyBorder="1" applyAlignment="1">
      <x:alignment vertical="center"/>
    </x:xf>
    <x:xf numFmtId="204" fontId="9" fillId="6" borderId="18" xfId="0" applyNumberFormat="1" applyFont="1" applyFill="1" applyBorder="1" applyAlignment="1">
      <x:alignment vertical="center"/>
    </x:xf>
    <x:xf numFmtId="204" fontId="9" fillId="6" borderId="19" xfId="0" applyNumberFormat="1" applyFont="1" applyFill="1" applyBorder="1" applyAlignment="1">
      <x:alignment vertical="center"/>
    </x:xf>
    <x:xf numFmtId="204" fontId="9" fillId="6" borderId="20" xfId="0" applyNumberFormat="1" applyFont="1" applyFill="1" applyBorder="1" applyAlignment="1">
      <x:alignment vertical="center"/>
    </x:xf>
    <x:xf numFmtId="203" fontId="9" fillId="3" borderId="18" xfId="0" applyNumberFormat="1" applyFont="1" applyFill="1" applyBorder="1" applyAlignment="1">
      <x:alignment vertical="center"/>
    </x:xf>
    <x:xf numFmtId="203" fontId="9" fillId="3" borderId="19" xfId="0" applyNumberFormat="1" applyFont="1" applyFill="1" applyBorder="1" applyAlignment="1">
      <x:alignment vertical="center"/>
    </x:xf>
    <x:xf numFmtId="203" fontId="9" fillId="3" borderId="20" xfId="0" applyNumberFormat="1" applyFont="1" applyFill="1" applyBorder="1" applyAlignment="1">
      <x:alignment vertical="center"/>
    </x:xf>
    <x:xf numFmtId="205" fontId="9" fillId="0" borderId="18" xfId="0" applyNumberFormat="1" applyFont="1" applyFill="1" applyBorder="1" applyAlignment="1">
      <x:alignment vertical="center"/>
    </x:xf>
    <x:xf numFmtId="205" fontId="9" fillId="0" borderId="19" xfId="0" applyNumberFormat="1" applyFont="1" applyFill="1" applyBorder="1" applyAlignment="1">
      <x:alignment vertical="center"/>
    </x:xf>
    <x:xf numFmtId="205" fontId="9" fillId="0" borderId="20" xfId="0" applyNumberFormat="1" applyFont="1" applyFill="1" applyBorder="1" applyAlignment="1">
      <x:alignment vertical="center"/>
    </x:xf>
    <x:xf numFmtId="203" fontId="9" fillId="0" borderId="18" xfId="0" applyNumberFormat="1" applyFont="1" applyFill="1" applyBorder="1" applyAlignment="1">
      <x:alignment vertical="center"/>
    </x:xf>
    <x:xf numFmtId="203" fontId="9" fillId="0" borderId="19" xfId="0" applyNumberFormat="1" applyFont="1" applyFill="1" applyBorder="1" applyAlignment="1">
      <x:alignment vertical="center"/>
    </x:xf>
    <x:xf numFmtId="203" fontId="9" fillId="0" borderId="20" xfId="0" applyNumberFormat="1" applyFont="1" applyFill="1" applyBorder="1" applyAlignment="1">
      <x:alignment vertical="center"/>
    </x:xf>
    <x:xf numFmtId="206" fontId="9" fillId="0" borderId="18" xfId="0" applyNumberFormat="1" applyFont="1" applyFill="1" applyBorder="1" applyAlignment="1">
      <x:alignment vertical="center"/>
    </x:xf>
    <x:xf numFmtId="206" fontId="9" fillId="0" borderId="19" xfId="0" applyNumberFormat="1" applyFont="1" applyFill="1" applyBorder="1" applyAlignment="1">
      <x:alignment vertical="center"/>
    </x:xf>
    <x:xf numFmtId="206" fontId="9" fillId="0" borderId="20" xfId="0" applyNumberFormat="1" applyFont="1" applyFill="1" applyBorder="1" applyAlignment="1">
      <x:alignment vertical="center"/>
    </x:xf>
    <x:xf numFmtId="206" fontId="9" fillId="3" borderId="18" xfId="0" applyNumberFormat="1" applyFont="1" applyFill="1" applyBorder="1" applyAlignment="1">
      <x:alignment vertical="center"/>
    </x:xf>
    <x:xf numFmtId="206" fontId="9" fillId="3" borderId="19" xfId="0" applyNumberFormat="1" applyFont="1" applyFill="1" applyBorder="1" applyAlignment="1">
      <x:alignment vertical="center"/>
    </x:xf>
    <x:xf numFmtId="206" fontId="9" fillId="3" borderId="20" xfId="0" applyNumberFormat="1" applyFont="1" applyFill="1" applyBorder="1" applyAlignment="1">
      <x:alignment vertical="center"/>
    </x:xf>
    <x:xf numFmtId="204" fontId="9" fillId="0" borderId="18" xfId="0" applyNumberFormat="1" applyFont="1" applyFill="1" applyBorder="1" applyAlignment="1">
      <x:alignment vertical="center"/>
    </x:xf>
    <x:xf numFmtId="204" fontId="9" fillId="0" borderId="19" xfId="0" applyNumberFormat="1" applyFont="1" applyFill="1" applyBorder="1" applyAlignment="1">
      <x:alignment vertical="center"/>
    </x:xf>
    <x:xf numFmtId="204" fontId="9" fillId="0" borderId="20" xfId="0" applyNumberFormat="1" applyFont="1" applyFill="1" applyBorder="1" applyAlignment="1">
      <x:alignment vertical="center"/>
    </x:xf>
    <x:xf numFmtId="204" fontId="9" fillId="3" borderId="18" xfId="0" applyNumberFormat="1" applyFont="1" applyFill="1" applyBorder="1" applyAlignment="1">
      <x:alignment vertical="center"/>
    </x:xf>
    <x:xf numFmtId="204" fontId="9" fillId="3" borderId="19" xfId="0" applyNumberFormat="1" applyFont="1" applyFill="1" applyBorder="1" applyAlignment="1">
      <x:alignment vertical="center"/>
    </x:xf>
    <x:xf numFmtId="204" fontId="9" fillId="3" borderId="20" xfId="0" applyNumberFormat="1" applyFont="1" applyFill="1" applyBorder="1" applyAlignment="1">
      <x:alignment vertical="center"/>
    </x:xf>
    <x:xf numFmtId="205" fontId="9" fillId="3" borderId="18" xfId="0" applyNumberFormat="1" applyFont="1" applyFill="1" applyBorder="1" applyAlignment="1">
      <x:alignment vertical="center"/>
    </x:xf>
    <x:xf numFmtId="205" fontId="9" fillId="3" borderId="19" xfId="0" applyNumberFormat="1" applyFont="1" applyFill="1" applyBorder="1" applyAlignment="1">
      <x:alignment vertical="center"/>
    </x:xf>
    <x:xf numFmtId="205" fontId="9" fillId="3" borderId="2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7" fontId="9" fillId="0" borderId="18" xfId="0" applyNumberFormat="1" applyFont="1" applyFill="1" applyBorder="1" applyAlignment="1">
      <x:alignment vertical="center"/>
    </x:xf>
    <x:xf numFmtId="207" fontId="9" fillId="0" borderId="19" xfId="0" applyNumberFormat="1" applyFont="1" applyFill="1" applyBorder="1" applyAlignment="1">
      <x:alignment vertical="center"/>
    </x:xf>
    <x:xf numFmtId="207" fontId="9" fillId="0" borderId="20" xfId="0" applyNumberFormat="1" applyFont="1" applyFill="1" applyBorder="1" applyAlignment="1">
      <x:alignment vertical="center"/>
    </x:xf>
    <x:xf numFmtId="208" fontId="9" fillId="0" borderId="18" xfId="0" applyNumberFormat="1" applyFont="1" applyFill="1" applyBorder="1" applyAlignment="1">
      <x:alignment vertical="center"/>
    </x:xf>
    <x:xf numFmtId="208" fontId="9" fillId="0" borderId="19" xfId="0" applyNumberFormat="1" applyFont="1" applyFill="1" applyBorder="1" applyAlignment="1">
      <x:alignment vertical="center"/>
    </x:xf>
    <x:xf numFmtId="208" fontId="9" fillId="0" borderId="20" xfId="0" applyNumberFormat="1" applyFont="1" applyFill="1" applyBorder="1" applyAlignment="1">
      <x:alignment vertical="center"/>
    </x:xf>
    <x:xf numFmtId="209" fontId="9" fillId="0" borderId="18" xfId="0" applyNumberFormat="1" applyFont="1" applyFill="1" applyBorder="1" applyAlignment="1">
      <x:alignment vertical="center"/>
    </x:xf>
    <x:xf numFmtId="209" fontId="9" fillId="0" borderId="19" xfId="0" applyNumberFormat="1" applyFont="1" applyFill="1" applyBorder="1" applyAlignment="1">
      <x:alignment vertical="center"/>
    </x:xf>
    <x:xf numFmtId="209" fontId="9" fillId="0" borderId="20" xfId="0" applyNumberFormat="1" applyFont="1" applyFill="1" applyBorder="1" applyAlignment="1">
      <x:alignment vertical="center"/>
    </x:xf>
    <x:xf numFmtId="208" fontId="9" fillId="3" borderId="18" xfId="0" applyNumberFormat="1" applyFont="1" applyFill="1" applyBorder="1" applyAlignment="1">
      <x:alignment vertical="center"/>
    </x:xf>
    <x:xf numFmtId="209" fontId="9" fillId="3" borderId="18" xfId="0" applyNumberFormat="1" applyFont="1" applyFill="1" applyBorder="1" applyAlignment="1">
      <x:alignment vertical="center"/>
    </x:xf>
    <x:xf numFmtId="208" fontId="9" fillId="3" borderId="19" xfId="0" applyNumberFormat="1" applyFont="1" applyFill="1" applyBorder="1" applyAlignment="1">
      <x:alignment vertical="center"/>
    </x:xf>
    <x:xf numFmtId="209" fontId="9" fillId="3" borderId="19" xfId="0" applyNumberFormat="1" applyFont="1" applyFill="1" applyBorder="1" applyAlignment="1">
      <x:alignment vertical="center"/>
    </x:xf>
    <x:xf numFmtId="208" fontId="9" fillId="3" borderId="20" xfId="0" applyNumberFormat="1" applyFont="1" applyFill="1" applyBorder="1" applyAlignment="1">
      <x:alignment vertical="center"/>
    </x:xf>
    <x:xf numFmtId="209" fontId="9" fillId="3" borderId="2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/>
    <x:xf numFmtId="0" fontId="12" fillId="5" borderId="21" xfId="0" applyNumberFormat="1" applyFont="1" applyFill="1" applyBorder="1"/>
    <x:xf numFmtId="0" fontId="12" fillId="5" borderId="22" xfId="0" applyNumberFormat="1" applyFont="1" applyFill="1" applyBorder="1"/>
    <x:xf numFmtId="0" fontId="12" fillId="5" borderId="23" xfId="0" applyNumberFormat="1" applyFont="1" applyFill="1" applyBorder="1"/>
    <x:xf numFmtId="0" fontId="12" fillId="5" borderId="24" xfId="0" applyNumberFormat="1" applyFont="1" applyFill="1" applyBorder="1"/>
    <x:xf numFmtId="0" fontId="12" fillId="5" borderId="25" xfId="0" applyNumberFormat="1" applyFont="1" applyFill="1" applyBorder="1"/>
    <x:xf numFmtId="0" fontId="12" fillId="5" borderId="26" xfId="0" applyNumberFormat="1" applyFont="1" applyFill="1" applyBorder="1"/>
    <x:xf numFmtId="0" fontId="12" fillId="5" borderId="21" xfId="0" applyNumberFormat="1" applyFont="1" applyFill="1" applyBorder="1" applyAlignment="1">
      <x:alignment horizontal="center"/>
    </x:xf>
    <x:xf numFmtId="0" fontId="12" fillId="5" borderId="22" xfId="0" applyNumberFormat="1" applyFont="1" applyFill="1" applyBorder="1" applyAlignment="1">
      <x:alignment horizontal="center"/>
    </x:xf>
    <x:xf numFmtId="0" fontId="12" fillId="5" borderId="23" xfId="0" applyNumberFormat="1" applyFont="1" applyFill="1" applyBorder="1" applyAlignment="1">
      <x:alignment horizontal="center"/>
    </x:xf>
    <x:xf numFmtId="0" fontId="12" fillId="5" borderId="24" xfId="0" applyNumberFormat="1" applyFont="1" applyFill="1" applyBorder="1" applyAlignment="1">
      <x:alignment horizontal="center"/>
    </x:xf>
    <x:xf numFmtId="0" fontId="12" fillId="5" borderId="25" xfId="0" applyNumberFormat="1" applyFont="1" applyFill="1" applyBorder="1" applyAlignment="1">
      <x:alignment horizontal="center"/>
    </x:xf>
    <x:xf numFmtId="0" fontId="12" fillId="5" borderId="26" xfId="0" applyNumberFormat="1" applyFont="1" applyFill="1" applyBorder="1" applyAlignment="1">
      <x:alignment horizontal="center"/>
    </x:xf>
    <x:xf numFmtId="0" fontId="12" fillId="5" borderId="21" xfId="0" applyNumberFormat="1" applyFont="1" applyFill="1" applyBorder="1" applyAlignment="1">
      <x:alignment horizontal="center" vertical="center"/>
    </x:xf>
    <x:xf numFmtId="0" fontId="12" fillId="5" borderId="22" xfId="0" applyNumberFormat="1" applyFont="1" applyFill="1" applyBorder="1" applyAlignment="1">
      <x:alignment horizontal="center" vertical="center"/>
    </x:xf>
    <x:xf numFmtId="0" fontId="12" fillId="5" borderId="23" xfId="0" applyNumberFormat="1" applyFont="1" applyFill="1" applyBorder="1" applyAlignment="1">
      <x:alignment horizontal="center" vertical="center"/>
    </x:xf>
    <x:xf numFmtId="0" fontId="12" fillId="5" borderId="24" xfId="0" applyNumberFormat="1" applyFont="1" applyFill="1" applyBorder="1" applyAlignment="1">
      <x:alignment horizontal="center" vertical="center"/>
    </x:xf>
    <x:xf numFmtId="0" fontId="12" fillId="5" borderId="25" xfId="0" applyNumberFormat="1" applyFont="1" applyFill="1" applyBorder="1" applyAlignment="1">
      <x:alignment horizontal="center" vertical="center"/>
    </x:xf>
    <x:xf numFmtId="0" fontId="12" fillId="5" borderId="26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ont>
        <x:b/>
        <x:color rgb="FF15803D"/>
      </x:font>
      <x:fill>
        <x:patternFill patternType="solid">
          <x:bgColor rgb="FFE5F4EA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color rgb="FF15803D"/>
      </x:font>
      <x:fill>
        <x:patternFill patternType="solid">
          <x:bgColor rgb="FFE5F4EA"/>
        </x:patternFill>
      </x:fill>
    </x:dxf>
    <x:dxf>
      <x:font>
        <x:color rgb="FFD97706"/>
      </x:font>
      <x:fill>
        <x:patternFill patternType="solid">
          <x:bgColor rgb="FFFFF1D6"/>
        </x:patternFill>
      </x:fill>
    </x:dxf>
    <x:dxf>
      <x:font>
        <x:b/>
        <x:color rgb="FF15803D"/>
      </x:font>
      <x:fill>
        <x:patternFill patternType="solid">
          <x:bgColor rgb="FFE5F4EA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f0176cfe64642" /><Relationship Type="http://schemas.openxmlformats.org/officeDocument/2006/relationships/theme" Target="/xl/theme/theme1.xml" Id="Rc8a06f973535407a" /><Relationship Type="http://schemas.microsoft.com/office/2022/11/relationships/FeaturePropertyBag" Target="/xl/featurePropertyBag/featurePropertyBag.xml" Id="R59d48a5859a5417d" /><Relationship Type="http://schemas.openxmlformats.org/officeDocument/2006/relationships/sharedStrings" Target="/xl/sharedStrings.xml" Id="Rbc20d6059d564a52" /><Relationship Type="http://schemas.openxmlformats.org/officeDocument/2006/relationships/worksheet" Target="/xl/worksheets/sheet1.xml" Id="R2c5243a22a5a42af" /><Relationship Type="http://schemas.openxmlformats.org/officeDocument/2006/relationships/worksheet" Target="/xl/worksheets/sheet2.xml" Id="R6969837addc34251" /><Relationship Type="http://schemas.openxmlformats.org/officeDocument/2006/relationships/worksheet" Target="/xl/worksheets/sheet3.xml" Id="R04ab8920995547e0" /><Relationship Type="http://schemas.openxmlformats.org/officeDocument/2006/relationships/worksheet" Target="/xl/worksheets/sheet4.xml" Id="R31c59ef78ead4826" /><Relationship Type="http://schemas.openxmlformats.org/officeDocument/2006/relationships/worksheet" Target="/xl/worksheets/sheet5.xml" Id="Rf456b373f31149a1" /><Relationship Type="http://schemas.openxmlformats.org/officeDocument/2006/relationships/worksheet" Target="/xl/worksheets/sheet6.xml" Id="R133e16058566492e" /><Relationship Type="http://schemas.openxmlformats.org/officeDocument/2006/relationships/worksheet" Target="/xl/worksheets/sheet7.xml" Id="Raf08a196952b4e85" /><Relationship Type="http://schemas.openxmlformats.org/officeDocument/2006/relationships/worksheet" Target="/xl/worksheets/sheet8.xml" Id="Rcd36ef3496a842b5" /><Relationship Type="http://schemas.openxmlformats.org/officeDocument/2006/relationships/worksheet" Target="/xl/worksheets/sheet9.xml" Id="R2b0c9f1b1fa44083" /><Relationship Type="http://schemas.openxmlformats.org/officeDocument/2006/relationships/worksheet" Target="/xl/worksheets/sheet10.xml" Id="Rbd99bad87d1d4361" /><Relationship Type="http://schemas.openxmlformats.org/officeDocument/2006/relationships/worksheet" Target="/xl/worksheets/sheet11.xml" Id="R1f725464d4f846bd" /><Relationship Type="http://schemas.openxmlformats.org/officeDocument/2006/relationships/worksheet" Target="/xl/worksheets/sheet12.xml" Id="R9f0964878ca64b03" /><Relationship Type="http://schemas.openxmlformats.org/officeDocument/2006/relationships/worksheet" Target="/xl/worksheets/sheet13.xml" Id="Ra3a4e0bb83e543f0" /><Relationship Type="http://schemas.openxmlformats.org/officeDocument/2006/relationships/worksheet" Target="/xl/worksheets/sheet14.xml" Id="R1dc5bb7f54bc411c" /><Relationship Type="http://schemas.openxmlformats.org/officeDocument/2006/relationships/worksheet" Target="/xl/worksheets/sheet15.xml" Id="R171cd0af55154b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cffc9ae9404439" /><Relationship Type="http://schemas.openxmlformats.org/officeDocument/2006/relationships/chart" Target="/xl/drawings/charts/chart2.xml" Id="R5779233771bc4d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月度物流总成本：Budget vs Latest Outlook（CNY）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Budget</c:v>
          </c:tx>
          <c:marker>
            <c:symbol val="none"/>
          </c:marker>
          <c:cat>
            <c:strRef>
              <c:f>'Summary'!$A$31:$A$42</c:f>
              <c:strCache>
                <c:ptCount val="0"/>
              </c:strCache>
            </c:strRef>
          </c:cat>
          <c:val>
            <c:numRef>
              <c:f>'Summary'!$B$31:$B$42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Latest Outlook</c:v>
          </c:tx>
          <c:marker>
            <c:symbol val="none"/>
          </c:marker>
          <c:cat>
            <c:strRef>
              <c:f>'Summary'!$A$31:$A$42</c:f>
              <c:strCache>
                <c:ptCount val="0"/>
              </c:strCache>
            </c:strRef>
          </c:cat>
          <c:val>
            <c:numRef>
              <c:f>'Summary'!$C$31:$C$42</c:f>
              <c:numCache>
                <c:formatCode>#,##0;[Red](#,##0);-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 年 8 月英国不利差异驱动（CNY）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8 月英国差异</c:v>
          </c:tx>
          <c:cat>
            <c:strRef>
              <c:f>'Summary'!$E$31:$E$35</c:f>
              <c:strCache>
                <c:ptCount val="0"/>
              </c:strCache>
            </c:strRef>
          </c:cat>
          <c:val>
            <c:numRef>
              <c:f>'Summary'!$F$31:$F$35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cffc9ae9404439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19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79233771bc4d2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ssumptionsTable" displayName="AssumptionsTable" ref="A4:D18" headerRowCount="1" totalsRowCount="0" totalsRowShown="0">
  <x:autoFilter ref="A4:D18"/>
  <x:tableColumns count="4">
    <x:tableColumn id="1" name="类别"/>
    <x:tableColumn id="2" name="项目"/>
    <x:tableColumn id="3" name="取值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teMasterTable" displayName="RouteMasterTable" ref="A4:J14" headerRowCount="1" totalsRowCount="0" totalsRowShown="0">
  <x:autoFilter ref="A4:J14"/>
  <x:tableColumns count="10">
    <x:tableColumn id="1" name="Route ID"/>
    <x:tableColumn id="2" name="目的国"/>
    <x:tableColumn id="3" name="发货仓"/>
    <x:tableColumn id="4" name="承运商"/>
    <x:tableColumn id="5" name="运输方式"/>
    <x:tableColumn id="6" name="启用日期"/>
    <x:tableColumn id="7" name="停用日期"/>
    <x:tableColumn id="8" name="容量状态"/>
    <x:tableColumn id="9" name="目的国名称"/>
    <x:tableColumn id="10" name="线路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CalcTable" displayName="ModelCalcTable" ref="A4:BG364" headerRowCount="1" totalsRowCount="0" totalsRowShown="0">
  <x:autoFilter ref="A4:BG364"/>
  <x:tableColumns count="59">
    <x:tableColumn id="1" name="Version"/>
    <x:tableColumn id="2" name="Type"/>
    <x:tableColumn id="3" name="Scenario"/>
    <x:tableColumn id="4" name="Month"/>
    <x:tableColumn id="5" name="Route"/>
    <x:tableColumn id="6" name="Destination"/>
    <x:tableColumn id="7" name="FC"/>
    <x:tableColumn id="8" name="Carrier"/>
    <x:tableColumn id="9" name="Mode"/>
    <x:tableColumn id="10" name="Total Orders"/>
    <x:tableColumn id="11" name="Destination Share"/>
    <x:tableColumn id="12" name="Warehouse Share"/>
    <x:tableColumn id="13" name="Route Package Share"/>
    <x:tableColumn id="14" name="Equivalent Orders"/>
    <x:tableColumn id="15" name="Avg Packages/Order"/>
    <x:tableColumn id="16" name="Packages"/>
    <x:tableColumn id="17" name="Avg Chargeable Weight kg"/>
    <x:tableColumn id="18" name="Chargeable Weight kg"/>
    <x:tableColumn id="19" name="Return Rate"/>
    <x:tableColumn id="20" name="Return Packages"/>
    <x:tableColumn id="21" name="Events/Package"/>
    <x:tableColumn id="22" name="Billable Events"/>
    <x:tableColumn id="23" name="Transport Currency"/>
    <x:tableColumn id="24" name="Base Rate/kg"/>
    <x:tableColumn id="25" name="Fuel Basis"/>
    <x:tableColumn id="26" name="Fuel Rate/Unit"/>
    <x:tableColumn id="27" name="EUR/CNY"/>
    <x:tableColumn id="28" name="GBP/CNY"/>
    <x:tableColumn id="29" name="Transport FX"/>
    <x:tableColumn id="30" name="Base Freight Original"/>
    <x:tableColumn id="31" name="Fuel Original"/>
    <x:tableColumn id="32" name="Base Freight CNY"/>
    <x:tableColumn id="33" name="Fuel CNY"/>
    <x:tableColumn id="34" name="WH Currency"/>
    <x:tableColumn id="35" name="WH Unit Price"/>
    <x:tableColumn id="36" name="WH FX"/>
    <x:tableColumn id="37" name="WH Original"/>
    <x:tableColumn id="38" name="WH CNY"/>
    <x:tableColumn id="39" name="Packaging Currency"/>
    <x:tableColumn id="40" name="Packaging Unit Price"/>
    <x:tableColumn id="41" name="Packaging FX"/>
    <x:tableColumn id="42" name="Packaging Original"/>
    <x:tableColumn id="43" name="Packaging CNY"/>
    <x:tableColumn id="44" name="Return Currency"/>
    <x:tableColumn id="45" name="Return Unit Price"/>
    <x:tableColumn id="46" name="Return FX"/>
    <x:tableColumn id="47" name="Return Original"/>
    <x:tableColumn id="48" name="Return CNY"/>
    <x:tableColumn id="49" name="Exception Currency"/>
    <x:tableColumn id="50" name="Exception Unit Price"/>
    <x:tableColumn id="51" name="Exception FX"/>
    <x:tableColumn id="52" name="Exception Original"/>
    <x:tableColumn id="53" name="Exception CNY"/>
    <x:tableColumn id="54" name="Variable Cost CNY"/>
    <x:tableColumn id="55" name="Expected On-time Rate"/>
    <x:tableColumn id="56" name="Event Note"/>
    <x:tableColumn id="57" name="Management Action Note"/>
    <x:tableColumn id="58" name="Scenario Note"/>
    <x:tableColumn id="59" name="Capacity Assum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stFactsTable" displayName="CostFactsTable" ref="A4:T2164" headerRowCount="1" totalsRowCount="0" totalsRowShown="0">
  <x:autoFilter ref="A4:T2164"/>
  <x:tableColumns count="20">
    <x:tableColumn id="1" name="Version"/>
    <x:tableColumn id="2" name="Type"/>
    <x:tableColumn id="3" name="Scenario"/>
    <x:tableColumn id="4" name="Month"/>
    <x:tableColumn id="5" name="Route"/>
    <x:tableColumn id="6" name="Destination"/>
    <x:tableColumn id="7" name="FC"/>
    <x:tableColumn id="8" name="Carrier"/>
    <x:tableColumn id="9" name="Mode"/>
    <x:tableColumn id="10" name="Cost Component"/>
    <x:tableColumn id="11" name="Currency"/>
    <x:tableColumn id="12" name="Original Amount"/>
    <x:tableColumn id="13" name="FX"/>
    <x:tableColumn id="14" name="High Precision CNY (text)"/>
    <x:tableColumn id="15" name="Report CNY"/>
    <x:tableColumn id="16" name="Authority CNY"/>
    <x:tableColumn id="17" name="Authority Delta"/>
    <x:tableColumn id="18" name="Posting Basis"/>
    <x:tableColumn id="19" name="Model Recalc CNY"/>
    <x:tableColumn id="20" name="Recalc Delt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xedCostFactsTable" displayName="FixedCostFactsTable" ref="A4:M184" headerRowCount="1" totalsRowCount="0" totalsRowShown="0">
  <x:autoFilter ref="A4:M184"/>
  <x:tableColumns count="13">
    <x:tableColumn id="1" name="Version"/>
    <x:tableColumn id="2" name="Type"/>
    <x:tableColumn id="3" name="Scenario"/>
    <x:tableColumn id="4" name="Month"/>
    <x:tableColumn id="5" name="Scope"/>
    <x:tableColumn id="6" name="Category"/>
    <x:tableColumn id="7" name="Currency"/>
    <x:tableColumn id="8" name="Original Amount"/>
    <x:tableColumn id="9" name="FX"/>
    <x:tableColumn id="10" name="High Precision CNY (text)"/>
    <x:tableColumn id="11" name="Report CNY"/>
    <x:tableColumn id="12" name="Recalc CNY"/>
    <x:tableColumn id="13" name="Delt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MVFactsTable" displayName="GMVFactsTable" ref="A4:N112" headerRowCount="1" totalsRowCount="0" totalsRowShown="0">
  <x:autoFilter ref="A4:N112"/>
  <x:tableColumns count="14">
    <x:tableColumn id="1" name="Version"/>
    <x:tableColumn id="2" name="Type"/>
    <x:tableColumn id="3" name="Scenario"/>
    <x:tableColumn id="4" name="Month"/>
    <x:tableColumn id="5" name="Destination"/>
    <x:tableColumn id="6" name="Currency"/>
    <x:tableColumn id="7" name="Original Amount"/>
    <x:tableColumn id="8" name="FX"/>
    <x:tableColumn id="9" name="High Precision CNY (text)"/>
    <x:tableColumn id="10" name="Report CNY"/>
    <x:tableColumn id="11" name="Recalc CNY"/>
    <x:tableColumn id="12" name="Delta"/>
    <x:tableColumn id="13" name="Source Class"/>
    <x:tableColumn id="14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erviceFactsTable" displayName="ServiceFactsTable" ref="A4:P364" headerRowCount="1" totalsRowCount="0" totalsRowShown="0">
  <x:autoFilter ref="A4:P364"/>
  <x:tableColumns count="16">
    <x:tableColumn id="1" name="Version"/>
    <x:tableColumn id="2" name="Type"/>
    <x:tableColumn id="3" name="Scenario"/>
    <x:tableColumn id="4" name="Month"/>
    <x:tableColumn id="5" name="Route"/>
    <x:tableColumn id="6" name="Destination"/>
    <x:tableColumn id="7" name="FC"/>
    <x:tableColumn id="8" name="Carrier"/>
    <x:tableColumn id="9" name="Mode"/>
    <x:tableColumn id="10" name="Cohort Packages"/>
    <x:tableColumn id="11" name="Due Packages"/>
    <x:tableColumn id="12" name="On-time Packages"/>
    <x:tableColumn id="13" name="On-time Rate"/>
    <x:tableColumn id="14" name="Maturity Rate"/>
    <x:tableColumn id="15" name="Recalc Rate"/>
    <x:tableColumn id="16" name="Delt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onthlySummaryTable" displayName="MonthlySummaryTable" ref="A4:P52" headerRowCount="1" totalsRowCount="0" totalsRowShown="0">
  <x:autoFilter ref="A4:P52"/>
  <x:tableColumns count="16">
    <x:tableColumn id="1" name="Series"/>
    <x:tableColumn id="2" name="Month"/>
    <x:tableColumn id="3" name="Orders"/>
    <x:tableColumn id="4" name="Packages"/>
    <x:tableColumn id="5" name="Chargeable Weight kg"/>
    <x:tableColumn id="6" name="Variable Cost CNY"/>
    <x:tableColumn id="7" name="Fixed Cost CNY"/>
    <x:tableColumn id="8" name="Source Total Cost CNY"/>
    <x:tableColumn id="9" name="Recalc Total Cost CNY"/>
    <x:tableColumn id="10" name="Delta"/>
    <x:tableColumn id="11" name="GMV CNY"/>
    <x:tableColumn id="12" name="Company Total Cost Rate"/>
    <x:tableColumn id="13" name="Unit Variable/Order"/>
    <x:tableColumn id="14" name="Transport Cost/kg"/>
    <x:tableColumn id="15" name="On-time Rate"/>
    <x:tableColumn id="16" name="Maturity R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untrySummaryTable" displayName="CountrySummaryTable" ref="A4:N148" headerRowCount="1" totalsRowCount="0" totalsRowShown="0">
  <x:autoFilter ref="A4:N148"/>
  <x:tableColumns count="14">
    <x:tableColumn id="1" name="Series"/>
    <x:tableColumn id="2" name="Month"/>
    <x:tableColumn id="3" name="Destination"/>
    <x:tableColumn id="4" name="Orders"/>
    <x:tableColumn id="5" name="Packages"/>
    <x:tableColumn id="6" name="Variable Cost CNY"/>
    <x:tableColumn id="7" name="GMV CNY"/>
    <x:tableColumn id="8" name="Variable Cost Rate"/>
    <x:tableColumn id="9" name="Air Package Share"/>
    <x:tableColumn id="10" name="Carrier C Share"/>
    <x:tableColumn id="11" name="On-time Rate"/>
    <x:tableColumn id="12" name="Maturity Rate"/>
    <x:tableColumn id="13" name="Variable Cost/Order"/>
    <x:tableColumn id="14" name="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ttributionTable" displayName="AttributionTable" ref="A4:J804" headerRowCount="1" totalsRowCount="0" totalsRowShown="0">
  <x:autoFilter ref="A4:J804"/>
  <x:tableColumns count="10">
    <x:tableColumn id="1" name="Comparison"/>
    <x:tableColumn id="2" name="Month"/>
    <x:tableColumn id="3" name="Method"/>
    <x:tableColumn id="4" name="Factor"/>
    <x:tableColumn id="5" name="Destination"/>
    <x:tableColumn id="6" name="High Precision CNY (text)"/>
    <x:tableColumn id="7" name="Report CNY"/>
    <x:tableColumn id="8" name="Shapley Difference"/>
    <x:tableColumn id="9" name="Normalized Sensitivity"/>
    <x:tableColumn id="10" name="Order Sensitiv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cenarioResultsTable" displayName="ScenarioResultsTable" ref="A4:K16" headerRowCount="1" totalsRowCount="0" totalsRowShown="0">
  <x:autoFilter ref="A4:K16"/>
  <x:tableColumns count="11">
    <x:tableColumn id="1" name="Scenario"/>
    <x:tableColumn id="2" name="Month"/>
    <x:tableColumn id="3" name="Orders"/>
    <x:tableColumn id="4" name="Scenario Total Cost"/>
    <x:tableColumn id="5" name="Forecast Total Cost"/>
    <x:tableColumn id="6" name="Cost Delta"/>
    <x:tableColumn id="7" name="Scenario On-time"/>
    <x:tableColumn id="8" name="Forecast On-time"/>
    <x:tableColumn id="9" name="On-time Delta (pp)"/>
    <x:tableColumn id="10" name="Capacity Status"/>
    <x:tableColumn id="11" name="Implementation 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valuationTable" displayName="EvaluationTable" ref="A4:G24" headerRowCount="1" totalsRowCount="0" totalsRowShown="0">
  <x:autoFilter ref="A4:G24"/>
  <x:tableColumns count="7">
    <x:tableColumn id="1" name="ID"/>
    <x:tableColumn id="2" name="Category"/>
    <x:tableColumn id="3" name="Question"/>
    <x:tableColumn id="4" name="Standard Answer"/>
    <x:tableColumn id="5" name="Required Numbers"/>
    <x:tableColumn id="6" name="Evidence"/>
    <x:tableColumn id="7" name="Hard Guardrai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ourcesTable" displayName="SourcesTable" ref="A4:J11" headerRowCount="1" totalsRowCount="0" totalsRowShown="0">
  <x:autoFilter ref="A4:J11"/>
  <x:tableColumns count="10">
    <x:tableColumn id="1" name="Item"/>
    <x:tableColumn id="2" name="Value"/>
    <x:tableColumn id="3" name="Units"/>
    <x:tableColumn id="4" name="Period/As-of"/>
    <x:tableColumn id="5" name="Source Type"/>
    <x:tableColumn id="6" name="Source Name"/>
    <x:tableColumn id="7" name="Ref"/>
    <x:tableColumn id="8" name="Owner"/>
    <x:tableColumn id="9" name="Notes"/>
    <x:tableColumn id="10" name="Refresh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ff7cebaa2b4f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8188c47dbc40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81edd305e846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69b43b587643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030935a79f4f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bd3ef3e9ef42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2c3e0face945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d03bf46e2a4c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6dbda8658c4b1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d6a9bf8412144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1f645298f1a4b8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b4afe5b4d404d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62852b70d67487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373f4acb68b34e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2" hidden="0" customWidth="1"/>
    <x:col min="6" max="6" width="11" hidden="0" customWidth="1"/>
    <x:col min="7" max="7" width="11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</x:cols>
  <x:sheetData>
    <x:row r="1" ht="32" customHeight="1">
      <x:c r="A1" s="3" t="str">
        <x:v>LogiPlan AI｜2026 物流财务演示数据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7" t="str">
        <x:v>虚构求职作品集数据｜Budget 2026 V1｜Actual 截至 2026-08｜Forecast 2026-08 V1｜报告币种 CNY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>
      <x:c r="A4" s="15" t="str">
        <x:v>年度 Budget 物流总成本</x:v>
      </x:c>
      <x:c r="B4" s="16"/>
      <x:c r="C4" s="16"/>
      <x:c r="D4" s="17"/>
      <x:c r="F4" s="15" t="str">
        <x:v>Latest Outlook 物流总成本</x:v>
      </x:c>
      <x:c r="G4" s="16"/>
      <x:c r="H4" s="16"/>
      <x:c r="I4" s="17"/>
      <x:c r="K4" s="62" t="str">
        <x:v>全年不利差异</x:v>
      </x:c>
      <x:c r="L4" s="63"/>
      <x:c r="M4" s="63"/>
      <x:c r="N4" s="64"/>
      <x:c r="P4" s="109" t="str">
        <x:v>Cost Saving 9—12 月节省</x:v>
      </x:c>
      <x:c r="Q4" s="110"/>
      <x:c r="R4" s="110"/>
      <x:c r="S4" s="111"/>
    </x:row>
    <x:row r="5">
      <x:c r="A5" s="45" t="n">
        <x:f>SUMIF('Monthly_Summary'!$A$5:$A$52,"BUDGET",'Monthly_Summary'!$I$5:$I$52)</x:f>
        <x:v>16197761.970999999</x:v>
      </x:c>
      <x:c r="B5" s="46"/>
      <x:c r="C5" s="46"/>
      <x:c r="D5" s="47"/>
      <x:c r="F5" s="45" t="n">
        <x:f>SUMIF('Monthly_Summary'!$A$5:$A$52,"LATEST_OUTLOOK",'Monthly_Summary'!$I$5:$I$52)</x:f>
        <x:v>18327462.9382</x:v>
      </x:c>
      <x:c r="G5" s="46"/>
      <x:c r="H5" s="46"/>
      <x:c r="I5" s="47"/>
      <x:c r="K5" s="92" t="n">
        <x:f>F5-A5</x:f>
        <x:v>2129700.9672000017</x:v>
      </x:c>
      <x:c r="L5" s="93"/>
      <x:c r="M5" s="93"/>
      <x:c r="N5" s="94"/>
      <x:c r="P5" s="139" t="n">
        <x:f>SUMIF('Monthly_Summary'!$A$5:$A$52,"FORECAST",'Monthly_Summary'!$I$5:$I$52)-SUMIF('Monthly_Summary'!$A$5:$A$52,"SCENARIO_COST_SAVING",'Monthly_Summary'!$I$5:$I$52)</x:f>
        <x:v>168354.42470000032</x:v>
      </x:c>
      <x:c r="Q5" s="140"/>
      <x:c r="R5" s="140"/>
      <x:c r="S5" s="141"/>
    </x:row>
    <x:row r="6">
      <x:c r="A6" s="48"/>
      <x:c r="B6" s="49"/>
      <x:c r="C6" s="49"/>
      <x:c r="D6" s="50"/>
      <x:c r="F6" s="48"/>
      <x:c r="G6" s="49"/>
      <x:c r="H6" s="49"/>
      <x:c r="I6" s="50"/>
      <x:c r="K6" s="95"/>
      <x:c r="L6" s="96"/>
      <x:c r="M6" s="96"/>
      <x:c r="N6" s="97"/>
      <x:c r="P6" s="142"/>
      <x:c r="Q6" s="143"/>
      <x:c r="R6" s="143"/>
      <x:c r="S6" s="144"/>
    </x:row>
    <x:row r="7">
      <x:c r="A7" s="51"/>
      <x:c r="B7" s="52"/>
      <x:c r="C7" s="52"/>
      <x:c r="D7" s="53"/>
      <x:c r="F7" s="51"/>
      <x:c r="G7" s="52"/>
      <x:c r="H7" s="52"/>
      <x:c r="I7" s="53"/>
      <x:c r="K7" s="98"/>
      <x:c r="L7" s="99"/>
      <x:c r="M7" s="99"/>
      <x:c r="N7" s="100"/>
      <x:c r="P7" s="145"/>
      <x:c r="Q7" s="146"/>
      <x:c r="R7" s="146"/>
      <x:c r="S7" s="147"/>
    </x:row>
    <x:row r="9">
      <x:c r="A9" s="162" t="str">
        <x:v>核心结论：2026 年 8 月英国为最大单月不利异常。促销拉动订单量，同时德国仓至英国的空运和 Carrier C 份额上升；五因素中结构影响最大、量影响其次。Cost Saving 仅在现有线路内调整，准时率约下降 0.19 个百分点并触发软提示，承运能力仍未验证。</x:v>
      </x:c>
      <x:c r="B9" s="163"/>
      <x:c r="C9" s="163"/>
      <x:c r="D9" s="163"/>
      <x:c r="E9" s="163"/>
      <x:c r="F9" s="163"/>
      <x:c r="G9" s="163"/>
      <x:c r="H9" s="163"/>
      <x:c r="I9" s="163"/>
      <x:c r="J9" s="163"/>
      <x:c r="K9" s="163"/>
      <x:c r="L9" s="163"/>
      <x:c r="M9" s="163"/>
      <x:c r="N9" s="163"/>
      <x:c r="O9" s="163"/>
      <x:c r="P9" s="163"/>
      <x:c r="Q9" s="163"/>
      <x:c r="R9" s="163"/>
      <x:c r="S9" s="164"/>
    </x:row>
    <x:row r="10">
      <x:c r="A10" s="165"/>
      <x:c r="B10" s="166"/>
      <x:c r="C10" s="166"/>
      <x:c r="D10" s="166"/>
      <x:c r="E10" s="166"/>
      <x:c r="F10" s="166"/>
      <x:c r="G10" s="166"/>
      <x:c r="H10" s="166"/>
      <x:c r="I10" s="166"/>
      <x:c r="J10" s="166"/>
      <x:c r="K10" s="166"/>
      <x:c r="L10" s="166"/>
      <x:c r="M10" s="166"/>
      <x:c r="N10" s="166"/>
      <x:c r="O10" s="166"/>
      <x:c r="P10" s="166"/>
      <x:c r="Q10" s="166"/>
      <x:c r="R10" s="166"/>
      <x:c r="S10" s="167"/>
    </x:row>
    <x:row r="30" ht="30" customHeight="1">
      <x:c r="A30" s="179" t="str">
        <x:v>月份</x:v>
      </x:c>
      <x:c r="B30" s="180" t="str">
        <x:v>Budget</x:v>
      </x:c>
      <x:c r="C30" s="181" t="str">
        <x:v>Latest Outlook</x:v>
      </x:c>
      <x:c r="E30" s="179" t="str">
        <x:v>因素</x:v>
      </x:c>
      <x:c r="F30" s="181" t="str">
        <x:v>8 月英国差异</x:v>
      </x:c>
      <x:c r="H30" s="179" t="str">
        <x:v>月份</x:v>
      </x:c>
      <x:c r="I30" s="180" t="str">
        <x:v>Forecast</x:v>
      </x:c>
      <x:c r="J30" s="180" t="str">
        <x:v>Cost Saving</x:v>
      </x:c>
      <x:c r="K30" s="181" t="str">
        <x:v>差异</x:v>
      </x:c>
    </x:row>
    <x:row r="31">
      <x:c r="A31" s="186" t="str">
        <x:v>1月</x:v>
      </x:c>
      <x:c r="B31" s="189" t="n">
        <x:f>'Monthly_Summary'!I5</x:f>
        <x:v>1194244.9786</x:v>
      </x:c>
      <x:c r="C31" s="189" t="n">
        <x:f>'Monthly_Summary'!I41</x:f>
        <x:v>1193234.4645</x:v>
      </x:c>
      <x:c r="E31" s="186" t="str">
        <x:v>量</x:v>
      </x:c>
      <x:c r="F31" s="189" t="n">
        <x:f>SUMIFS('Attribution'!$G$5:$G$804,'Attribution'!$A$5:$A$804,"ACTUAL_VS_BUDGET",'Attribution'!$B$5:$B$804,DATE(2026,8,1),'Attribution'!$C$5:$C$804,"CHAIN",'Attribution'!$D$5:$D$804,"VOLUME",'Attribution'!$E$5:$E$804,"GB")</x:f>
        <x:v>85239.1844</x:v>
      </x:c>
      <x:c r="H31" s="186" t="str">
        <x:v>9月</x:v>
      </x:c>
      <x:c r="I31" s="189" t="n">
        <x:f>'Monthly_Summary'!I25</x:f>
        <x:v>1555201.0285</x:v>
      </x:c>
      <x:c r="J31" s="189" t="n">
        <x:f>'Monthly_Summary'!I37</x:f>
        <x:v>1555201.0285</x:v>
      </x:c>
      <x:c r="K31" s="189" t="n">
        <x:f>J31-I31</x:f>
        <x:v>0</x:v>
      </x:c>
    </x:row>
    <x:row r="32">
      <x:c r="A32" s="187" t="str">
        <x:v>2月</x:v>
      </x:c>
      <x:c r="B32" s="190" t="n">
        <x:f>'Monthly_Summary'!I6</x:f>
        <x:v>1174271.9435999999</x:v>
      </x:c>
      <x:c r="C32" s="190" t="n">
        <x:f>'Monthly_Summary'!I42</x:f>
        <x:v>1187198.6940000001</x:v>
      </x:c>
      <x:c r="E32" s="187" t="str">
        <x:v>结构</x:v>
      </x:c>
      <x:c r="F32" s="190" t="n">
        <x:f>SUMIFS('Attribution'!$G$5:$G$804,'Attribution'!$A$5:$A$804,"ACTUAL_VS_BUDGET",'Attribution'!$B$5:$B$804,DATE(2026,8,1),'Attribution'!$C$5:$C$804,"CHAIN",'Attribution'!$D$5:$D$804,"MIX",'Attribution'!$E$5:$E$804,"GB")</x:f>
        <x:v>324207.8221</x:v>
      </x:c>
      <x:c r="H32" s="187" t="str">
        <x:v>10月</x:v>
      </x:c>
      <x:c r="I32" s="190" t="n">
        <x:f>'Monthly_Summary'!I26</x:f>
        <x:v>1665561.4262</x:v>
      </x:c>
      <x:c r="J32" s="190" t="n">
        <x:f>'Monthly_Summary'!I38</x:f>
        <x:v>1631664.0864</x:v>
      </x:c>
      <x:c r="K32" s="190" t="n">
        <x:f>J32-I32</x:f>
        <x:v>-33897.33980000019</x:v>
      </x:c>
    </x:row>
    <x:row r="33">
      <x:c r="A33" s="187" t="str">
        <x:v>3月</x:v>
      </x:c>
      <x:c r="B33" s="190" t="n">
        <x:f>'Monthly_Summary'!I7</x:f>
        <x:v>1244596.958</x:v>
      </x:c>
      <x:c r="C33" s="190" t="n">
        <x:f>'Monthly_Summary'!I43</x:f>
        <x:v>1276222.9253</x:v>
      </x:c>
      <x:c r="E33" s="187" t="str">
        <x:v>效率</x:v>
      </x:c>
      <x:c r="F33" s="190" t="n">
        <x:f>SUMIFS('Attribution'!$G$5:$G$804,'Attribution'!$A$5:$A$804,"ACTUAL_VS_BUDGET",'Attribution'!$B$5:$B$804,DATE(2026,8,1),'Attribution'!$C$5:$C$804,"CHAIN",'Attribution'!$D$5:$D$804,"EFFICIENCY",'Attribution'!$E$5:$E$804,"GB")</x:f>
        <x:v>64558.2789</x:v>
      </x:c>
      <x:c r="H33" s="187" t="str">
        <x:v>11月</x:v>
      </x:c>
      <x:c r="I33" s="190" t="n">
        <x:f>'Monthly_Summary'!I27</x:f>
        <x:v>1932682.3787</x:v>
      </x:c>
      <x:c r="J33" s="190" t="n">
        <x:f>'Monthly_Summary'!I39</x:f>
        <x:v>1861844.6629</x:v>
      </x:c>
      <x:c r="K33" s="190" t="n">
        <x:f>J33-I33</x:f>
        <x:v>-70837.71579999989</x:v>
      </x:c>
    </x:row>
    <x:row r="34">
      <x:c r="A34" s="187" t="str">
        <x:v>4月</x:v>
      </x:c>
      <x:c r="B34" s="190" t="n">
        <x:f>'Monthly_Summary'!I8</x:f>
        <x:v>1264916.8566</x:v>
      </x:c>
      <x:c r="C34" s="190" t="n">
        <x:f>'Monthly_Summary'!I44</x:f>
        <x:v>1301423.8328</x:v>
      </x:c>
      <x:c r="E34" s="187" t="str">
        <x:v>价</x:v>
      </x:c>
      <x:c r="F34" s="190" t="n">
        <x:f>SUMIFS('Attribution'!$G$5:$G$804,'Attribution'!$A$5:$A$804,"ACTUAL_VS_BUDGET",'Attribution'!$B$5:$B$804,DATE(2026,8,1),'Attribution'!$C$5:$C$804,"CHAIN",'Attribution'!$D$5:$D$804,"PRICE",'Attribution'!$E$5:$E$804,"GB")</x:f>
        <x:v>67147.3574</x:v>
      </x:c>
      <x:c r="H34" s="188" t="str">
        <x:v>12月</x:v>
      </x:c>
      <x:c r="I34" s="191" t="n">
        <x:f>'Monthly_Summary'!I28</x:f>
        <x:v>2106647.848</x:v>
      </x:c>
      <x:c r="J34" s="191" t="n">
        <x:f>'Monthly_Summary'!I40</x:f>
        <x:v>2043028.4789</x:v>
      </x:c>
      <x:c r="K34" s="191" t="n">
        <x:f>J34-I34</x:f>
        <x:v>-63619.36910000024</x:v>
      </x:c>
    </x:row>
    <x:row r="35">
      <x:c r="A35" s="187" t="str">
        <x:v>5月</x:v>
      </x:c>
      <x:c r="B35" s="190" t="n">
        <x:f>'Monthly_Summary'!I9</x:f>
        <x:v>1290786.5736</x:v>
      </x:c>
      <x:c r="C35" s="190" t="n">
        <x:f>'Monthly_Summary'!I45</x:f>
        <x:v>1350799.5570999999</x:v>
      </x:c>
      <x:c r="E35" s="188" t="str">
        <x:v>汇率</x:v>
      </x:c>
      <x:c r="F35" s="191" t="n">
        <x:f>SUMIFS('Attribution'!$G$5:$G$804,'Attribution'!$A$5:$A$804,"ACTUAL_VS_BUDGET",'Attribution'!$B$5:$B$804,DATE(2026,8,1),'Attribution'!$C$5:$C$804,"CHAIN",'Attribution'!$D$5:$D$804,"FX",'Attribution'!$E$5:$E$804,"GB")</x:f>
        <x:v>20262.3803</x:v>
      </x:c>
    </x:row>
    <x:row r="36">
      <x:c r="A36" s="187" t="str">
        <x:v>6月</x:v>
      </x:c>
      <x:c r="B36" s="190" t="n">
        <x:f>'Monthly_Summary'!I10</x:f>
        <x:v>1311279.9041</x:v>
      </x:c>
      <x:c r="C36" s="190" t="n">
        <x:f>'Monthly_Summary'!I46</x:f>
        <x:v>1388064.6647</x:v>
      </x:c>
    </x:row>
    <x:row r="37">
      <x:c r="A37" s="187" t="str">
        <x:v>7月</x:v>
      </x:c>
      <x:c r="B37" s="190" t="n">
        <x:f>'Monthly_Summary'!I11</x:f>
        <x:v>1337669.9166</x:v>
      </x:c>
      <x:c r="C37" s="190" t="n">
        <x:f>'Monthly_Summary'!I47</x:f>
        <x:v>1453534.1209</x:v>
      </x:c>
    </x:row>
    <x:row r="38">
      <x:c r="A38" s="187" t="str">
        <x:v>8月</x:v>
      </x:c>
      <x:c r="B38" s="190" t="n">
        <x:f>'Monthly_Summary'!I12</x:f>
        <x:v>1296336.3921</x:v>
      </x:c>
      <x:c r="C38" s="190" t="n">
        <x:f>'Monthly_Summary'!I48</x:f>
        <x:v>1916891.9975</x:v>
      </x:c>
    </x:row>
    <x:row r="39">
      <x:c r="A39" s="187" t="str">
        <x:v>9月</x:v>
      </x:c>
      <x:c r="B39" s="190" t="n">
        <x:f>'Monthly_Summary'!I13</x:f>
        <x:v>1302117.6639999999</x:v>
      </x:c>
      <x:c r="C39" s="190" t="n">
        <x:f>'Monthly_Summary'!I49</x:f>
        <x:v>1555201.0285</x:v>
      </x:c>
    </x:row>
    <x:row r="40">
      <x:c r="A40" s="187" t="str">
        <x:v>10月</x:v>
      </x:c>
      <x:c r="B40" s="190" t="n">
        <x:f>'Monthly_Summary'!I14</x:f>
        <x:v>1402987.8363</x:v>
      </x:c>
      <x:c r="C40" s="190" t="n">
        <x:f>'Monthly_Summary'!I50</x:f>
        <x:v>1665561.4262</x:v>
      </x:c>
    </x:row>
    <x:row r="41">
      <x:c r="A41" s="187" t="str">
        <x:v>11月</x:v>
      </x:c>
      <x:c r="B41" s="190" t="n">
        <x:f>'Monthly_Summary'!I15</x:f>
        <x:v>1597075.6164000002</x:v>
      </x:c>
      <x:c r="C41" s="190" t="n">
        <x:f>'Monthly_Summary'!I51</x:f>
        <x:v>1932682.3787</x:v>
      </x:c>
    </x:row>
    <x:row r="42">
      <x:c r="A42" s="188" t="str">
        <x:v>12月</x:v>
      </x:c>
      <x:c r="B42" s="191" t="n">
        <x:f>'Monthly_Summary'!I16</x:f>
        <x:v>1781477.3311</x:v>
      </x:c>
      <x:c r="C42" s="191" t="n">
        <x:f>'Monthly_Summary'!I52</x:f>
        <x:v>2106647.848</x:v>
      </x:c>
    </x:row>
  </x:sheetData>
  <x:mergeCells>
    <x:mergeCell ref="A1:S1"/>
    <x:mergeCell ref="A2:S2"/>
    <x:mergeCell ref="A4:D4"/>
    <x:mergeCell ref="A5:D7"/>
    <x:mergeCell ref="F4:I4"/>
    <x:mergeCell ref="F5:I7"/>
    <x:mergeCell ref="K4:N4"/>
    <x:mergeCell ref="K5:N7"/>
    <x:mergeCell ref="P4:S4"/>
    <x:mergeCell ref="P5:S7"/>
    <x:mergeCell ref="A9:S10"/>
  </x:mergeCells>
  <x:pageMargins left="0.7" right="0.7" top="0.75" bottom="0.75" header="0.3" footer="0.3"/>
  <x:drawing xmlns:r="http://schemas.openxmlformats.org/officeDocument/2006/relationships" r:id="R1cff7cebaa2b4f2d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58" hidden="0" customWidth="1"/>
  </x:cols>
  <x:sheetData>
    <x:row r="1" ht="32" customHeight="1">
      <x:c r="A1" s="3" t="str">
        <x:v>模型假设与版本边界</x:v>
      </x:c>
      <x:c r="B1" s="3"/>
      <x:c r="C1" s="3"/>
      <x:c r="D1" s="3"/>
    </x:row>
    <x:row r="2" ht="28" customHeight="1">
      <x:c r="A2" s="7" t="str">
        <x:v>蓝色为冻结规则；黄色为本次虚构数据的演示参数。任何新业务定义应先进入 decisions.md。</x:v>
      </x:c>
      <x:c r="B2" s="7"/>
      <x:c r="C2" s="7"/>
      <x:c r="D2" s="7"/>
    </x:row>
    <x:row r="4" ht="30" customHeight="1">
      <x:c r="A4" s="179" t="str">
        <x:v>类别</x:v>
      </x:c>
      <x:c r="B4" s="180" t="str">
        <x:v>项目</x:v>
      </x:c>
      <x:c r="C4" s="180" t="str">
        <x:v>取值</x:v>
      </x:c>
      <x:c r="D4" s="181" t="str">
        <x:v>说明</x:v>
      </x:c>
    </x:row>
    <x:row r="5">
      <x:c r="A5" s="198" t="str">
        <x:v>冻结规则</x:v>
      </x:c>
      <x:c r="B5" s="199" t="str">
        <x:v>事实粒度</x:v>
      </x:c>
      <x:c r="C5" s="200" t="str">
        <x:v>month x destination_country x fulfillment_center x carrier x transport_mode</x:v>
      </x:c>
      <x:c r="D5" s="199" t="str">
        <x:v>月 × 目的国 × 发货仓 × 承运商 × 运输方式</x:v>
      </x:c>
    </x:row>
    <x:row r="6">
      <x:c r="A6" s="201" t="str">
        <x:v>冻结规则</x:v>
      </x:c>
      <x:c r="B6" s="202" t="str">
        <x:v>报告币种</x:v>
      </x:c>
      <x:c r="C6" s="203" t="str">
        <x:v>CNY</x:v>
      </x:c>
      <x:c r="D6" s="202" t="str">
        <x:v>保留原币、币种和汇率字段</x:v>
      </x:c>
    </x:row>
    <x:row r="7">
      <x:c r="A7" s="201" t="str">
        <x:v>冻结规则</x:v>
      </x:c>
      <x:c r="B7" s="202" t="str">
        <x:v>最新结账月</x:v>
      </x:c>
      <x:c r="C7" s="203" t="str">
        <x:v>2026-08</x:v>
      </x:c>
      <x:c r="D7" s="202" t="str">
        <x:v>1—8 月 Actual；9—12 月 Forecast</x:v>
      </x:c>
    </x:row>
    <x:row r="8">
      <x:c r="A8" s="201" t="str">
        <x:v>冻结规则</x:v>
      </x:c>
      <x:c r="B8" s="202" t="str">
        <x:v>归因顺序</x:v>
      </x:c>
      <x:c r="C8" s="203" t="str">
        <x:v>VOLUME → MIX → EFFICIENCY → PRICE → FX</x:v>
      </x:c>
      <x:c r="D8" s="202" t="str">
        <x:v>Shapley 32 个组合仅作后台参考</x:v>
      </x:c>
    </x:row>
    <x:row r="9">
      <x:c r="A9" s="201" t="str">
        <x:v>冻结规则</x:v>
      </x:c>
      <x:c r="B9" s="202" t="str">
        <x:v>变动成本范围</x:v>
      </x:c>
      <x:c r="C9" s="203" t="str">
        <x:v>6 类</x:v>
      </x:c>
      <x:c r="D9" s="202" t="str">
        <x:v>基础运费、燃油附加费、仓储操作、包装、退货物流、异常配送</x:v>
      </x:c>
    </x:row>
    <x:row r="10">
      <x:c r="A10" s="201" t="str">
        <x:v>冻结规则</x:v>
      </x:c>
      <x:c r="B10" s="202" t="str">
        <x:v>固定成本范围</x:v>
      </x:c>
      <x:c r="C10" s="203" t="str">
        <x:v>3 类</x:v>
      </x:c>
      <x:c r="D10" s="202" t="str">
        <x:v>仓租、物流人工、系统费用单独展示</x:v>
      </x:c>
    </x:row>
    <x:row r="11">
      <x:c r="A11" s="201" t="str">
        <x:v>冻结规则</x:v>
      </x:c>
      <x:c r="B11" s="202" t="str">
        <x:v>订单—仓库关系</x:v>
      </x:c>
      <x:c r="C11" s="203" t="str">
        <x:v>单订单单发货仓</x:v>
      </x:c>
      <x:c r="D11" s="202" t="str">
        <x:v>仓内允许拆包并分配不同线路</x:v>
      </x:c>
    </x:row>
    <x:row r="12">
      <x:c r="A12" s="201" t="str">
        <x:v>冻结规则</x:v>
      </x:c>
      <x:c r="B12" s="202" t="str">
        <x:v>情景服务约束</x:v>
      </x:c>
      <x:c r="C12" s="203" t="str">
        <x:v>软提示</x:v>
      </x:c>
      <x:c r="D12" s="202" t="str">
        <x:v>允许用户保留极端情景；不作为硬阻断</x:v>
      </x:c>
    </x:row>
    <x:row r="13">
      <x:c r="A13" s="201" t="str">
        <x:v>冻结规则</x:v>
      </x:c>
      <x:c r="B13" s="202" t="str">
        <x:v>承运能力</x:v>
      </x:c>
      <x:c r="C13" s="203" t="str">
        <x:v>MVP 未验证</x:v>
      </x:c>
      <x:c r="D13" s="202" t="str">
        <x:v>数学计算暂按无限容量，不代表供应商确认</x:v>
      </x:c>
    </x:row>
    <x:row r="14">
      <x:c r="A14" s="201" t="str">
        <x:v>演示参数</x:v>
      </x:c>
      <x:c r="B14" s="202" t="str">
        <x:v>Growth Case</x:v>
      </x:c>
      <x:c r="C14" s="203" t="str">
        <x:v>英国 9—12 月 +10%</x:v>
      </x:c>
      <x:c r="D14" s="202" t="str">
        <x:v>各月相对自身 Forecast 独立调整，不复利</x:v>
      </x:c>
    </x:row>
    <x:row r="15">
      <x:c r="A15" s="201" t="str">
        <x:v>演示参数</x:v>
      </x:c>
      <x:c r="B15" s="202" t="str">
        <x:v>Cost Saving 节奏</x:v>
      </x:c>
      <x:c r="C15" s="203" t="str">
        <x:v>9 月准备；10 月部分；11—12 月完全</x:v>
      </x:c>
      <x:c r="D15" s="202" t="str">
        <x:v>仅在现有承运商与有效线路内调整</x:v>
      </x:c>
    </x:row>
    <x:row r="16">
      <x:c r="A16" s="201" t="str">
        <x:v>演示参数</x:v>
      </x:c>
      <x:c r="B16" s="202" t="str">
        <x:v>8 月英国背景</x:v>
      </x:c>
      <x:c r="C16" s="203" t="str">
        <x:v>UK promotion</x:v>
      </x:c>
      <x:c r="D16" s="202" t="str">
        <x:v>管理动作注释：提高德国仓至英国空运和 Carrier C 份额</x:v>
      </x:c>
    </x:row>
    <x:row r="17">
      <x:c r="A17" s="201" t="str">
        <x:v>演示参数</x:v>
      </x:c>
      <x:c r="B17" s="202" t="str">
        <x:v>税费</x:v>
      </x:c>
      <x:c r="C17" s="203" t="str">
        <x:v>不含 VAT/销售税</x:v>
      </x:c>
      <x:c r="D17" s="202" t="str">
        <x:v>正常清关在基础运费，异常清关在异常配送费</x:v>
      </x:c>
    </x:row>
    <x:row r="18">
      <x:c r="A18" s="204" t="str">
        <x:v>技术规则</x:v>
      </x:c>
      <x:c r="B18" s="205" t="str">
        <x:v>高精度权威数据</x:v>
      </x:c>
      <x:c r="C18" s="206" t="str">
        <x:v>Decimal / numeric(50,24)</x:v>
      </x:c>
      <x:c r="D18" s="205" t="str">
        <x:v>工作簿公式用于审阅；JSON 保留高精度计算结果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08188c47dbc40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14" hidden="0" customWidth="1"/>
    <x:col min="10" max="10" width="44" hidden="0" customWidth="1"/>
  </x:cols>
  <x:sheetData>
    <x:row r="1" ht="32" customHeight="1">
      <x:c r="A1" s="3" t="str">
        <x:v>有效履约线路主数据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只允许白名单线路；承运能力状态为 MVP 未验证。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79" t="str">
        <x:v>Route ID</x:v>
      </x:c>
      <x:c r="B4" s="180" t="str">
        <x:v>目的国</x:v>
      </x:c>
      <x:c r="C4" s="180" t="str">
        <x:v>发货仓</x:v>
      </x:c>
      <x:c r="D4" s="180" t="str">
        <x:v>承运商</x:v>
      </x:c>
      <x:c r="E4" s="180" t="str">
        <x:v>运输方式</x:v>
      </x:c>
      <x:c r="F4" s="180" t="str">
        <x:v>启用日期</x:v>
      </x:c>
      <x:c r="G4" s="180" t="str">
        <x:v>停用日期</x:v>
      </x:c>
      <x:c r="H4" s="180" t="str">
        <x:v>容量状态</x:v>
      </x:c>
      <x:c r="I4" s="180" t="str">
        <x:v>目的国名称</x:v>
      </x:c>
      <x:c r="J4" s="181" t="str">
        <x:v>线路说明</x:v>
      </x:c>
    </x:row>
    <x:row r="5">
      <x:c r="A5" s="199" t="str">
        <x:v>R_DE_DE_A_ROAD</x:v>
      </x:c>
      <x:c r="B5" s="199" t="str">
        <x:v>DE</x:v>
      </x:c>
      <x:c r="C5" s="199" t="str">
        <x:v>DE_FC</x:v>
      </x:c>
      <x:c r="D5" s="199" t="str">
        <x:v>CARRIER_A</x:v>
      </x:c>
      <x:c r="E5" s="199" t="str">
        <x:v>ROAD</x:v>
      </x:c>
      <x:c r="F5" s="210" t="n">
        <x:v>46023</x:v>
      </x:c>
      <x:c r="G5" s="210"/>
      <x:c r="H5" s="199" t="str">
        <x:v>NOT_VALIDATED_MVP</x:v>
      </x:c>
      <x:c r="I5" s="199" t="str">
        <x:v>德国</x:v>
      </x:c>
      <x:c r="J5" s="199" t="str">
        <x:v>DE_FC → DE｜CARRIER_A｜ROAD</x:v>
      </x:c>
    </x:row>
    <x:row r="6">
      <x:c r="A6" s="202" t="str">
        <x:v>R_DE_DE_B_ROAD</x:v>
      </x:c>
      <x:c r="B6" s="202" t="str">
        <x:v>DE</x:v>
      </x:c>
      <x:c r="C6" s="202" t="str">
        <x:v>DE_FC</x:v>
      </x:c>
      <x:c r="D6" s="202" t="str">
        <x:v>CARRIER_B</x:v>
      </x:c>
      <x:c r="E6" s="202" t="str">
        <x:v>ROAD</x:v>
      </x:c>
      <x:c r="F6" s="211" t="n">
        <x:v>46023</x:v>
      </x:c>
      <x:c r="G6" s="211"/>
      <x:c r="H6" s="202" t="str">
        <x:v>NOT_VALIDATED_MVP</x:v>
      </x:c>
      <x:c r="I6" s="202" t="str">
        <x:v>德国</x:v>
      </x:c>
      <x:c r="J6" s="202" t="str">
        <x:v>DE_FC → DE｜CARRIER_B｜ROAD</x:v>
      </x:c>
    </x:row>
    <x:row r="7">
      <x:c r="A7" s="202" t="str">
        <x:v>R_DE_FR_B_ROAD</x:v>
      </x:c>
      <x:c r="B7" s="202" t="str">
        <x:v>DE</x:v>
      </x:c>
      <x:c r="C7" s="202" t="str">
        <x:v>FR_FC</x:v>
      </x:c>
      <x:c r="D7" s="202" t="str">
        <x:v>CARRIER_B</x:v>
      </x:c>
      <x:c r="E7" s="202" t="str">
        <x:v>ROAD</x:v>
      </x:c>
      <x:c r="F7" s="211" t="n">
        <x:v>46023</x:v>
      </x:c>
      <x:c r="G7" s="211"/>
      <x:c r="H7" s="202" t="str">
        <x:v>NOT_VALIDATED_MVP</x:v>
      </x:c>
      <x:c r="I7" s="202" t="str">
        <x:v>德国</x:v>
      </x:c>
      <x:c r="J7" s="202" t="str">
        <x:v>FR_FC → DE｜CARRIER_B｜ROAD</x:v>
      </x:c>
    </x:row>
    <x:row r="8">
      <x:c r="A8" s="202" t="str">
        <x:v>R_FR_FR_A_ROAD</x:v>
      </x:c>
      <x:c r="B8" s="202" t="str">
        <x:v>FR</x:v>
      </x:c>
      <x:c r="C8" s="202" t="str">
        <x:v>FR_FC</x:v>
      </x:c>
      <x:c r="D8" s="202" t="str">
        <x:v>CARRIER_A</x:v>
      </x:c>
      <x:c r="E8" s="202" t="str">
        <x:v>ROAD</x:v>
      </x:c>
      <x:c r="F8" s="211" t="n">
        <x:v>46023</x:v>
      </x:c>
      <x:c r="G8" s="211"/>
      <x:c r="H8" s="202" t="str">
        <x:v>NOT_VALIDATED_MVP</x:v>
      </x:c>
      <x:c r="I8" s="202" t="str">
        <x:v>法国</x:v>
      </x:c>
      <x:c r="J8" s="202" t="str">
        <x:v>FR_FC → FR｜CARRIER_A｜ROAD</x:v>
      </x:c>
    </x:row>
    <x:row r="9">
      <x:c r="A9" s="202" t="str">
        <x:v>R_FR_FR_B_ROAD</x:v>
      </x:c>
      <x:c r="B9" s="202" t="str">
        <x:v>FR</x:v>
      </x:c>
      <x:c r="C9" s="202" t="str">
        <x:v>FR_FC</x:v>
      </x:c>
      <x:c r="D9" s="202" t="str">
        <x:v>CARRIER_B</x:v>
      </x:c>
      <x:c r="E9" s="202" t="str">
        <x:v>ROAD</x:v>
      </x:c>
      <x:c r="F9" s="211" t="n">
        <x:v>46023</x:v>
      </x:c>
      <x:c r="G9" s="211"/>
      <x:c r="H9" s="202" t="str">
        <x:v>NOT_VALIDATED_MVP</x:v>
      </x:c>
      <x:c r="I9" s="202" t="str">
        <x:v>法国</x:v>
      </x:c>
      <x:c r="J9" s="202" t="str">
        <x:v>FR_FC → FR｜CARRIER_B｜ROAD</x:v>
      </x:c>
    </x:row>
    <x:row r="10">
      <x:c r="A10" s="202" t="str">
        <x:v>R_GB_DE_A_ROAD</x:v>
      </x:c>
      <x:c r="B10" s="202" t="str">
        <x:v>GB</x:v>
      </x:c>
      <x:c r="C10" s="202" t="str">
        <x:v>DE_FC</x:v>
      </x:c>
      <x:c r="D10" s="202" t="str">
        <x:v>CARRIER_A</x:v>
      </x:c>
      <x:c r="E10" s="202" t="str">
        <x:v>ROAD</x:v>
      </x:c>
      <x:c r="F10" s="211" t="n">
        <x:v>46023</x:v>
      </x:c>
      <x:c r="G10" s="211"/>
      <x:c r="H10" s="202" t="str">
        <x:v>NOT_VALIDATED_MVP</x:v>
      </x:c>
      <x:c r="I10" s="202" t="str">
        <x:v>英国</x:v>
      </x:c>
      <x:c r="J10" s="202" t="str">
        <x:v>DE_FC → GB｜CARRIER_A｜ROAD</x:v>
      </x:c>
    </x:row>
    <x:row r="11">
      <x:c r="A11" s="202" t="str">
        <x:v>R_GB_DE_B_ROAD</x:v>
      </x:c>
      <x:c r="B11" s="202" t="str">
        <x:v>GB</x:v>
      </x:c>
      <x:c r="C11" s="202" t="str">
        <x:v>DE_FC</x:v>
      </x:c>
      <x:c r="D11" s="202" t="str">
        <x:v>CARRIER_B</x:v>
      </x:c>
      <x:c r="E11" s="202" t="str">
        <x:v>ROAD</x:v>
      </x:c>
      <x:c r="F11" s="211" t="n">
        <x:v>46023</x:v>
      </x:c>
      <x:c r="G11" s="211"/>
      <x:c r="H11" s="202" t="str">
        <x:v>NOT_VALIDATED_MVP</x:v>
      </x:c>
      <x:c r="I11" s="202" t="str">
        <x:v>英国</x:v>
      </x:c>
      <x:c r="J11" s="202" t="str">
        <x:v>DE_FC → GB｜CARRIER_B｜ROAD</x:v>
      </x:c>
    </x:row>
    <x:row r="12">
      <x:c r="A12" s="202" t="str">
        <x:v>R_GB_DE_B_AIR</x:v>
      </x:c>
      <x:c r="B12" s="202" t="str">
        <x:v>GB</x:v>
      </x:c>
      <x:c r="C12" s="202" t="str">
        <x:v>DE_FC</x:v>
      </x:c>
      <x:c r="D12" s="202" t="str">
        <x:v>CARRIER_B</x:v>
      </x:c>
      <x:c r="E12" s="202" t="str">
        <x:v>AIR</x:v>
      </x:c>
      <x:c r="F12" s="211" t="n">
        <x:v>46023</x:v>
      </x:c>
      <x:c r="G12" s="211"/>
      <x:c r="H12" s="202" t="str">
        <x:v>NOT_VALIDATED_MVP</x:v>
      </x:c>
      <x:c r="I12" s="202" t="str">
        <x:v>英国</x:v>
      </x:c>
      <x:c r="J12" s="202" t="str">
        <x:v>DE_FC → GB｜CARRIER_B｜AIR</x:v>
      </x:c>
    </x:row>
    <x:row r="13">
      <x:c r="A13" s="202" t="str">
        <x:v>R_GB_DE_C_AIR</x:v>
      </x:c>
      <x:c r="B13" s="202" t="str">
        <x:v>GB</x:v>
      </x:c>
      <x:c r="C13" s="202" t="str">
        <x:v>DE_FC</x:v>
      </x:c>
      <x:c r="D13" s="202" t="str">
        <x:v>CARRIER_C</x:v>
      </x:c>
      <x:c r="E13" s="202" t="str">
        <x:v>AIR</x:v>
      </x:c>
      <x:c r="F13" s="211" t="n">
        <x:v>46023</x:v>
      </x:c>
      <x:c r="G13" s="211"/>
      <x:c r="H13" s="202" t="str">
        <x:v>NOT_VALIDATED_MVP</x:v>
      </x:c>
      <x:c r="I13" s="202" t="str">
        <x:v>英国</x:v>
      </x:c>
      <x:c r="J13" s="202" t="str">
        <x:v>DE_FC → GB｜CARRIER_C｜AIR</x:v>
      </x:c>
    </x:row>
    <x:row r="14">
      <x:c r="A14" s="205" t="str">
        <x:v>R_GB_FR_B_AIR</x:v>
      </x:c>
      <x:c r="B14" s="205" t="str">
        <x:v>GB</x:v>
      </x:c>
      <x:c r="C14" s="205" t="str">
        <x:v>FR_FC</x:v>
      </x:c>
      <x:c r="D14" s="205" t="str">
        <x:v>CARRIER_B</x:v>
      </x:c>
      <x:c r="E14" s="205" t="str">
        <x:v>AIR</x:v>
      </x:c>
      <x:c r="F14" s="212" t="n">
        <x:v>46023</x:v>
      </x:c>
      <x:c r="G14" s="212"/>
      <x:c r="H14" s="205" t="str">
        <x:v>NOT_VALIDATED_MVP</x:v>
      </x:c>
      <x:c r="I14" s="205" t="str">
        <x:v>英国</x:v>
      </x:c>
      <x:c r="J14" s="205" t="str">
        <x:v>FR_FC → GB｜CARRIER_B｜AIR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281edd305e846a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30" hidden="0" customWidth="1"/>
    <x:col min="57" max="57" width="30" hidden="0" customWidth="1"/>
    <x:col min="58" max="58" width="30" hidden="0" customWidth="1"/>
    <x:col min="59" max="59" width="30" hidden="0" customWidth="1"/>
  </x:cols>
  <x:sheetData>
    <x:row r="1" ht="32" customHeight="1">
      <x:c r="A1" s="3" t="str">
        <x:v>线路驱动与公式计算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</x:row>
    <x:row r="2" ht="28" customHeight="1">
      <x:c r="A2" s="7" t="str">
        <x:v>浅黄色列为输入；浅蓝色列为公式结果。工作簿公式用于审阅，权威高精度结果保存在生成 JSON。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</x:row>
    <x:row r="4" ht="30" customHeight="1">
      <x:c r="A4" s="179" t="str">
        <x:v>Version</x:v>
      </x:c>
      <x:c r="B4" s="180" t="str">
        <x:v>Type</x:v>
      </x:c>
      <x:c r="C4" s="180" t="str">
        <x:v>Scenario</x:v>
      </x:c>
      <x:c r="D4" s="180" t="str">
        <x:v>Month</x:v>
      </x:c>
      <x:c r="E4" s="180" t="str">
        <x:v>Route</x:v>
      </x:c>
      <x:c r="F4" s="180" t="str">
        <x:v>Destination</x:v>
      </x:c>
      <x:c r="G4" s="180" t="str">
        <x:v>FC</x:v>
      </x:c>
      <x:c r="H4" s="180" t="str">
        <x:v>Carrier</x:v>
      </x:c>
      <x:c r="I4" s="180" t="str">
        <x:v>Mode</x:v>
      </x:c>
      <x:c r="J4" s="180" t="str">
        <x:v>Total Orders</x:v>
      </x:c>
      <x:c r="K4" s="180" t="str">
        <x:v>Destination Share</x:v>
      </x:c>
      <x:c r="L4" s="180" t="str">
        <x:v>Warehouse Share</x:v>
      </x:c>
      <x:c r="M4" s="180" t="str">
        <x:v>Route Package Share</x:v>
      </x:c>
      <x:c r="N4" s="180" t="str">
        <x:v>Equivalent Orders</x:v>
      </x:c>
      <x:c r="O4" s="180" t="str">
        <x:v>Avg Packages/Order</x:v>
      </x:c>
      <x:c r="P4" s="180" t="str">
        <x:v>Packages</x:v>
      </x:c>
      <x:c r="Q4" s="180" t="str">
        <x:v>Avg Chargeable Weight kg</x:v>
      </x:c>
      <x:c r="R4" s="180" t="str">
        <x:v>Chargeable Weight kg</x:v>
      </x:c>
      <x:c r="S4" s="180" t="str">
        <x:v>Return Rate</x:v>
      </x:c>
      <x:c r="T4" s="180" t="str">
        <x:v>Return Packages</x:v>
      </x:c>
      <x:c r="U4" s="180" t="str">
        <x:v>Events/Package</x:v>
      </x:c>
      <x:c r="V4" s="180" t="str">
        <x:v>Billable Events</x:v>
      </x:c>
      <x:c r="W4" s="180" t="str">
        <x:v>Transport Currency</x:v>
      </x:c>
      <x:c r="X4" s="180" t="str">
        <x:v>Base Rate/kg</x:v>
      </x:c>
      <x:c r="Y4" s="180" t="str">
        <x:v>Fuel Basis</x:v>
      </x:c>
      <x:c r="Z4" s="180" t="str">
        <x:v>Fuel Rate/Unit</x:v>
      </x:c>
      <x:c r="AA4" s="180" t="str">
        <x:v>EUR/CNY</x:v>
      </x:c>
      <x:c r="AB4" s="180" t="str">
        <x:v>GBP/CNY</x:v>
      </x:c>
      <x:c r="AC4" s="180" t="str">
        <x:v>Transport FX</x:v>
      </x:c>
      <x:c r="AD4" s="180" t="str">
        <x:v>Base Freight Original</x:v>
      </x:c>
      <x:c r="AE4" s="180" t="str">
        <x:v>Fuel Original</x:v>
      </x:c>
      <x:c r="AF4" s="180" t="str">
        <x:v>Base Freight CNY</x:v>
      </x:c>
      <x:c r="AG4" s="180" t="str">
        <x:v>Fuel CNY</x:v>
      </x:c>
      <x:c r="AH4" s="180" t="str">
        <x:v>WH Currency</x:v>
      </x:c>
      <x:c r="AI4" s="180" t="str">
        <x:v>WH Unit Price</x:v>
      </x:c>
      <x:c r="AJ4" s="180" t="str">
        <x:v>WH FX</x:v>
      </x:c>
      <x:c r="AK4" s="180" t="str">
        <x:v>WH Original</x:v>
      </x:c>
      <x:c r="AL4" s="180" t="str">
        <x:v>WH CNY</x:v>
      </x:c>
      <x:c r="AM4" s="180" t="str">
        <x:v>Packaging Currency</x:v>
      </x:c>
      <x:c r="AN4" s="180" t="str">
        <x:v>Packaging Unit Price</x:v>
      </x:c>
      <x:c r="AO4" s="180" t="str">
        <x:v>Packaging FX</x:v>
      </x:c>
      <x:c r="AP4" s="180" t="str">
        <x:v>Packaging Original</x:v>
      </x:c>
      <x:c r="AQ4" s="180" t="str">
        <x:v>Packaging CNY</x:v>
      </x:c>
      <x:c r="AR4" s="180" t="str">
        <x:v>Return Currency</x:v>
      </x:c>
      <x:c r="AS4" s="180" t="str">
        <x:v>Return Unit Price</x:v>
      </x:c>
      <x:c r="AT4" s="180" t="str">
        <x:v>Return FX</x:v>
      </x:c>
      <x:c r="AU4" s="180" t="str">
        <x:v>Return Original</x:v>
      </x:c>
      <x:c r="AV4" s="180" t="str">
        <x:v>Return CNY</x:v>
      </x:c>
      <x:c r="AW4" s="180" t="str">
        <x:v>Exception Currency</x:v>
      </x:c>
      <x:c r="AX4" s="180" t="str">
        <x:v>Exception Unit Price</x:v>
      </x:c>
      <x:c r="AY4" s="180" t="str">
        <x:v>Exception FX</x:v>
      </x:c>
      <x:c r="AZ4" s="180" t="str">
        <x:v>Exception Original</x:v>
      </x:c>
      <x:c r="BA4" s="180" t="str">
        <x:v>Exception CNY</x:v>
      </x:c>
      <x:c r="BB4" s="180" t="str">
        <x:v>Variable Cost CNY</x:v>
      </x:c>
      <x:c r="BC4" s="180" t="str">
        <x:v>Expected On-time Rate</x:v>
      </x:c>
      <x:c r="BD4" s="180" t="str">
        <x:v>Event Note</x:v>
      </x:c>
      <x:c r="BE4" s="180" t="str">
        <x:v>Management Action Note</x:v>
      </x:c>
      <x:c r="BF4" s="180" t="str">
        <x:v>Scenario Note</x:v>
      </x:c>
      <x:c r="BG4" s="181" t="str">
        <x:v>Capacity Assumption</x:v>
      </x:c>
    </x:row>
    <x:row r="5">
      <x:c r="A5" s="186" t="str">
        <x:v>BUDGET_2026_V1</x:v>
      </x:c>
      <x:c r="B5" s="186" t="str">
        <x:v>BUDGET</x:v>
      </x:c>
      <x:c r="C5" s="186"/>
      <x:c r="D5" s="216" t="n">
        <x:v>46023</x:v>
      </x:c>
      <x:c r="E5" s="186" t="str">
        <x:v>R_DE_DE_A_ROAD</x:v>
      </x:c>
      <x:c r="F5" s="186" t="str">
        <x:v>DE</x:v>
      </x:c>
      <x:c r="G5" s="186" t="str">
        <x:v>DE_FC</x:v>
      </x:c>
      <x:c r="H5" s="186" t="str">
        <x:v>CARRIER_A</x:v>
      </x:c>
      <x:c r="I5" s="186" t="str">
        <x:v>ROAD</x:v>
      </x:c>
      <x:c r="J5" s="219" t="n">
        <x:v>14000</x:v>
      </x:c>
      <x:c r="K5" s="222" t="n">
        <x:v>0.42</x:v>
      </x:c>
      <x:c r="L5" s="222" t="n">
        <x:v>0.97</x:v>
      </x:c>
      <x:c r="M5" s="222" t="n">
        <x:v>0.6</x:v>
      </x:c>
      <x:c r="N5" s="225" t="n">
        <x:f>J5*K5*L5*M5</x:f>
        <x:v>3422.1599999999994</x:v>
      </x:c>
      <x:c r="O5" s="219" t="n">
        <x:v>1.05</x:v>
      </x:c>
      <x:c r="P5" s="225" t="n">
        <x:f>N5*O5</x:f>
        <x:v>3593.2679999999996</x:v>
      </x:c>
      <x:c r="Q5" s="219" t="n">
        <x:v>0.78</x:v>
      </x:c>
      <x:c r="R5" s="225" t="n">
        <x:f>P5*Q5</x:f>
        <x:v>2802.7490399999997</x:v>
      </x:c>
      <x:c r="S5" s="219" t="n">
        <x:v>0.05</x:v>
      </x:c>
      <x:c r="T5" s="225" t="n">
        <x:f>N5*S5</x:f>
        <x:v>171.10799999999998</x:v>
      </x:c>
      <x:c r="U5" s="225" t="n">
        <x:v>0.016</x:v>
      </x:c>
      <x:c r="V5" s="225" t="n">
        <x:f>P5*U5</x:f>
        <x:v>57.492287999999995</x:v>
      </x:c>
      <x:c r="W5" s="195" t="str">
        <x:v>EUR</x:v>
      </x:c>
      <x:c r="X5" s="219" t="n">
        <x:v>2.2</x:v>
      </x:c>
      <x:c r="Y5" s="195" t="str">
        <x:v>PERCENTAGE_OF_BASE_FREIGHT</x:v>
      </x:c>
      <x:c r="Z5" s="219" t="n">
        <x:v>0.095</x:v>
      </x:c>
      <x:c r="AA5" s="219" t="n">
        <x:v>7.8</x:v>
      </x:c>
      <x:c r="AB5" s="219" t="n">
        <x:v>9</x:v>
      </x:c>
      <x:c r="AC5" s="225" t="n">
        <x:f>IF(W5="EUR",AA5,IF(W5="GBP",AB5,1))</x:f>
        <x:v>7.8</x:v>
      </x:c>
      <x:c r="AD5" s="225" t="n">
        <x:f>R5*X5</x:f>
        <x:v>6166.047888</x:v>
      </x:c>
      <x:c r="AE5" s="225" t="n">
        <x:f>IF(Y5="PERCENTAGE_OF_BASE_FREIGHT",AD5*Z5,IF(Y5="PER_CHARGEABLE_KG",R5*Z5,P5*Z5))</x:f>
        <x:v>585.77454936</x:v>
      </x:c>
      <x:c r="AF5" s="225" t="n">
        <x:f>AD5*AC5</x:f>
        <x:v>48095.1735264</x:v>
      </x:c>
      <x:c r="AG5" s="225" t="n">
        <x:f>AE5*AC5</x:f>
        <x:v>4569.041485008001</x:v>
      </x:c>
      <x:c r="AH5" s="225" t="str">
        <x:v>EUR</x:v>
      </x:c>
      <x:c r="AI5" s="225" t="n">
        <x:v>1.18</x:v>
      </x:c>
      <x:c r="AJ5" s="225" t="n">
        <x:f>IF(AH5="EUR",AA5,IF(AH5="GBP",AB5,1))</x:f>
        <x:v>7.8</x:v>
      </x:c>
      <x:c r="AK5" s="225" t="n">
        <x:f>N5*AI5</x:f>
        <x:v>4038.148799999999</x:v>
      </x:c>
      <x:c r="AL5" s="225" t="n">
        <x:f>AK5*AJ5</x:f>
        <x:v>31497.560639999992</x:v>
      </x:c>
      <x:c r="AM5" s="225" t="str">
        <x:v>EUR</x:v>
      </x:c>
      <x:c r="AN5" s="225" t="n">
        <x:v>0.42</x:v>
      </x:c>
      <x:c r="AO5" s="225" t="n">
        <x:f>IF(AM5="EUR",AA5,IF(AM5="GBP",AB5,1))</x:f>
        <x:v>7.8</x:v>
      </x:c>
      <x:c r="AP5" s="225" t="n">
        <x:f>P5*AN5</x:f>
        <x:v>1509.1725599999997</x:v>
      </x:c>
      <x:c r="AQ5" s="225" t="n">
        <x:f>AP5*AO5</x:f>
        <x:v>11771.545967999999</x:v>
      </x:c>
      <x:c r="AR5" s="225" t="str">
        <x:v>EUR</x:v>
      </x:c>
      <x:c r="AS5" s="225" t="n">
        <x:v>3.2</x:v>
      </x:c>
      <x:c r="AT5" s="225" t="n">
        <x:f>IF(AR5="EUR",AA5,IF(AR5="GBP",AB5,1))</x:f>
        <x:v>7.8</x:v>
      </x:c>
      <x:c r="AU5" s="225" t="n">
        <x:f>T5*AS5</x:f>
        <x:v>547.5455999999999</x:v>
      </x:c>
      <x:c r="AV5" s="225" t="n">
        <x:f>AU5*AT5</x:f>
        <x:v>4270.85568</x:v>
      </x:c>
      <x:c r="AW5" s="225" t="str">
        <x:v>EUR</x:v>
      </x:c>
      <x:c r="AX5" s="225" t="n">
        <x:v>2.3</x:v>
      </x:c>
      <x:c r="AY5" s="225" t="n">
        <x:f>IF(AW5="EUR",AA5,IF(AW5="GBP",AB5,1))</x:f>
        <x:v>7.8</x:v>
      </x:c>
      <x:c r="AZ5" s="225" t="n">
        <x:f>V5*AX5</x:f>
        <x:v>132.23226239999997</x:v>
      </x:c>
      <x:c r="BA5" s="225" t="n">
        <x:f>AZ5*AY5</x:f>
        <x:v>1031.4116467199997</x:v>
      </x:c>
      <x:c r="BB5" s="225" t="n">
        <x:f>AF5+AG5+AL5+AQ5+AV5+BA5</x:f>
        <x:v>101235.58894612799</x:v>
      </x:c>
      <x:c r="BC5" s="228" t="n">
        <x:v>0.965</x:v>
      </x:c>
      <x:c r="BD5" s="199"/>
      <x:c r="BE5" s="199"/>
      <x:c r="BF5" s="199"/>
      <x:c r="BG5" s="199" t="str">
        <x:v>UNVERIFIED_UNLIMITED_FOR_MVP</x:v>
      </x:c>
    </x:row>
    <x:row r="6">
      <x:c r="A6" s="187" t="str">
        <x:v>BUDGET_2026_V1</x:v>
      </x:c>
      <x:c r="B6" s="187" t="str">
        <x:v>BUDGET</x:v>
      </x:c>
      <x:c r="C6" s="187"/>
      <x:c r="D6" s="217" t="n">
        <x:v>46023</x:v>
      </x:c>
      <x:c r="E6" s="187" t="str">
        <x:v>R_DE_DE_B_ROAD</x:v>
      </x:c>
      <x:c r="F6" s="187" t="str">
        <x:v>DE</x:v>
      </x:c>
      <x:c r="G6" s="187" t="str">
        <x:v>DE_FC</x:v>
      </x:c>
      <x:c r="H6" s="187" t="str">
        <x:v>CARRIER_B</x:v>
      </x:c>
      <x:c r="I6" s="187" t="str">
        <x:v>ROAD</x:v>
      </x:c>
      <x:c r="J6" s="220" t="n">
        <x:v>14000</x:v>
      </x:c>
      <x:c r="K6" s="223" t="n">
        <x:v>0.42</x:v>
      </x:c>
      <x:c r="L6" s="223" t="n">
        <x:v>0.97</x:v>
      </x:c>
      <x:c r="M6" s="223" t="n">
        <x:v>0.4</x:v>
      </x:c>
      <x:c r="N6" s="226" t="n">
        <x:f>J6*K6*L6*M6</x:f>
        <x:v>2281.44</x:v>
      </x:c>
      <x:c r="O6" s="220" t="n">
        <x:v>1.05</x:v>
      </x:c>
      <x:c r="P6" s="226" t="n">
        <x:f>N6*O6</x:f>
        <x:v>2395.512</x:v>
      </x:c>
      <x:c r="Q6" s="220" t="n">
        <x:v>0.8</x:v>
      </x:c>
      <x:c r="R6" s="226" t="n">
        <x:f>P6*Q6</x:f>
        <x:v>1916.4096000000002</x:v>
      </x:c>
      <x:c r="S6" s="220" t="n">
        <x:v>0.05</x:v>
      </x:c>
      <x:c r="T6" s="226" t="n">
        <x:f>N6*S6</x:f>
        <x:v>114.072</x:v>
      </x:c>
      <x:c r="U6" s="226" t="n">
        <x:v>0.013</x:v>
      </x:c>
      <x:c r="V6" s="226" t="n">
        <x:f>P6*U6</x:f>
        <x:v>31.141656</x:v>
      </x:c>
      <x:c r="W6" s="196" t="str">
        <x:v>EUR</x:v>
      </x:c>
      <x:c r="X6" s="220" t="n">
        <x:v>2.75</x:v>
      </x:c>
      <x:c r="Y6" s="196" t="str">
        <x:v>PER_CHARGEABLE_KG</x:v>
      </x:c>
      <x:c r="Z6" s="220" t="n">
        <x:v>0.21</x:v>
      </x:c>
      <x:c r="AA6" s="220" t="n">
        <x:v>7.8</x:v>
      </x:c>
      <x:c r="AB6" s="220" t="n">
        <x:v>9</x:v>
      </x:c>
      <x:c r="AC6" s="226" t="n">
        <x:f>IF(W6="EUR",AA6,IF(W6="GBP",AB6,1))</x:f>
        <x:v>7.8</x:v>
      </x:c>
      <x:c r="AD6" s="226" t="n">
        <x:f>R6*X6</x:f>
        <x:v>5270.1264</x:v>
      </x:c>
      <x:c r="AE6" s="226" t="n">
        <x:f>IF(Y6="PERCENTAGE_OF_BASE_FREIGHT",AD6*Z6,IF(Y6="PER_CHARGEABLE_KG",R6*Z6,P6*Z6))</x:f>
        <x:v>402.44601600000004</x:v>
      </x:c>
      <x:c r="AF6" s="226" t="n">
        <x:f>AD6*AC6</x:f>
        <x:v>41106.98592</x:v>
      </x:c>
      <x:c r="AG6" s="226" t="n">
        <x:f>AE6*AC6</x:f>
        <x:v>3139.0789248</x:v>
      </x:c>
      <x:c r="AH6" s="226" t="str">
        <x:v>EUR</x:v>
      </x:c>
      <x:c r="AI6" s="226" t="n">
        <x:v>1.18</x:v>
      </x:c>
      <x:c r="AJ6" s="226" t="n">
        <x:f>IF(AH6="EUR",AA6,IF(AH6="GBP",AB6,1))</x:f>
        <x:v>7.8</x:v>
      </x:c>
      <x:c r="AK6" s="226" t="n">
        <x:f>N6*AI6</x:f>
        <x:v>2692.0992</x:v>
      </x:c>
      <x:c r="AL6" s="226" t="n">
        <x:f>AK6*AJ6</x:f>
        <x:v>20998.37376</x:v>
      </x:c>
      <x:c r="AM6" s="226" t="str">
        <x:v>EUR</x:v>
      </x:c>
      <x:c r="AN6" s="226" t="n">
        <x:v>0.42</x:v>
      </x:c>
      <x:c r="AO6" s="226" t="n">
        <x:f>IF(AM6="EUR",AA6,IF(AM6="GBP",AB6,1))</x:f>
        <x:v>7.8</x:v>
      </x:c>
      <x:c r="AP6" s="226" t="n">
        <x:f>P6*AN6</x:f>
        <x:v>1006.11504</x:v>
      </x:c>
      <x:c r="AQ6" s="226" t="n">
        <x:f>AP6*AO6</x:f>
        <x:v>7847.697312</x:v>
      </x:c>
      <x:c r="AR6" s="226" t="str">
        <x:v>EUR</x:v>
      </x:c>
      <x:c r="AS6" s="226" t="n">
        <x:v>3.2</x:v>
      </x:c>
      <x:c r="AT6" s="226" t="n">
        <x:f>IF(AR6="EUR",AA6,IF(AR6="GBP",AB6,1))</x:f>
        <x:v>7.8</x:v>
      </x:c>
      <x:c r="AU6" s="226" t="n">
        <x:f>T6*AS6</x:f>
        <x:v>365.03040000000004</x:v>
      </x:c>
      <x:c r="AV6" s="226" t="n">
        <x:f>AU6*AT6</x:f>
        <x:v>2847.2371200000002</x:v>
      </x:c>
      <x:c r="AW6" s="226" t="str">
        <x:v>EUR</x:v>
      </x:c>
      <x:c r="AX6" s="226" t="n">
        <x:v>2.3</x:v>
      </x:c>
      <x:c r="AY6" s="226" t="n">
        <x:f>IF(AW6="EUR",AA6,IF(AW6="GBP",AB6,1))</x:f>
        <x:v>7.8</x:v>
      </x:c>
      <x:c r="AZ6" s="226" t="n">
        <x:f>V6*AX6</x:f>
        <x:v>71.6258088</x:v>
      </x:c>
      <x:c r="BA6" s="226" t="n">
        <x:f>AZ6*AY6</x:f>
        <x:v>558.68130864</x:v>
      </x:c>
      <x:c r="BB6" s="226" t="n">
        <x:f>AF6+AG6+AL6+AQ6+AV6+BA6</x:f>
        <x:v>76498.05434544002</x:v>
      </x:c>
      <x:c r="BC6" s="229" t="n">
        <x:v>0.976</x:v>
      </x:c>
      <x:c r="BD6" s="202"/>
      <x:c r="BE6" s="202"/>
      <x:c r="BF6" s="202"/>
      <x:c r="BG6" s="202" t="str">
        <x:v>UNVERIFIED_UNLIMITED_FOR_MVP</x:v>
      </x:c>
    </x:row>
    <x:row r="7">
      <x:c r="A7" s="187" t="str">
        <x:v>BUDGET_2026_V1</x:v>
      </x:c>
      <x:c r="B7" s="187" t="str">
        <x:v>BUDGET</x:v>
      </x:c>
      <x:c r="C7" s="187"/>
      <x:c r="D7" s="217" t="n">
        <x:v>46023</x:v>
      </x:c>
      <x:c r="E7" s="187" t="str">
        <x:v>R_DE_FR_B_ROAD</x:v>
      </x:c>
      <x:c r="F7" s="187" t="str">
        <x:v>DE</x:v>
      </x:c>
      <x:c r="G7" s="187" t="str">
        <x:v>FR_FC</x:v>
      </x:c>
      <x:c r="H7" s="187" t="str">
        <x:v>CARRIER_B</x:v>
      </x:c>
      <x:c r="I7" s="187" t="str">
        <x:v>ROAD</x:v>
      </x:c>
      <x:c r="J7" s="220" t="n">
        <x:v>14000</x:v>
      </x:c>
      <x:c r="K7" s="223" t="n">
        <x:v>0.42</x:v>
      </x:c>
      <x:c r="L7" s="223" t="n">
        <x:v>0.03</x:v>
      </x:c>
      <x:c r="M7" s="223" t="n">
        <x:v>1</x:v>
      </x:c>
      <x:c r="N7" s="226" t="n">
        <x:f>J7*K7*L7*M7</x:f>
        <x:v>176.4</x:v>
      </x:c>
      <x:c r="O7" s="220" t="n">
        <x:v>1.08</x:v>
      </x:c>
      <x:c r="P7" s="226" t="n">
        <x:f>N7*O7</x:f>
        <x:v>190.51200000000003</x:v>
      </x:c>
      <x:c r="Q7" s="220" t="n">
        <x:v>0.86</x:v>
      </x:c>
      <x:c r="R7" s="226" t="n">
        <x:f>P7*Q7</x:f>
        <x:v>163.84032000000002</x:v>
      </x:c>
      <x:c r="S7" s="220" t="n">
        <x:v>0.05</x:v>
      </x:c>
      <x:c r="T7" s="226" t="n">
        <x:f>N7*S7</x:f>
        <x:v>8.82</x:v>
      </x:c>
      <x:c r="U7" s="226" t="n">
        <x:v>0.014</x:v>
      </x:c>
      <x:c r="V7" s="226" t="n">
        <x:f>P7*U7</x:f>
        <x:v>2.6671680000000006</x:v>
      </x:c>
      <x:c r="W7" s="196" t="str">
        <x:v>EUR</x:v>
      </x:c>
      <x:c r="X7" s="220" t="n">
        <x:v>3.3</x:v>
      </x:c>
      <x:c r="Y7" s="196" t="str">
        <x:v>PER_CHARGEABLE_KG</x:v>
      </x:c>
      <x:c r="Z7" s="220" t="n">
        <x:v>0.24</x:v>
      </x:c>
      <x:c r="AA7" s="220" t="n">
        <x:v>7.8</x:v>
      </x:c>
      <x:c r="AB7" s="220" t="n">
        <x:v>9</x:v>
      </x:c>
      <x:c r="AC7" s="226" t="n">
        <x:f>IF(W7="EUR",AA7,IF(W7="GBP",AB7,1))</x:f>
        <x:v>7.8</x:v>
      </x:c>
      <x:c r="AD7" s="226" t="n">
        <x:f>R7*X7</x:f>
        <x:v>540.6730560000001</x:v>
      </x:c>
      <x:c r="AE7" s="226" t="n">
        <x:f>IF(Y7="PERCENTAGE_OF_BASE_FREIGHT",AD7*Z7,IF(Y7="PER_CHARGEABLE_KG",R7*Z7,P7*Z7))</x:f>
        <x:v>39.321676800000006</x:v>
      </x:c>
      <x:c r="AF7" s="226" t="n">
        <x:f>AD7*AC7</x:f>
        <x:v>4217.249836800001</x:v>
      </x:c>
      <x:c r="AG7" s="226" t="n">
        <x:f>AE7*AC7</x:f>
        <x:v>306.70907904000006</x:v>
      </x:c>
      <x:c r="AH7" s="226" t="str">
        <x:v>EUR</x:v>
      </x:c>
      <x:c r="AI7" s="226" t="n">
        <x:v>1.05</x:v>
      </x:c>
      <x:c r="AJ7" s="226" t="n">
        <x:f>IF(AH7="EUR",AA7,IF(AH7="GBP",AB7,1))</x:f>
        <x:v>7.8</x:v>
      </x:c>
      <x:c r="AK7" s="226" t="n">
        <x:f>N7*AI7</x:f>
        <x:v>185.22000000000003</x:v>
      </x:c>
      <x:c r="AL7" s="226" t="n">
        <x:f>AK7*AJ7</x:f>
        <x:v>1444.7160000000001</x:v>
      </x:c>
      <x:c r="AM7" s="226" t="str">
        <x:v>EUR</x:v>
      </x:c>
      <x:c r="AN7" s="226" t="n">
        <x:v>0.38</x:v>
      </x:c>
      <x:c r="AO7" s="226" t="n">
        <x:f>IF(AM7="EUR",AA7,IF(AM7="GBP",AB7,1))</x:f>
        <x:v>7.8</x:v>
      </x:c>
      <x:c r="AP7" s="226" t="n">
        <x:f>P7*AN7</x:f>
        <x:v>72.39456000000001</x:v>
      </x:c>
      <x:c r="AQ7" s="226" t="n">
        <x:f>AP7*AO7</x:f>
        <x:v>564.6775680000001</x:v>
      </x:c>
      <x:c r="AR7" s="226" t="str">
        <x:v>EUR</x:v>
      </x:c>
      <x:c r="AS7" s="226" t="n">
        <x:v>3.8</x:v>
      </x:c>
      <x:c r="AT7" s="226" t="n">
        <x:f>IF(AR7="EUR",AA7,IF(AR7="GBP",AB7,1))</x:f>
        <x:v>7.8</x:v>
      </x:c>
      <x:c r="AU7" s="226" t="n">
        <x:f>T7*AS7</x:f>
        <x:v>33.516</x:v>
      </x:c>
      <x:c r="AV7" s="226" t="n">
        <x:f>AU7*AT7</x:f>
        <x:v>261.4248</x:v>
      </x:c>
      <x:c r="AW7" s="226" t="str">
        <x:v>EUR</x:v>
      </x:c>
      <x:c r="AX7" s="226" t="n">
        <x:v>2.3</x:v>
      </x:c>
      <x:c r="AY7" s="226" t="n">
        <x:f>IF(AW7="EUR",AA7,IF(AW7="GBP",AB7,1))</x:f>
        <x:v>7.8</x:v>
      </x:c>
      <x:c r="AZ7" s="226" t="n">
        <x:f>V7*AX7</x:f>
        <x:v>6.134486400000001</x:v>
      </x:c>
      <x:c r="BA7" s="226" t="n">
        <x:f>AZ7*AY7</x:f>
        <x:v>47.848993920000005</x:v>
      </x:c>
      <x:c r="BB7" s="226" t="n">
        <x:f>AF7+AG7+AL7+AQ7+AV7+BA7</x:f>
        <x:v>6842.62627776</x:v>
      </x:c>
      <x:c r="BC7" s="229" t="n">
        <x:v>0.968</x:v>
      </x:c>
      <x:c r="BD7" s="202"/>
      <x:c r="BE7" s="202"/>
      <x:c r="BF7" s="202"/>
      <x:c r="BG7" s="202" t="str">
        <x:v>UNVERIFIED_UNLIMITED_FOR_MVP</x:v>
      </x:c>
    </x:row>
    <x:row r="8">
      <x:c r="A8" s="187" t="str">
        <x:v>BUDGET_2026_V1</x:v>
      </x:c>
      <x:c r="B8" s="187" t="str">
        <x:v>BUDGET</x:v>
      </x:c>
      <x:c r="C8" s="187"/>
      <x:c r="D8" s="217" t="n">
        <x:v>46023</x:v>
      </x:c>
      <x:c r="E8" s="187" t="str">
        <x:v>R_FR_FR_A_ROAD</x:v>
      </x:c>
      <x:c r="F8" s="187" t="str">
        <x:v>FR</x:v>
      </x:c>
      <x:c r="G8" s="187" t="str">
        <x:v>FR_FC</x:v>
      </x:c>
      <x:c r="H8" s="187" t="str">
        <x:v>CARRIER_A</x:v>
      </x:c>
      <x:c r="I8" s="187" t="str">
        <x:v>ROAD</x:v>
      </x:c>
      <x:c r="J8" s="220" t="n">
        <x:v>14000</x:v>
      </x:c>
      <x:c r="K8" s="223" t="n">
        <x:v>0.32</x:v>
      </x:c>
      <x:c r="L8" s="223" t="n">
        <x:v>1</x:v>
      </x:c>
      <x:c r="M8" s="223" t="n">
        <x:v>0.35</x:v>
      </x:c>
      <x:c r="N8" s="226" t="n">
        <x:f>J8*K8*L8*M8</x:f>
        <x:v>1568</x:v>
      </x:c>
      <x:c r="O8" s="220" t="n">
        <x:v>1.06</x:v>
      </x:c>
      <x:c r="P8" s="226" t="n">
        <x:f>N8*O8</x:f>
        <x:v>1662.0800000000002</x:v>
      </x:c>
      <x:c r="Q8" s="220" t="n">
        <x:v>0.76</x:v>
      </x:c>
      <x:c r="R8" s="226" t="n">
        <x:f>P8*Q8</x:f>
        <x:v>1263.1808</x:v>
      </x:c>
      <x:c r="S8" s="220" t="n">
        <x:v>0.06</x:v>
      </x:c>
      <x:c r="T8" s="226" t="n">
        <x:f>N8*S8</x:f>
        <x:v>94.08</x:v>
      </x:c>
      <x:c r="U8" s="226" t="n">
        <x:v>0.017</x:v>
      </x:c>
      <x:c r="V8" s="226" t="n">
        <x:f>P8*U8</x:f>
        <x:v>28.255360000000003</x:v>
      </x:c>
      <x:c r="W8" s="196" t="str">
        <x:v>EUR</x:v>
      </x:c>
      <x:c r="X8" s="220" t="n">
        <x:v>2.1</x:v>
      </x:c>
      <x:c r="Y8" s="196" t="str">
        <x:v>PERCENTAGE_OF_BASE_FREIGHT</x:v>
      </x:c>
      <x:c r="Z8" s="220" t="n">
        <x:v>0.09</x:v>
      </x:c>
      <x:c r="AA8" s="220" t="n">
        <x:v>7.8</x:v>
      </x:c>
      <x:c r="AB8" s="220" t="n">
        <x:v>9</x:v>
      </x:c>
      <x:c r="AC8" s="226" t="n">
        <x:f>IF(W8="EUR",AA8,IF(W8="GBP",AB8,1))</x:f>
        <x:v>7.8</x:v>
      </x:c>
      <x:c r="AD8" s="226" t="n">
        <x:f>R8*X8</x:f>
        <x:v>2652.67968</x:v>
      </x:c>
      <x:c r="AE8" s="226" t="n">
        <x:f>IF(Y8="PERCENTAGE_OF_BASE_FREIGHT",AD8*Z8,IF(Y8="PER_CHARGEABLE_KG",R8*Z8,P8*Z8))</x:f>
        <x:v>238.7411712</x:v>
      </x:c>
      <x:c r="AF8" s="226" t="n">
        <x:f>AD8*AC8</x:f>
        <x:v>20690.901504</x:v>
      </x:c>
      <x:c r="AG8" s="226" t="n">
        <x:f>AE8*AC8</x:f>
        <x:v>1862.1811353599999</x:v>
      </x:c>
      <x:c r="AH8" s="226" t="str">
        <x:v>EUR</x:v>
      </x:c>
      <x:c r="AI8" s="226" t="n">
        <x:v>1.05</x:v>
      </x:c>
      <x:c r="AJ8" s="226" t="n">
        <x:f>IF(AH8="EUR",AA8,IF(AH8="GBP",AB8,1))</x:f>
        <x:v>7.8</x:v>
      </x:c>
      <x:c r="AK8" s="226" t="n">
        <x:f>N8*AI8</x:f>
        <x:v>1646.4</x:v>
      </x:c>
      <x:c r="AL8" s="226" t="n">
        <x:f>AK8*AJ8</x:f>
        <x:v>12841.92</x:v>
      </x:c>
      <x:c r="AM8" s="226" t="str">
        <x:v>EUR</x:v>
      </x:c>
      <x:c r="AN8" s="226" t="n">
        <x:v>0.38</x:v>
      </x:c>
      <x:c r="AO8" s="226" t="n">
        <x:f>IF(AM8="EUR",AA8,IF(AM8="GBP",AB8,1))</x:f>
        <x:v>7.8</x:v>
      </x:c>
      <x:c r="AP8" s="226" t="n">
        <x:f>P8*AN8</x:f>
        <x:v>631.5904</x:v>
      </x:c>
      <x:c r="AQ8" s="226" t="n">
        <x:f>AP8*AO8</x:f>
        <x:v>4926.40512</x:v>
      </x:c>
      <x:c r="AR8" s="226" t="str">
        <x:v>EUR</x:v>
      </x:c>
      <x:c r="AS8" s="226" t="n">
        <x:v>3</x:v>
      </x:c>
      <x:c r="AT8" s="226" t="n">
        <x:f>IF(AR8="EUR",AA8,IF(AR8="GBP",AB8,1))</x:f>
        <x:v>7.8</x:v>
      </x:c>
      <x:c r="AU8" s="226" t="n">
        <x:f>T8*AS8</x:f>
        <x:v>282.24</x:v>
      </x:c>
      <x:c r="AV8" s="226" t="n">
        <x:f>AU8*AT8</x:f>
        <x:v>2201.472</x:v>
      </x:c>
      <x:c r="AW8" s="226" t="str">
        <x:v>EUR</x:v>
      </x:c>
      <x:c r="AX8" s="226" t="n">
        <x:v>2.3</x:v>
      </x:c>
      <x:c r="AY8" s="226" t="n">
        <x:f>IF(AW8="EUR",AA8,IF(AW8="GBP",AB8,1))</x:f>
        <x:v>7.8</x:v>
      </x:c>
      <x:c r="AZ8" s="226" t="n">
        <x:f>V8*AX8</x:f>
        <x:v>64.987328</x:v>
      </x:c>
      <x:c r="BA8" s="226" t="n">
        <x:f>AZ8*AY8</x:f>
        <x:v>506.90115840000004</x:v>
      </x:c>
      <x:c r="BB8" s="226" t="n">
        <x:f>AF8+AG8+AL8+AQ8+AV8+BA8</x:f>
        <x:v>43029.78091776001</x:v>
      </x:c>
      <x:c r="BC8" s="229" t="n">
        <x:v>0.961</x:v>
      </x:c>
      <x:c r="BD8" s="202"/>
      <x:c r="BE8" s="202"/>
      <x:c r="BF8" s="202"/>
      <x:c r="BG8" s="202" t="str">
        <x:v>UNVERIFIED_UNLIMITED_FOR_MVP</x:v>
      </x:c>
    </x:row>
    <x:row r="9">
      <x:c r="A9" s="187" t="str">
        <x:v>BUDGET_2026_V1</x:v>
      </x:c>
      <x:c r="B9" s="187" t="str">
        <x:v>BUDGET</x:v>
      </x:c>
      <x:c r="C9" s="187"/>
      <x:c r="D9" s="217" t="n">
        <x:v>46023</x:v>
      </x:c>
      <x:c r="E9" s="187" t="str">
        <x:v>R_FR_FR_B_ROAD</x:v>
      </x:c>
      <x:c r="F9" s="187" t="str">
        <x:v>FR</x:v>
      </x:c>
      <x:c r="G9" s="187" t="str">
        <x:v>FR_FC</x:v>
      </x:c>
      <x:c r="H9" s="187" t="str">
        <x:v>CARRIER_B</x:v>
      </x:c>
      <x:c r="I9" s="187" t="str">
        <x:v>ROAD</x:v>
      </x:c>
      <x:c r="J9" s="220" t="n">
        <x:v>14000</x:v>
      </x:c>
      <x:c r="K9" s="223" t="n">
        <x:v>0.32</x:v>
      </x:c>
      <x:c r="L9" s="223" t="n">
        <x:v>1</x:v>
      </x:c>
      <x:c r="M9" s="223" t="n">
        <x:v>0.65</x:v>
      </x:c>
      <x:c r="N9" s="226" t="n">
        <x:f>J9*K9*L9*M9</x:f>
        <x:v>2912</x:v>
      </x:c>
      <x:c r="O9" s="220" t="n">
        <x:v>1.06</x:v>
      </x:c>
      <x:c r="P9" s="226" t="n">
        <x:f>N9*O9</x:f>
        <x:v>3086.7200000000003</x:v>
      </x:c>
      <x:c r="Q9" s="220" t="n">
        <x:v>0.79</x:v>
      </x:c>
      <x:c r="R9" s="226" t="n">
        <x:f>P9*Q9</x:f>
        <x:v>2438.5088000000005</x:v>
      </x:c>
      <x:c r="S9" s="220" t="n">
        <x:v>0.06</x:v>
      </x:c>
      <x:c r="T9" s="226" t="n">
        <x:f>N9*S9</x:f>
        <x:v>174.72</x:v>
      </x:c>
      <x:c r="U9" s="226" t="n">
        <x:v>0.014</x:v>
      </x:c>
      <x:c r="V9" s="226" t="n">
        <x:f>P9*U9</x:f>
        <x:v>43.21408</x:v>
      </x:c>
      <x:c r="W9" s="196" t="str">
        <x:v>EUR</x:v>
      </x:c>
      <x:c r="X9" s="220" t="n">
        <x:v>2.6</x:v>
      </x:c>
      <x:c r="Y9" s="196" t="str">
        <x:v>PER_CHARGEABLE_KG</x:v>
      </x:c>
      <x:c r="Z9" s="220" t="n">
        <x:v>0.2</x:v>
      </x:c>
      <x:c r="AA9" s="220" t="n">
        <x:v>7.8</x:v>
      </x:c>
      <x:c r="AB9" s="220" t="n">
        <x:v>9</x:v>
      </x:c>
      <x:c r="AC9" s="226" t="n">
        <x:f>IF(W9="EUR",AA9,IF(W9="GBP",AB9,1))</x:f>
        <x:v>7.8</x:v>
      </x:c>
      <x:c r="AD9" s="226" t="n">
        <x:f>R9*X9</x:f>
        <x:v>6340.122880000002</x:v>
      </x:c>
      <x:c r="AE9" s="226" t="n">
        <x:f>IF(Y9="PERCENTAGE_OF_BASE_FREIGHT",AD9*Z9,IF(Y9="PER_CHARGEABLE_KG",R9*Z9,P9*Z9))</x:f>
        <x:v>487.70176000000015</x:v>
      </x:c>
      <x:c r="AF9" s="226" t="n">
        <x:f>AD9*AC9</x:f>
        <x:v>49452.95846400001</x:v>
      </x:c>
      <x:c r="AG9" s="226" t="n">
        <x:f>AE9*AC9</x:f>
        <x:v>3804.073728000001</x:v>
      </x:c>
      <x:c r="AH9" s="226" t="str">
        <x:v>EUR</x:v>
      </x:c>
      <x:c r="AI9" s="226" t="n">
        <x:v>1.05</x:v>
      </x:c>
      <x:c r="AJ9" s="226" t="n">
        <x:f>IF(AH9="EUR",AA9,IF(AH9="GBP",AB9,1))</x:f>
        <x:v>7.8</x:v>
      </x:c>
      <x:c r="AK9" s="226" t="n">
        <x:f>N9*AI9</x:f>
        <x:v>3057.6</x:v>
      </x:c>
      <x:c r="AL9" s="226" t="n">
        <x:f>AK9*AJ9</x:f>
        <x:v>23849.28</x:v>
      </x:c>
      <x:c r="AM9" s="226" t="str">
        <x:v>EUR</x:v>
      </x:c>
      <x:c r="AN9" s="226" t="n">
        <x:v>0.38</x:v>
      </x:c>
      <x:c r="AO9" s="226" t="n">
        <x:f>IF(AM9="EUR",AA9,IF(AM9="GBP",AB9,1))</x:f>
        <x:v>7.8</x:v>
      </x:c>
      <x:c r="AP9" s="226" t="n">
        <x:f>P9*AN9</x:f>
        <x:v>1172.9536</x:v>
      </x:c>
      <x:c r="AQ9" s="226" t="n">
        <x:f>AP9*AO9</x:f>
        <x:v>9149.03808</x:v>
      </x:c>
      <x:c r="AR9" s="226" t="str">
        <x:v>EUR</x:v>
      </x:c>
      <x:c r="AS9" s="226" t="n">
        <x:v>3</x:v>
      </x:c>
      <x:c r="AT9" s="226" t="n">
        <x:f>IF(AR9="EUR",AA9,IF(AR9="GBP",AB9,1))</x:f>
        <x:v>7.8</x:v>
      </x:c>
      <x:c r="AU9" s="226" t="n">
        <x:f>T9*AS9</x:f>
        <x:v>524.16</x:v>
      </x:c>
      <x:c r="AV9" s="226" t="n">
        <x:f>AU9*AT9</x:f>
        <x:v>4088.448</x:v>
      </x:c>
      <x:c r="AW9" s="226" t="str">
        <x:v>EUR</x:v>
      </x:c>
      <x:c r="AX9" s="226" t="n">
        <x:v>2.3</x:v>
      </x:c>
      <x:c r="AY9" s="226" t="n">
        <x:f>IF(AW9="EUR",AA9,IF(AW9="GBP",AB9,1))</x:f>
        <x:v>7.8</x:v>
      </x:c>
      <x:c r="AZ9" s="226" t="n">
        <x:f>V9*AX9</x:f>
        <x:v>99.39238399999999</x:v>
      </x:c>
      <x:c r="BA9" s="226" t="n">
        <x:f>AZ9*AY9</x:f>
        <x:v>775.2605951999999</x:v>
      </x:c>
      <x:c r="BB9" s="226" t="n">
        <x:f>AF9+AG9+AL9+AQ9+AV9+BA9</x:f>
        <x:v>91119.05886720002</x:v>
      </x:c>
      <x:c r="BC9" s="229" t="n">
        <x:v>0.973</x:v>
      </x:c>
      <x:c r="BD9" s="202"/>
      <x:c r="BE9" s="202"/>
      <x:c r="BF9" s="202"/>
      <x:c r="BG9" s="202" t="str">
        <x:v>UNVERIFIED_UNLIMITED_FOR_MVP</x:v>
      </x:c>
    </x:row>
    <x:row r="10">
      <x:c r="A10" s="187" t="str">
        <x:v>BUDGET_2026_V1</x:v>
      </x:c>
      <x:c r="B10" s="187" t="str">
        <x:v>BUDGET</x:v>
      </x:c>
      <x:c r="C10" s="187"/>
      <x:c r="D10" s="217" t="n">
        <x:v>46023</x:v>
      </x:c>
      <x:c r="E10" s="187" t="str">
        <x:v>R_GB_DE_A_ROAD</x:v>
      </x:c>
      <x:c r="F10" s="187" t="str">
        <x:v>GB</x:v>
      </x:c>
      <x:c r="G10" s="187" t="str">
        <x:v>DE_FC</x:v>
      </x:c>
      <x:c r="H10" s="187" t="str">
        <x:v>CARRIER_A</x:v>
      </x:c>
      <x:c r="I10" s="187" t="str">
        <x:v>ROAD</x:v>
      </x:c>
      <x:c r="J10" s="220" t="n">
        <x:v>14000</x:v>
      </x:c>
      <x:c r="K10" s="223" t="n">
        <x:v>0.26</x:v>
      </x:c>
      <x:c r="L10" s="223" t="n">
        <x:v>0.96</x:v>
      </x:c>
      <x:c r="M10" s="223" t="n">
        <x:v>0.65</x:v>
      </x:c>
      <x:c r="N10" s="226" t="n">
        <x:f>J10*K10*L10*M10</x:f>
        <x:v>2271.36</x:v>
      </x:c>
      <x:c r="O10" s="220" t="n">
        <x:v>1.12</x:v>
      </x:c>
      <x:c r="P10" s="226" t="n">
        <x:f>N10*O10</x:f>
        <x:v>2543.9232</x:v>
      </x:c>
      <x:c r="Q10" s="220" t="n">
        <x:v>1.02</x:v>
      </x:c>
      <x:c r="R10" s="226" t="n">
        <x:f>P10*Q10</x:f>
        <x:v>2594.801664</x:v>
      </x:c>
      <x:c r="S10" s="220" t="n">
        <x:v>0.08</x:v>
      </x:c>
      <x:c r="T10" s="226" t="n">
        <x:f>N10*S10</x:f>
        <x:v>181.70880000000002</x:v>
      </x:c>
      <x:c r="U10" s="226" t="n">
        <x:v>0.022</x:v>
      </x:c>
      <x:c r="V10" s="226" t="n">
        <x:f>P10*U10</x:f>
        <x:v>55.9663104</x:v>
      </x:c>
      <x:c r="W10" s="196" t="str">
        <x:v>GBP</x:v>
      </x:c>
      <x:c r="X10" s="220" t="n">
        <x:v>4</x:v>
      </x:c>
      <x:c r="Y10" s="196" t="str">
        <x:v>PERCENTAGE_OF_BASE_FREIGHT</x:v>
      </x:c>
      <x:c r="Z10" s="220" t="n">
        <x:v>0.1</x:v>
      </x:c>
      <x:c r="AA10" s="220" t="n">
        <x:v>7.8</x:v>
      </x:c>
      <x:c r="AB10" s="220" t="n">
        <x:v>9</x:v>
      </x:c>
      <x:c r="AC10" s="226" t="n">
        <x:f>IF(W10="EUR",AA10,IF(W10="GBP",AB10,1))</x:f>
        <x:v>9</x:v>
      </x:c>
      <x:c r="AD10" s="226" t="n">
        <x:f>R10*X10</x:f>
        <x:v>10379.206656</x:v>
      </x:c>
      <x:c r="AE10" s="226" t="n">
        <x:f>IF(Y10="PERCENTAGE_OF_BASE_FREIGHT",AD10*Z10,IF(Y10="PER_CHARGEABLE_KG",R10*Z10,P10*Z10))</x:f>
        <x:v>1037.9206656000001</x:v>
      </x:c>
      <x:c r="AF10" s="226" t="n">
        <x:f>AD10*AC10</x:f>
        <x:v>93412.859904</x:v>
      </x:c>
      <x:c r="AG10" s="226" t="n">
        <x:f>AE10*AC10</x:f>
        <x:v>9341.285990400002</x:v>
      </x:c>
      <x:c r="AH10" s="226" t="str">
        <x:v>EUR</x:v>
      </x:c>
      <x:c r="AI10" s="226" t="n">
        <x:v>1.18</x:v>
      </x:c>
      <x:c r="AJ10" s="226" t="n">
        <x:f>IF(AH10="EUR",AA10,IF(AH10="GBP",AB10,1))</x:f>
        <x:v>7.8</x:v>
      </x:c>
      <x:c r="AK10" s="226" t="n">
        <x:f>N10*AI10</x:f>
        <x:v>2680.2048</x:v>
      </x:c>
      <x:c r="AL10" s="226" t="n">
        <x:f>AK10*AJ10</x:f>
        <x:v>20905.597439999998</x:v>
      </x:c>
      <x:c r="AM10" s="226" t="str">
        <x:v>EUR</x:v>
      </x:c>
      <x:c r="AN10" s="226" t="n">
        <x:v>0.42</x:v>
      </x:c>
      <x:c r="AO10" s="226" t="n">
        <x:f>IF(AM10="EUR",AA10,IF(AM10="GBP",AB10,1))</x:f>
        <x:v>7.8</x:v>
      </x:c>
      <x:c r="AP10" s="226" t="n">
        <x:f>P10*AN10</x:f>
        <x:v>1068.447744</x:v>
      </x:c>
      <x:c r="AQ10" s="226" t="n">
        <x:f>AP10*AO10</x:f>
        <x:v>8333.8924032</x:v>
      </x:c>
      <x:c r="AR10" s="226" t="str">
        <x:v>GBP</x:v>
      </x:c>
      <x:c r="AS10" s="226" t="n">
        <x:v>4.8</x:v>
      </x:c>
      <x:c r="AT10" s="226" t="n">
        <x:f>IF(AR10="EUR",AA10,IF(AR10="GBP",AB10,1))</x:f>
        <x:v>9</x:v>
      </x:c>
      <x:c r="AU10" s="226" t="n">
        <x:f>T10*AS10</x:f>
        <x:v>872.2022400000001</x:v>
      </x:c>
      <x:c r="AV10" s="226" t="n">
        <x:f>AU10*AT10</x:f>
        <x:v>7849.820160000001</x:v>
      </x:c>
      <x:c r="AW10" s="226" t="str">
        <x:v>GBP</x:v>
      </x:c>
      <x:c r="AX10" s="226" t="n">
        <x:v>2.3</x:v>
      </x:c>
      <x:c r="AY10" s="226" t="n">
        <x:f>IF(AW10="EUR",AA10,IF(AW10="GBP",AB10,1))</x:f>
        <x:v>9</x:v>
      </x:c>
      <x:c r="AZ10" s="226" t="n">
        <x:f>V10*AX10</x:f>
        <x:v>128.72251391999998</x:v>
      </x:c>
      <x:c r="BA10" s="226" t="n">
        <x:f>AZ10*AY10</x:f>
        <x:v>1158.5026252799998</x:v>
      </x:c>
      <x:c r="BB10" s="226" t="n">
        <x:f>AF10+AG10+AL10+AQ10+AV10+BA10</x:f>
        <x:v>141001.95852288</x:v>
      </x:c>
      <x:c r="BC10" s="229" t="n">
        <x:v>0.93</x:v>
      </x:c>
      <x:c r="BD10" s="202"/>
      <x:c r="BE10" s="202"/>
      <x:c r="BF10" s="202"/>
      <x:c r="BG10" s="202" t="str">
        <x:v>UNVERIFIED_UNLIMITED_FOR_MVP</x:v>
      </x:c>
    </x:row>
    <x:row r="11">
      <x:c r="A11" s="187" t="str">
        <x:v>BUDGET_2026_V1</x:v>
      </x:c>
      <x:c r="B11" s="187" t="str">
        <x:v>BUDGET</x:v>
      </x:c>
      <x:c r="C11" s="187"/>
      <x:c r="D11" s="217" t="n">
        <x:v>46023</x:v>
      </x:c>
      <x:c r="E11" s="187" t="str">
        <x:v>R_GB_DE_B_ROAD</x:v>
      </x:c>
      <x:c r="F11" s="187" t="str">
        <x:v>GB</x:v>
      </x:c>
      <x:c r="G11" s="187" t="str">
        <x:v>DE_FC</x:v>
      </x:c>
      <x:c r="H11" s="187" t="str">
        <x:v>CARRIER_B</x:v>
      </x:c>
      <x:c r="I11" s="187" t="str">
        <x:v>ROAD</x:v>
      </x:c>
      <x:c r="J11" s="220" t="n">
        <x:v>14000</x:v>
      </x:c>
      <x:c r="K11" s="223" t="n">
        <x:v>0.26</x:v>
      </x:c>
      <x:c r="L11" s="223" t="n">
        <x:v>0.96</x:v>
      </x:c>
      <x:c r="M11" s="223" t="n">
        <x:v>0.25</x:v>
      </x:c>
      <x:c r="N11" s="226" t="n">
        <x:f>J11*K11*L11*M11</x:f>
        <x:v>873.6</x:v>
      </x:c>
      <x:c r="O11" s="220" t="n">
        <x:v>1.12</x:v>
      </x:c>
      <x:c r="P11" s="226" t="n">
        <x:f>N11*O11</x:f>
        <x:v>978.4320000000001</x:v>
      </x:c>
      <x:c r="Q11" s="220" t="n">
        <x:v>1</x:v>
      </x:c>
      <x:c r="R11" s="226" t="n">
        <x:f>P11*Q11</x:f>
        <x:v>978.4320000000001</x:v>
      </x:c>
      <x:c r="S11" s="220" t="n">
        <x:v>0.08</x:v>
      </x:c>
      <x:c r="T11" s="226" t="n">
        <x:f>N11*S11</x:f>
        <x:v>69.888</x:v>
      </x:c>
      <x:c r="U11" s="226" t="n">
        <x:v>0.017</x:v>
      </x:c>
      <x:c r="V11" s="226" t="n">
        <x:f>P11*U11</x:f>
        <x:v>16.633344000000005</x:v>
      </x:c>
      <x:c r="W11" s="196" t="str">
        <x:v>GBP</x:v>
      </x:c>
      <x:c r="X11" s="220" t="n">
        <x:v>4.7</x:v>
      </x:c>
      <x:c r="Y11" s="196" t="str">
        <x:v>PER_CHARGEABLE_KG</x:v>
      </x:c>
      <x:c r="Z11" s="220" t="n">
        <x:v>0.33</x:v>
      </x:c>
      <x:c r="AA11" s="220" t="n">
        <x:v>7.8</x:v>
      </x:c>
      <x:c r="AB11" s="220" t="n">
        <x:v>9</x:v>
      </x:c>
      <x:c r="AC11" s="226" t="n">
        <x:f>IF(W11="EUR",AA11,IF(W11="GBP",AB11,1))</x:f>
        <x:v>9</x:v>
      </x:c>
      <x:c r="AD11" s="226" t="n">
        <x:f>R11*X11</x:f>
        <x:v>4598.630400000001</x:v>
      </x:c>
      <x:c r="AE11" s="226" t="n">
        <x:f>IF(Y11="PERCENTAGE_OF_BASE_FREIGHT",AD11*Z11,IF(Y11="PER_CHARGEABLE_KG",R11*Z11,P11*Z11))</x:f>
        <x:v>322.88256000000007</x:v>
      </x:c>
      <x:c r="AF11" s="226" t="n">
        <x:f>AD11*AC11</x:f>
        <x:v>41387.67360000001</x:v>
      </x:c>
      <x:c r="AG11" s="226" t="n">
        <x:f>AE11*AC11</x:f>
        <x:v>2905.9430400000006</x:v>
      </x:c>
      <x:c r="AH11" s="226" t="str">
        <x:v>EUR</x:v>
      </x:c>
      <x:c r="AI11" s="226" t="n">
        <x:v>1.18</x:v>
      </x:c>
      <x:c r="AJ11" s="226" t="n">
        <x:f>IF(AH11="EUR",AA11,IF(AH11="GBP",AB11,1))</x:f>
        <x:v>7.8</x:v>
      </x:c>
      <x:c r="AK11" s="226" t="n">
        <x:f>N11*AI11</x:f>
        <x:v>1030.848</x:v>
      </x:c>
      <x:c r="AL11" s="226" t="n">
        <x:f>AK11*AJ11</x:f>
        <x:v>8040.6143999999995</x:v>
      </x:c>
      <x:c r="AM11" s="226" t="str">
        <x:v>EUR</x:v>
      </x:c>
      <x:c r="AN11" s="226" t="n">
        <x:v>0.42</x:v>
      </x:c>
      <x:c r="AO11" s="226" t="n">
        <x:f>IF(AM11="EUR",AA11,IF(AM11="GBP",AB11,1))</x:f>
        <x:v>7.8</x:v>
      </x:c>
      <x:c r="AP11" s="226" t="n">
        <x:f>P11*AN11</x:f>
        <x:v>410.94144000000006</x:v>
      </x:c>
      <x:c r="AQ11" s="226" t="n">
        <x:f>AP11*AO11</x:f>
        <x:v>3205.343232</x:v>
      </x:c>
      <x:c r="AR11" s="226" t="str">
        <x:v>GBP</x:v>
      </x:c>
      <x:c r="AS11" s="226" t="n">
        <x:v>4.8</x:v>
      </x:c>
      <x:c r="AT11" s="226" t="n">
        <x:f>IF(AR11="EUR",AA11,IF(AR11="GBP",AB11,1))</x:f>
        <x:v>9</x:v>
      </x:c>
      <x:c r="AU11" s="226" t="n">
        <x:f>T11*AS11</x:f>
        <x:v>335.4624</x:v>
      </x:c>
      <x:c r="AV11" s="226" t="n">
        <x:f>AU11*AT11</x:f>
        <x:v>3019.1616</x:v>
      </x:c>
      <x:c r="AW11" s="226" t="str">
        <x:v>GBP</x:v>
      </x:c>
      <x:c r="AX11" s="226" t="n">
        <x:v>2.3</x:v>
      </x:c>
      <x:c r="AY11" s="226" t="n">
        <x:f>IF(AW11="EUR",AA11,IF(AW11="GBP",AB11,1))</x:f>
        <x:v>9</x:v>
      </x:c>
      <x:c r="AZ11" s="226" t="n">
        <x:f>V11*AX11</x:f>
        <x:v>38.256691200000006</x:v>
      </x:c>
      <x:c r="BA11" s="226" t="n">
        <x:f>AZ11*AY11</x:f>
        <x:v>344.3102208</x:v>
      </x:c>
      <x:c r="BB11" s="226" t="n">
        <x:f>AF11+AG11+AL11+AQ11+AV11+BA11</x:f>
        <x:v>58903.0460928</x:v>
      </x:c>
      <x:c r="BC11" s="229" t="n">
        <x:v>0.95</x:v>
      </x:c>
      <x:c r="BD11" s="202"/>
      <x:c r="BE11" s="202"/>
      <x:c r="BF11" s="202"/>
      <x:c r="BG11" s="202" t="str">
        <x:v>UNVERIFIED_UNLIMITED_FOR_MVP</x:v>
      </x:c>
    </x:row>
    <x:row r="12">
      <x:c r="A12" s="187" t="str">
        <x:v>BUDGET_2026_V1</x:v>
      </x:c>
      <x:c r="B12" s="187" t="str">
        <x:v>BUDGET</x:v>
      </x:c>
      <x:c r="C12" s="187"/>
      <x:c r="D12" s="217" t="n">
        <x:v>46023</x:v>
      </x:c>
      <x:c r="E12" s="187" t="str">
        <x:v>R_GB_DE_B_AIR</x:v>
      </x:c>
      <x:c r="F12" s="187" t="str">
        <x:v>GB</x:v>
      </x:c>
      <x:c r="G12" s="187" t="str">
        <x:v>DE_FC</x:v>
      </x:c>
      <x:c r="H12" s="187" t="str">
        <x:v>CARRIER_B</x:v>
      </x:c>
      <x:c r="I12" s="187" t="str">
        <x:v>AIR</x:v>
      </x:c>
      <x:c r="J12" s="220" t="n">
        <x:v>14000</x:v>
      </x:c>
      <x:c r="K12" s="223" t="n">
        <x:v>0.26</x:v>
      </x:c>
      <x:c r="L12" s="223" t="n">
        <x:v>0.96</x:v>
      </x:c>
      <x:c r="M12" s="223" t="n">
        <x:v>0.07</x:v>
      </x:c>
      <x:c r="N12" s="226" t="n">
        <x:f>J12*K12*L12*M12</x:f>
        <x:v>244.60800000000003</x:v>
      </x:c>
      <x:c r="O12" s="220" t="n">
        <x:v>1.12</x:v>
      </x:c>
      <x:c r="P12" s="226" t="n">
        <x:f>N12*O12</x:f>
        <x:v>273.96096000000006</x:v>
      </x:c>
      <x:c r="Q12" s="220" t="n">
        <x:v>0.94</x:v>
      </x:c>
      <x:c r="R12" s="226" t="n">
        <x:f>P12*Q12</x:f>
        <x:v>257.52330240000003</x:v>
      </x:c>
      <x:c r="S12" s="220" t="n">
        <x:v>0.08</x:v>
      </x:c>
      <x:c r="T12" s="226" t="n">
        <x:f>N12*S12</x:f>
        <x:v>19.568640000000002</x:v>
      </x:c>
      <x:c r="U12" s="226" t="n">
        <x:v>0.013</x:v>
      </x:c>
      <x:c r="V12" s="226" t="n">
        <x:f>P12*U12</x:f>
        <x:v>3.5614924800000005</x:v>
      </x:c>
      <x:c r="W12" s="196" t="str">
        <x:v>GBP</x:v>
      </x:c>
      <x:c r="X12" s="220" t="n">
        <x:v>6.2</x:v>
      </x:c>
      <x:c r="Y12" s="196" t="str">
        <x:v>PERCENTAGE_OF_BASE_FREIGHT</x:v>
      </x:c>
      <x:c r="Z12" s="220" t="n">
        <x:v>0.115</x:v>
      </x:c>
      <x:c r="AA12" s="220" t="n">
        <x:v>7.8</x:v>
      </x:c>
      <x:c r="AB12" s="220" t="n">
        <x:v>9</x:v>
      </x:c>
      <x:c r="AC12" s="226" t="n">
        <x:f>IF(W12="EUR",AA12,IF(W12="GBP",AB12,1))</x:f>
        <x:v>9</x:v>
      </x:c>
      <x:c r="AD12" s="226" t="n">
        <x:f>R12*X12</x:f>
        <x:v>1596.6444748800002</x:v>
      </x:c>
      <x:c r="AE12" s="226" t="n">
        <x:f>IF(Y12="PERCENTAGE_OF_BASE_FREIGHT",AD12*Z12,IF(Y12="PER_CHARGEABLE_KG",R12*Z12,P12*Z12))</x:f>
        <x:v>183.61411461120002</x:v>
      </x:c>
      <x:c r="AF12" s="226" t="n">
        <x:f>AD12*AC12</x:f>
        <x:v>14369.800273920002</x:v>
      </x:c>
      <x:c r="AG12" s="226" t="n">
        <x:f>AE12*AC12</x:f>
        <x:v>1652.5270315008001</x:v>
      </x:c>
      <x:c r="AH12" s="226" t="str">
        <x:v>EUR</x:v>
      </x:c>
      <x:c r="AI12" s="226" t="n">
        <x:v>1.18</x:v>
      </x:c>
      <x:c r="AJ12" s="226" t="n">
        <x:f>IF(AH12="EUR",AA12,IF(AH12="GBP",AB12,1))</x:f>
        <x:v>7.8</x:v>
      </x:c>
      <x:c r="AK12" s="226" t="n">
        <x:f>N12*AI12</x:f>
        <x:v>288.63744</x:v>
      </x:c>
      <x:c r="AL12" s="226" t="n">
        <x:f>AK12*AJ12</x:f>
        <x:v>2251.372032</x:v>
      </x:c>
      <x:c r="AM12" s="226" t="str">
        <x:v>EUR</x:v>
      </x:c>
      <x:c r="AN12" s="226" t="n">
        <x:v>0.42</x:v>
      </x:c>
      <x:c r="AO12" s="226" t="n">
        <x:f>IF(AM12="EUR",AA12,IF(AM12="GBP",AB12,1))</x:f>
        <x:v>7.8</x:v>
      </x:c>
      <x:c r="AP12" s="226" t="n">
        <x:f>P12*AN12</x:f>
        <x:v>115.06360320000002</x:v>
      </x:c>
      <x:c r="AQ12" s="226" t="n">
        <x:f>AP12*AO12</x:f>
        <x:v>897.4961049600001</x:v>
      </x:c>
      <x:c r="AR12" s="226" t="str">
        <x:v>GBP</x:v>
      </x:c>
      <x:c r="AS12" s="226" t="n">
        <x:v>4.8</x:v>
      </x:c>
      <x:c r="AT12" s="226" t="n">
        <x:f>IF(AR12="EUR",AA12,IF(AR12="GBP",AB12,1))</x:f>
        <x:v>9</x:v>
      </x:c>
      <x:c r="AU12" s="226" t="n">
        <x:f>T12*AS12</x:f>
        <x:v>93.929472</x:v>
      </x:c>
      <x:c r="AV12" s="226" t="n">
        <x:f>AU12*AT12</x:f>
        <x:v>845.3652480000001</x:v>
      </x:c>
      <x:c r="AW12" s="226" t="str">
        <x:v>GBP</x:v>
      </x:c>
      <x:c r="AX12" s="226" t="n">
        <x:v>2.8</x:v>
      </x:c>
      <x:c r="AY12" s="226" t="n">
        <x:f>IF(AW12="EUR",AA12,IF(AW12="GBP",AB12,1))</x:f>
        <x:v>9</x:v>
      </x:c>
      <x:c r="AZ12" s="226" t="n">
        <x:f>V12*AX12</x:f>
        <x:v>9.972178944000001</x:v>
      </x:c>
      <x:c r="BA12" s="226" t="n">
        <x:f>AZ12*AY12</x:f>
        <x:v>89.74961049600002</x:v>
      </x:c>
      <x:c r="BB12" s="226" t="n">
        <x:f>AF12+AG12+AL12+AQ12+AV12+BA12</x:f>
        <x:v>20106.3103008768</x:v>
      </x:c>
      <x:c r="BC12" s="229" t="n">
        <x:v>0.974</x:v>
      </x:c>
      <x:c r="BD12" s="202"/>
      <x:c r="BE12" s="202"/>
      <x:c r="BF12" s="202"/>
      <x:c r="BG12" s="202" t="str">
        <x:v>UNVERIFIED_UNLIMITED_FOR_MVP</x:v>
      </x:c>
    </x:row>
    <x:row r="13">
      <x:c r="A13" s="187" t="str">
        <x:v>BUDGET_2026_V1</x:v>
      </x:c>
      <x:c r="B13" s="187" t="str">
        <x:v>BUDGET</x:v>
      </x:c>
      <x:c r="C13" s="187"/>
      <x:c r="D13" s="217" t="n">
        <x:v>46023</x:v>
      </x:c>
      <x:c r="E13" s="187" t="str">
        <x:v>R_GB_DE_C_AIR</x:v>
      </x:c>
      <x:c r="F13" s="187" t="str">
        <x:v>GB</x:v>
      </x:c>
      <x:c r="G13" s="187" t="str">
        <x:v>DE_FC</x:v>
      </x:c>
      <x:c r="H13" s="187" t="str">
        <x:v>CARRIER_C</x:v>
      </x:c>
      <x:c r="I13" s="187" t="str">
        <x:v>AIR</x:v>
      </x:c>
      <x:c r="J13" s="220" t="n">
        <x:v>14000</x:v>
      </x:c>
      <x:c r="K13" s="223" t="n">
        <x:v>0.26</x:v>
      </x:c>
      <x:c r="L13" s="223" t="n">
        <x:v>0.96</x:v>
      </x:c>
      <x:c r="M13" s="223" t="n">
        <x:v>0.03</x:v>
      </x:c>
      <x:c r="N13" s="226" t="n">
        <x:f>J13*K13*L13*M13</x:f>
        <x:v>104.832</x:v>
      </x:c>
      <x:c r="O13" s="220" t="n">
        <x:v>1.12</x:v>
      </x:c>
      <x:c r="P13" s="226" t="n">
        <x:f>N13*O13</x:f>
        <x:v>117.41184</x:v>
      </x:c>
      <x:c r="Q13" s="220" t="n">
        <x:v>0.92</x:v>
      </x:c>
      <x:c r="R13" s="226" t="n">
        <x:f>P13*Q13</x:f>
        <x:v>108.0188928</x:v>
      </x:c>
      <x:c r="S13" s="220" t="n">
        <x:v>0.08</x:v>
      </x:c>
      <x:c r="T13" s="226" t="n">
        <x:f>N13*S13</x:f>
        <x:v>8.38656</x:v>
      </x:c>
      <x:c r="U13" s="226" t="n">
        <x:v>0.009</x:v>
      </x:c>
      <x:c r="V13" s="226" t="n">
        <x:f>P13*U13</x:f>
        <x:v>1.0567065599999999</x:v>
      </x:c>
      <x:c r="W13" s="196" t="str">
        <x:v>GBP</x:v>
      </x:c>
      <x:c r="X13" s="220" t="n">
        <x:v>7.5</x:v>
      </x:c>
      <x:c r="Y13" s="196" t="str">
        <x:v>PER_CHARGEABLE_KG</x:v>
      </x:c>
      <x:c r="Z13" s="220" t="n">
        <x:v>0.58</x:v>
      </x:c>
      <x:c r="AA13" s="220" t="n">
        <x:v>7.8</x:v>
      </x:c>
      <x:c r="AB13" s="220" t="n">
        <x:v>9</x:v>
      </x:c>
      <x:c r="AC13" s="226" t="n">
        <x:f>IF(W13="EUR",AA13,IF(W13="GBP",AB13,1))</x:f>
        <x:v>9</x:v>
      </x:c>
      <x:c r="AD13" s="226" t="n">
        <x:f>R13*X13</x:f>
        <x:v>810.141696</x:v>
      </x:c>
      <x:c r="AE13" s="226" t="n">
        <x:f>IF(Y13="PERCENTAGE_OF_BASE_FREIGHT",AD13*Z13,IF(Y13="PER_CHARGEABLE_KG",R13*Z13,P13*Z13))</x:f>
        <x:v>62.650957823999995</x:v>
      </x:c>
      <x:c r="AF13" s="226" t="n">
        <x:f>AD13*AC13</x:f>
        <x:v>7291.275264</x:v>
      </x:c>
      <x:c r="AG13" s="226" t="n">
        <x:f>AE13*AC13</x:f>
        <x:v>563.858620416</x:v>
      </x:c>
      <x:c r="AH13" s="226" t="str">
        <x:v>EUR</x:v>
      </x:c>
      <x:c r="AI13" s="226" t="n">
        <x:v>1.18</x:v>
      </x:c>
      <x:c r="AJ13" s="226" t="n">
        <x:f>IF(AH13="EUR",AA13,IF(AH13="GBP",AB13,1))</x:f>
        <x:v>7.8</x:v>
      </x:c>
      <x:c r="AK13" s="226" t="n">
        <x:f>N13*AI13</x:f>
        <x:v>123.70176</x:v>
      </x:c>
      <x:c r="AL13" s="226" t="n">
        <x:f>AK13*AJ13</x:f>
        <x:v>964.8737279999999</x:v>
      </x:c>
      <x:c r="AM13" s="226" t="str">
        <x:v>EUR</x:v>
      </x:c>
      <x:c r="AN13" s="226" t="n">
        <x:v>0.42</x:v>
      </x:c>
      <x:c r="AO13" s="226" t="n">
        <x:f>IF(AM13="EUR",AA13,IF(AM13="GBP",AB13,1))</x:f>
        <x:v>7.8</x:v>
      </x:c>
      <x:c r="AP13" s="226" t="n">
        <x:f>P13*AN13</x:f>
        <x:v>49.3129728</x:v>
      </x:c>
      <x:c r="AQ13" s="226" t="n">
        <x:f>AP13*AO13</x:f>
        <x:v>384.64118784</x:v>
      </x:c>
      <x:c r="AR13" s="226" t="str">
        <x:v>GBP</x:v>
      </x:c>
      <x:c r="AS13" s="226" t="n">
        <x:v>4.8</x:v>
      </x:c>
      <x:c r="AT13" s="226" t="n">
        <x:f>IF(AR13="EUR",AA13,IF(AR13="GBP",AB13,1))</x:f>
        <x:v>9</x:v>
      </x:c>
      <x:c r="AU13" s="226" t="n">
        <x:f>T13*AS13</x:f>
        <x:v>40.25548799999999</x:v>
      </x:c>
      <x:c r="AV13" s="226" t="n">
        <x:f>AU13*AT13</x:f>
        <x:v>362.29939199999995</x:v>
      </x:c>
      <x:c r="AW13" s="226" t="str">
        <x:v>GBP</x:v>
      </x:c>
      <x:c r="AX13" s="226" t="n">
        <x:v>3.6</x:v>
      </x:c>
      <x:c r="AY13" s="226" t="n">
        <x:f>IF(AW13="EUR",AA13,IF(AW13="GBP",AB13,1))</x:f>
        <x:v>9</x:v>
      </x:c>
      <x:c r="AZ13" s="226" t="n">
        <x:f>V13*AX13</x:f>
        <x:v>3.8041436159999997</x:v>
      </x:c>
      <x:c r="BA13" s="226" t="n">
        <x:f>AZ13*AY13</x:f>
        <x:v>34.237292544</x:v>
      </x:c>
      <x:c r="BB13" s="226" t="n">
        <x:f>AF13+AG13+AL13+AQ13+AV13+BA13</x:f>
        <x:v>9601.1854848</x:v>
      </x:c>
      <x:c r="BC13" s="229" t="n">
        <x:v>0.988</x:v>
      </x:c>
      <x:c r="BD13" s="202"/>
      <x:c r="BE13" s="202"/>
      <x:c r="BF13" s="202"/>
      <x:c r="BG13" s="202" t="str">
        <x:v>UNVERIFIED_UNLIMITED_FOR_MVP</x:v>
      </x:c>
    </x:row>
    <x:row r="14">
      <x:c r="A14" s="187" t="str">
        <x:v>BUDGET_2026_V1</x:v>
      </x:c>
      <x:c r="B14" s="187" t="str">
        <x:v>BUDGET</x:v>
      </x:c>
      <x:c r="C14" s="187"/>
      <x:c r="D14" s="217" t="n">
        <x:v>46023</x:v>
      </x:c>
      <x:c r="E14" s="187" t="str">
        <x:v>R_GB_FR_B_AIR</x:v>
      </x:c>
      <x:c r="F14" s="187" t="str">
        <x:v>GB</x:v>
      </x:c>
      <x:c r="G14" s="187" t="str">
        <x:v>FR_FC</x:v>
      </x:c>
      <x:c r="H14" s="187" t="str">
        <x:v>CARRIER_B</x:v>
      </x:c>
      <x:c r="I14" s="187" t="str">
        <x:v>AIR</x:v>
      </x:c>
      <x:c r="J14" s="220" t="n">
        <x:v>14000</x:v>
      </x:c>
      <x:c r="K14" s="223" t="n">
        <x:v>0.26</x:v>
      </x:c>
      <x:c r="L14" s="223" t="n">
        <x:v>0.04</x:v>
      </x:c>
      <x:c r="M14" s="223" t="n">
        <x:v>1</x:v>
      </x:c>
      <x:c r="N14" s="226" t="n">
        <x:f>J14*K14*L14*M14</x:f>
        <x:v>145.6</x:v>
      </x:c>
      <x:c r="O14" s="220" t="n">
        <x:v>1.15</x:v>
      </x:c>
      <x:c r="P14" s="226" t="n">
        <x:f>N14*O14</x:f>
        <x:v>167.43999999999997</x:v>
      </x:c>
      <x:c r="Q14" s="220" t="n">
        <x:v>0.9</x:v>
      </x:c>
      <x:c r="R14" s="226" t="n">
        <x:f>P14*Q14</x:f>
        <x:v>150.69599999999997</x:v>
      </x:c>
      <x:c r="S14" s="220" t="n">
        <x:v>0.08</x:v>
      </x:c>
      <x:c r="T14" s="226" t="n">
        <x:f>N14*S14</x:f>
        <x:v>11.648</x:v>
      </x:c>
      <x:c r="U14" s="226" t="n">
        <x:v>0.012</x:v>
      </x:c>
      <x:c r="V14" s="226" t="n">
        <x:f>P14*U14</x:f>
        <x:v>2.0092799999999995</x:v>
      </x:c>
      <x:c r="W14" s="196" t="str">
        <x:v>EUR</x:v>
      </x:c>
      <x:c r="X14" s="220" t="n">
        <x:v>6.7</x:v>
      </x:c>
      <x:c r="Y14" s="196" t="str">
        <x:v>PERCENTAGE_OF_BASE_FREIGHT</x:v>
      </x:c>
      <x:c r="Z14" s="220" t="n">
        <x:v>0.105</x:v>
      </x:c>
      <x:c r="AA14" s="220" t="n">
        <x:v>7.8</x:v>
      </x:c>
      <x:c r="AB14" s="220" t="n">
        <x:v>9</x:v>
      </x:c>
      <x:c r="AC14" s="226" t="n">
        <x:f>IF(W14="EUR",AA14,IF(W14="GBP",AB14,1))</x:f>
        <x:v>7.8</x:v>
      </x:c>
      <x:c r="AD14" s="226" t="n">
        <x:f>R14*X14</x:f>
        <x:v>1009.6631999999998</x:v>
      </x:c>
      <x:c r="AE14" s="226" t="n">
        <x:f>IF(Y14="PERCENTAGE_OF_BASE_FREIGHT",AD14*Z14,IF(Y14="PER_CHARGEABLE_KG",R14*Z14,P14*Z14))</x:f>
        <x:v>106.01463599999998</x:v>
      </x:c>
      <x:c r="AF14" s="226" t="n">
        <x:f>AD14*AC14</x:f>
        <x:v>7875.372959999999</x:v>
      </x:c>
      <x:c r="AG14" s="226" t="n">
        <x:f>AE14*AC14</x:f>
        <x:v>826.9141607999999</x:v>
      </x:c>
      <x:c r="AH14" s="226" t="str">
        <x:v>EUR</x:v>
      </x:c>
      <x:c r="AI14" s="226" t="n">
        <x:v>1.05</x:v>
      </x:c>
      <x:c r="AJ14" s="226" t="n">
        <x:f>IF(AH14="EUR",AA14,IF(AH14="GBP",AB14,1))</x:f>
        <x:v>7.8</x:v>
      </x:c>
      <x:c r="AK14" s="226" t="n">
        <x:f>N14*AI14</x:f>
        <x:v>152.88</x:v>
      </x:c>
      <x:c r="AL14" s="226" t="n">
        <x:f>AK14*AJ14</x:f>
        <x:v>1192.464</x:v>
      </x:c>
      <x:c r="AM14" s="226" t="str">
        <x:v>EUR</x:v>
      </x:c>
      <x:c r="AN14" s="226" t="n">
        <x:v>0.38</x:v>
      </x:c>
      <x:c r="AO14" s="226" t="n">
        <x:f>IF(AM14="EUR",AA14,IF(AM14="GBP",AB14,1))</x:f>
        <x:v>7.8</x:v>
      </x:c>
      <x:c r="AP14" s="226" t="n">
        <x:f>P14*AN14</x:f>
        <x:v>63.62719999999999</x:v>
      </x:c>
      <x:c r="AQ14" s="226" t="n">
        <x:f>AP14*AO14</x:f>
        <x:v>496.2921599999999</x:v>
      </x:c>
      <x:c r="AR14" s="226" t="str">
        <x:v>EUR</x:v>
      </x:c>
      <x:c r="AS14" s="226" t="n">
        <x:v>5.2</x:v>
      </x:c>
      <x:c r="AT14" s="226" t="n">
        <x:f>IF(AR14="EUR",AA14,IF(AR14="GBP",AB14,1))</x:f>
        <x:v>7.8</x:v>
      </x:c>
      <x:c r="AU14" s="226" t="n">
        <x:f>T14*AS14</x:f>
        <x:v>60.5696</x:v>
      </x:c>
      <x:c r="AV14" s="226" t="n">
        <x:f>AU14*AT14</x:f>
        <x:v>472.44288</x:v>
      </x:c>
      <x:c r="AW14" s="226" t="str">
        <x:v>EUR</x:v>
      </x:c>
      <x:c r="AX14" s="226" t="n">
        <x:v>2.8</x:v>
      </x:c>
      <x:c r="AY14" s="226" t="n">
        <x:f>IF(AW14="EUR",AA14,IF(AW14="GBP",AB14,1))</x:f>
        <x:v>7.8</x:v>
      </x:c>
      <x:c r="AZ14" s="226" t="n">
        <x:f>V14*AX14</x:f>
        <x:v>5.625983999999998</x:v>
      </x:c>
      <x:c r="BA14" s="226" t="n">
        <x:f>AZ14*AY14</x:f>
        <x:v>43.88267519999999</x:v>
      </x:c>
      <x:c r="BB14" s="226" t="n">
        <x:f>AF14+AG14+AL14+AQ14+AV14+BA14</x:f>
        <x:v>10907.368835999998</x:v>
      </x:c>
      <x:c r="BC14" s="229" t="n">
        <x:v>0.971</x:v>
      </x:c>
      <x:c r="BD14" s="202"/>
      <x:c r="BE14" s="202"/>
      <x:c r="BF14" s="202"/>
      <x:c r="BG14" s="202" t="str">
        <x:v>UNVERIFIED_UNLIMITED_FOR_MVP</x:v>
      </x:c>
    </x:row>
    <x:row r="15">
      <x:c r="A15" s="187" t="str">
        <x:v>BUDGET_2026_V1</x:v>
      </x:c>
      <x:c r="B15" s="187" t="str">
        <x:v>BUDGET</x:v>
      </x:c>
      <x:c r="C15" s="187"/>
      <x:c r="D15" s="217" t="n">
        <x:v>46054</x:v>
      </x:c>
      <x:c r="E15" s="187" t="str">
        <x:v>R_DE_DE_A_ROAD</x:v>
      </x:c>
      <x:c r="F15" s="187" t="str">
        <x:v>DE</x:v>
      </x:c>
      <x:c r="G15" s="187" t="str">
        <x:v>DE_FC</x:v>
      </x:c>
      <x:c r="H15" s="187" t="str">
        <x:v>CARRIER_A</x:v>
      </x:c>
      <x:c r="I15" s="187" t="str">
        <x:v>ROAD</x:v>
      </x:c>
      <x:c r="J15" s="220" t="n">
        <x:v>13500</x:v>
      </x:c>
      <x:c r="K15" s="223" t="n">
        <x:v>0.42</x:v>
      </x:c>
      <x:c r="L15" s="223" t="n">
        <x:v>0.97</x:v>
      </x:c>
      <x:c r="M15" s="223" t="n">
        <x:v>0.6</x:v>
      </x:c>
      <x:c r="N15" s="226" t="n">
        <x:f>J15*K15*L15*M15</x:f>
        <x:v>3299.9399999999996</x:v>
      </x:c>
      <x:c r="O15" s="220" t="n">
        <x:v>1.05</x:v>
      </x:c>
      <x:c r="P15" s="226" t="n">
        <x:f>N15*O15</x:f>
        <x:v>3464.937</x:v>
      </x:c>
      <x:c r="Q15" s="220" t="n">
        <x:v>0.78</x:v>
      </x:c>
      <x:c r="R15" s="226" t="n">
        <x:f>P15*Q15</x:f>
        <x:v>2702.65086</x:v>
      </x:c>
      <x:c r="S15" s="220" t="n">
        <x:v>0.05</x:v>
      </x:c>
      <x:c r="T15" s="226" t="n">
        <x:f>N15*S15</x:f>
        <x:v>164.99699999999999</x:v>
      </x:c>
      <x:c r="U15" s="226" t="n">
        <x:v>0.016</x:v>
      </x:c>
      <x:c r="V15" s="226" t="n">
        <x:f>P15*U15</x:f>
        <x:v>55.438992</x:v>
      </x:c>
      <x:c r="W15" s="196" t="str">
        <x:v>EUR</x:v>
      </x:c>
      <x:c r="X15" s="220" t="n">
        <x:v>2.2</x:v>
      </x:c>
      <x:c r="Y15" s="196" t="str">
        <x:v>PERCENTAGE_OF_BASE_FREIGHT</x:v>
      </x:c>
      <x:c r="Z15" s="220" t="n">
        <x:v>0.095</x:v>
      </x:c>
      <x:c r="AA15" s="220" t="n">
        <x:v>7.8</x:v>
      </x:c>
      <x:c r="AB15" s="220" t="n">
        <x:v>9</x:v>
      </x:c>
      <x:c r="AC15" s="226" t="n">
        <x:f>IF(W15="EUR",AA15,IF(W15="GBP",AB15,1))</x:f>
        <x:v>7.8</x:v>
      </x:c>
      <x:c r="AD15" s="226" t="n">
        <x:f>R15*X15</x:f>
        <x:v>5945.831892000001</x:v>
      </x:c>
      <x:c r="AE15" s="226" t="n">
        <x:f>IF(Y15="PERCENTAGE_OF_BASE_FREIGHT",AD15*Z15,IF(Y15="PER_CHARGEABLE_KG",R15*Z15,P15*Z15))</x:f>
        <x:v>564.8540297400001</x:v>
      </x:c>
      <x:c r="AF15" s="226" t="n">
        <x:f>AD15*AC15</x:f>
        <x:v>46377.488757600004</x:v>
      </x:c>
      <x:c r="AG15" s="226" t="n">
        <x:f>AE15*AC15</x:f>
        <x:v>4405.861431972001</x:v>
      </x:c>
      <x:c r="AH15" s="226" t="str">
        <x:v>EUR</x:v>
      </x:c>
      <x:c r="AI15" s="226" t="n">
        <x:v>1.18</x:v>
      </x:c>
      <x:c r="AJ15" s="226" t="n">
        <x:f>IF(AH15="EUR",AA15,IF(AH15="GBP",AB15,1))</x:f>
        <x:v>7.8</x:v>
      </x:c>
      <x:c r="AK15" s="226" t="n">
        <x:f>N15*AI15</x:f>
        <x:v>3893.929199999999</x:v>
      </x:c>
      <x:c r="AL15" s="226" t="n">
        <x:f>AK15*AJ15</x:f>
        <x:v>30372.647759999993</x:v>
      </x:c>
      <x:c r="AM15" s="226" t="str">
        <x:v>EUR</x:v>
      </x:c>
      <x:c r="AN15" s="226" t="n">
        <x:v>0.42</x:v>
      </x:c>
      <x:c r="AO15" s="226" t="n">
        <x:f>IF(AM15="EUR",AA15,IF(AM15="GBP",AB15,1))</x:f>
        <x:v>7.8</x:v>
      </x:c>
      <x:c r="AP15" s="226" t="n">
        <x:f>P15*AN15</x:f>
        <x:v>1455.27354</x:v>
      </x:c>
      <x:c r="AQ15" s="226" t="n">
        <x:f>AP15*AO15</x:f>
        <x:v>11351.133612</x:v>
      </x:c>
      <x:c r="AR15" s="226" t="str">
        <x:v>EUR</x:v>
      </x:c>
      <x:c r="AS15" s="226" t="n">
        <x:v>3.2</x:v>
      </x:c>
      <x:c r="AT15" s="226" t="n">
        <x:f>IF(AR15="EUR",AA15,IF(AR15="GBP",AB15,1))</x:f>
        <x:v>7.8</x:v>
      </x:c>
      <x:c r="AU15" s="226" t="n">
        <x:f>T15*AS15</x:f>
        <x:v>527.9904</x:v>
      </x:c>
      <x:c r="AV15" s="226" t="n">
        <x:f>AU15*AT15</x:f>
        <x:v>4118.32512</x:v>
      </x:c>
      <x:c r="AW15" s="226" t="str">
        <x:v>EUR</x:v>
      </x:c>
      <x:c r="AX15" s="226" t="n">
        <x:v>2.3</x:v>
      </x:c>
      <x:c r="AY15" s="226" t="n">
        <x:f>IF(AW15="EUR",AA15,IF(AW15="GBP",AB15,1))</x:f>
        <x:v>7.8</x:v>
      </x:c>
      <x:c r="AZ15" s="226" t="n">
        <x:f>V15*AX15</x:f>
        <x:v>127.5096816</x:v>
      </x:c>
      <x:c r="BA15" s="226" t="n">
        <x:f>AZ15*AY15</x:f>
        <x:v>994.5755164799999</x:v>
      </x:c>
      <x:c r="BB15" s="226" t="n">
        <x:f>AF15+AG15+AL15+AQ15+AV15+BA15</x:f>
        <x:v>97620.032198052</x:v>
      </x:c>
      <x:c r="BC15" s="229" t="n">
        <x:v>0.965</x:v>
      </x:c>
      <x:c r="BD15" s="202"/>
      <x:c r="BE15" s="202"/>
      <x:c r="BF15" s="202"/>
      <x:c r="BG15" s="202" t="str">
        <x:v>UNVERIFIED_UNLIMITED_FOR_MVP</x:v>
      </x:c>
    </x:row>
    <x:row r="16">
      <x:c r="A16" s="187" t="str">
        <x:v>BUDGET_2026_V1</x:v>
      </x:c>
      <x:c r="B16" s="187" t="str">
        <x:v>BUDGET</x:v>
      </x:c>
      <x:c r="C16" s="187"/>
      <x:c r="D16" s="217" t="n">
        <x:v>46054</x:v>
      </x:c>
      <x:c r="E16" s="187" t="str">
        <x:v>R_DE_DE_B_ROAD</x:v>
      </x:c>
      <x:c r="F16" s="187" t="str">
        <x:v>DE</x:v>
      </x:c>
      <x:c r="G16" s="187" t="str">
        <x:v>DE_FC</x:v>
      </x:c>
      <x:c r="H16" s="187" t="str">
        <x:v>CARRIER_B</x:v>
      </x:c>
      <x:c r="I16" s="187" t="str">
        <x:v>ROAD</x:v>
      </x:c>
      <x:c r="J16" s="220" t="n">
        <x:v>13500</x:v>
      </x:c>
      <x:c r="K16" s="223" t="n">
        <x:v>0.42</x:v>
      </x:c>
      <x:c r="L16" s="223" t="n">
        <x:v>0.97</x:v>
      </x:c>
      <x:c r="M16" s="223" t="n">
        <x:v>0.4</x:v>
      </x:c>
      <x:c r="N16" s="226" t="n">
        <x:f>J16*K16*L16*M16</x:f>
        <x:v>2199.96</x:v>
      </x:c>
      <x:c r="O16" s="220" t="n">
        <x:v>1.05</x:v>
      </x:c>
      <x:c r="P16" s="226" t="n">
        <x:f>N16*O16</x:f>
        <x:v>2309.958</x:v>
      </x:c>
      <x:c r="Q16" s="220" t="n">
        <x:v>0.8</x:v>
      </x:c>
      <x:c r="R16" s="226" t="n">
        <x:f>P16*Q16</x:f>
        <x:v>1847.9664000000002</x:v>
      </x:c>
      <x:c r="S16" s="220" t="n">
        <x:v>0.05</x:v>
      </x:c>
      <x:c r="T16" s="226" t="n">
        <x:f>N16*S16</x:f>
        <x:v>109.998</x:v>
      </x:c>
      <x:c r="U16" s="226" t="n">
        <x:v>0.013</x:v>
      </x:c>
      <x:c r="V16" s="226" t="n">
        <x:f>P16*U16</x:f>
        <x:v>30.029454</x:v>
      </x:c>
      <x:c r="W16" s="196" t="str">
        <x:v>EUR</x:v>
      </x:c>
      <x:c r="X16" s="220" t="n">
        <x:v>2.75</x:v>
      </x:c>
      <x:c r="Y16" s="196" t="str">
        <x:v>PER_CHARGEABLE_KG</x:v>
      </x:c>
      <x:c r="Z16" s="220" t="n">
        <x:v>0.21</x:v>
      </x:c>
      <x:c r="AA16" s="220" t="n">
        <x:v>7.8</x:v>
      </x:c>
      <x:c r="AB16" s="220" t="n">
        <x:v>9</x:v>
      </x:c>
      <x:c r="AC16" s="226" t="n">
        <x:f>IF(W16="EUR",AA16,IF(W16="GBP",AB16,1))</x:f>
        <x:v>7.8</x:v>
      </x:c>
      <x:c r="AD16" s="226" t="n">
        <x:f>R16*X16</x:f>
        <x:v>5081.9076000000005</x:v>
      </x:c>
      <x:c r="AE16" s="226" t="n">
        <x:f>IF(Y16="PERCENTAGE_OF_BASE_FREIGHT",AD16*Z16,IF(Y16="PER_CHARGEABLE_KG",R16*Z16,P16*Z16))</x:f>
        <x:v>388.07294400000006</x:v>
      </x:c>
      <x:c r="AF16" s="226" t="n">
        <x:f>AD16*AC16</x:f>
        <x:v>39638.87928</x:v>
      </x:c>
      <x:c r="AG16" s="226" t="n">
        <x:f>AE16*AC16</x:f>
        <x:v>3026.9689632000004</x:v>
      </x:c>
      <x:c r="AH16" s="226" t="str">
        <x:v>EUR</x:v>
      </x:c>
      <x:c r="AI16" s="226" t="n">
        <x:v>1.18</x:v>
      </x:c>
      <x:c r="AJ16" s="226" t="n">
        <x:f>IF(AH16="EUR",AA16,IF(AH16="GBP",AB16,1))</x:f>
        <x:v>7.8</x:v>
      </x:c>
      <x:c r="AK16" s="226" t="n">
        <x:f>N16*AI16</x:f>
        <x:v>2595.9528</x:v>
      </x:c>
      <x:c r="AL16" s="226" t="n">
        <x:f>AK16*AJ16</x:f>
        <x:v>20248.43184</x:v>
      </x:c>
      <x:c r="AM16" s="226" t="str">
        <x:v>EUR</x:v>
      </x:c>
      <x:c r="AN16" s="226" t="n">
        <x:v>0.42</x:v>
      </x:c>
      <x:c r="AO16" s="226" t="n">
        <x:f>IF(AM16="EUR",AA16,IF(AM16="GBP",AB16,1))</x:f>
        <x:v>7.8</x:v>
      </x:c>
      <x:c r="AP16" s="226" t="n">
        <x:f>P16*AN16</x:f>
        <x:v>970.18236</x:v>
      </x:c>
      <x:c r="AQ16" s="226" t="n">
        <x:f>AP16*AO16</x:f>
        <x:v>7567.422408</x:v>
      </x:c>
      <x:c r="AR16" s="226" t="str">
        <x:v>EUR</x:v>
      </x:c>
      <x:c r="AS16" s="226" t="n">
        <x:v>3.2</x:v>
      </x:c>
      <x:c r="AT16" s="226" t="n">
        <x:f>IF(AR16="EUR",AA16,IF(AR16="GBP",AB16,1))</x:f>
        <x:v>7.8</x:v>
      </x:c>
      <x:c r="AU16" s="226" t="n">
        <x:f>T16*AS16</x:f>
        <x:v>351.9936</x:v>
      </x:c>
      <x:c r="AV16" s="226" t="n">
        <x:f>AU16*AT16</x:f>
        <x:v>2745.55008</x:v>
      </x:c>
      <x:c r="AW16" s="226" t="str">
        <x:v>EUR</x:v>
      </x:c>
      <x:c r="AX16" s="226" t="n">
        <x:v>2.3</x:v>
      </x:c>
      <x:c r="AY16" s="226" t="n">
        <x:f>IF(AW16="EUR",AA16,IF(AW16="GBP",AB16,1))</x:f>
        <x:v>7.8</x:v>
      </x:c>
      <x:c r="AZ16" s="226" t="n">
        <x:f>V16*AX16</x:f>
        <x:v>69.06774419999999</x:v>
      </x:c>
      <x:c r="BA16" s="226" t="n">
        <x:f>AZ16*AY16</x:f>
        <x:v>538.7284047599999</x:v>
      </x:c>
      <x:c r="BB16" s="226" t="n">
        <x:f>AF16+AG16+AL16+AQ16+AV16+BA16</x:f>
        <x:v>73765.98097596</x:v>
      </x:c>
      <x:c r="BC16" s="229" t="n">
        <x:v>0.976</x:v>
      </x:c>
      <x:c r="BD16" s="202"/>
      <x:c r="BE16" s="202"/>
      <x:c r="BF16" s="202"/>
      <x:c r="BG16" s="202" t="str">
        <x:v>UNVERIFIED_UNLIMITED_FOR_MVP</x:v>
      </x:c>
    </x:row>
    <x:row r="17">
      <x:c r="A17" s="187" t="str">
        <x:v>BUDGET_2026_V1</x:v>
      </x:c>
      <x:c r="B17" s="187" t="str">
        <x:v>BUDGET</x:v>
      </x:c>
      <x:c r="C17" s="187"/>
      <x:c r="D17" s="217" t="n">
        <x:v>46054</x:v>
      </x:c>
      <x:c r="E17" s="187" t="str">
        <x:v>R_DE_FR_B_ROAD</x:v>
      </x:c>
      <x:c r="F17" s="187" t="str">
        <x:v>DE</x:v>
      </x:c>
      <x:c r="G17" s="187" t="str">
        <x:v>FR_FC</x:v>
      </x:c>
      <x:c r="H17" s="187" t="str">
        <x:v>CARRIER_B</x:v>
      </x:c>
      <x:c r="I17" s="187" t="str">
        <x:v>ROAD</x:v>
      </x:c>
      <x:c r="J17" s="220" t="n">
        <x:v>13500</x:v>
      </x:c>
      <x:c r="K17" s="223" t="n">
        <x:v>0.42</x:v>
      </x:c>
      <x:c r="L17" s="223" t="n">
        <x:v>0.03</x:v>
      </x:c>
      <x:c r="M17" s="223" t="n">
        <x:v>1</x:v>
      </x:c>
      <x:c r="N17" s="226" t="n">
        <x:f>J17*K17*L17*M17</x:f>
        <x:v>170.1</x:v>
      </x:c>
      <x:c r="O17" s="220" t="n">
        <x:v>1.08</x:v>
      </x:c>
      <x:c r="P17" s="226" t="n">
        <x:f>N17*O17</x:f>
        <x:v>183.708</x:v>
      </x:c>
      <x:c r="Q17" s="220" t="n">
        <x:v>0.86</x:v>
      </x:c>
      <x:c r="R17" s="226" t="n">
        <x:f>P17*Q17</x:f>
        <x:v>157.98888</x:v>
      </x:c>
      <x:c r="S17" s="220" t="n">
        <x:v>0.05</x:v>
      </x:c>
      <x:c r="T17" s="226" t="n">
        <x:f>N17*S17</x:f>
        <x:v>8.505</x:v>
      </x:c>
      <x:c r="U17" s="226" t="n">
        <x:v>0.014</x:v>
      </x:c>
      <x:c r="V17" s="226" t="n">
        <x:f>P17*U17</x:f>
        <x:v>2.571912</x:v>
      </x:c>
      <x:c r="W17" s="196" t="str">
        <x:v>EUR</x:v>
      </x:c>
      <x:c r="X17" s="220" t="n">
        <x:v>3.3</x:v>
      </x:c>
      <x:c r="Y17" s="196" t="str">
        <x:v>PER_CHARGEABLE_KG</x:v>
      </x:c>
      <x:c r="Z17" s="220" t="n">
        <x:v>0.24</x:v>
      </x:c>
      <x:c r="AA17" s="220" t="n">
        <x:v>7.8</x:v>
      </x:c>
      <x:c r="AB17" s="220" t="n">
        <x:v>9</x:v>
      </x:c>
      <x:c r="AC17" s="226" t="n">
        <x:f>IF(W17="EUR",AA17,IF(W17="GBP",AB17,1))</x:f>
        <x:v>7.8</x:v>
      </x:c>
      <x:c r="AD17" s="226" t="n">
        <x:f>R17*X17</x:f>
        <x:v>521.363304</x:v>
      </x:c>
      <x:c r="AE17" s="226" t="n">
        <x:f>IF(Y17="PERCENTAGE_OF_BASE_FREIGHT",AD17*Z17,IF(Y17="PER_CHARGEABLE_KG",R17*Z17,P17*Z17))</x:f>
        <x:v>37.9173312</x:v>
      </x:c>
      <x:c r="AF17" s="226" t="n">
        <x:f>AD17*AC17</x:f>
        <x:v>4066.6337711999995</x:v>
      </x:c>
      <x:c r="AG17" s="226" t="n">
        <x:f>AE17*AC17</x:f>
        <x:v>295.75518336</x:v>
      </x:c>
      <x:c r="AH17" s="226" t="str">
        <x:v>EUR</x:v>
      </x:c>
      <x:c r="AI17" s="226" t="n">
        <x:v>1.05</x:v>
      </x:c>
      <x:c r="AJ17" s="226" t="n">
        <x:f>IF(AH17="EUR",AA17,IF(AH17="GBP",AB17,1))</x:f>
        <x:v>7.8</x:v>
      </x:c>
      <x:c r="AK17" s="226" t="n">
        <x:f>N17*AI17</x:f>
        <x:v>178.605</x:v>
      </x:c>
      <x:c r="AL17" s="226" t="n">
        <x:f>AK17*AJ17</x:f>
        <x:v>1393.119</x:v>
      </x:c>
      <x:c r="AM17" s="226" t="str">
        <x:v>EUR</x:v>
      </x:c>
      <x:c r="AN17" s="226" t="n">
        <x:v>0.38</x:v>
      </x:c>
      <x:c r="AO17" s="226" t="n">
        <x:f>IF(AM17="EUR",AA17,IF(AM17="GBP",AB17,1))</x:f>
        <x:v>7.8</x:v>
      </x:c>
      <x:c r="AP17" s="226" t="n">
        <x:f>P17*AN17</x:f>
        <x:v>69.80904</x:v>
      </x:c>
      <x:c r="AQ17" s="226" t="n">
        <x:f>AP17*AO17</x:f>
        <x:v>544.510512</x:v>
      </x:c>
      <x:c r="AR17" s="226" t="str">
        <x:v>EUR</x:v>
      </x:c>
      <x:c r="AS17" s="226" t="n">
        <x:v>3.8</x:v>
      </x:c>
      <x:c r="AT17" s="226" t="n">
        <x:f>IF(AR17="EUR",AA17,IF(AR17="GBP",AB17,1))</x:f>
        <x:v>7.8</x:v>
      </x:c>
      <x:c r="AU17" s="226" t="n">
        <x:f>T17*AS17</x:f>
        <x:v>32.319</x:v>
      </x:c>
      <x:c r="AV17" s="226" t="n">
        <x:f>AU17*AT17</x:f>
        <x:v>252.0882</x:v>
      </x:c>
      <x:c r="AW17" s="226" t="str">
        <x:v>EUR</x:v>
      </x:c>
      <x:c r="AX17" s="226" t="n">
        <x:v>2.3</x:v>
      </x:c>
      <x:c r="AY17" s="226" t="n">
        <x:f>IF(AW17="EUR",AA17,IF(AW17="GBP",AB17,1))</x:f>
        <x:v>7.8</x:v>
      </x:c>
      <x:c r="AZ17" s="226" t="n">
        <x:f>V17*AX17</x:f>
        <x:v>5.9153976</x:v>
      </x:c>
      <x:c r="BA17" s="226" t="n">
        <x:f>AZ17*AY17</x:f>
        <x:v>46.14010128</x:v>
      </x:c>
      <x:c r="BB17" s="226" t="n">
        <x:f>AF17+AG17+AL17+AQ17+AV17+BA17</x:f>
        <x:v>6598.246767839999</x:v>
      </x:c>
      <x:c r="BC17" s="229" t="n">
        <x:v>0.968</x:v>
      </x:c>
      <x:c r="BD17" s="202"/>
      <x:c r="BE17" s="202"/>
      <x:c r="BF17" s="202"/>
      <x:c r="BG17" s="202" t="str">
        <x:v>UNVERIFIED_UNLIMITED_FOR_MVP</x:v>
      </x:c>
    </x:row>
    <x:row r="18">
      <x:c r="A18" s="187" t="str">
        <x:v>BUDGET_2026_V1</x:v>
      </x:c>
      <x:c r="B18" s="187" t="str">
        <x:v>BUDGET</x:v>
      </x:c>
      <x:c r="C18" s="187"/>
      <x:c r="D18" s="217" t="n">
        <x:v>46054</x:v>
      </x:c>
      <x:c r="E18" s="187" t="str">
        <x:v>R_FR_FR_A_ROAD</x:v>
      </x:c>
      <x:c r="F18" s="187" t="str">
        <x:v>FR</x:v>
      </x:c>
      <x:c r="G18" s="187" t="str">
        <x:v>FR_FC</x:v>
      </x:c>
      <x:c r="H18" s="187" t="str">
        <x:v>CARRIER_A</x:v>
      </x:c>
      <x:c r="I18" s="187" t="str">
        <x:v>ROAD</x:v>
      </x:c>
      <x:c r="J18" s="220" t="n">
        <x:v>13500</x:v>
      </x:c>
      <x:c r="K18" s="223" t="n">
        <x:v>0.32</x:v>
      </x:c>
      <x:c r="L18" s="223" t="n">
        <x:v>1</x:v>
      </x:c>
      <x:c r="M18" s="223" t="n">
        <x:v>0.35</x:v>
      </x:c>
      <x:c r="N18" s="226" t="n">
        <x:f>J18*K18*L18*M18</x:f>
        <x:v>1512</x:v>
      </x:c>
      <x:c r="O18" s="220" t="n">
        <x:v>1.06</x:v>
      </x:c>
      <x:c r="P18" s="226" t="n">
        <x:f>N18*O18</x:f>
        <x:v>1602.72</x:v>
      </x:c>
      <x:c r="Q18" s="220" t="n">
        <x:v>0.76</x:v>
      </x:c>
      <x:c r="R18" s="226" t="n">
        <x:f>P18*Q18</x:f>
        <x:v>1218.0672</x:v>
      </x:c>
      <x:c r="S18" s="220" t="n">
        <x:v>0.06</x:v>
      </x:c>
      <x:c r="T18" s="226" t="n">
        <x:f>N18*S18</x:f>
        <x:v>90.72</x:v>
      </x:c>
      <x:c r="U18" s="226" t="n">
        <x:v>0.017</x:v>
      </x:c>
      <x:c r="V18" s="226" t="n">
        <x:f>P18*U18</x:f>
        <x:v>27.246240000000004</x:v>
      </x:c>
      <x:c r="W18" s="196" t="str">
        <x:v>EUR</x:v>
      </x:c>
      <x:c r="X18" s="220" t="n">
        <x:v>2.1</x:v>
      </x:c>
      <x:c r="Y18" s="196" t="str">
        <x:v>PERCENTAGE_OF_BASE_FREIGHT</x:v>
      </x:c>
      <x:c r="Z18" s="220" t="n">
        <x:v>0.09</x:v>
      </x:c>
      <x:c r="AA18" s="220" t="n">
        <x:v>7.8</x:v>
      </x:c>
      <x:c r="AB18" s="220" t="n">
        <x:v>9</x:v>
      </x:c>
      <x:c r="AC18" s="226" t="n">
        <x:f>IF(W18="EUR",AA18,IF(W18="GBP",AB18,1))</x:f>
        <x:v>7.8</x:v>
      </x:c>
      <x:c r="AD18" s="226" t="n">
        <x:f>R18*X18</x:f>
        <x:v>2557.94112</x:v>
      </x:c>
      <x:c r="AE18" s="226" t="n">
        <x:f>IF(Y18="PERCENTAGE_OF_BASE_FREIGHT",AD18*Z18,IF(Y18="PER_CHARGEABLE_KG",R18*Z18,P18*Z18))</x:f>
        <x:v>230.21470079999997</x:v>
      </x:c>
      <x:c r="AF18" s="226" t="n">
        <x:f>AD18*AC18</x:f>
        <x:v>19951.940736</x:v>
      </x:c>
      <x:c r="AG18" s="226" t="n">
        <x:f>AE18*AC18</x:f>
        <x:v>1795.6746662399999</x:v>
      </x:c>
      <x:c r="AH18" s="226" t="str">
        <x:v>EUR</x:v>
      </x:c>
      <x:c r="AI18" s="226" t="n">
        <x:v>1.05</x:v>
      </x:c>
      <x:c r="AJ18" s="226" t="n">
        <x:f>IF(AH18="EUR",AA18,IF(AH18="GBP",AB18,1))</x:f>
        <x:v>7.8</x:v>
      </x:c>
      <x:c r="AK18" s="226" t="n">
        <x:f>N18*AI18</x:f>
        <x:v>1587.6000000000001</x:v>
      </x:c>
      <x:c r="AL18" s="226" t="n">
        <x:f>AK18*AJ18</x:f>
        <x:v>12383.28</x:v>
      </x:c>
      <x:c r="AM18" s="226" t="str">
        <x:v>EUR</x:v>
      </x:c>
      <x:c r="AN18" s="226" t="n">
        <x:v>0.38</x:v>
      </x:c>
      <x:c r="AO18" s="226" t="n">
        <x:f>IF(AM18="EUR",AA18,IF(AM18="GBP",AB18,1))</x:f>
        <x:v>7.8</x:v>
      </x:c>
      <x:c r="AP18" s="226" t="n">
        <x:f>P18*AN18</x:f>
        <x:v>609.0336</x:v>
      </x:c>
      <x:c r="AQ18" s="226" t="n">
        <x:f>AP18*AO18</x:f>
        <x:v>4750.462079999999</x:v>
      </x:c>
      <x:c r="AR18" s="226" t="str">
        <x:v>EUR</x:v>
      </x:c>
      <x:c r="AS18" s="226" t="n">
        <x:v>3</x:v>
      </x:c>
      <x:c r="AT18" s="226" t="n">
        <x:f>IF(AR18="EUR",AA18,IF(AR18="GBP",AB18,1))</x:f>
        <x:v>7.8</x:v>
      </x:c>
      <x:c r="AU18" s="226" t="n">
        <x:f>T18*AS18</x:f>
        <x:v>272.15999999999997</x:v>
      </x:c>
      <x:c r="AV18" s="226" t="n">
        <x:f>AU18*AT18</x:f>
        <x:v>2122.8479999999995</x:v>
      </x:c>
      <x:c r="AW18" s="226" t="str">
        <x:v>EUR</x:v>
      </x:c>
      <x:c r="AX18" s="226" t="n">
        <x:v>2.3</x:v>
      </x:c>
      <x:c r="AY18" s="226" t="n">
        <x:f>IF(AW18="EUR",AA18,IF(AW18="GBP",AB18,1))</x:f>
        <x:v>7.8</x:v>
      </x:c>
      <x:c r="AZ18" s="226" t="n">
        <x:f>V18*AX18</x:f>
        <x:v>62.666352</x:v>
      </x:c>
      <x:c r="BA18" s="226" t="n">
        <x:f>AZ18*AY18</x:f>
        <x:v>488.79754560000003</x:v>
      </x:c>
      <x:c r="BB18" s="226" t="n">
        <x:f>AF18+AG18+AL18+AQ18+AV18+BA18</x:f>
        <x:v>41493.00302783999</x:v>
      </x:c>
      <x:c r="BC18" s="229" t="n">
        <x:v>0.961</x:v>
      </x:c>
      <x:c r="BD18" s="202"/>
      <x:c r="BE18" s="202"/>
      <x:c r="BF18" s="202"/>
      <x:c r="BG18" s="202" t="str">
        <x:v>UNVERIFIED_UNLIMITED_FOR_MVP</x:v>
      </x:c>
    </x:row>
    <x:row r="19">
      <x:c r="A19" s="187" t="str">
        <x:v>BUDGET_2026_V1</x:v>
      </x:c>
      <x:c r="B19" s="187" t="str">
        <x:v>BUDGET</x:v>
      </x:c>
      <x:c r="C19" s="187"/>
      <x:c r="D19" s="217" t="n">
        <x:v>46054</x:v>
      </x:c>
      <x:c r="E19" s="187" t="str">
        <x:v>R_FR_FR_B_ROAD</x:v>
      </x:c>
      <x:c r="F19" s="187" t="str">
        <x:v>FR</x:v>
      </x:c>
      <x:c r="G19" s="187" t="str">
        <x:v>FR_FC</x:v>
      </x:c>
      <x:c r="H19" s="187" t="str">
        <x:v>CARRIER_B</x:v>
      </x:c>
      <x:c r="I19" s="187" t="str">
        <x:v>ROAD</x:v>
      </x:c>
      <x:c r="J19" s="220" t="n">
        <x:v>13500</x:v>
      </x:c>
      <x:c r="K19" s="223" t="n">
        <x:v>0.32</x:v>
      </x:c>
      <x:c r="L19" s="223" t="n">
        <x:v>1</x:v>
      </x:c>
      <x:c r="M19" s="223" t="n">
        <x:v>0.65</x:v>
      </x:c>
      <x:c r="N19" s="226" t="n">
        <x:f>J19*K19*L19*M19</x:f>
        <x:v>2808</x:v>
      </x:c>
      <x:c r="O19" s="220" t="n">
        <x:v>1.06</x:v>
      </x:c>
      <x:c r="P19" s="226" t="n">
        <x:f>N19*O19</x:f>
        <x:v>2976.48</x:v>
      </x:c>
      <x:c r="Q19" s="220" t="n">
        <x:v>0.79</x:v>
      </x:c>
      <x:c r="R19" s="226" t="n">
        <x:f>P19*Q19</x:f>
        <x:v>2351.4192000000003</x:v>
      </x:c>
      <x:c r="S19" s="220" t="n">
        <x:v>0.06</x:v>
      </x:c>
      <x:c r="T19" s="226" t="n">
        <x:f>N19*S19</x:f>
        <x:v>168.48</x:v>
      </x:c>
      <x:c r="U19" s="226" t="n">
        <x:v>0.014</x:v>
      </x:c>
      <x:c r="V19" s="226" t="n">
        <x:f>P19*U19</x:f>
        <x:v>41.67072</x:v>
      </x:c>
      <x:c r="W19" s="196" t="str">
        <x:v>EUR</x:v>
      </x:c>
      <x:c r="X19" s="220" t="n">
        <x:v>2.6</x:v>
      </x:c>
      <x:c r="Y19" s="196" t="str">
        <x:v>PER_CHARGEABLE_KG</x:v>
      </x:c>
      <x:c r="Z19" s="220" t="n">
        <x:v>0.2</x:v>
      </x:c>
      <x:c r="AA19" s="220" t="n">
        <x:v>7.8</x:v>
      </x:c>
      <x:c r="AB19" s="220" t="n">
        <x:v>9</x:v>
      </x:c>
      <x:c r="AC19" s="226" t="n">
        <x:f>IF(W19="EUR",AA19,IF(W19="GBP",AB19,1))</x:f>
        <x:v>7.8</x:v>
      </x:c>
      <x:c r="AD19" s="226" t="n">
        <x:f>R19*X19</x:f>
        <x:v>6113.689920000001</x:v>
      </x:c>
      <x:c r="AE19" s="226" t="n">
        <x:f>IF(Y19="PERCENTAGE_OF_BASE_FREIGHT",AD19*Z19,IF(Y19="PER_CHARGEABLE_KG",R19*Z19,P19*Z19))</x:f>
        <x:v>470.28384000000005</x:v>
      </x:c>
      <x:c r="AF19" s="226" t="n">
        <x:f>AD19*AC19</x:f>
        <x:v>47686.781376000006</x:v>
      </x:c>
      <x:c r="AG19" s="226" t="n">
        <x:f>AE19*AC19</x:f>
        <x:v>3668.2139520000005</x:v>
      </x:c>
      <x:c r="AH19" s="226" t="str">
        <x:v>EUR</x:v>
      </x:c>
      <x:c r="AI19" s="226" t="n">
        <x:v>1.05</x:v>
      </x:c>
      <x:c r="AJ19" s="226" t="n">
        <x:f>IF(AH19="EUR",AA19,IF(AH19="GBP",AB19,1))</x:f>
        <x:v>7.8</x:v>
      </x:c>
      <x:c r="AK19" s="226" t="n">
        <x:f>N19*AI19</x:f>
        <x:v>2948.4</x:v>
      </x:c>
      <x:c r="AL19" s="226" t="n">
        <x:f>AK19*AJ19</x:f>
        <x:v>22997.52</x:v>
      </x:c>
      <x:c r="AM19" s="226" t="str">
        <x:v>EUR</x:v>
      </x:c>
      <x:c r="AN19" s="226" t="n">
        <x:v>0.38</x:v>
      </x:c>
      <x:c r="AO19" s="226" t="n">
        <x:f>IF(AM19="EUR",AA19,IF(AM19="GBP",AB19,1))</x:f>
        <x:v>7.8</x:v>
      </x:c>
      <x:c r="AP19" s="226" t="n">
        <x:f>P19*AN19</x:f>
        <x:v>1131.0624</x:v>
      </x:c>
      <x:c r="AQ19" s="226" t="n">
        <x:f>AP19*AO19</x:f>
        <x:v>8822.28672</x:v>
      </x:c>
      <x:c r="AR19" s="226" t="str">
        <x:v>EUR</x:v>
      </x:c>
      <x:c r="AS19" s="226" t="n">
        <x:v>3</x:v>
      </x:c>
      <x:c r="AT19" s="226" t="n">
        <x:f>IF(AR19="EUR",AA19,IF(AR19="GBP",AB19,1))</x:f>
        <x:v>7.8</x:v>
      </x:c>
      <x:c r="AU19" s="226" t="n">
        <x:f>T19*AS19</x:f>
        <x:v>505.43999999999994</x:v>
      </x:c>
      <x:c r="AV19" s="226" t="n">
        <x:f>AU19*AT19</x:f>
        <x:v>3942.4319999999993</x:v>
      </x:c>
      <x:c r="AW19" s="226" t="str">
        <x:v>EUR</x:v>
      </x:c>
      <x:c r="AX19" s="226" t="n">
        <x:v>2.3</x:v>
      </x:c>
      <x:c r="AY19" s="226" t="n">
        <x:f>IF(AW19="EUR",AA19,IF(AW19="GBP",AB19,1))</x:f>
        <x:v>7.8</x:v>
      </x:c>
      <x:c r="AZ19" s="226" t="n">
        <x:f>V19*AX19</x:f>
        <x:v>95.842656</x:v>
      </x:c>
      <x:c r="BA19" s="226" t="n">
        <x:f>AZ19*AY19</x:f>
        <x:v>747.5727168000001</x:v>
      </x:c>
      <x:c r="BB19" s="226" t="n">
        <x:f>AF19+AG19+AL19+AQ19+AV19+BA19</x:f>
        <x:v>87864.80676480001</x:v>
      </x:c>
      <x:c r="BC19" s="229" t="n">
        <x:v>0.973</x:v>
      </x:c>
      <x:c r="BD19" s="202"/>
      <x:c r="BE19" s="202"/>
      <x:c r="BF19" s="202"/>
      <x:c r="BG19" s="202" t="str">
        <x:v>UNVERIFIED_UNLIMITED_FOR_MVP</x:v>
      </x:c>
    </x:row>
    <x:row r="20">
      <x:c r="A20" s="187" t="str">
        <x:v>BUDGET_2026_V1</x:v>
      </x:c>
      <x:c r="B20" s="187" t="str">
        <x:v>BUDGET</x:v>
      </x:c>
      <x:c r="C20" s="187"/>
      <x:c r="D20" s="217" t="n">
        <x:v>46054</x:v>
      </x:c>
      <x:c r="E20" s="187" t="str">
        <x:v>R_GB_DE_A_ROAD</x:v>
      </x:c>
      <x:c r="F20" s="187" t="str">
        <x:v>GB</x:v>
      </x:c>
      <x:c r="G20" s="187" t="str">
        <x:v>DE_FC</x:v>
      </x:c>
      <x:c r="H20" s="187" t="str">
        <x:v>CARRIER_A</x:v>
      </x:c>
      <x:c r="I20" s="187" t="str">
        <x:v>ROAD</x:v>
      </x:c>
      <x:c r="J20" s="220" t="n">
        <x:v>13500</x:v>
      </x:c>
      <x:c r="K20" s="223" t="n">
        <x:v>0.26</x:v>
      </x:c>
      <x:c r="L20" s="223" t="n">
        <x:v>0.96</x:v>
      </x:c>
      <x:c r="M20" s="223" t="n">
        <x:v>0.65</x:v>
      </x:c>
      <x:c r="N20" s="226" t="n">
        <x:f>J20*K20*L20*M20</x:f>
        <x:v>2190.2400000000002</x:v>
      </x:c>
      <x:c r="O20" s="220" t="n">
        <x:v>1.12</x:v>
      </x:c>
      <x:c r="P20" s="226" t="n">
        <x:f>N20*O20</x:f>
        <x:v>2453.0688000000005</x:v>
      </x:c>
      <x:c r="Q20" s="220" t="n">
        <x:v>1.02</x:v>
      </x:c>
      <x:c r="R20" s="226" t="n">
        <x:f>P20*Q20</x:f>
        <x:v>2502.1301760000006</x:v>
      </x:c>
      <x:c r="S20" s="220" t="n">
        <x:v>0.08</x:v>
      </x:c>
      <x:c r="T20" s="226" t="n">
        <x:f>N20*S20</x:f>
        <x:v>175.21920000000003</x:v>
      </x:c>
      <x:c r="U20" s="226" t="n">
        <x:v>0.022</x:v>
      </x:c>
      <x:c r="V20" s="226" t="n">
        <x:f>P20*U20</x:f>
        <x:v>53.967513600000004</x:v>
      </x:c>
      <x:c r="W20" s="196" t="str">
        <x:v>GBP</x:v>
      </x:c>
      <x:c r="X20" s="220" t="n">
        <x:v>4</x:v>
      </x:c>
      <x:c r="Y20" s="196" t="str">
        <x:v>PERCENTAGE_OF_BASE_FREIGHT</x:v>
      </x:c>
      <x:c r="Z20" s="220" t="n">
        <x:v>0.1</x:v>
      </x:c>
      <x:c r="AA20" s="220" t="n">
        <x:v>7.8</x:v>
      </x:c>
      <x:c r="AB20" s="220" t="n">
        <x:v>9</x:v>
      </x:c>
      <x:c r="AC20" s="226" t="n">
        <x:f>IF(W20="EUR",AA20,IF(W20="GBP",AB20,1))</x:f>
        <x:v>9</x:v>
      </x:c>
      <x:c r="AD20" s="226" t="n">
        <x:f>R20*X20</x:f>
        <x:v>10008.520704000002</x:v>
      </x:c>
      <x:c r="AE20" s="226" t="n">
        <x:f>IF(Y20="PERCENTAGE_OF_BASE_FREIGHT",AD20*Z20,IF(Y20="PER_CHARGEABLE_KG",R20*Z20,P20*Z20))</x:f>
        <x:v>1000.8520704000002</x:v>
      </x:c>
      <x:c r="AF20" s="226" t="n">
        <x:f>AD20*AC20</x:f>
        <x:v>90076.68633600001</x:v>
      </x:c>
      <x:c r="AG20" s="226" t="n">
        <x:f>AE20*AC20</x:f>
        <x:v>9007.668633600002</x:v>
      </x:c>
      <x:c r="AH20" s="226" t="str">
        <x:v>EUR</x:v>
      </x:c>
      <x:c r="AI20" s="226" t="n">
        <x:v>1.18</x:v>
      </x:c>
      <x:c r="AJ20" s="226" t="n">
        <x:f>IF(AH20="EUR",AA20,IF(AH20="GBP",AB20,1))</x:f>
        <x:v>7.8</x:v>
      </x:c>
      <x:c r="AK20" s="226" t="n">
        <x:f>N20*AI20</x:f>
        <x:v>2584.4832</x:v>
      </x:c>
      <x:c r="AL20" s="226" t="n">
        <x:f>AK20*AJ20</x:f>
        <x:v>20158.968960000002</x:v>
      </x:c>
      <x:c r="AM20" s="226" t="str">
        <x:v>EUR</x:v>
      </x:c>
      <x:c r="AN20" s="226" t="n">
        <x:v>0.42</x:v>
      </x:c>
      <x:c r="AO20" s="226" t="n">
        <x:f>IF(AM20="EUR",AA20,IF(AM20="GBP",AB20,1))</x:f>
        <x:v>7.8</x:v>
      </x:c>
      <x:c r="AP20" s="226" t="n">
        <x:f>P20*AN20</x:f>
        <x:v>1030.2888960000002</x:v>
      </x:c>
      <x:c r="AQ20" s="226" t="n">
        <x:f>AP20*AO20</x:f>
        <x:v>8036.253388800002</x:v>
      </x:c>
      <x:c r="AR20" s="226" t="str">
        <x:v>GBP</x:v>
      </x:c>
      <x:c r="AS20" s="226" t="n">
        <x:v>4.8</x:v>
      </x:c>
      <x:c r="AT20" s="226" t="n">
        <x:f>IF(AR20="EUR",AA20,IF(AR20="GBP",AB20,1))</x:f>
        <x:v>9</x:v>
      </x:c>
      <x:c r="AU20" s="226" t="n">
        <x:f>T20*AS20</x:f>
        <x:v>841.0521600000001</x:v>
      </x:c>
      <x:c r="AV20" s="226" t="n">
        <x:f>AU20*AT20</x:f>
        <x:v>7569.469440000001</x:v>
      </x:c>
      <x:c r="AW20" s="226" t="str">
        <x:v>GBP</x:v>
      </x:c>
      <x:c r="AX20" s="226" t="n">
        <x:v>2.3</x:v>
      </x:c>
      <x:c r="AY20" s="226" t="n">
        <x:f>IF(AW20="EUR",AA20,IF(AW20="GBP",AB20,1))</x:f>
        <x:v>9</x:v>
      </x:c>
      <x:c r="AZ20" s="226" t="n">
        <x:f>V20*AX20</x:f>
        <x:v>124.12528128</x:v>
      </x:c>
      <x:c r="BA20" s="226" t="n">
        <x:f>AZ20*AY20</x:f>
        <x:v>1117.12753152</x:v>
      </x:c>
      <x:c r="BB20" s="226" t="n">
        <x:f>AF20+AG20+AL20+AQ20+AV20+BA20</x:f>
        <x:v>135966.17428992002</x:v>
      </x:c>
      <x:c r="BC20" s="229" t="n">
        <x:v>0.93</x:v>
      </x:c>
      <x:c r="BD20" s="202"/>
      <x:c r="BE20" s="202"/>
      <x:c r="BF20" s="202"/>
      <x:c r="BG20" s="202" t="str">
        <x:v>UNVERIFIED_UNLIMITED_FOR_MVP</x:v>
      </x:c>
    </x:row>
    <x:row r="21">
      <x:c r="A21" s="187" t="str">
        <x:v>BUDGET_2026_V1</x:v>
      </x:c>
      <x:c r="B21" s="187" t="str">
        <x:v>BUDGET</x:v>
      </x:c>
      <x:c r="C21" s="187"/>
      <x:c r="D21" s="217" t="n">
        <x:v>46054</x:v>
      </x:c>
      <x:c r="E21" s="187" t="str">
        <x:v>R_GB_DE_B_ROAD</x:v>
      </x:c>
      <x:c r="F21" s="187" t="str">
        <x:v>GB</x:v>
      </x:c>
      <x:c r="G21" s="187" t="str">
        <x:v>DE_FC</x:v>
      </x:c>
      <x:c r="H21" s="187" t="str">
        <x:v>CARRIER_B</x:v>
      </x:c>
      <x:c r="I21" s="187" t="str">
        <x:v>ROAD</x:v>
      </x:c>
      <x:c r="J21" s="220" t="n">
        <x:v>13500</x:v>
      </x:c>
      <x:c r="K21" s="223" t="n">
        <x:v>0.26</x:v>
      </x:c>
      <x:c r="L21" s="223" t="n">
        <x:v>0.96</x:v>
      </x:c>
      <x:c r="M21" s="223" t="n">
        <x:v>0.25</x:v>
      </x:c>
      <x:c r="N21" s="226" t="n">
        <x:f>J21*K21*L21*M21</x:f>
        <x:v>842.4</x:v>
      </x:c>
      <x:c r="O21" s="220" t="n">
        <x:v>1.12</x:v>
      </x:c>
      <x:c r="P21" s="226" t="n">
        <x:f>N21*O21</x:f>
        <x:v>943.488</x:v>
      </x:c>
      <x:c r="Q21" s="220" t="n">
        <x:v>1</x:v>
      </x:c>
      <x:c r="R21" s="226" t="n">
        <x:f>P21*Q21</x:f>
        <x:v>943.488</x:v>
      </x:c>
      <x:c r="S21" s="220" t="n">
        <x:v>0.08</x:v>
      </x:c>
      <x:c r="T21" s="226" t="n">
        <x:f>N21*S21</x:f>
        <x:v>67.392</x:v>
      </x:c>
      <x:c r="U21" s="226" t="n">
        <x:v>0.017</x:v>
      </x:c>
      <x:c r="V21" s="226" t="n">
        <x:f>P21*U21</x:f>
        <x:v>16.039296000000004</x:v>
      </x:c>
      <x:c r="W21" s="196" t="str">
        <x:v>GBP</x:v>
      </x:c>
      <x:c r="X21" s="220" t="n">
        <x:v>4.7</x:v>
      </x:c>
      <x:c r="Y21" s="196" t="str">
        <x:v>PER_CHARGEABLE_KG</x:v>
      </x:c>
      <x:c r="Z21" s="220" t="n">
        <x:v>0.33</x:v>
      </x:c>
      <x:c r="AA21" s="220" t="n">
        <x:v>7.8</x:v>
      </x:c>
      <x:c r="AB21" s="220" t="n">
        <x:v>9</x:v>
      </x:c>
      <x:c r="AC21" s="226" t="n">
        <x:f>IF(W21="EUR",AA21,IF(W21="GBP",AB21,1))</x:f>
        <x:v>9</x:v>
      </x:c>
      <x:c r="AD21" s="226" t="n">
        <x:f>R21*X21</x:f>
        <x:v>4434.3936</x:v>
      </x:c>
      <x:c r="AE21" s="226" t="n">
        <x:f>IF(Y21="PERCENTAGE_OF_BASE_FREIGHT",AD21*Z21,IF(Y21="PER_CHARGEABLE_KG",R21*Z21,P21*Z21))</x:f>
        <x:v>311.35104</x:v>
      </x:c>
      <x:c r="AF21" s="226" t="n">
        <x:f>AD21*AC21</x:f>
        <x:v>39909.542400000006</x:v>
      </x:c>
      <x:c r="AG21" s="226" t="n">
        <x:f>AE21*AC21</x:f>
        <x:v>2802.15936</x:v>
      </x:c>
      <x:c r="AH21" s="226" t="str">
        <x:v>EUR</x:v>
      </x:c>
      <x:c r="AI21" s="226" t="n">
        <x:v>1.18</x:v>
      </x:c>
      <x:c r="AJ21" s="226" t="n">
        <x:f>IF(AH21="EUR",AA21,IF(AH21="GBP",AB21,1))</x:f>
        <x:v>7.8</x:v>
      </x:c>
      <x:c r="AK21" s="226" t="n">
        <x:f>N21*AI21</x:f>
        <x:v>994.0319999999999</x:v>
      </x:c>
      <x:c r="AL21" s="226" t="n">
        <x:f>AK21*AJ21</x:f>
        <x:v>7753.449599999999</x:v>
      </x:c>
      <x:c r="AM21" s="226" t="str">
        <x:v>EUR</x:v>
      </x:c>
      <x:c r="AN21" s="226" t="n">
        <x:v>0.42</x:v>
      </x:c>
      <x:c r="AO21" s="226" t="n">
        <x:f>IF(AM21="EUR",AA21,IF(AM21="GBP",AB21,1))</x:f>
        <x:v>7.8</x:v>
      </x:c>
      <x:c r="AP21" s="226" t="n">
        <x:f>P21*AN21</x:f>
        <x:v>396.26496000000003</x:v>
      </x:c>
      <x:c r="AQ21" s="226" t="n">
        <x:f>AP21*AO21</x:f>
        <x:v>3090.866688</x:v>
      </x:c>
      <x:c r="AR21" s="226" t="str">
        <x:v>GBP</x:v>
      </x:c>
      <x:c r="AS21" s="226" t="n">
        <x:v>4.8</x:v>
      </x:c>
      <x:c r="AT21" s="226" t="n">
        <x:f>IF(AR21="EUR",AA21,IF(AR21="GBP",AB21,1))</x:f>
        <x:v>9</x:v>
      </x:c>
      <x:c r="AU21" s="226" t="n">
        <x:f>T21*AS21</x:f>
        <x:v>323.48159999999996</x:v>
      </x:c>
      <x:c r="AV21" s="226" t="n">
        <x:f>AU21*AT21</x:f>
        <x:v>2911.3343999999997</x:v>
      </x:c>
      <x:c r="AW21" s="226" t="str">
        <x:v>GBP</x:v>
      </x:c>
      <x:c r="AX21" s="226" t="n">
        <x:v>2.3</x:v>
      </x:c>
      <x:c r="AY21" s="226" t="n">
        <x:f>IF(AW21="EUR",AA21,IF(AW21="GBP",AB21,1))</x:f>
        <x:v>9</x:v>
      </x:c>
      <x:c r="AZ21" s="226" t="n">
        <x:f>V21*AX21</x:f>
        <x:v>36.8903808</x:v>
      </x:c>
      <x:c r="BA21" s="226" t="n">
        <x:f>AZ21*AY21</x:f>
        <x:v>332.0134272</x:v>
      </x:c>
      <x:c r="BB21" s="226" t="n">
        <x:f>AF21+AG21+AL21+AQ21+AV21+BA21</x:f>
        <x:v>56799.365875200005</x:v>
      </x:c>
      <x:c r="BC21" s="229" t="n">
        <x:v>0.95</x:v>
      </x:c>
      <x:c r="BD21" s="202"/>
      <x:c r="BE21" s="202"/>
      <x:c r="BF21" s="202"/>
      <x:c r="BG21" s="202" t="str">
        <x:v>UNVERIFIED_UNLIMITED_FOR_MVP</x:v>
      </x:c>
    </x:row>
    <x:row r="22">
      <x:c r="A22" s="187" t="str">
        <x:v>BUDGET_2026_V1</x:v>
      </x:c>
      <x:c r="B22" s="187" t="str">
        <x:v>BUDGET</x:v>
      </x:c>
      <x:c r="C22" s="187"/>
      <x:c r="D22" s="217" t="n">
        <x:v>46054</x:v>
      </x:c>
      <x:c r="E22" s="187" t="str">
        <x:v>R_GB_DE_B_AIR</x:v>
      </x:c>
      <x:c r="F22" s="187" t="str">
        <x:v>GB</x:v>
      </x:c>
      <x:c r="G22" s="187" t="str">
        <x:v>DE_FC</x:v>
      </x:c>
      <x:c r="H22" s="187" t="str">
        <x:v>CARRIER_B</x:v>
      </x:c>
      <x:c r="I22" s="187" t="str">
        <x:v>AIR</x:v>
      </x:c>
      <x:c r="J22" s="220" t="n">
        <x:v>13500</x:v>
      </x:c>
      <x:c r="K22" s="223" t="n">
        <x:v>0.26</x:v>
      </x:c>
      <x:c r="L22" s="223" t="n">
        <x:v>0.96</x:v>
      </x:c>
      <x:c r="M22" s="223" t="n">
        <x:v>0.07</x:v>
      </x:c>
      <x:c r="N22" s="226" t="n">
        <x:f>J22*K22*L22*M22</x:f>
        <x:v>235.872</x:v>
      </x:c>
      <x:c r="O22" s="220" t="n">
        <x:v>1.12</x:v>
      </x:c>
      <x:c r="P22" s="226" t="n">
        <x:f>N22*O22</x:f>
        <x:v>264.17664</x:v>
      </x:c>
      <x:c r="Q22" s="220" t="n">
        <x:v>0.94</x:v>
      </x:c>
      <x:c r="R22" s="226" t="n">
        <x:f>P22*Q22</x:f>
        <x:v>248.3260416</x:v>
      </x:c>
      <x:c r="S22" s="220" t="n">
        <x:v>0.08</x:v>
      </x:c>
      <x:c r="T22" s="226" t="n">
        <x:f>N22*S22</x:f>
        <x:v>18.869760000000003</x:v>
      </x:c>
      <x:c r="U22" s="226" t="n">
        <x:v>0.013</x:v>
      </x:c>
      <x:c r="V22" s="226" t="n">
        <x:f>P22*U22</x:f>
        <x:v>3.43429632</x:v>
      </x:c>
      <x:c r="W22" s="196" t="str">
        <x:v>GBP</x:v>
      </x:c>
      <x:c r="X22" s="220" t="n">
        <x:v>6.2</x:v>
      </x:c>
      <x:c r="Y22" s="196" t="str">
        <x:v>PERCENTAGE_OF_BASE_FREIGHT</x:v>
      </x:c>
      <x:c r="Z22" s="220" t="n">
        <x:v>0.115</x:v>
      </x:c>
      <x:c r="AA22" s="220" t="n">
        <x:v>7.8</x:v>
      </x:c>
      <x:c r="AB22" s="220" t="n">
        <x:v>9</x:v>
      </x:c>
      <x:c r="AC22" s="226" t="n">
        <x:f>IF(W22="EUR",AA22,IF(W22="GBP",AB22,1))</x:f>
        <x:v>9</x:v>
      </x:c>
      <x:c r="AD22" s="226" t="n">
        <x:f>R22*X22</x:f>
        <x:v>1539.62145792</x:v>
      </x:c>
      <x:c r="AE22" s="226" t="n">
        <x:f>IF(Y22="PERCENTAGE_OF_BASE_FREIGHT",AD22*Z22,IF(Y22="PER_CHARGEABLE_KG",R22*Z22,P22*Z22))</x:f>
        <x:v>177.0564676608</x:v>
      </x:c>
      <x:c r="AF22" s="226" t="n">
        <x:f>AD22*AC22</x:f>
        <x:v>13856.59312128</x:v>
      </x:c>
      <x:c r="AG22" s="226" t="n">
        <x:f>AE22*AC22</x:f>
        <x:v>1593.5082089472</x:v>
      </x:c>
      <x:c r="AH22" s="226" t="str">
        <x:v>EUR</x:v>
      </x:c>
      <x:c r="AI22" s="226" t="n">
        <x:v>1.18</x:v>
      </x:c>
      <x:c r="AJ22" s="226" t="n">
        <x:f>IF(AH22="EUR",AA22,IF(AH22="GBP",AB22,1))</x:f>
        <x:v>7.8</x:v>
      </x:c>
      <x:c r="AK22" s="226" t="n">
        <x:f>N22*AI22</x:f>
        <x:v>278.32896</x:v>
      </x:c>
      <x:c r="AL22" s="226" t="n">
        <x:f>AK22*AJ22</x:f>
        <x:v>2170.9658879999997</x:v>
      </x:c>
      <x:c r="AM22" s="226" t="str">
        <x:v>EUR</x:v>
      </x:c>
      <x:c r="AN22" s="226" t="n">
        <x:v>0.42</x:v>
      </x:c>
      <x:c r="AO22" s="226" t="n">
        <x:f>IF(AM22="EUR",AA22,IF(AM22="GBP",AB22,1))</x:f>
        <x:v>7.8</x:v>
      </x:c>
      <x:c r="AP22" s="226" t="n">
        <x:f>P22*AN22</x:f>
        <x:v>110.95418880000001</x:v>
      </x:c>
      <x:c r="AQ22" s="226" t="n">
        <x:f>AP22*AO22</x:f>
        <x:v>865.4426726400001</x:v>
      </x:c>
      <x:c r="AR22" s="226" t="str">
        <x:v>GBP</x:v>
      </x:c>
      <x:c r="AS22" s="226" t="n">
        <x:v>4.8</x:v>
      </x:c>
      <x:c r="AT22" s="226" t="n">
        <x:f>IF(AR22="EUR",AA22,IF(AR22="GBP",AB22,1))</x:f>
        <x:v>9</x:v>
      </x:c>
      <x:c r="AU22" s="226" t="n">
        <x:f>T22*AS22</x:f>
        <x:v>90.57484800000002</x:v>
      </x:c>
      <x:c r="AV22" s="226" t="n">
        <x:f>AU22*AT22</x:f>
        <x:v>815.1736320000001</x:v>
      </x:c>
      <x:c r="AW22" s="226" t="str">
        <x:v>GBP</x:v>
      </x:c>
      <x:c r="AX22" s="226" t="n">
        <x:v>2.8</x:v>
      </x:c>
      <x:c r="AY22" s="226" t="n">
        <x:f>IF(AW22="EUR",AA22,IF(AW22="GBP",AB22,1))</x:f>
        <x:v>9</x:v>
      </x:c>
      <x:c r="AZ22" s="226" t="n">
        <x:f>V22*AX22</x:f>
        <x:v>9.616029696</x:v>
      </x:c>
      <x:c r="BA22" s="226" t="n">
        <x:f>AZ22*AY22</x:f>
        <x:v>86.544267264</x:v>
      </x:c>
      <x:c r="BB22" s="226" t="n">
        <x:f>AF22+AG22+AL22+AQ22+AV22+BA22</x:f>
        <x:v>19388.2277901312</x:v>
      </x:c>
      <x:c r="BC22" s="229" t="n">
        <x:v>0.974</x:v>
      </x:c>
      <x:c r="BD22" s="202"/>
      <x:c r="BE22" s="202"/>
      <x:c r="BF22" s="202"/>
      <x:c r="BG22" s="202" t="str">
        <x:v>UNVERIFIED_UNLIMITED_FOR_MVP</x:v>
      </x:c>
    </x:row>
    <x:row r="23">
      <x:c r="A23" s="187" t="str">
        <x:v>BUDGET_2026_V1</x:v>
      </x:c>
      <x:c r="B23" s="187" t="str">
        <x:v>BUDGET</x:v>
      </x:c>
      <x:c r="C23" s="187"/>
      <x:c r="D23" s="217" t="n">
        <x:v>46054</x:v>
      </x:c>
      <x:c r="E23" s="187" t="str">
        <x:v>R_GB_DE_C_AIR</x:v>
      </x:c>
      <x:c r="F23" s="187" t="str">
        <x:v>GB</x:v>
      </x:c>
      <x:c r="G23" s="187" t="str">
        <x:v>DE_FC</x:v>
      </x:c>
      <x:c r="H23" s="187" t="str">
        <x:v>CARRIER_C</x:v>
      </x:c>
      <x:c r="I23" s="187" t="str">
        <x:v>AIR</x:v>
      </x:c>
      <x:c r="J23" s="220" t="n">
        <x:v>13500</x:v>
      </x:c>
      <x:c r="K23" s="223" t="n">
        <x:v>0.26</x:v>
      </x:c>
      <x:c r="L23" s="223" t="n">
        <x:v>0.96</x:v>
      </x:c>
      <x:c r="M23" s="223" t="n">
        <x:v>0.03</x:v>
      </x:c>
      <x:c r="N23" s="226" t="n">
        <x:f>J23*K23*L23*M23</x:f>
        <x:v>101.088</x:v>
      </x:c>
      <x:c r="O23" s="220" t="n">
        <x:v>1.12</x:v>
      </x:c>
      <x:c r="P23" s="226" t="n">
        <x:f>N23*O23</x:f>
        <x:v>113.21856000000001</x:v>
      </x:c>
      <x:c r="Q23" s="220" t="n">
        <x:v>0.92</x:v>
      </x:c>
      <x:c r="R23" s="226" t="n">
        <x:f>P23*Q23</x:f>
        <x:v>104.16107520000001</x:v>
      </x:c>
      <x:c r="S23" s="220" t="n">
        <x:v>0.08</x:v>
      </x:c>
      <x:c r="T23" s="226" t="n">
        <x:f>N23*S23</x:f>
        <x:v>8.08704</x:v>
      </x:c>
      <x:c r="U23" s="226" t="n">
        <x:v>0.009</x:v>
      </x:c>
      <x:c r="V23" s="226" t="n">
        <x:f>P23*U23</x:f>
        <x:v>1.01896704</x:v>
      </x:c>
      <x:c r="W23" s="196" t="str">
        <x:v>GBP</x:v>
      </x:c>
      <x:c r="X23" s="220" t="n">
        <x:v>7.5</x:v>
      </x:c>
      <x:c r="Y23" s="196" t="str">
        <x:v>PER_CHARGEABLE_KG</x:v>
      </x:c>
      <x:c r="Z23" s="220" t="n">
        <x:v>0.58</x:v>
      </x:c>
      <x:c r="AA23" s="220" t="n">
        <x:v>7.8</x:v>
      </x:c>
      <x:c r="AB23" s="220" t="n">
        <x:v>9</x:v>
      </x:c>
      <x:c r="AC23" s="226" t="n">
        <x:f>IF(W23="EUR",AA23,IF(W23="GBP",AB23,1))</x:f>
        <x:v>9</x:v>
      </x:c>
      <x:c r="AD23" s="226" t="n">
        <x:f>R23*X23</x:f>
        <x:v>781.2080640000001</x:v>
      </x:c>
      <x:c r="AE23" s="226" t="n">
        <x:f>IF(Y23="PERCENTAGE_OF_BASE_FREIGHT",AD23*Z23,IF(Y23="PER_CHARGEABLE_KG",R23*Z23,P23*Z23))</x:f>
        <x:v>60.413423616</x:v>
      </x:c>
      <x:c r="AF23" s="226" t="n">
        <x:f>AD23*AC23</x:f>
        <x:v>7030.872576000002</x:v>
      </x:c>
      <x:c r="AG23" s="226" t="n">
        <x:f>AE23*AC23</x:f>
        <x:v>543.7208125440001</x:v>
      </x:c>
      <x:c r="AH23" s="226" t="str">
        <x:v>EUR</x:v>
      </x:c>
      <x:c r="AI23" s="226" t="n">
        <x:v>1.18</x:v>
      </x:c>
      <x:c r="AJ23" s="226" t="n">
        <x:f>IF(AH23="EUR",AA23,IF(AH23="GBP",AB23,1))</x:f>
        <x:v>7.8</x:v>
      </x:c>
      <x:c r="AK23" s="226" t="n">
        <x:f>N23*AI23</x:f>
        <x:v>119.28383999999998</x:v>
      </x:c>
      <x:c r="AL23" s="226" t="n">
        <x:f>AK23*AJ23</x:f>
        <x:v>930.4139519999999</x:v>
      </x:c>
      <x:c r="AM23" s="226" t="str">
        <x:v>EUR</x:v>
      </x:c>
      <x:c r="AN23" s="226" t="n">
        <x:v>0.42</x:v>
      </x:c>
      <x:c r="AO23" s="226" t="n">
        <x:f>IF(AM23="EUR",AA23,IF(AM23="GBP",AB23,1))</x:f>
        <x:v>7.8</x:v>
      </x:c>
      <x:c r="AP23" s="226" t="n">
        <x:f>P23*AN23</x:f>
        <x:v>47.5517952</x:v>
      </x:c>
      <x:c r="AQ23" s="226" t="n">
        <x:f>AP23*AO23</x:f>
        <x:v>370.90400256</x:v>
      </x:c>
      <x:c r="AR23" s="226" t="str">
        <x:v>GBP</x:v>
      </x:c>
      <x:c r="AS23" s="226" t="n">
        <x:v>4.8</x:v>
      </x:c>
      <x:c r="AT23" s="226" t="n">
        <x:f>IF(AR23="EUR",AA23,IF(AR23="GBP",AB23,1))</x:f>
        <x:v>9</x:v>
      </x:c>
      <x:c r="AU23" s="226" t="n">
        <x:f>T23*AS23</x:f>
        <x:v>38.817792</x:v>
      </x:c>
      <x:c r="AV23" s="226" t="n">
        <x:f>AU23*AT23</x:f>
        <x:v>349.360128</x:v>
      </x:c>
      <x:c r="AW23" s="226" t="str">
        <x:v>GBP</x:v>
      </x:c>
      <x:c r="AX23" s="226" t="n">
        <x:v>3.6</x:v>
      </x:c>
      <x:c r="AY23" s="226" t="n">
        <x:f>IF(AW23="EUR",AA23,IF(AW23="GBP",AB23,1))</x:f>
        <x:v>9</x:v>
      </x:c>
      <x:c r="AZ23" s="226" t="n">
        <x:f>V23*AX23</x:f>
        <x:v>3.668281344</x:v>
      </x:c>
      <x:c r="BA23" s="226" t="n">
        <x:f>AZ23*AY23</x:f>
        <x:v>33.014532095999996</x:v>
      </x:c>
      <x:c r="BB23" s="226" t="n">
        <x:f>AF23+AG23+AL23+AQ23+AV23+BA23</x:f>
        <x:v>9258.286003200003</x:v>
      </x:c>
      <x:c r="BC23" s="229" t="n">
        <x:v>0.988</x:v>
      </x:c>
      <x:c r="BD23" s="202"/>
      <x:c r="BE23" s="202"/>
      <x:c r="BF23" s="202"/>
      <x:c r="BG23" s="202" t="str">
        <x:v>UNVERIFIED_UNLIMITED_FOR_MVP</x:v>
      </x:c>
    </x:row>
    <x:row r="24">
      <x:c r="A24" s="187" t="str">
        <x:v>BUDGET_2026_V1</x:v>
      </x:c>
      <x:c r="B24" s="187" t="str">
        <x:v>BUDGET</x:v>
      </x:c>
      <x:c r="C24" s="187"/>
      <x:c r="D24" s="217" t="n">
        <x:v>46054</x:v>
      </x:c>
      <x:c r="E24" s="187" t="str">
        <x:v>R_GB_FR_B_AIR</x:v>
      </x:c>
      <x:c r="F24" s="187" t="str">
        <x:v>GB</x:v>
      </x:c>
      <x:c r="G24" s="187" t="str">
        <x:v>FR_FC</x:v>
      </x:c>
      <x:c r="H24" s="187" t="str">
        <x:v>CARRIER_B</x:v>
      </x:c>
      <x:c r="I24" s="187" t="str">
        <x:v>AIR</x:v>
      </x:c>
      <x:c r="J24" s="220" t="n">
        <x:v>13500</x:v>
      </x:c>
      <x:c r="K24" s="223" t="n">
        <x:v>0.26</x:v>
      </x:c>
      <x:c r="L24" s="223" t="n">
        <x:v>0.04</x:v>
      </x:c>
      <x:c r="M24" s="223" t="n">
        <x:v>1</x:v>
      </x:c>
      <x:c r="N24" s="226" t="n">
        <x:f>J24*K24*L24*M24</x:f>
        <x:v>140.4</x:v>
      </x:c>
      <x:c r="O24" s="220" t="n">
        <x:v>1.15</x:v>
      </x:c>
      <x:c r="P24" s="226" t="n">
        <x:f>N24*O24</x:f>
        <x:v>161.46</x:v>
      </x:c>
      <x:c r="Q24" s="220" t="n">
        <x:v>0.9</x:v>
      </x:c>
      <x:c r="R24" s="226" t="n">
        <x:f>P24*Q24</x:f>
        <x:v>145.31400000000002</x:v>
      </x:c>
      <x:c r="S24" s="220" t="n">
        <x:v>0.08</x:v>
      </x:c>
      <x:c r="T24" s="226" t="n">
        <x:f>N24*S24</x:f>
        <x:v>11.232000000000001</x:v>
      </x:c>
      <x:c r="U24" s="226" t="n">
        <x:v>0.012</x:v>
      </x:c>
      <x:c r="V24" s="226" t="n">
        <x:f>P24*U24</x:f>
        <x:v>1.9375200000000001</x:v>
      </x:c>
      <x:c r="W24" s="196" t="str">
        <x:v>EUR</x:v>
      </x:c>
      <x:c r="X24" s="220" t="n">
        <x:v>6.7</x:v>
      </x:c>
      <x:c r="Y24" s="196" t="str">
        <x:v>PERCENTAGE_OF_BASE_FREIGHT</x:v>
      </x:c>
      <x:c r="Z24" s="220" t="n">
        <x:v>0.105</x:v>
      </x:c>
      <x:c r="AA24" s="220" t="n">
        <x:v>7.8</x:v>
      </x:c>
      <x:c r="AB24" s="220" t="n">
        <x:v>9</x:v>
      </x:c>
      <x:c r="AC24" s="226" t="n">
        <x:f>IF(W24="EUR",AA24,IF(W24="GBP",AB24,1))</x:f>
        <x:v>7.8</x:v>
      </x:c>
      <x:c r="AD24" s="226" t="n">
        <x:f>R24*X24</x:f>
        <x:v>973.6038000000002</x:v>
      </x:c>
      <x:c r="AE24" s="226" t="n">
        <x:f>IF(Y24="PERCENTAGE_OF_BASE_FREIGHT",AD24*Z24,IF(Y24="PER_CHARGEABLE_KG",R24*Z24,P24*Z24))</x:f>
        <x:v>102.22839900000002</x:v>
      </x:c>
      <x:c r="AF24" s="226" t="n">
        <x:f>AD24*AC24</x:f>
        <x:v>7594.1096400000015</x:v>
      </x:c>
      <x:c r="AG24" s="226" t="n">
        <x:f>AE24*AC24</x:f>
        <x:v>797.3815122000002</x:v>
      </x:c>
      <x:c r="AH24" s="226" t="str">
        <x:v>EUR</x:v>
      </x:c>
      <x:c r="AI24" s="226" t="n">
        <x:v>1.05</x:v>
      </x:c>
      <x:c r="AJ24" s="226" t="n">
        <x:f>IF(AH24="EUR",AA24,IF(AH24="GBP",AB24,1))</x:f>
        <x:v>7.8</x:v>
      </x:c>
      <x:c r="AK24" s="226" t="n">
        <x:f>N24*AI24</x:f>
        <x:v>147.42000000000002</x:v>
      </x:c>
      <x:c r="AL24" s="226" t="n">
        <x:f>AK24*AJ24</x:f>
        <x:v>1149.8760000000002</x:v>
      </x:c>
      <x:c r="AM24" s="226" t="str">
        <x:v>EUR</x:v>
      </x:c>
      <x:c r="AN24" s="226" t="n">
        <x:v>0.38</x:v>
      </x:c>
      <x:c r="AO24" s="226" t="n">
        <x:f>IF(AM24="EUR",AA24,IF(AM24="GBP",AB24,1))</x:f>
        <x:v>7.8</x:v>
      </x:c>
      <x:c r="AP24" s="226" t="n">
        <x:f>P24*AN24</x:f>
        <x:v>61.354800000000004</x:v>
      </x:c>
      <x:c r="AQ24" s="226" t="n">
        <x:f>AP24*AO24</x:f>
        <x:v>478.56744000000003</x:v>
      </x:c>
      <x:c r="AR24" s="226" t="str">
        <x:v>EUR</x:v>
      </x:c>
      <x:c r="AS24" s="226" t="n">
        <x:v>5.2</x:v>
      </x:c>
      <x:c r="AT24" s="226" t="n">
        <x:f>IF(AR24="EUR",AA24,IF(AR24="GBP",AB24,1))</x:f>
        <x:v>7.8</x:v>
      </x:c>
      <x:c r="AU24" s="226" t="n">
        <x:f>T24*AS24</x:f>
        <x:v>58.406400000000005</x:v>
      </x:c>
      <x:c r="AV24" s="226" t="n">
        <x:f>AU24*AT24</x:f>
        <x:v>455.56992</x:v>
      </x:c>
      <x:c r="AW24" s="226" t="str">
        <x:v>EUR</x:v>
      </x:c>
      <x:c r="AX24" s="226" t="n">
        <x:v>2.8</x:v>
      </x:c>
      <x:c r="AY24" s="226" t="n">
        <x:f>IF(AW24="EUR",AA24,IF(AW24="GBP",AB24,1))</x:f>
        <x:v>7.8</x:v>
      </x:c>
      <x:c r="AZ24" s="226" t="n">
        <x:f>V24*AX24</x:f>
        <x:v>5.425056</x:v>
      </x:c>
      <x:c r="BA24" s="226" t="n">
        <x:f>AZ24*AY24</x:f>
        <x:v>42.31543679999999</x:v>
      </x:c>
      <x:c r="BB24" s="226" t="n">
        <x:f>AF24+AG24+AL24+AQ24+AV24+BA24</x:f>
        <x:v>10517.819949000002</x:v>
      </x:c>
      <x:c r="BC24" s="229" t="n">
        <x:v>0.971</x:v>
      </x:c>
      <x:c r="BD24" s="202"/>
      <x:c r="BE24" s="202"/>
      <x:c r="BF24" s="202"/>
      <x:c r="BG24" s="202" t="str">
        <x:v>UNVERIFIED_UNLIMITED_FOR_MVP</x:v>
      </x:c>
    </x:row>
    <x:row r="25">
      <x:c r="A25" s="187" t="str">
        <x:v>BUDGET_2026_V1</x:v>
      </x:c>
      <x:c r="B25" s="187" t="str">
        <x:v>BUDGET</x:v>
      </x:c>
      <x:c r="C25" s="187"/>
      <x:c r="D25" s="217" t="n">
        <x:v>46082</x:v>
      </x:c>
      <x:c r="E25" s="187" t="str">
        <x:v>R_DE_DE_A_ROAD</x:v>
      </x:c>
      <x:c r="F25" s="187" t="str">
        <x:v>DE</x:v>
      </x:c>
      <x:c r="G25" s="187" t="str">
        <x:v>DE_FC</x:v>
      </x:c>
      <x:c r="H25" s="187" t="str">
        <x:v>CARRIER_A</x:v>
      </x:c>
      <x:c r="I25" s="187" t="str">
        <x:v>ROAD</x:v>
      </x:c>
      <x:c r="J25" s="220" t="n">
        <x:v>15000</x:v>
      </x:c>
      <x:c r="K25" s="223" t="n">
        <x:v>0.4</x:v>
      </x:c>
      <x:c r="L25" s="223" t="n">
        <x:v>0.97</x:v>
      </x:c>
      <x:c r="M25" s="223" t="n">
        <x:v>0.6</x:v>
      </x:c>
      <x:c r="N25" s="226" t="n">
        <x:f>J25*K25*L25*M25</x:f>
        <x:v>3492</x:v>
      </x:c>
      <x:c r="O25" s="220" t="n">
        <x:v>1.05</x:v>
      </x:c>
      <x:c r="P25" s="226" t="n">
        <x:f>N25*O25</x:f>
        <x:v>3666.6000000000004</x:v>
      </x:c>
      <x:c r="Q25" s="220" t="n">
        <x:v>0.78</x:v>
      </x:c>
      <x:c r="R25" s="226" t="n">
        <x:f>P25*Q25</x:f>
        <x:v>2859.9480000000003</x:v>
      </x:c>
      <x:c r="S25" s="220" t="n">
        <x:v>0.05</x:v>
      </x:c>
      <x:c r="T25" s="226" t="n">
        <x:f>N25*S25</x:f>
        <x:v>174.60000000000002</x:v>
      </x:c>
      <x:c r="U25" s="226" t="n">
        <x:v>0.016</x:v>
      </x:c>
      <x:c r="V25" s="226" t="n">
        <x:f>P25*U25</x:f>
        <x:v>58.665600000000005</x:v>
      </x:c>
      <x:c r="W25" s="196" t="str">
        <x:v>EUR</x:v>
      </x:c>
      <x:c r="X25" s="220" t="n">
        <x:v>2.2</x:v>
      </x:c>
      <x:c r="Y25" s="196" t="str">
        <x:v>PERCENTAGE_OF_BASE_FREIGHT</x:v>
      </x:c>
      <x:c r="Z25" s="220" t="n">
        <x:v>0.095</x:v>
      </x:c>
      <x:c r="AA25" s="220" t="n">
        <x:v>7.8</x:v>
      </x:c>
      <x:c r="AB25" s="220" t="n">
        <x:v>9</x:v>
      </x:c>
      <x:c r="AC25" s="226" t="n">
        <x:f>IF(W25="EUR",AA25,IF(W25="GBP",AB25,1))</x:f>
        <x:v>7.8</x:v>
      </x:c>
      <x:c r="AD25" s="226" t="n">
        <x:f>R25*X25</x:f>
        <x:v>6291.885600000001</x:v>
      </x:c>
      <x:c r="AE25" s="226" t="n">
        <x:f>IF(Y25="PERCENTAGE_OF_BASE_FREIGHT",AD25*Z25,IF(Y25="PER_CHARGEABLE_KG",R25*Z25,P25*Z25))</x:f>
        <x:v>597.7291320000002</x:v>
      </x:c>
      <x:c r="AF25" s="226" t="n">
        <x:f>AD25*AC25</x:f>
        <x:v>49076.70768000001</x:v>
      </x:c>
      <x:c r="AG25" s="226" t="n">
        <x:f>AE25*AC25</x:f>
        <x:v>4662.287229600001</x:v>
      </x:c>
      <x:c r="AH25" s="226" t="str">
        <x:v>EUR</x:v>
      </x:c>
      <x:c r="AI25" s="226" t="n">
        <x:v>1.18</x:v>
      </x:c>
      <x:c r="AJ25" s="226" t="n">
        <x:f>IF(AH25="EUR",AA25,IF(AH25="GBP",AB25,1))</x:f>
        <x:v>7.8</x:v>
      </x:c>
      <x:c r="AK25" s="226" t="n">
        <x:f>N25*AI25</x:f>
        <x:v>4120.5599999999995</x:v>
      </x:c>
      <x:c r="AL25" s="226" t="n">
        <x:f>AK25*AJ25</x:f>
        <x:v>32140.367999999995</x:v>
      </x:c>
      <x:c r="AM25" s="226" t="str">
        <x:v>EUR</x:v>
      </x:c>
      <x:c r="AN25" s="226" t="n">
        <x:v>0.42</x:v>
      </x:c>
      <x:c r="AO25" s="226" t="n">
        <x:f>IF(AM25="EUR",AA25,IF(AM25="GBP",AB25,1))</x:f>
        <x:v>7.8</x:v>
      </x:c>
      <x:c r="AP25" s="226" t="n">
        <x:f>P25*AN25</x:f>
        <x:v>1539.9720000000002</x:v>
      </x:c>
      <x:c r="AQ25" s="226" t="n">
        <x:f>AP25*AO25</x:f>
        <x:v>12011.781600000002</x:v>
      </x:c>
      <x:c r="AR25" s="226" t="str">
        <x:v>EUR</x:v>
      </x:c>
      <x:c r="AS25" s="226" t="n">
        <x:v>3.2</x:v>
      </x:c>
      <x:c r="AT25" s="226" t="n">
        <x:f>IF(AR25="EUR",AA25,IF(AR25="GBP",AB25,1))</x:f>
        <x:v>7.8</x:v>
      </x:c>
      <x:c r="AU25" s="226" t="n">
        <x:f>T25*AS25</x:f>
        <x:v>558.7200000000001</x:v>
      </x:c>
      <x:c r="AV25" s="226" t="n">
        <x:f>AU25*AT25</x:f>
        <x:v>4358.016000000001</x:v>
      </x:c>
      <x:c r="AW25" s="226" t="str">
        <x:v>EUR</x:v>
      </x:c>
      <x:c r="AX25" s="226" t="n">
        <x:v>2.3</x:v>
      </x:c>
      <x:c r="AY25" s="226" t="n">
        <x:f>IF(AW25="EUR",AA25,IF(AW25="GBP",AB25,1))</x:f>
        <x:v>7.8</x:v>
      </x:c>
      <x:c r="AZ25" s="226" t="n">
        <x:f>V25*AX25</x:f>
        <x:v>134.93088</x:v>
      </x:c>
      <x:c r="BA25" s="226" t="n">
        <x:f>AZ25*AY25</x:f>
        <x:v>1052.460864</x:v>
      </x:c>
      <x:c r="BB25" s="226" t="n">
        <x:f>AF25+AG25+AL25+AQ25+AV25+BA25</x:f>
        <x:v>103301.62137359999</x:v>
      </x:c>
      <x:c r="BC25" s="229" t="n">
        <x:v>0.965</x:v>
      </x:c>
      <x:c r="BD25" s="202"/>
      <x:c r="BE25" s="202"/>
      <x:c r="BF25" s="202"/>
      <x:c r="BG25" s="202" t="str">
        <x:v>UNVERIFIED_UNLIMITED_FOR_MVP</x:v>
      </x:c>
    </x:row>
    <x:row r="26">
      <x:c r="A26" s="187" t="str">
        <x:v>BUDGET_2026_V1</x:v>
      </x:c>
      <x:c r="B26" s="187" t="str">
        <x:v>BUDGET</x:v>
      </x:c>
      <x:c r="C26" s="187"/>
      <x:c r="D26" s="217" t="n">
        <x:v>46082</x:v>
      </x:c>
      <x:c r="E26" s="187" t="str">
        <x:v>R_DE_DE_B_ROAD</x:v>
      </x:c>
      <x:c r="F26" s="187" t="str">
        <x:v>DE</x:v>
      </x:c>
      <x:c r="G26" s="187" t="str">
        <x:v>DE_FC</x:v>
      </x:c>
      <x:c r="H26" s="187" t="str">
        <x:v>CARRIER_B</x:v>
      </x:c>
      <x:c r="I26" s="187" t="str">
        <x:v>ROAD</x:v>
      </x:c>
      <x:c r="J26" s="220" t="n">
        <x:v>15000</x:v>
      </x:c>
      <x:c r="K26" s="223" t="n">
        <x:v>0.4</x:v>
      </x:c>
      <x:c r="L26" s="223" t="n">
        <x:v>0.97</x:v>
      </x:c>
      <x:c r="M26" s="223" t="n">
        <x:v>0.4</x:v>
      </x:c>
      <x:c r="N26" s="226" t="n">
        <x:f>J26*K26*L26*M26</x:f>
        <x:v>2328</x:v>
      </x:c>
      <x:c r="O26" s="220" t="n">
        <x:v>1.05</x:v>
      </x:c>
      <x:c r="P26" s="226" t="n">
        <x:f>N26*O26</x:f>
        <x:v>2444.4</x:v>
      </x:c>
      <x:c r="Q26" s="220" t="n">
        <x:v>0.8</x:v>
      </x:c>
      <x:c r="R26" s="226" t="n">
        <x:f>P26*Q26</x:f>
        <x:v>1955.5200000000002</x:v>
      </x:c>
      <x:c r="S26" s="220" t="n">
        <x:v>0.05</x:v>
      </x:c>
      <x:c r="T26" s="226" t="n">
        <x:f>N26*S26</x:f>
        <x:v>116.4</x:v>
      </x:c>
      <x:c r="U26" s="226" t="n">
        <x:v>0.013</x:v>
      </x:c>
      <x:c r="V26" s="226" t="n">
        <x:f>P26*U26</x:f>
        <x:v>31.7772</x:v>
      </x:c>
      <x:c r="W26" s="196" t="str">
        <x:v>EUR</x:v>
      </x:c>
      <x:c r="X26" s="220" t="n">
        <x:v>2.75</x:v>
      </x:c>
      <x:c r="Y26" s="196" t="str">
        <x:v>PER_CHARGEABLE_KG</x:v>
      </x:c>
      <x:c r="Z26" s="220" t="n">
        <x:v>0.21</x:v>
      </x:c>
      <x:c r="AA26" s="220" t="n">
        <x:v>7.8</x:v>
      </x:c>
      <x:c r="AB26" s="220" t="n">
        <x:v>9</x:v>
      </x:c>
      <x:c r="AC26" s="226" t="n">
        <x:f>IF(W26="EUR",AA26,IF(W26="GBP",AB26,1))</x:f>
        <x:v>7.8</x:v>
      </x:c>
      <x:c r="AD26" s="226" t="n">
        <x:f>R26*X26</x:f>
        <x:v>5377.68</x:v>
      </x:c>
      <x:c r="AE26" s="226" t="n">
        <x:f>IF(Y26="PERCENTAGE_OF_BASE_FREIGHT",AD26*Z26,IF(Y26="PER_CHARGEABLE_KG",R26*Z26,P26*Z26))</x:f>
        <x:v>410.65920000000006</x:v>
      </x:c>
      <x:c r="AF26" s="226" t="n">
        <x:f>AD26*AC26</x:f>
        <x:v>41945.904</x:v>
      </x:c>
      <x:c r="AG26" s="226" t="n">
        <x:f>AE26*AC26</x:f>
        <x:v>3203.1417600000004</x:v>
      </x:c>
      <x:c r="AH26" s="226" t="str">
        <x:v>EUR</x:v>
      </x:c>
      <x:c r="AI26" s="226" t="n">
        <x:v>1.18</x:v>
      </x:c>
      <x:c r="AJ26" s="226" t="n">
        <x:f>IF(AH26="EUR",AA26,IF(AH26="GBP",AB26,1))</x:f>
        <x:v>7.8</x:v>
      </x:c>
      <x:c r="AK26" s="226" t="n">
        <x:f>N26*AI26</x:f>
        <x:v>2747.04</x:v>
      </x:c>
      <x:c r="AL26" s="226" t="n">
        <x:f>AK26*AJ26</x:f>
        <x:v>21426.912</x:v>
      </x:c>
      <x:c r="AM26" s="226" t="str">
        <x:v>EUR</x:v>
      </x:c>
      <x:c r="AN26" s="226" t="n">
        <x:v>0.42</x:v>
      </x:c>
      <x:c r="AO26" s="226" t="n">
        <x:f>IF(AM26="EUR",AA26,IF(AM26="GBP",AB26,1))</x:f>
        <x:v>7.8</x:v>
      </x:c>
      <x:c r="AP26" s="226" t="n">
        <x:f>P26*AN26</x:f>
        <x:v>1026.648</x:v>
      </x:c>
      <x:c r="AQ26" s="226" t="n">
        <x:f>AP26*AO26</x:f>
        <x:v>8007.854399999999</x:v>
      </x:c>
      <x:c r="AR26" s="226" t="str">
        <x:v>EUR</x:v>
      </x:c>
      <x:c r="AS26" s="226" t="n">
        <x:v>3.2</x:v>
      </x:c>
      <x:c r="AT26" s="226" t="n">
        <x:f>IF(AR26="EUR",AA26,IF(AR26="GBP",AB26,1))</x:f>
        <x:v>7.8</x:v>
      </x:c>
      <x:c r="AU26" s="226" t="n">
        <x:f>T26*AS26</x:f>
        <x:v>372.48</x:v>
      </x:c>
      <x:c r="AV26" s="226" t="n">
        <x:f>AU26*AT26</x:f>
        <x:v>2905.344</x:v>
      </x:c>
      <x:c r="AW26" s="226" t="str">
        <x:v>EUR</x:v>
      </x:c>
      <x:c r="AX26" s="226" t="n">
        <x:v>2.3</x:v>
      </x:c>
      <x:c r="AY26" s="226" t="n">
        <x:f>IF(AW26="EUR",AA26,IF(AW26="GBP",AB26,1))</x:f>
        <x:v>7.8</x:v>
      </x:c>
      <x:c r="AZ26" s="226" t="n">
        <x:f>V26*AX26</x:f>
        <x:v>73.08756</x:v>
      </x:c>
      <x:c r="BA26" s="226" t="n">
        <x:f>AZ26*AY26</x:f>
        <x:v>570.0829679999999</x:v>
      </x:c>
      <x:c r="BB26" s="226" t="n">
        <x:f>AF26+AG26+AL26+AQ26+AV26+BA26</x:f>
        <x:v>78059.239128</x:v>
      </x:c>
      <x:c r="BC26" s="229" t="n">
        <x:v>0.976</x:v>
      </x:c>
      <x:c r="BD26" s="202"/>
      <x:c r="BE26" s="202"/>
      <x:c r="BF26" s="202"/>
      <x:c r="BG26" s="202" t="str">
        <x:v>UNVERIFIED_UNLIMITED_FOR_MVP</x:v>
      </x:c>
    </x:row>
    <x:row r="27">
      <x:c r="A27" s="187" t="str">
        <x:v>BUDGET_2026_V1</x:v>
      </x:c>
      <x:c r="B27" s="187" t="str">
        <x:v>BUDGET</x:v>
      </x:c>
      <x:c r="C27" s="187"/>
      <x:c r="D27" s="217" t="n">
        <x:v>46082</x:v>
      </x:c>
      <x:c r="E27" s="187" t="str">
        <x:v>R_DE_FR_B_ROAD</x:v>
      </x:c>
      <x:c r="F27" s="187" t="str">
        <x:v>DE</x:v>
      </x:c>
      <x:c r="G27" s="187" t="str">
        <x:v>FR_FC</x:v>
      </x:c>
      <x:c r="H27" s="187" t="str">
        <x:v>CARRIER_B</x:v>
      </x:c>
      <x:c r="I27" s="187" t="str">
        <x:v>ROAD</x:v>
      </x:c>
      <x:c r="J27" s="220" t="n">
        <x:v>15000</x:v>
      </x:c>
      <x:c r="K27" s="223" t="n">
        <x:v>0.4</x:v>
      </x:c>
      <x:c r="L27" s="223" t="n">
        <x:v>0.03</x:v>
      </x:c>
      <x:c r="M27" s="223" t="n">
        <x:v>1</x:v>
      </x:c>
      <x:c r="N27" s="226" t="n">
        <x:f>J27*K27*L27*M27</x:f>
        <x:v>180</x:v>
      </x:c>
      <x:c r="O27" s="220" t="n">
        <x:v>1.08</x:v>
      </x:c>
      <x:c r="P27" s="226" t="n">
        <x:f>N27*O27</x:f>
        <x:v>194.4</x:v>
      </x:c>
      <x:c r="Q27" s="220" t="n">
        <x:v>0.86</x:v>
      </x:c>
      <x:c r="R27" s="226" t="n">
        <x:f>P27*Q27</x:f>
        <x:v>167.184</x:v>
      </x:c>
      <x:c r="S27" s="220" t="n">
        <x:v>0.05</x:v>
      </x:c>
      <x:c r="T27" s="226" t="n">
        <x:f>N27*S27</x:f>
        <x:v>9</x:v>
      </x:c>
      <x:c r="U27" s="226" t="n">
        <x:v>0.014</x:v>
      </x:c>
      <x:c r="V27" s="226" t="n">
        <x:f>P27*U27</x:f>
        <x:v>2.7216</x:v>
      </x:c>
      <x:c r="W27" s="196" t="str">
        <x:v>EUR</x:v>
      </x:c>
      <x:c r="X27" s="220" t="n">
        <x:v>3.3</x:v>
      </x:c>
      <x:c r="Y27" s="196" t="str">
        <x:v>PER_CHARGEABLE_KG</x:v>
      </x:c>
      <x:c r="Z27" s="220" t="n">
        <x:v>0.24</x:v>
      </x:c>
      <x:c r="AA27" s="220" t="n">
        <x:v>7.8</x:v>
      </x:c>
      <x:c r="AB27" s="220" t="n">
        <x:v>9</x:v>
      </x:c>
      <x:c r="AC27" s="226" t="n">
        <x:f>IF(W27="EUR",AA27,IF(W27="GBP",AB27,1))</x:f>
        <x:v>7.8</x:v>
      </x:c>
      <x:c r="AD27" s="226" t="n">
        <x:f>R27*X27</x:f>
        <x:v>551.7072</x:v>
      </x:c>
      <x:c r="AE27" s="226" t="n">
        <x:f>IF(Y27="PERCENTAGE_OF_BASE_FREIGHT",AD27*Z27,IF(Y27="PER_CHARGEABLE_KG",R27*Z27,P27*Z27))</x:f>
        <x:v>40.124159999999996</x:v>
      </x:c>
      <x:c r="AF27" s="226" t="n">
        <x:f>AD27*AC27</x:f>
        <x:v>4303.316159999999</x:v>
      </x:c>
      <x:c r="AG27" s="226" t="n">
        <x:f>AE27*AC27</x:f>
        <x:v>312.96844799999997</x:v>
      </x:c>
      <x:c r="AH27" s="226" t="str">
        <x:v>EUR</x:v>
      </x:c>
      <x:c r="AI27" s="226" t="n">
        <x:v>1.05</x:v>
      </x:c>
      <x:c r="AJ27" s="226" t="n">
        <x:f>IF(AH27="EUR",AA27,IF(AH27="GBP",AB27,1))</x:f>
        <x:v>7.8</x:v>
      </x:c>
      <x:c r="AK27" s="226" t="n">
        <x:f>N27*AI27</x:f>
        <x:v>189</x:v>
      </x:c>
      <x:c r="AL27" s="226" t="n">
        <x:f>AK27*AJ27</x:f>
        <x:v>1474.2</x:v>
      </x:c>
      <x:c r="AM27" s="226" t="str">
        <x:v>EUR</x:v>
      </x:c>
      <x:c r="AN27" s="226" t="n">
        <x:v>0.38</x:v>
      </x:c>
      <x:c r="AO27" s="226" t="n">
        <x:f>IF(AM27="EUR",AA27,IF(AM27="GBP",AB27,1))</x:f>
        <x:v>7.8</x:v>
      </x:c>
      <x:c r="AP27" s="226" t="n">
        <x:f>P27*AN27</x:f>
        <x:v>73.872</x:v>
      </x:c>
      <x:c r="AQ27" s="226" t="n">
        <x:f>AP27*AO27</x:f>
        <x:v>576.2016</x:v>
      </x:c>
      <x:c r="AR27" s="226" t="str">
        <x:v>EUR</x:v>
      </x:c>
      <x:c r="AS27" s="226" t="n">
        <x:v>3.8</x:v>
      </x:c>
      <x:c r="AT27" s="226" t="n">
        <x:f>IF(AR27="EUR",AA27,IF(AR27="GBP",AB27,1))</x:f>
        <x:v>7.8</x:v>
      </x:c>
      <x:c r="AU27" s="226" t="n">
        <x:f>T27*AS27</x:f>
        <x:v>34.199999999999996</x:v>
      </x:c>
      <x:c r="AV27" s="226" t="n">
        <x:f>AU27*AT27</x:f>
        <x:v>266.75999999999993</x:v>
      </x:c>
      <x:c r="AW27" s="226" t="str">
        <x:v>EUR</x:v>
      </x:c>
      <x:c r="AX27" s="226" t="n">
        <x:v>2.3</x:v>
      </x:c>
      <x:c r="AY27" s="226" t="n">
        <x:f>IF(AW27="EUR",AA27,IF(AW27="GBP",AB27,1))</x:f>
        <x:v>7.8</x:v>
      </x:c>
      <x:c r="AZ27" s="226" t="n">
        <x:f>V27*AX27</x:f>
        <x:v>6.2596799999999995</x:v>
      </x:c>
      <x:c r="BA27" s="226" t="n">
        <x:f>AZ27*AY27</x:f>
        <x:v>48.825503999999995</x:v>
      </x:c>
      <x:c r="BB27" s="226" t="n">
        <x:f>AF27+AG27+AL27+AQ27+AV27+BA27</x:f>
        <x:v>6982.271712</x:v>
      </x:c>
      <x:c r="BC27" s="229" t="n">
        <x:v>0.968</x:v>
      </x:c>
      <x:c r="BD27" s="202"/>
      <x:c r="BE27" s="202"/>
      <x:c r="BF27" s="202"/>
      <x:c r="BG27" s="202" t="str">
        <x:v>UNVERIFIED_UNLIMITED_FOR_MVP</x:v>
      </x:c>
    </x:row>
    <x:row r="28">
      <x:c r="A28" s="187" t="str">
        <x:v>BUDGET_2026_V1</x:v>
      </x:c>
      <x:c r="B28" s="187" t="str">
        <x:v>BUDGET</x:v>
      </x:c>
      <x:c r="C28" s="187"/>
      <x:c r="D28" s="217" t="n">
        <x:v>46082</x:v>
      </x:c>
      <x:c r="E28" s="187" t="str">
        <x:v>R_FR_FR_A_ROAD</x:v>
      </x:c>
      <x:c r="F28" s="187" t="str">
        <x:v>FR</x:v>
      </x:c>
      <x:c r="G28" s="187" t="str">
        <x:v>FR_FC</x:v>
      </x:c>
      <x:c r="H28" s="187" t="str">
        <x:v>CARRIER_A</x:v>
      </x:c>
      <x:c r="I28" s="187" t="str">
        <x:v>ROAD</x:v>
      </x:c>
      <x:c r="J28" s="220" t="n">
        <x:v>15000</x:v>
      </x:c>
      <x:c r="K28" s="223" t="n">
        <x:v>0.32</x:v>
      </x:c>
      <x:c r="L28" s="223" t="n">
        <x:v>1</x:v>
      </x:c>
      <x:c r="M28" s="223" t="n">
        <x:v>0.35</x:v>
      </x:c>
      <x:c r="N28" s="226" t="n">
        <x:f>J28*K28*L28*M28</x:f>
        <x:v>1680</x:v>
      </x:c>
      <x:c r="O28" s="220" t="n">
        <x:v>1.06</x:v>
      </x:c>
      <x:c r="P28" s="226" t="n">
        <x:f>N28*O28</x:f>
        <x:v>1780.8000000000002</x:v>
      </x:c>
      <x:c r="Q28" s="220" t="n">
        <x:v>0.76</x:v>
      </x:c>
      <x:c r="R28" s="226" t="n">
        <x:f>P28*Q28</x:f>
        <x:v>1353.4080000000001</x:v>
      </x:c>
      <x:c r="S28" s="220" t="n">
        <x:v>0.06</x:v>
      </x:c>
      <x:c r="T28" s="226" t="n">
        <x:f>N28*S28</x:f>
        <x:v>100.8</x:v>
      </x:c>
      <x:c r="U28" s="226" t="n">
        <x:v>0.017</x:v>
      </x:c>
      <x:c r="V28" s="226" t="n">
        <x:f>P28*U28</x:f>
        <x:v>30.273600000000005</x:v>
      </x:c>
      <x:c r="W28" s="196" t="str">
        <x:v>EUR</x:v>
      </x:c>
      <x:c r="X28" s="220" t="n">
        <x:v>2.1</x:v>
      </x:c>
      <x:c r="Y28" s="196" t="str">
        <x:v>PERCENTAGE_OF_BASE_FREIGHT</x:v>
      </x:c>
      <x:c r="Z28" s="220" t="n">
        <x:v>0.09</x:v>
      </x:c>
      <x:c r="AA28" s="220" t="n">
        <x:v>7.8</x:v>
      </x:c>
      <x:c r="AB28" s="220" t="n">
        <x:v>9</x:v>
      </x:c>
      <x:c r="AC28" s="226" t="n">
        <x:f>IF(W28="EUR",AA28,IF(W28="GBP",AB28,1))</x:f>
        <x:v>7.8</x:v>
      </x:c>
      <x:c r="AD28" s="226" t="n">
        <x:f>R28*X28</x:f>
        <x:v>2842.1568</x:v>
      </x:c>
      <x:c r="AE28" s="226" t="n">
        <x:f>IF(Y28="PERCENTAGE_OF_BASE_FREIGHT",AD28*Z28,IF(Y28="PER_CHARGEABLE_KG",R28*Z28,P28*Z28))</x:f>
        <x:v>255.794112</x:v>
      </x:c>
      <x:c r="AF28" s="226" t="n">
        <x:f>AD28*AC28</x:f>
        <x:v>22168.82304</x:v>
      </x:c>
      <x:c r="AG28" s="226" t="n">
        <x:f>AE28*AC28</x:f>
        <x:v>1995.1940736000001</x:v>
      </x:c>
      <x:c r="AH28" s="226" t="str">
        <x:v>EUR</x:v>
      </x:c>
      <x:c r="AI28" s="226" t="n">
        <x:v>1.05</x:v>
      </x:c>
      <x:c r="AJ28" s="226" t="n">
        <x:f>IF(AH28="EUR",AA28,IF(AH28="GBP",AB28,1))</x:f>
        <x:v>7.8</x:v>
      </x:c>
      <x:c r="AK28" s="226" t="n">
        <x:f>N28*AI28</x:f>
        <x:v>1764</x:v>
      </x:c>
      <x:c r="AL28" s="226" t="n">
        <x:f>AK28*AJ28</x:f>
        <x:v>13759.199999999999</x:v>
      </x:c>
      <x:c r="AM28" s="226" t="str">
        <x:v>EUR</x:v>
      </x:c>
      <x:c r="AN28" s="226" t="n">
        <x:v>0.38</x:v>
      </x:c>
      <x:c r="AO28" s="226" t="n">
        <x:f>IF(AM28="EUR",AA28,IF(AM28="GBP",AB28,1))</x:f>
        <x:v>7.8</x:v>
      </x:c>
      <x:c r="AP28" s="226" t="n">
        <x:f>P28*AN28</x:f>
        <x:v>676.7040000000001</x:v>
      </x:c>
      <x:c r="AQ28" s="226" t="n">
        <x:f>AP28*AO28</x:f>
        <x:v>5278.291200000001</x:v>
      </x:c>
      <x:c r="AR28" s="226" t="str">
        <x:v>EUR</x:v>
      </x:c>
      <x:c r="AS28" s="226" t="n">
        <x:v>3</x:v>
      </x:c>
      <x:c r="AT28" s="226" t="n">
        <x:f>IF(AR28="EUR",AA28,IF(AR28="GBP",AB28,1))</x:f>
        <x:v>7.8</x:v>
      </x:c>
      <x:c r="AU28" s="226" t="n">
        <x:f>T28*AS28</x:f>
        <x:v>302.4</x:v>
      </x:c>
      <x:c r="AV28" s="226" t="n">
        <x:f>AU28*AT28</x:f>
        <x:v>2358.72</x:v>
      </x:c>
      <x:c r="AW28" s="226" t="str">
        <x:v>EUR</x:v>
      </x:c>
      <x:c r="AX28" s="226" t="n">
        <x:v>2.3</x:v>
      </x:c>
      <x:c r="AY28" s="226" t="n">
        <x:f>IF(AW28="EUR",AA28,IF(AW28="GBP",AB28,1))</x:f>
        <x:v>7.8</x:v>
      </x:c>
      <x:c r="AZ28" s="226" t="n">
        <x:f>V28*AX28</x:f>
        <x:v>69.62928000000001</x:v>
      </x:c>
      <x:c r="BA28" s="226" t="n">
        <x:f>AZ28*AY28</x:f>
        <x:v>543.108384</x:v>
      </x:c>
      <x:c r="BB28" s="226" t="n">
        <x:f>AF28+AG28+AL28+AQ28+AV28+BA28</x:f>
        <x:v>46103.336697599996</x:v>
      </x:c>
      <x:c r="BC28" s="229" t="n">
        <x:v>0.961</x:v>
      </x:c>
      <x:c r="BD28" s="202"/>
      <x:c r="BE28" s="202"/>
      <x:c r="BF28" s="202"/>
      <x:c r="BG28" s="202" t="str">
        <x:v>UNVERIFIED_UNLIMITED_FOR_MVP</x:v>
      </x:c>
    </x:row>
    <x:row r="29">
      <x:c r="A29" s="187" t="str">
        <x:v>BUDGET_2026_V1</x:v>
      </x:c>
      <x:c r="B29" s="187" t="str">
        <x:v>BUDGET</x:v>
      </x:c>
      <x:c r="C29" s="187"/>
      <x:c r="D29" s="217" t="n">
        <x:v>46082</x:v>
      </x:c>
      <x:c r="E29" s="187" t="str">
        <x:v>R_FR_FR_B_ROAD</x:v>
      </x:c>
      <x:c r="F29" s="187" t="str">
        <x:v>FR</x:v>
      </x:c>
      <x:c r="G29" s="187" t="str">
        <x:v>FR_FC</x:v>
      </x:c>
      <x:c r="H29" s="187" t="str">
        <x:v>CARRIER_B</x:v>
      </x:c>
      <x:c r="I29" s="187" t="str">
        <x:v>ROAD</x:v>
      </x:c>
      <x:c r="J29" s="220" t="n">
        <x:v>15000</x:v>
      </x:c>
      <x:c r="K29" s="223" t="n">
        <x:v>0.32</x:v>
      </x:c>
      <x:c r="L29" s="223" t="n">
        <x:v>1</x:v>
      </x:c>
      <x:c r="M29" s="223" t="n">
        <x:v>0.65</x:v>
      </x:c>
      <x:c r="N29" s="226" t="n">
        <x:f>J29*K29*L29*M29</x:f>
        <x:v>3120</x:v>
      </x:c>
      <x:c r="O29" s="220" t="n">
        <x:v>1.06</x:v>
      </x:c>
      <x:c r="P29" s="226" t="n">
        <x:f>N29*O29</x:f>
        <x:v>3307.2000000000003</x:v>
      </x:c>
      <x:c r="Q29" s="220" t="n">
        <x:v>0.79</x:v>
      </x:c>
      <x:c r="R29" s="226" t="n">
        <x:f>P29*Q29</x:f>
        <x:v>2612.6880000000006</x:v>
      </x:c>
      <x:c r="S29" s="220" t="n">
        <x:v>0.06</x:v>
      </x:c>
      <x:c r="T29" s="226" t="n">
        <x:f>N29*S29</x:f>
        <x:v>187.2</x:v>
      </x:c>
      <x:c r="U29" s="226" t="n">
        <x:v>0.014</x:v>
      </x:c>
      <x:c r="V29" s="226" t="n">
        <x:f>P29*U29</x:f>
        <x:v>46.3008</x:v>
      </x:c>
      <x:c r="W29" s="196" t="str">
        <x:v>EUR</x:v>
      </x:c>
      <x:c r="X29" s="220" t="n">
        <x:v>2.6</x:v>
      </x:c>
      <x:c r="Y29" s="196" t="str">
        <x:v>PER_CHARGEABLE_KG</x:v>
      </x:c>
      <x:c r="Z29" s="220" t="n">
        <x:v>0.2</x:v>
      </x:c>
      <x:c r="AA29" s="220" t="n">
        <x:v>7.8</x:v>
      </x:c>
      <x:c r="AB29" s="220" t="n">
        <x:v>9</x:v>
      </x:c>
      <x:c r="AC29" s="226" t="n">
        <x:f>IF(W29="EUR",AA29,IF(W29="GBP",AB29,1))</x:f>
        <x:v>7.8</x:v>
      </x:c>
      <x:c r="AD29" s="226" t="n">
        <x:f>R29*X29</x:f>
        <x:v>6792.988800000002</x:v>
      </x:c>
      <x:c r="AE29" s="226" t="n">
        <x:f>IF(Y29="PERCENTAGE_OF_BASE_FREIGHT",AD29*Z29,IF(Y29="PER_CHARGEABLE_KG",R29*Z29,P29*Z29))</x:f>
        <x:v>522.5376000000001</x:v>
      </x:c>
      <x:c r="AF29" s="226" t="n">
        <x:f>AD29*AC29</x:f>
        <x:v>52985.31264000001</x:v>
      </x:c>
      <x:c r="AG29" s="226" t="n">
        <x:f>AE29*AC29</x:f>
        <x:v>4075.793280000001</x:v>
      </x:c>
      <x:c r="AH29" s="226" t="str">
        <x:v>EUR</x:v>
      </x:c>
      <x:c r="AI29" s="226" t="n">
        <x:v>1.05</x:v>
      </x:c>
      <x:c r="AJ29" s="226" t="n">
        <x:f>IF(AH29="EUR",AA29,IF(AH29="GBP",AB29,1))</x:f>
        <x:v>7.8</x:v>
      </x:c>
      <x:c r="AK29" s="226" t="n">
        <x:f>N29*AI29</x:f>
        <x:v>3276</x:v>
      </x:c>
      <x:c r="AL29" s="226" t="n">
        <x:f>AK29*AJ29</x:f>
        <x:v>25552.8</x:v>
      </x:c>
      <x:c r="AM29" s="226" t="str">
        <x:v>EUR</x:v>
      </x:c>
      <x:c r="AN29" s="226" t="n">
        <x:v>0.38</x:v>
      </x:c>
      <x:c r="AO29" s="226" t="n">
        <x:f>IF(AM29="EUR",AA29,IF(AM29="GBP",AB29,1))</x:f>
        <x:v>7.8</x:v>
      </x:c>
      <x:c r="AP29" s="226" t="n">
        <x:f>P29*AN29</x:f>
        <x:v>1256.736</x:v>
      </x:c>
      <x:c r="AQ29" s="226" t="n">
        <x:f>AP29*AO29</x:f>
        <x:v>9802.5408</x:v>
      </x:c>
      <x:c r="AR29" s="226" t="str">
        <x:v>EUR</x:v>
      </x:c>
      <x:c r="AS29" s="226" t="n">
        <x:v>3</x:v>
      </x:c>
      <x:c r="AT29" s="226" t="n">
        <x:f>IF(AR29="EUR",AA29,IF(AR29="GBP",AB29,1))</x:f>
        <x:v>7.8</x:v>
      </x:c>
      <x:c r="AU29" s="226" t="n">
        <x:f>T29*AS29</x:f>
        <x:v>561.5999999999999</x:v>
      </x:c>
      <x:c r="AV29" s="226" t="n">
        <x:f>AU29*AT29</x:f>
        <x:v>4380.48</x:v>
      </x:c>
      <x:c r="AW29" s="226" t="str">
        <x:v>EUR</x:v>
      </x:c>
      <x:c r="AX29" s="226" t="n">
        <x:v>2.3</x:v>
      </x:c>
      <x:c r="AY29" s="226" t="n">
        <x:f>IF(AW29="EUR",AA29,IF(AW29="GBP",AB29,1))</x:f>
        <x:v>7.8</x:v>
      </x:c>
      <x:c r="AZ29" s="226" t="n">
        <x:f>V29*AX29</x:f>
        <x:v>106.49184</x:v>
      </x:c>
      <x:c r="BA29" s="226" t="n">
        <x:f>AZ29*AY29</x:f>
        <x:v>830.636352</x:v>
      </x:c>
      <x:c r="BB29" s="226" t="n">
        <x:f>AF29+AG29+AL29+AQ29+AV29+BA29</x:f>
        <x:v>97627.563072</x:v>
      </x:c>
      <x:c r="BC29" s="229" t="n">
        <x:v>0.973</x:v>
      </x:c>
      <x:c r="BD29" s="202"/>
      <x:c r="BE29" s="202"/>
      <x:c r="BF29" s="202"/>
      <x:c r="BG29" s="202" t="str">
        <x:v>UNVERIFIED_UNLIMITED_FOR_MVP</x:v>
      </x:c>
    </x:row>
    <x:row r="30">
      <x:c r="A30" s="187" t="str">
        <x:v>BUDGET_2026_V1</x:v>
      </x:c>
      <x:c r="B30" s="187" t="str">
        <x:v>BUDGET</x:v>
      </x:c>
      <x:c r="C30" s="187"/>
      <x:c r="D30" s="217" t="n">
        <x:v>46082</x:v>
      </x:c>
      <x:c r="E30" s="187" t="str">
        <x:v>R_GB_DE_A_ROAD</x:v>
      </x:c>
      <x:c r="F30" s="187" t="str">
        <x:v>GB</x:v>
      </x:c>
      <x:c r="G30" s="187" t="str">
        <x:v>DE_FC</x:v>
      </x:c>
      <x:c r="H30" s="187" t="str">
        <x:v>CARRIER_A</x:v>
      </x:c>
      <x:c r="I30" s="187" t="str">
        <x:v>ROAD</x:v>
      </x:c>
      <x:c r="J30" s="220" t="n">
        <x:v>15000</x:v>
      </x:c>
      <x:c r="K30" s="223" t="n">
        <x:v>0.28</x:v>
      </x:c>
      <x:c r="L30" s="223" t="n">
        <x:v>0.96</x:v>
      </x:c>
      <x:c r="M30" s="223" t="n">
        <x:v>0.65</x:v>
      </x:c>
      <x:c r="N30" s="226" t="n">
        <x:f>J30*K30*L30*M30</x:f>
        <x:v>2620.8</x:v>
      </x:c>
      <x:c r="O30" s="220" t="n">
        <x:v>1.12</x:v>
      </x:c>
      <x:c r="P30" s="226" t="n">
        <x:f>N30*O30</x:f>
        <x:v>2935.2960000000003</x:v>
      </x:c>
      <x:c r="Q30" s="220" t="n">
        <x:v>1.02</x:v>
      </x:c>
      <x:c r="R30" s="226" t="n">
        <x:f>P30*Q30</x:f>
        <x:v>2994.00192</x:v>
      </x:c>
      <x:c r="S30" s="220" t="n">
        <x:v>0.08</x:v>
      </x:c>
      <x:c r="T30" s="226" t="n">
        <x:f>N30*S30</x:f>
        <x:v>209.66400000000002</x:v>
      </x:c>
      <x:c r="U30" s="226" t="n">
        <x:v>0.022</x:v>
      </x:c>
      <x:c r="V30" s="226" t="n">
        <x:f>P30*U30</x:f>
        <x:v>64.57651200000001</x:v>
      </x:c>
      <x:c r="W30" s="196" t="str">
        <x:v>GBP</x:v>
      </x:c>
      <x:c r="X30" s="220" t="n">
        <x:v>4</x:v>
      </x:c>
      <x:c r="Y30" s="196" t="str">
        <x:v>PERCENTAGE_OF_BASE_FREIGHT</x:v>
      </x:c>
      <x:c r="Z30" s="220" t="n">
        <x:v>0.1</x:v>
      </x:c>
      <x:c r="AA30" s="220" t="n">
        <x:v>7.8</x:v>
      </x:c>
      <x:c r="AB30" s="220" t="n">
        <x:v>9</x:v>
      </x:c>
      <x:c r="AC30" s="226" t="n">
        <x:f>IF(W30="EUR",AA30,IF(W30="GBP",AB30,1))</x:f>
        <x:v>9</x:v>
      </x:c>
      <x:c r="AD30" s="226" t="n">
        <x:f>R30*X30</x:f>
        <x:v>11976.00768</x:v>
      </x:c>
      <x:c r="AE30" s="226" t="n">
        <x:f>IF(Y30="PERCENTAGE_OF_BASE_FREIGHT",AD30*Z30,IF(Y30="PER_CHARGEABLE_KG",R30*Z30,P30*Z30))</x:f>
        <x:v>1197.600768</x:v>
      </x:c>
      <x:c r="AF30" s="226" t="n">
        <x:f>AD30*AC30</x:f>
        <x:v>107784.06912</x:v>
      </x:c>
      <x:c r="AG30" s="226" t="n">
        <x:f>AE30*AC30</x:f>
        <x:v>10778.406912</x:v>
      </x:c>
      <x:c r="AH30" s="226" t="str">
        <x:v>EUR</x:v>
      </x:c>
      <x:c r="AI30" s="226" t="n">
        <x:v>1.18</x:v>
      </x:c>
      <x:c r="AJ30" s="226" t="n">
        <x:f>IF(AH30="EUR",AA30,IF(AH30="GBP",AB30,1))</x:f>
        <x:v>7.8</x:v>
      </x:c>
      <x:c r="AK30" s="226" t="n">
        <x:f>N30*AI30</x:f>
        <x:v>3092.544</x:v>
      </x:c>
      <x:c r="AL30" s="226" t="n">
        <x:f>AK30*AJ30</x:f>
        <x:v>24121.8432</x:v>
      </x:c>
      <x:c r="AM30" s="226" t="str">
        <x:v>EUR</x:v>
      </x:c>
      <x:c r="AN30" s="226" t="n">
        <x:v>0.42</x:v>
      </x:c>
      <x:c r="AO30" s="226" t="n">
        <x:f>IF(AM30="EUR",AA30,IF(AM30="GBP",AB30,1))</x:f>
        <x:v>7.8</x:v>
      </x:c>
      <x:c r="AP30" s="226" t="n">
        <x:f>P30*AN30</x:f>
        <x:v>1232.8243200000002</x:v>
      </x:c>
      <x:c r="AQ30" s="226" t="n">
        <x:f>AP30*AO30</x:f>
        <x:v>9616.029696000001</x:v>
      </x:c>
      <x:c r="AR30" s="226" t="str">
        <x:v>GBP</x:v>
      </x:c>
      <x:c r="AS30" s="226" t="n">
        <x:v>4.8</x:v>
      </x:c>
      <x:c r="AT30" s="226" t="n">
        <x:f>IF(AR30="EUR",AA30,IF(AR30="GBP",AB30,1))</x:f>
        <x:v>9</x:v>
      </x:c>
      <x:c r="AU30" s="226" t="n">
        <x:f>T30*AS30</x:f>
        <x:v>1006.3872</x:v>
      </x:c>
      <x:c r="AV30" s="226" t="n">
        <x:f>AU30*AT30</x:f>
        <x:v>9057.4848</x:v>
      </x:c>
      <x:c r="AW30" s="226" t="str">
        <x:v>GBP</x:v>
      </x:c>
      <x:c r="AX30" s="226" t="n">
        <x:v>2.3</x:v>
      </x:c>
      <x:c r="AY30" s="226" t="n">
        <x:f>IF(AW30="EUR",AA30,IF(AW30="GBP",AB30,1))</x:f>
        <x:v>9</x:v>
      </x:c>
      <x:c r="AZ30" s="226" t="n">
        <x:f>V30*AX30</x:f>
        <x:v>148.5259776</x:v>
      </x:c>
      <x:c r="BA30" s="226" t="n">
        <x:f>AZ30*AY30</x:f>
        <x:v>1336.7337984</x:v>
      </x:c>
      <x:c r="BB30" s="226" t="n">
        <x:f>AF30+AG30+AL30+AQ30+AV30+BA30</x:f>
        <x:v>162694.56752640003</x:v>
      </x:c>
      <x:c r="BC30" s="229" t="n">
        <x:v>0.93</x:v>
      </x:c>
      <x:c r="BD30" s="202"/>
      <x:c r="BE30" s="202"/>
      <x:c r="BF30" s="202"/>
      <x:c r="BG30" s="202" t="str">
        <x:v>UNVERIFIED_UNLIMITED_FOR_MVP</x:v>
      </x:c>
    </x:row>
    <x:row r="31">
      <x:c r="A31" s="187" t="str">
        <x:v>BUDGET_2026_V1</x:v>
      </x:c>
      <x:c r="B31" s="187" t="str">
        <x:v>BUDGET</x:v>
      </x:c>
      <x:c r="C31" s="187"/>
      <x:c r="D31" s="217" t="n">
        <x:v>46082</x:v>
      </x:c>
      <x:c r="E31" s="187" t="str">
        <x:v>R_GB_DE_B_ROAD</x:v>
      </x:c>
      <x:c r="F31" s="187" t="str">
        <x:v>GB</x:v>
      </x:c>
      <x:c r="G31" s="187" t="str">
        <x:v>DE_FC</x:v>
      </x:c>
      <x:c r="H31" s="187" t="str">
        <x:v>CARRIER_B</x:v>
      </x:c>
      <x:c r="I31" s="187" t="str">
        <x:v>ROAD</x:v>
      </x:c>
      <x:c r="J31" s="220" t="n">
        <x:v>15000</x:v>
      </x:c>
      <x:c r="K31" s="223" t="n">
        <x:v>0.28</x:v>
      </x:c>
      <x:c r="L31" s="223" t="n">
        <x:v>0.96</x:v>
      </x:c>
      <x:c r="M31" s="223" t="n">
        <x:v>0.25</x:v>
      </x:c>
      <x:c r="N31" s="226" t="n">
        <x:f>J31*K31*L31*M31</x:f>
        <x:v>1008</x:v>
      </x:c>
      <x:c r="O31" s="220" t="n">
        <x:v>1.12</x:v>
      </x:c>
      <x:c r="P31" s="226" t="n">
        <x:f>N31*O31</x:f>
        <x:v>1128.96</x:v>
      </x:c>
      <x:c r="Q31" s="220" t="n">
        <x:v>1</x:v>
      </x:c>
      <x:c r="R31" s="226" t="n">
        <x:f>P31*Q31</x:f>
        <x:v>1128.96</x:v>
      </x:c>
      <x:c r="S31" s="220" t="n">
        <x:v>0.08</x:v>
      </x:c>
      <x:c r="T31" s="226" t="n">
        <x:f>N31*S31</x:f>
        <x:v>80.64</x:v>
      </x:c>
      <x:c r="U31" s="226" t="n">
        <x:v>0.017</x:v>
      </x:c>
      <x:c r="V31" s="226" t="n">
        <x:f>P31*U31</x:f>
        <x:v>19.192320000000002</x:v>
      </x:c>
      <x:c r="W31" s="196" t="str">
        <x:v>GBP</x:v>
      </x:c>
      <x:c r="X31" s="220" t="n">
        <x:v>4.7</x:v>
      </x:c>
      <x:c r="Y31" s="196" t="str">
        <x:v>PER_CHARGEABLE_KG</x:v>
      </x:c>
      <x:c r="Z31" s="220" t="n">
        <x:v>0.33</x:v>
      </x:c>
      <x:c r="AA31" s="220" t="n">
        <x:v>7.8</x:v>
      </x:c>
      <x:c r="AB31" s="220" t="n">
        <x:v>9</x:v>
      </x:c>
      <x:c r="AC31" s="226" t="n">
        <x:f>IF(W31="EUR",AA31,IF(W31="GBP",AB31,1))</x:f>
        <x:v>9</x:v>
      </x:c>
      <x:c r="AD31" s="226" t="n">
        <x:f>R31*X31</x:f>
        <x:v>5306.112</x:v>
      </x:c>
      <x:c r="AE31" s="226" t="n">
        <x:f>IF(Y31="PERCENTAGE_OF_BASE_FREIGHT",AD31*Z31,IF(Y31="PER_CHARGEABLE_KG",R31*Z31,P31*Z31))</x:f>
        <x:v>372.5568</x:v>
      </x:c>
      <x:c r="AF31" s="226" t="n">
        <x:f>AD31*AC31</x:f>
        <x:v>47755.008</x:v>
      </x:c>
      <x:c r="AG31" s="226" t="n">
        <x:f>AE31*AC31</x:f>
        <x:v>3353.0112</x:v>
      </x:c>
      <x:c r="AH31" s="226" t="str">
        <x:v>EUR</x:v>
      </x:c>
      <x:c r="AI31" s="226" t="n">
        <x:v>1.18</x:v>
      </x:c>
      <x:c r="AJ31" s="226" t="n">
        <x:f>IF(AH31="EUR",AA31,IF(AH31="GBP",AB31,1))</x:f>
        <x:v>7.8</x:v>
      </x:c>
      <x:c r="AK31" s="226" t="n">
        <x:f>N31*AI31</x:f>
        <x:v>1189.4399999999998</x:v>
      </x:c>
      <x:c r="AL31" s="226" t="n">
        <x:f>AK31*AJ31</x:f>
        <x:v>9277.631999999998</x:v>
      </x:c>
      <x:c r="AM31" s="226" t="str">
        <x:v>EUR</x:v>
      </x:c>
      <x:c r="AN31" s="226" t="n">
        <x:v>0.42</x:v>
      </x:c>
      <x:c r="AO31" s="226" t="n">
        <x:f>IF(AM31="EUR",AA31,IF(AM31="GBP",AB31,1))</x:f>
        <x:v>7.8</x:v>
      </x:c>
      <x:c r="AP31" s="226" t="n">
        <x:f>P31*AN31</x:f>
        <x:v>474.1632</x:v>
      </x:c>
      <x:c r="AQ31" s="226" t="n">
        <x:f>AP31*AO31</x:f>
        <x:v>3698.47296</x:v>
      </x:c>
      <x:c r="AR31" s="226" t="str">
        <x:v>GBP</x:v>
      </x:c>
      <x:c r="AS31" s="226" t="n">
        <x:v>4.8</x:v>
      </x:c>
      <x:c r="AT31" s="226" t="n">
        <x:f>IF(AR31="EUR",AA31,IF(AR31="GBP",AB31,1))</x:f>
        <x:v>9</x:v>
      </x:c>
      <x:c r="AU31" s="226" t="n">
        <x:f>T31*AS31</x:f>
        <x:v>387.072</x:v>
      </x:c>
      <x:c r="AV31" s="226" t="n">
        <x:f>AU31*AT31</x:f>
        <x:v>3483.648</x:v>
      </x:c>
      <x:c r="AW31" s="226" t="str">
        <x:v>GBP</x:v>
      </x:c>
      <x:c r="AX31" s="226" t="n">
        <x:v>2.3</x:v>
      </x:c>
      <x:c r="AY31" s="226" t="n">
        <x:f>IF(AW31="EUR",AA31,IF(AW31="GBP",AB31,1))</x:f>
        <x:v>9</x:v>
      </x:c>
      <x:c r="AZ31" s="226" t="n">
        <x:f>V31*AX31</x:f>
        <x:v>44.142336</x:v>
      </x:c>
      <x:c r="BA31" s="226" t="n">
        <x:f>AZ31*AY31</x:f>
        <x:v>397.281024</x:v>
      </x:c>
      <x:c r="BB31" s="226" t="n">
        <x:f>AF31+AG31+AL31+AQ31+AV31+BA31</x:f>
        <x:v>67965.05318399999</x:v>
      </x:c>
      <x:c r="BC31" s="229" t="n">
        <x:v>0.95</x:v>
      </x:c>
      <x:c r="BD31" s="202"/>
      <x:c r="BE31" s="202"/>
      <x:c r="BF31" s="202"/>
      <x:c r="BG31" s="202" t="str">
        <x:v>UNVERIFIED_UNLIMITED_FOR_MVP</x:v>
      </x:c>
    </x:row>
    <x:row r="32">
      <x:c r="A32" s="187" t="str">
        <x:v>BUDGET_2026_V1</x:v>
      </x:c>
      <x:c r="B32" s="187" t="str">
        <x:v>BUDGET</x:v>
      </x:c>
      <x:c r="C32" s="187"/>
      <x:c r="D32" s="217" t="n">
        <x:v>46082</x:v>
      </x:c>
      <x:c r="E32" s="187" t="str">
        <x:v>R_GB_DE_B_AIR</x:v>
      </x:c>
      <x:c r="F32" s="187" t="str">
        <x:v>GB</x:v>
      </x:c>
      <x:c r="G32" s="187" t="str">
        <x:v>DE_FC</x:v>
      </x:c>
      <x:c r="H32" s="187" t="str">
        <x:v>CARRIER_B</x:v>
      </x:c>
      <x:c r="I32" s="187" t="str">
        <x:v>AIR</x:v>
      </x:c>
      <x:c r="J32" s="220" t="n">
        <x:v>15000</x:v>
      </x:c>
      <x:c r="K32" s="223" t="n">
        <x:v>0.28</x:v>
      </x:c>
      <x:c r="L32" s="223" t="n">
        <x:v>0.96</x:v>
      </x:c>
      <x:c r="M32" s="223" t="n">
        <x:v>0.07</x:v>
      </x:c>
      <x:c r="N32" s="226" t="n">
        <x:f>J32*K32*L32*M32</x:f>
        <x:v>282.24</x:v>
      </x:c>
      <x:c r="O32" s="220" t="n">
        <x:v>1.12</x:v>
      </x:c>
      <x:c r="P32" s="226" t="n">
        <x:f>N32*O32</x:f>
        <x:v>316.10880000000003</x:v>
      </x:c>
      <x:c r="Q32" s="220" t="n">
        <x:v>0.94</x:v>
      </x:c>
      <x:c r="R32" s="226" t="n">
        <x:f>P32*Q32</x:f>
        <x:v>297.142272</x:v>
      </x:c>
      <x:c r="S32" s="220" t="n">
        <x:v>0.08</x:v>
      </x:c>
      <x:c r="T32" s="226" t="n">
        <x:f>N32*S32</x:f>
        <x:v>22.5792</x:v>
      </x:c>
      <x:c r="U32" s="226" t="n">
        <x:v>0.013</x:v>
      </x:c>
      <x:c r="V32" s="226" t="n">
        <x:f>P32*U32</x:f>
        <x:v>4.1094144</x:v>
      </x:c>
      <x:c r="W32" s="196" t="str">
        <x:v>GBP</x:v>
      </x:c>
      <x:c r="X32" s="220" t="n">
        <x:v>6.2</x:v>
      </x:c>
      <x:c r="Y32" s="196" t="str">
        <x:v>PERCENTAGE_OF_BASE_FREIGHT</x:v>
      </x:c>
      <x:c r="Z32" s="220" t="n">
        <x:v>0.115</x:v>
      </x:c>
      <x:c r="AA32" s="220" t="n">
        <x:v>7.8</x:v>
      </x:c>
      <x:c r="AB32" s="220" t="n">
        <x:v>9</x:v>
      </x:c>
      <x:c r="AC32" s="226" t="n">
        <x:f>IF(W32="EUR",AA32,IF(W32="GBP",AB32,1))</x:f>
        <x:v>9</x:v>
      </x:c>
      <x:c r="AD32" s="226" t="n">
        <x:f>R32*X32</x:f>
        <x:v>1842.2820864</x:v>
      </x:c>
      <x:c r="AE32" s="226" t="n">
        <x:f>IF(Y32="PERCENTAGE_OF_BASE_FREIGHT",AD32*Z32,IF(Y32="PER_CHARGEABLE_KG",R32*Z32,P32*Z32))</x:f>
        <x:v>211.86243993600002</x:v>
      </x:c>
      <x:c r="AF32" s="226" t="n">
        <x:f>AD32*AC32</x:f>
        <x:v>16580.5387776</x:v>
      </x:c>
      <x:c r="AG32" s="226" t="n">
        <x:f>AE32*AC32</x:f>
        <x:v>1906.7619594240002</x:v>
      </x:c>
      <x:c r="AH32" s="226" t="str">
        <x:v>EUR</x:v>
      </x:c>
      <x:c r="AI32" s="226" t="n">
        <x:v>1.18</x:v>
      </x:c>
      <x:c r="AJ32" s="226" t="n">
        <x:f>IF(AH32="EUR",AA32,IF(AH32="GBP",AB32,1))</x:f>
        <x:v>7.8</x:v>
      </x:c>
      <x:c r="AK32" s="226" t="n">
        <x:f>N32*AI32</x:f>
        <x:v>333.0432</x:v>
      </x:c>
      <x:c r="AL32" s="226" t="n">
        <x:f>AK32*AJ32</x:f>
        <x:v>2597.73696</x:v>
      </x:c>
      <x:c r="AM32" s="226" t="str">
        <x:v>EUR</x:v>
      </x:c>
      <x:c r="AN32" s="226" t="n">
        <x:v>0.42</x:v>
      </x:c>
      <x:c r="AO32" s="226" t="n">
        <x:f>IF(AM32="EUR",AA32,IF(AM32="GBP",AB32,1))</x:f>
        <x:v>7.8</x:v>
      </x:c>
      <x:c r="AP32" s="226" t="n">
        <x:f>P32*AN32</x:f>
        <x:v>132.76569600000002</x:v>
      </x:c>
      <x:c r="AQ32" s="226" t="n">
        <x:f>AP32*AO32</x:f>
        <x:v>1035.5724288000001</x:v>
      </x:c>
      <x:c r="AR32" s="226" t="str">
        <x:v>GBP</x:v>
      </x:c>
      <x:c r="AS32" s="226" t="n">
        <x:v>4.8</x:v>
      </x:c>
      <x:c r="AT32" s="226" t="n">
        <x:f>IF(AR32="EUR",AA32,IF(AR32="GBP",AB32,1))</x:f>
        <x:v>9</x:v>
      </x:c>
      <x:c r="AU32" s="226" t="n">
        <x:f>T32*AS32</x:f>
        <x:v>108.38016</x:v>
      </x:c>
      <x:c r="AV32" s="226" t="n">
        <x:f>AU32*AT32</x:f>
        <x:v>975.4214400000001</x:v>
      </x:c>
      <x:c r="AW32" s="226" t="str">
        <x:v>GBP</x:v>
      </x:c>
      <x:c r="AX32" s="226" t="n">
        <x:v>2.8</x:v>
      </x:c>
      <x:c r="AY32" s="226" t="n">
        <x:f>IF(AW32="EUR",AA32,IF(AW32="GBP",AB32,1))</x:f>
        <x:v>9</x:v>
      </x:c>
      <x:c r="AZ32" s="226" t="n">
        <x:f>V32*AX32</x:f>
        <x:v>11.50636032</x:v>
      </x:c>
      <x:c r="BA32" s="226" t="n">
        <x:f>AZ32*AY32</x:f>
        <x:v>103.55724288</x:v>
      </x:c>
      <x:c r="BB32" s="226" t="n">
        <x:f>AF32+AG32+AL32+AQ32+AV32+BA32</x:f>
        <x:v>23199.588808703993</x:v>
      </x:c>
      <x:c r="BC32" s="229" t="n">
        <x:v>0.974</x:v>
      </x:c>
      <x:c r="BD32" s="202"/>
      <x:c r="BE32" s="202"/>
      <x:c r="BF32" s="202"/>
      <x:c r="BG32" s="202" t="str">
        <x:v>UNVERIFIED_UNLIMITED_FOR_MVP</x:v>
      </x:c>
    </x:row>
    <x:row r="33">
      <x:c r="A33" s="187" t="str">
        <x:v>BUDGET_2026_V1</x:v>
      </x:c>
      <x:c r="B33" s="187" t="str">
        <x:v>BUDGET</x:v>
      </x:c>
      <x:c r="C33" s="187"/>
      <x:c r="D33" s="217" t="n">
        <x:v>46082</x:v>
      </x:c>
      <x:c r="E33" s="187" t="str">
        <x:v>R_GB_DE_C_AIR</x:v>
      </x:c>
      <x:c r="F33" s="187" t="str">
        <x:v>GB</x:v>
      </x:c>
      <x:c r="G33" s="187" t="str">
        <x:v>DE_FC</x:v>
      </x:c>
      <x:c r="H33" s="187" t="str">
        <x:v>CARRIER_C</x:v>
      </x:c>
      <x:c r="I33" s="187" t="str">
        <x:v>AIR</x:v>
      </x:c>
      <x:c r="J33" s="220" t="n">
        <x:v>15000</x:v>
      </x:c>
      <x:c r="K33" s="223" t="n">
        <x:v>0.28</x:v>
      </x:c>
      <x:c r="L33" s="223" t="n">
        <x:v>0.96</x:v>
      </x:c>
      <x:c r="M33" s="223" t="n">
        <x:v>0.03</x:v>
      </x:c>
      <x:c r="N33" s="226" t="n">
        <x:f>J33*K33*L33*M33</x:f>
        <x:v>120.96</x:v>
      </x:c>
      <x:c r="O33" s="220" t="n">
        <x:v>1.12</x:v>
      </x:c>
      <x:c r="P33" s="226" t="n">
        <x:f>N33*O33</x:f>
        <x:v>135.4752</x:v>
      </x:c>
      <x:c r="Q33" s="220" t="n">
        <x:v>0.92</x:v>
      </x:c>
      <x:c r="R33" s="226" t="n">
        <x:f>P33*Q33</x:f>
        <x:v>124.637184</x:v>
      </x:c>
      <x:c r="S33" s="220" t="n">
        <x:v>0.08</x:v>
      </x:c>
      <x:c r="T33" s="226" t="n">
        <x:f>N33*S33</x:f>
        <x:v>9.6768</x:v>
      </x:c>
      <x:c r="U33" s="226" t="n">
        <x:v>0.009</x:v>
      </x:c>
      <x:c r="V33" s="226" t="n">
        <x:f>P33*U33</x:f>
        <x:v>1.2192767999999998</x:v>
      </x:c>
      <x:c r="W33" s="196" t="str">
        <x:v>GBP</x:v>
      </x:c>
      <x:c r="X33" s="220" t="n">
        <x:v>7.5</x:v>
      </x:c>
      <x:c r="Y33" s="196" t="str">
        <x:v>PER_CHARGEABLE_KG</x:v>
      </x:c>
      <x:c r="Z33" s="220" t="n">
        <x:v>0.58</x:v>
      </x:c>
      <x:c r="AA33" s="220" t="n">
        <x:v>7.8</x:v>
      </x:c>
      <x:c r="AB33" s="220" t="n">
        <x:v>9</x:v>
      </x:c>
      <x:c r="AC33" s="226" t="n">
        <x:f>IF(W33="EUR",AA33,IF(W33="GBP",AB33,1))</x:f>
        <x:v>9</x:v>
      </x:c>
      <x:c r="AD33" s="226" t="n">
        <x:f>R33*X33</x:f>
        <x:v>934.7788800000001</x:v>
      </x:c>
      <x:c r="AE33" s="226" t="n">
        <x:f>IF(Y33="PERCENTAGE_OF_BASE_FREIGHT",AD33*Z33,IF(Y33="PER_CHARGEABLE_KG",R33*Z33,P33*Z33))</x:f>
        <x:v>72.28956672</x:v>
      </x:c>
      <x:c r="AF33" s="226" t="n">
        <x:f>AD33*AC33</x:f>
        <x:v>8413.00992</x:v>
      </x:c>
      <x:c r="AG33" s="226" t="n">
        <x:f>AE33*AC33</x:f>
        <x:v>650.60610048</x:v>
      </x:c>
      <x:c r="AH33" s="226" t="str">
        <x:v>EUR</x:v>
      </x:c>
      <x:c r="AI33" s="226" t="n">
        <x:v>1.18</x:v>
      </x:c>
      <x:c r="AJ33" s="226" t="n">
        <x:f>IF(AH33="EUR",AA33,IF(AH33="GBP",AB33,1))</x:f>
        <x:v>7.8</x:v>
      </x:c>
      <x:c r="AK33" s="226" t="n">
        <x:f>N33*AI33</x:f>
        <x:v>142.7328</x:v>
      </x:c>
      <x:c r="AL33" s="226" t="n">
        <x:f>AK33*AJ33</x:f>
        <x:v>1113.31584</x:v>
      </x:c>
      <x:c r="AM33" s="226" t="str">
        <x:v>EUR</x:v>
      </x:c>
      <x:c r="AN33" s="226" t="n">
        <x:v>0.42</x:v>
      </x:c>
      <x:c r="AO33" s="226" t="n">
        <x:f>IF(AM33="EUR",AA33,IF(AM33="GBP",AB33,1))</x:f>
        <x:v>7.8</x:v>
      </x:c>
      <x:c r="AP33" s="226" t="n">
        <x:f>P33*AN33</x:f>
        <x:v>56.899584</x:v>
      </x:c>
      <x:c r="AQ33" s="226" t="n">
        <x:f>AP33*AO33</x:f>
        <x:v>443.8167552</x:v>
      </x:c>
      <x:c r="AR33" s="226" t="str">
        <x:v>GBP</x:v>
      </x:c>
      <x:c r="AS33" s="226" t="n">
        <x:v>4.8</x:v>
      </x:c>
      <x:c r="AT33" s="226" t="n">
        <x:f>IF(AR33="EUR",AA33,IF(AR33="GBP",AB33,1))</x:f>
        <x:v>9</x:v>
      </x:c>
      <x:c r="AU33" s="226" t="n">
        <x:f>T33*AS33</x:f>
        <x:v>46.44864</x:v>
      </x:c>
      <x:c r="AV33" s="226" t="n">
        <x:f>AU33*AT33</x:f>
        <x:v>418.03776</x:v>
      </x:c>
      <x:c r="AW33" s="226" t="str">
        <x:v>GBP</x:v>
      </x:c>
      <x:c r="AX33" s="226" t="n">
        <x:v>3.6</x:v>
      </x:c>
      <x:c r="AY33" s="226" t="n">
        <x:f>IF(AW33="EUR",AA33,IF(AW33="GBP",AB33,1))</x:f>
        <x:v>9</x:v>
      </x:c>
      <x:c r="AZ33" s="226" t="n">
        <x:f>V33*AX33</x:f>
        <x:v>4.389396479999999</x:v>
      </x:c>
      <x:c r="BA33" s="226" t="n">
        <x:f>AZ33*AY33</x:f>
        <x:v>39.50456832</x:v>
      </x:c>
      <x:c r="BB33" s="226" t="n">
        <x:f>AF33+AG33+AL33+AQ33+AV33+BA33</x:f>
        <x:v>11078.290943999998</x:v>
      </x:c>
      <x:c r="BC33" s="229" t="n">
        <x:v>0.988</x:v>
      </x:c>
      <x:c r="BD33" s="202"/>
      <x:c r="BE33" s="202"/>
      <x:c r="BF33" s="202"/>
      <x:c r="BG33" s="202" t="str">
        <x:v>UNVERIFIED_UNLIMITED_FOR_MVP</x:v>
      </x:c>
    </x:row>
    <x:row r="34">
      <x:c r="A34" s="187" t="str">
        <x:v>BUDGET_2026_V1</x:v>
      </x:c>
      <x:c r="B34" s="187" t="str">
        <x:v>BUDGET</x:v>
      </x:c>
      <x:c r="C34" s="187"/>
      <x:c r="D34" s="217" t="n">
        <x:v>46082</x:v>
      </x:c>
      <x:c r="E34" s="187" t="str">
        <x:v>R_GB_FR_B_AIR</x:v>
      </x:c>
      <x:c r="F34" s="187" t="str">
        <x:v>GB</x:v>
      </x:c>
      <x:c r="G34" s="187" t="str">
        <x:v>FR_FC</x:v>
      </x:c>
      <x:c r="H34" s="187" t="str">
        <x:v>CARRIER_B</x:v>
      </x:c>
      <x:c r="I34" s="187" t="str">
        <x:v>AIR</x:v>
      </x:c>
      <x:c r="J34" s="220" t="n">
        <x:v>15000</x:v>
      </x:c>
      <x:c r="K34" s="223" t="n">
        <x:v>0.28</x:v>
      </x:c>
      <x:c r="L34" s="223" t="n">
        <x:v>0.04</x:v>
      </x:c>
      <x:c r="M34" s="223" t="n">
        <x:v>1</x:v>
      </x:c>
      <x:c r="N34" s="226" t="n">
        <x:f>J34*K34*L34*M34</x:f>
        <x:v>168</x:v>
      </x:c>
      <x:c r="O34" s="220" t="n">
        <x:v>1.15</x:v>
      </x:c>
      <x:c r="P34" s="226" t="n">
        <x:f>N34*O34</x:f>
        <x:v>193.2</x:v>
      </x:c>
      <x:c r="Q34" s="220" t="n">
        <x:v>0.9</x:v>
      </x:c>
      <x:c r="R34" s="226" t="n">
        <x:f>P34*Q34</x:f>
        <x:v>173.88</x:v>
      </x:c>
      <x:c r="S34" s="220" t="n">
        <x:v>0.08</x:v>
      </x:c>
      <x:c r="T34" s="226" t="n">
        <x:f>N34*S34</x:f>
        <x:v>13.44</x:v>
      </x:c>
      <x:c r="U34" s="226" t="n">
        <x:v>0.012</x:v>
      </x:c>
      <x:c r="V34" s="226" t="n">
        <x:f>P34*U34</x:f>
        <x:v>2.3184</x:v>
      </x:c>
      <x:c r="W34" s="196" t="str">
        <x:v>EUR</x:v>
      </x:c>
      <x:c r="X34" s="220" t="n">
        <x:v>6.7</x:v>
      </x:c>
      <x:c r="Y34" s="196" t="str">
        <x:v>PERCENTAGE_OF_BASE_FREIGHT</x:v>
      </x:c>
      <x:c r="Z34" s="220" t="n">
        <x:v>0.105</x:v>
      </x:c>
      <x:c r="AA34" s="220" t="n">
        <x:v>7.8</x:v>
      </x:c>
      <x:c r="AB34" s="220" t="n">
        <x:v>9</x:v>
      </x:c>
      <x:c r="AC34" s="226" t="n">
        <x:f>IF(W34="EUR",AA34,IF(W34="GBP",AB34,1))</x:f>
        <x:v>7.8</x:v>
      </x:c>
      <x:c r="AD34" s="226" t="n">
        <x:f>R34*X34</x:f>
        <x:v>1164.996</x:v>
      </x:c>
      <x:c r="AE34" s="226" t="n">
        <x:f>IF(Y34="PERCENTAGE_OF_BASE_FREIGHT",AD34*Z34,IF(Y34="PER_CHARGEABLE_KG",R34*Z34,P34*Z34))</x:f>
        <x:v>122.32458000000001</x:v>
      </x:c>
      <x:c r="AF34" s="226" t="n">
        <x:f>AD34*AC34</x:f>
        <x:v>9086.9688</x:v>
      </x:c>
      <x:c r="AG34" s="226" t="n">
        <x:f>AE34*AC34</x:f>
        <x:v>954.1317240000001</x:v>
      </x:c>
      <x:c r="AH34" s="226" t="str">
        <x:v>EUR</x:v>
      </x:c>
      <x:c r="AI34" s="226" t="n">
        <x:v>1.05</x:v>
      </x:c>
      <x:c r="AJ34" s="226" t="n">
        <x:f>IF(AH34="EUR",AA34,IF(AH34="GBP",AB34,1))</x:f>
        <x:v>7.8</x:v>
      </x:c>
      <x:c r="AK34" s="226" t="n">
        <x:f>N34*AI34</x:f>
        <x:v>176.4</x:v>
      </x:c>
      <x:c r="AL34" s="226" t="n">
        <x:f>AK34*AJ34</x:f>
        <x:v>1375.92</x:v>
      </x:c>
      <x:c r="AM34" s="226" t="str">
        <x:v>EUR</x:v>
      </x:c>
      <x:c r="AN34" s="226" t="n">
        <x:v>0.38</x:v>
      </x:c>
      <x:c r="AO34" s="226" t="n">
        <x:f>IF(AM34="EUR",AA34,IF(AM34="GBP",AB34,1))</x:f>
        <x:v>7.8</x:v>
      </x:c>
      <x:c r="AP34" s="226" t="n">
        <x:f>P34*AN34</x:f>
        <x:v>73.416</x:v>
      </x:c>
      <x:c r="AQ34" s="226" t="n">
        <x:f>AP34*AO34</x:f>
        <x:v>572.6447999999999</x:v>
      </x:c>
      <x:c r="AR34" s="226" t="str">
        <x:v>EUR</x:v>
      </x:c>
      <x:c r="AS34" s="226" t="n">
        <x:v>5.2</x:v>
      </x:c>
      <x:c r="AT34" s="226" t="n">
        <x:f>IF(AR34="EUR",AA34,IF(AR34="GBP",AB34,1))</x:f>
        <x:v>7.8</x:v>
      </x:c>
      <x:c r="AU34" s="226" t="n">
        <x:f>T34*AS34</x:f>
        <x:v>69.888</x:v>
      </x:c>
      <x:c r="AV34" s="226" t="n">
        <x:f>AU34*AT34</x:f>
        <x:v>545.1264</x:v>
      </x:c>
      <x:c r="AW34" s="226" t="str">
        <x:v>EUR</x:v>
      </x:c>
      <x:c r="AX34" s="226" t="n">
        <x:v>2.8</x:v>
      </x:c>
      <x:c r="AY34" s="226" t="n">
        <x:f>IF(AW34="EUR",AA34,IF(AW34="GBP",AB34,1))</x:f>
        <x:v>7.8</x:v>
      </x:c>
      <x:c r="AZ34" s="226" t="n">
        <x:f>V34*AX34</x:f>
        <x:v>6.4915199999999995</x:v>
      </x:c>
      <x:c r="BA34" s="226" t="n">
        <x:f>AZ34*AY34</x:f>
        <x:v>50.633855999999994</x:v>
      </x:c>
      <x:c r="BB34" s="226" t="n">
        <x:f>AF34+AG34+AL34+AQ34+AV34+BA34</x:f>
        <x:v>12585.425580000001</x:v>
      </x:c>
      <x:c r="BC34" s="229" t="n">
        <x:v>0.971</x:v>
      </x:c>
      <x:c r="BD34" s="202"/>
      <x:c r="BE34" s="202"/>
      <x:c r="BF34" s="202"/>
      <x:c r="BG34" s="202" t="str">
        <x:v>UNVERIFIED_UNLIMITED_FOR_MVP</x:v>
      </x:c>
    </x:row>
    <x:row r="35">
      <x:c r="A35" s="187" t="str">
        <x:v>BUDGET_2026_V1</x:v>
      </x:c>
      <x:c r="B35" s="187" t="str">
        <x:v>BUDGET</x:v>
      </x:c>
      <x:c r="C35" s="187"/>
      <x:c r="D35" s="217" t="n">
        <x:v>46113</x:v>
      </x:c>
      <x:c r="E35" s="187" t="str">
        <x:v>R_DE_DE_A_ROAD</x:v>
      </x:c>
      <x:c r="F35" s="187" t="str">
        <x:v>DE</x:v>
      </x:c>
      <x:c r="G35" s="187" t="str">
        <x:v>DE_FC</x:v>
      </x:c>
      <x:c r="H35" s="187" t="str">
        <x:v>CARRIER_A</x:v>
      </x:c>
      <x:c r="I35" s="187" t="str">
        <x:v>ROAD</x:v>
      </x:c>
      <x:c r="J35" s="220" t="n">
        <x:v>15500</x:v>
      </x:c>
      <x:c r="K35" s="223" t="n">
        <x:v>0.4</x:v>
      </x:c>
      <x:c r="L35" s="223" t="n">
        <x:v>0.97</x:v>
      </x:c>
      <x:c r="M35" s="223" t="n">
        <x:v>0.6</x:v>
      </x:c>
      <x:c r="N35" s="226" t="n">
        <x:f>J35*K35*L35*M35</x:f>
        <x:v>3608.4</x:v>
      </x:c>
      <x:c r="O35" s="220" t="n">
        <x:v>1.05</x:v>
      </x:c>
      <x:c r="P35" s="226" t="n">
        <x:f>N35*O35</x:f>
        <x:v>3788.82</x:v>
      </x:c>
      <x:c r="Q35" s="220" t="n">
        <x:v>0.78</x:v>
      </x:c>
      <x:c r="R35" s="226" t="n">
        <x:f>P35*Q35</x:f>
        <x:v>2955.2796000000003</x:v>
      </x:c>
      <x:c r="S35" s="220" t="n">
        <x:v>0.05</x:v>
      </x:c>
      <x:c r="T35" s="226" t="n">
        <x:f>N35*S35</x:f>
        <x:v>180.42000000000002</x:v>
      </x:c>
      <x:c r="U35" s="226" t="n">
        <x:v>0.016</x:v>
      </x:c>
      <x:c r="V35" s="226" t="n">
        <x:f>P35*U35</x:f>
        <x:v>60.621120000000005</x:v>
      </x:c>
      <x:c r="W35" s="196" t="str">
        <x:v>EUR</x:v>
      </x:c>
      <x:c r="X35" s="220" t="n">
        <x:v>2.2</x:v>
      </x:c>
      <x:c r="Y35" s="196" t="str">
        <x:v>PERCENTAGE_OF_BASE_FREIGHT</x:v>
      </x:c>
      <x:c r="Z35" s="220" t="n">
        <x:v>0.095</x:v>
      </x:c>
      <x:c r="AA35" s="220" t="n">
        <x:v>7.8</x:v>
      </x:c>
      <x:c r="AB35" s="220" t="n">
        <x:v>9</x:v>
      </x:c>
      <x:c r="AC35" s="226" t="n">
        <x:f>IF(W35="EUR",AA35,IF(W35="GBP",AB35,1))</x:f>
        <x:v>7.8</x:v>
      </x:c>
      <x:c r="AD35" s="226" t="n">
        <x:f>R35*X35</x:f>
        <x:v>6501.615120000001</x:v>
      </x:c>
      <x:c r="AE35" s="226" t="n">
        <x:f>IF(Y35="PERCENTAGE_OF_BASE_FREIGHT",AD35*Z35,IF(Y35="PER_CHARGEABLE_KG",R35*Z35,P35*Z35))</x:f>
        <x:v>617.6534364000001</x:v>
      </x:c>
      <x:c r="AF35" s="226" t="n">
        <x:f>AD35*AC35</x:f>
        <x:v>50712.597936000006</x:v>
      </x:c>
      <x:c r="AG35" s="226" t="n">
        <x:f>AE35*AC35</x:f>
        <x:v>4817.696803920001</x:v>
      </x:c>
      <x:c r="AH35" s="226" t="str">
        <x:v>EUR</x:v>
      </x:c>
      <x:c r="AI35" s="226" t="n">
        <x:v>1.18</x:v>
      </x:c>
      <x:c r="AJ35" s="226" t="n">
        <x:f>IF(AH35="EUR",AA35,IF(AH35="GBP",AB35,1))</x:f>
        <x:v>7.8</x:v>
      </x:c>
      <x:c r="AK35" s="226" t="n">
        <x:f>N35*AI35</x:f>
        <x:v>4257.912</x:v>
      </x:c>
      <x:c r="AL35" s="226" t="n">
        <x:f>AK35*AJ35</x:f>
        <x:v>33211.7136</x:v>
      </x:c>
      <x:c r="AM35" s="226" t="str">
        <x:v>EUR</x:v>
      </x:c>
      <x:c r="AN35" s="226" t="n">
        <x:v>0.42</x:v>
      </x:c>
      <x:c r="AO35" s="226" t="n">
        <x:f>IF(AM35="EUR",AA35,IF(AM35="GBP",AB35,1))</x:f>
        <x:v>7.8</x:v>
      </x:c>
      <x:c r="AP35" s="226" t="n">
        <x:f>P35*AN35</x:f>
        <x:v>1591.3044</x:v>
      </x:c>
      <x:c r="AQ35" s="226" t="n">
        <x:f>AP35*AO35</x:f>
        <x:v>12412.17432</x:v>
      </x:c>
      <x:c r="AR35" s="226" t="str">
        <x:v>EUR</x:v>
      </x:c>
      <x:c r="AS35" s="226" t="n">
        <x:v>3.2</x:v>
      </x:c>
      <x:c r="AT35" s="226" t="n">
        <x:f>IF(AR35="EUR",AA35,IF(AR35="GBP",AB35,1))</x:f>
        <x:v>7.8</x:v>
      </x:c>
      <x:c r="AU35" s="226" t="n">
        <x:f>T35*AS35</x:f>
        <x:v>577.344</x:v>
      </x:c>
      <x:c r="AV35" s="226" t="n">
        <x:f>AU35*AT35</x:f>
        <x:v>4503.2832</x:v>
      </x:c>
      <x:c r="AW35" s="226" t="str">
        <x:v>EUR</x:v>
      </x:c>
      <x:c r="AX35" s="226" t="n">
        <x:v>2.3</x:v>
      </x:c>
      <x:c r="AY35" s="226" t="n">
        <x:f>IF(AW35="EUR",AA35,IF(AW35="GBP",AB35,1))</x:f>
        <x:v>7.8</x:v>
      </x:c>
      <x:c r="AZ35" s="226" t="n">
        <x:f>V35*AX35</x:f>
        <x:v>139.428576</x:v>
      </x:c>
      <x:c r="BA35" s="226" t="n">
        <x:f>AZ35*AY35</x:f>
        <x:v>1087.5428928</x:v>
      </x:c>
      <x:c r="BB35" s="226" t="n">
        <x:f>AF35+AG35+AL35+AQ35+AV35+BA35</x:f>
        <x:v>106745.00875272002</x:v>
      </x:c>
      <x:c r="BC35" s="229" t="n">
        <x:v>0.965</x:v>
      </x:c>
      <x:c r="BD35" s="202"/>
      <x:c r="BE35" s="202"/>
      <x:c r="BF35" s="202"/>
      <x:c r="BG35" s="202" t="str">
        <x:v>UNVERIFIED_UNLIMITED_FOR_MVP</x:v>
      </x:c>
    </x:row>
    <x:row r="36">
      <x:c r="A36" s="187" t="str">
        <x:v>BUDGET_2026_V1</x:v>
      </x:c>
      <x:c r="B36" s="187" t="str">
        <x:v>BUDGET</x:v>
      </x:c>
      <x:c r="C36" s="187"/>
      <x:c r="D36" s="217" t="n">
        <x:v>46113</x:v>
      </x:c>
      <x:c r="E36" s="187" t="str">
        <x:v>R_DE_DE_B_ROAD</x:v>
      </x:c>
      <x:c r="F36" s="187" t="str">
        <x:v>DE</x:v>
      </x:c>
      <x:c r="G36" s="187" t="str">
        <x:v>DE_FC</x:v>
      </x:c>
      <x:c r="H36" s="187" t="str">
        <x:v>CARRIER_B</x:v>
      </x:c>
      <x:c r="I36" s="187" t="str">
        <x:v>ROAD</x:v>
      </x:c>
      <x:c r="J36" s="220" t="n">
        <x:v>15500</x:v>
      </x:c>
      <x:c r="K36" s="223" t="n">
        <x:v>0.4</x:v>
      </x:c>
      <x:c r="L36" s="223" t="n">
        <x:v>0.97</x:v>
      </x:c>
      <x:c r="M36" s="223" t="n">
        <x:v>0.4</x:v>
      </x:c>
      <x:c r="N36" s="226" t="n">
        <x:f>J36*K36*L36*M36</x:f>
        <x:v>2405.6</x:v>
      </x:c>
      <x:c r="O36" s="220" t="n">
        <x:v>1.05</x:v>
      </x:c>
      <x:c r="P36" s="226" t="n">
        <x:f>N36*O36</x:f>
        <x:v>2525.88</x:v>
      </x:c>
      <x:c r="Q36" s="220" t="n">
        <x:v>0.8</x:v>
      </x:c>
      <x:c r="R36" s="226" t="n">
        <x:f>P36*Q36</x:f>
        <x:v>2020.7040000000002</x:v>
      </x:c>
      <x:c r="S36" s="220" t="n">
        <x:v>0.05</x:v>
      </x:c>
      <x:c r="T36" s="226" t="n">
        <x:f>N36*S36</x:f>
        <x:v>120.28</x:v>
      </x:c>
      <x:c r="U36" s="226" t="n">
        <x:v>0.013</x:v>
      </x:c>
      <x:c r="V36" s="226" t="n">
        <x:f>P36*U36</x:f>
        <x:v>32.83644</x:v>
      </x:c>
      <x:c r="W36" s="196" t="str">
        <x:v>EUR</x:v>
      </x:c>
      <x:c r="X36" s="220" t="n">
        <x:v>2.75</x:v>
      </x:c>
      <x:c r="Y36" s="196" t="str">
        <x:v>PER_CHARGEABLE_KG</x:v>
      </x:c>
      <x:c r="Z36" s="220" t="n">
        <x:v>0.21</x:v>
      </x:c>
      <x:c r="AA36" s="220" t="n">
        <x:v>7.8</x:v>
      </x:c>
      <x:c r="AB36" s="220" t="n">
        <x:v>9</x:v>
      </x:c>
      <x:c r="AC36" s="226" t="n">
        <x:f>IF(W36="EUR",AA36,IF(W36="GBP",AB36,1))</x:f>
        <x:v>7.8</x:v>
      </x:c>
      <x:c r="AD36" s="226" t="n">
        <x:f>R36*X36</x:f>
        <x:v>5556.936000000001</x:v>
      </x:c>
      <x:c r="AE36" s="226" t="n">
        <x:f>IF(Y36="PERCENTAGE_OF_BASE_FREIGHT",AD36*Z36,IF(Y36="PER_CHARGEABLE_KG",R36*Z36,P36*Z36))</x:f>
        <x:v>424.34784</x:v>
      </x:c>
      <x:c r="AF36" s="226" t="n">
        <x:f>AD36*AC36</x:f>
        <x:v>43344.1008</x:v>
      </x:c>
      <x:c r="AG36" s="226" t="n">
        <x:f>AE36*AC36</x:f>
        <x:v>3309.913152</x:v>
      </x:c>
      <x:c r="AH36" s="226" t="str">
        <x:v>EUR</x:v>
      </x:c>
      <x:c r="AI36" s="226" t="n">
        <x:v>1.18</x:v>
      </x:c>
      <x:c r="AJ36" s="226" t="n">
        <x:f>IF(AH36="EUR",AA36,IF(AH36="GBP",AB36,1))</x:f>
        <x:v>7.8</x:v>
      </x:c>
      <x:c r="AK36" s="226" t="n">
        <x:f>N36*AI36</x:f>
        <x:v>2838.6079999999997</x:v>
      </x:c>
      <x:c r="AL36" s="226" t="n">
        <x:f>AK36*AJ36</x:f>
        <x:v>22141.142399999997</x:v>
      </x:c>
      <x:c r="AM36" s="226" t="str">
        <x:v>EUR</x:v>
      </x:c>
      <x:c r="AN36" s="226" t="n">
        <x:v>0.42</x:v>
      </x:c>
      <x:c r="AO36" s="226" t="n">
        <x:f>IF(AM36="EUR",AA36,IF(AM36="GBP",AB36,1))</x:f>
        <x:v>7.8</x:v>
      </x:c>
      <x:c r="AP36" s="226" t="n">
        <x:f>P36*AN36</x:f>
        <x:v>1060.8696</x:v>
      </x:c>
      <x:c r="AQ36" s="226" t="n">
        <x:f>AP36*AO36</x:f>
        <x:v>8274.782879999999</x:v>
      </x:c>
      <x:c r="AR36" s="226" t="str">
        <x:v>EUR</x:v>
      </x:c>
      <x:c r="AS36" s="226" t="n">
        <x:v>3.2</x:v>
      </x:c>
      <x:c r="AT36" s="226" t="n">
        <x:f>IF(AR36="EUR",AA36,IF(AR36="GBP",AB36,1))</x:f>
        <x:v>7.8</x:v>
      </x:c>
      <x:c r="AU36" s="226" t="n">
        <x:f>T36*AS36</x:f>
        <x:v>384.896</x:v>
      </x:c>
      <x:c r="AV36" s="226" t="n">
        <x:f>AU36*AT36</x:f>
        <x:v>3002.1888</x:v>
      </x:c>
      <x:c r="AW36" s="226" t="str">
        <x:v>EUR</x:v>
      </x:c>
      <x:c r="AX36" s="226" t="n">
        <x:v>2.3</x:v>
      </x:c>
      <x:c r="AY36" s="226" t="n">
        <x:f>IF(AW36="EUR",AA36,IF(AW36="GBP",AB36,1))</x:f>
        <x:v>7.8</x:v>
      </x:c>
      <x:c r="AZ36" s="226" t="n">
        <x:f>V36*AX36</x:f>
        <x:v>75.523812</x:v>
      </x:c>
      <x:c r="BA36" s="226" t="n">
        <x:f>AZ36*AY36</x:f>
        <x:v>589.0857336</x:v>
      </x:c>
      <x:c r="BB36" s="226" t="n">
        <x:f>AF36+AG36+AL36+AQ36+AV36+BA36</x:f>
        <x:v>80661.2137656</x:v>
      </x:c>
      <x:c r="BC36" s="229" t="n">
        <x:v>0.976</x:v>
      </x:c>
      <x:c r="BD36" s="202"/>
      <x:c r="BE36" s="202"/>
      <x:c r="BF36" s="202"/>
      <x:c r="BG36" s="202" t="str">
        <x:v>UNVERIFIED_UNLIMITED_FOR_MVP</x:v>
      </x:c>
    </x:row>
    <x:row r="37">
      <x:c r="A37" s="187" t="str">
        <x:v>BUDGET_2026_V1</x:v>
      </x:c>
      <x:c r="B37" s="187" t="str">
        <x:v>BUDGET</x:v>
      </x:c>
      <x:c r="C37" s="187"/>
      <x:c r="D37" s="217" t="n">
        <x:v>46113</x:v>
      </x:c>
      <x:c r="E37" s="187" t="str">
        <x:v>R_DE_FR_B_ROAD</x:v>
      </x:c>
      <x:c r="F37" s="187" t="str">
        <x:v>DE</x:v>
      </x:c>
      <x:c r="G37" s="187" t="str">
        <x:v>FR_FC</x:v>
      </x:c>
      <x:c r="H37" s="187" t="str">
        <x:v>CARRIER_B</x:v>
      </x:c>
      <x:c r="I37" s="187" t="str">
        <x:v>ROAD</x:v>
      </x:c>
      <x:c r="J37" s="220" t="n">
        <x:v>15500</x:v>
      </x:c>
      <x:c r="K37" s="223" t="n">
        <x:v>0.4</x:v>
      </x:c>
      <x:c r="L37" s="223" t="n">
        <x:v>0.03</x:v>
      </x:c>
      <x:c r="M37" s="223" t="n">
        <x:v>1</x:v>
      </x:c>
      <x:c r="N37" s="226" t="n">
        <x:f>J37*K37*L37*M37</x:f>
        <x:v>186</x:v>
      </x:c>
      <x:c r="O37" s="220" t="n">
        <x:v>1.08</x:v>
      </x:c>
      <x:c r="P37" s="226" t="n">
        <x:f>N37*O37</x:f>
        <x:v>200.88000000000002</x:v>
      </x:c>
      <x:c r="Q37" s="220" t="n">
        <x:v>0.86</x:v>
      </x:c>
      <x:c r="R37" s="226" t="n">
        <x:f>P37*Q37</x:f>
        <x:v>172.75680000000003</x:v>
      </x:c>
      <x:c r="S37" s="220" t="n">
        <x:v>0.05</x:v>
      </x:c>
      <x:c r="T37" s="226" t="n">
        <x:f>N37*S37</x:f>
        <x:v>9.3</x:v>
      </x:c>
      <x:c r="U37" s="226" t="n">
        <x:v>0.014</x:v>
      </x:c>
      <x:c r="V37" s="226" t="n">
        <x:f>P37*U37</x:f>
        <x:v>2.8123200000000006</x:v>
      </x:c>
      <x:c r="W37" s="196" t="str">
        <x:v>EUR</x:v>
      </x:c>
      <x:c r="X37" s="220" t="n">
        <x:v>3.3</x:v>
      </x:c>
      <x:c r="Y37" s="196" t="str">
        <x:v>PER_CHARGEABLE_KG</x:v>
      </x:c>
      <x:c r="Z37" s="220" t="n">
        <x:v>0.24</x:v>
      </x:c>
      <x:c r="AA37" s="220" t="n">
        <x:v>7.8</x:v>
      </x:c>
      <x:c r="AB37" s="220" t="n">
        <x:v>9</x:v>
      </x:c>
      <x:c r="AC37" s="226" t="n">
        <x:f>IF(W37="EUR",AA37,IF(W37="GBP",AB37,1))</x:f>
        <x:v>7.8</x:v>
      </x:c>
      <x:c r="AD37" s="226" t="n">
        <x:f>R37*X37</x:f>
        <x:v>570.09744</x:v>
      </x:c>
      <x:c r="AE37" s="226" t="n">
        <x:f>IF(Y37="PERCENTAGE_OF_BASE_FREIGHT",AD37*Z37,IF(Y37="PER_CHARGEABLE_KG",R37*Z37,P37*Z37))</x:f>
        <x:v>41.461632</x:v>
      </x:c>
      <x:c r="AF37" s="226" t="n">
        <x:f>AD37*AC37</x:f>
        <x:v>4446.760032</x:v>
      </x:c>
      <x:c r="AG37" s="226" t="n">
        <x:f>AE37*AC37</x:f>
        <x:v>323.4007296</x:v>
      </x:c>
      <x:c r="AH37" s="226" t="str">
        <x:v>EUR</x:v>
      </x:c>
      <x:c r="AI37" s="226" t="n">
        <x:v>1.05</x:v>
      </x:c>
      <x:c r="AJ37" s="226" t="n">
        <x:f>IF(AH37="EUR",AA37,IF(AH37="GBP",AB37,1))</x:f>
        <x:v>7.8</x:v>
      </x:c>
      <x:c r="AK37" s="226" t="n">
        <x:f>N37*AI37</x:f>
        <x:v>195.3</x:v>
      </x:c>
      <x:c r="AL37" s="226" t="n">
        <x:f>AK37*AJ37</x:f>
        <x:v>1523.3400000000001</x:v>
      </x:c>
      <x:c r="AM37" s="226" t="str">
        <x:v>EUR</x:v>
      </x:c>
      <x:c r="AN37" s="226" t="n">
        <x:v>0.38</x:v>
      </x:c>
      <x:c r="AO37" s="226" t="n">
        <x:f>IF(AM37="EUR",AA37,IF(AM37="GBP",AB37,1))</x:f>
        <x:v>7.8</x:v>
      </x:c>
      <x:c r="AP37" s="226" t="n">
        <x:f>P37*AN37</x:f>
        <x:v>76.33440000000002</x:v>
      </x:c>
      <x:c r="AQ37" s="226" t="n">
        <x:f>AP37*AO37</x:f>
        <x:v>595.4083200000001</x:v>
      </x:c>
      <x:c r="AR37" s="226" t="str">
        <x:v>EUR</x:v>
      </x:c>
      <x:c r="AS37" s="226" t="n">
        <x:v>3.8</x:v>
      </x:c>
      <x:c r="AT37" s="226" t="n">
        <x:f>IF(AR37="EUR",AA37,IF(AR37="GBP",AB37,1))</x:f>
        <x:v>7.8</x:v>
      </x:c>
      <x:c r="AU37" s="226" t="n">
        <x:f>T37*AS37</x:f>
        <x:v>35.34</x:v>
      </x:c>
      <x:c r="AV37" s="226" t="n">
        <x:f>AU37*AT37</x:f>
        <x:v>275.65200000000004</x:v>
      </x:c>
      <x:c r="AW37" s="226" t="str">
        <x:v>EUR</x:v>
      </x:c>
      <x:c r="AX37" s="226" t="n">
        <x:v>2.3</x:v>
      </x:c>
      <x:c r="AY37" s="226" t="n">
        <x:f>IF(AW37="EUR",AA37,IF(AW37="GBP",AB37,1))</x:f>
        <x:v>7.8</x:v>
      </x:c>
      <x:c r="AZ37" s="226" t="n">
        <x:f>V37*AX37</x:f>
        <x:v>6.468336000000001</x:v>
      </x:c>
      <x:c r="BA37" s="226" t="n">
        <x:f>AZ37*AY37</x:f>
        <x:v>50.453020800000004</x:v>
      </x:c>
      <x:c r="BB37" s="226" t="n">
        <x:f>AF37+AG37+AL37+AQ37+AV37+BA37</x:f>
        <x:v>7215.0141024</x:v>
      </x:c>
      <x:c r="BC37" s="229" t="n">
        <x:v>0.968</x:v>
      </x:c>
      <x:c r="BD37" s="202"/>
      <x:c r="BE37" s="202"/>
      <x:c r="BF37" s="202"/>
      <x:c r="BG37" s="202" t="str">
        <x:v>UNVERIFIED_UNLIMITED_FOR_MVP</x:v>
      </x:c>
    </x:row>
    <x:row r="38">
      <x:c r="A38" s="187" t="str">
        <x:v>BUDGET_2026_V1</x:v>
      </x:c>
      <x:c r="B38" s="187" t="str">
        <x:v>BUDGET</x:v>
      </x:c>
      <x:c r="C38" s="187"/>
      <x:c r="D38" s="217" t="n">
        <x:v>46113</x:v>
      </x:c>
      <x:c r="E38" s="187" t="str">
        <x:v>R_FR_FR_A_ROAD</x:v>
      </x:c>
      <x:c r="F38" s="187" t="str">
        <x:v>FR</x:v>
      </x:c>
      <x:c r="G38" s="187" t="str">
        <x:v>FR_FC</x:v>
      </x:c>
      <x:c r="H38" s="187" t="str">
        <x:v>CARRIER_A</x:v>
      </x:c>
      <x:c r="I38" s="187" t="str">
        <x:v>ROAD</x:v>
      </x:c>
      <x:c r="J38" s="220" t="n">
        <x:v>15500</x:v>
      </x:c>
      <x:c r="K38" s="223" t="n">
        <x:v>0.32</x:v>
      </x:c>
      <x:c r="L38" s="223" t="n">
        <x:v>1</x:v>
      </x:c>
      <x:c r="M38" s="223" t="n">
        <x:v>0.35</x:v>
      </x:c>
      <x:c r="N38" s="226" t="n">
        <x:f>J38*K38*L38*M38</x:f>
        <x:v>1736</x:v>
      </x:c>
      <x:c r="O38" s="220" t="n">
        <x:v>1.06</x:v>
      </x:c>
      <x:c r="P38" s="226" t="n">
        <x:f>N38*O38</x:f>
        <x:v>1840.16</x:v>
      </x:c>
      <x:c r="Q38" s="220" t="n">
        <x:v>0.76</x:v>
      </x:c>
      <x:c r="R38" s="226" t="n">
        <x:f>P38*Q38</x:f>
        <x:v>1398.5216</x:v>
      </x:c>
      <x:c r="S38" s="220" t="n">
        <x:v>0.06</x:v>
      </x:c>
      <x:c r="T38" s="226" t="n">
        <x:f>N38*S38</x:f>
        <x:v>104.16</x:v>
      </x:c>
      <x:c r="U38" s="226" t="n">
        <x:v>0.017</x:v>
      </x:c>
      <x:c r="V38" s="226" t="n">
        <x:f>P38*U38</x:f>
        <x:v>31.282720000000005</x:v>
      </x:c>
      <x:c r="W38" s="196" t="str">
        <x:v>EUR</x:v>
      </x:c>
      <x:c r="X38" s="220" t="n">
        <x:v>2.1</x:v>
      </x:c>
      <x:c r="Y38" s="196" t="str">
        <x:v>PERCENTAGE_OF_BASE_FREIGHT</x:v>
      </x:c>
      <x:c r="Z38" s="220" t="n">
        <x:v>0.09</x:v>
      </x:c>
      <x:c r="AA38" s="220" t="n">
        <x:v>7.8</x:v>
      </x:c>
      <x:c r="AB38" s="220" t="n">
        <x:v>9</x:v>
      </x:c>
      <x:c r="AC38" s="226" t="n">
        <x:f>IF(W38="EUR",AA38,IF(W38="GBP",AB38,1))</x:f>
        <x:v>7.8</x:v>
      </x:c>
      <x:c r="AD38" s="226" t="n">
        <x:f>R38*X38</x:f>
        <x:v>2936.89536</x:v>
      </x:c>
      <x:c r="AE38" s="226" t="n">
        <x:f>IF(Y38="PERCENTAGE_OF_BASE_FREIGHT",AD38*Z38,IF(Y38="PER_CHARGEABLE_KG",R38*Z38,P38*Z38))</x:f>
        <x:v>264.3205824</x:v>
      </x:c>
      <x:c r="AF38" s="226" t="n">
        <x:f>AD38*AC38</x:f>
        <x:v>22907.783808</x:v>
      </x:c>
      <x:c r="AG38" s="226" t="n">
        <x:f>AE38*AC38</x:f>
        <x:v>2061.7005427199997</x:v>
      </x:c>
      <x:c r="AH38" s="226" t="str">
        <x:v>EUR</x:v>
      </x:c>
      <x:c r="AI38" s="226" t="n">
        <x:v>1.05</x:v>
      </x:c>
      <x:c r="AJ38" s="226" t="n">
        <x:f>IF(AH38="EUR",AA38,IF(AH38="GBP",AB38,1))</x:f>
        <x:v>7.8</x:v>
      </x:c>
      <x:c r="AK38" s="226" t="n">
        <x:f>N38*AI38</x:f>
        <x:v>1822.8000000000002</x:v>
      </x:c>
      <x:c r="AL38" s="226" t="n">
        <x:f>AK38*AJ38</x:f>
        <x:v>14217.840000000002</x:v>
      </x:c>
      <x:c r="AM38" s="226" t="str">
        <x:v>EUR</x:v>
      </x:c>
      <x:c r="AN38" s="226" t="n">
        <x:v>0.38</x:v>
      </x:c>
      <x:c r="AO38" s="226" t="n">
        <x:f>IF(AM38="EUR",AA38,IF(AM38="GBP",AB38,1))</x:f>
        <x:v>7.8</x:v>
      </x:c>
      <x:c r="AP38" s="226" t="n">
        <x:f>P38*AN38</x:f>
        <x:v>699.2608</x:v>
      </x:c>
      <x:c r="AQ38" s="226" t="n">
        <x:f>AP38*AO38</x:f>
        <x:v>5454.23424</x:v>
      </x:c>
      <x:c r="AR38" s="226" t="str">
        <x:v>EUR</x:v>
      </x:c>
      <x:c r="AS38" s="226" t="n">
        <x:v>3</x:v>
      </x:c>
      <x:c r="AT38" s="226" t="n">
        <x:f>IF(AR38="EUR",AA38,IF(AR38="GBP",AB38,1))</x:f>
        <x:v>7.8</x:v>
      </x:c>
      <x:c r="AU38" s="226" t="n">
        <x:f>T38*AS38</x:f>
        <x:v>312.48</x:v>
      </x:c>
      <x:c r="AV38" s="226" t="n">
        <x:f>AU38*AT38</x:f>
        <x:v>2437.344</x:v>
      </x:c>
      <x:c r="AW38" s="226" t="str">
        <x:v>EUR</x:v>
      </x:c>
      <x:c r="AX38" s="226" t="n">
        <x:v>2.3</x:v>
      </x:c>
      <x:c r="AY38" s="226" t="n">
        <x:f>IF(AW38="EUR",AA38,IF(AW38="GBP",AB38,1))</x:f>
        <x:v>7.8</x:v>
      </x:c>
      <x:c r="AZ38" s="226" t="n">
        <x:f>V38*AX38</x:f>
        <x:v>71.95025600000001</x:v>
      </x:c>
      <x:c r="BA38" s="226" t="n">
        <x:f>AZ38*AY38</x:f>
        <x:v>561.2119968000001</x:v>
      </x:c>
      <x:c r="BB38" s="226" t="n">
        <x:f>AF38+AG38+AL38+AQ38+AV38+BA38</x:f>
        <x:v>47640.114587519995</x:v>
      </x:c>
      <x:c r="BC38" s="229" t="n">
        <x:v>0.961</x:v>
      </x:c>
      <x:c r="BD38" s="202"/>
      <x:c r="BE38" s="202"/>
      <x:c r="BF38" s="202"/>
      <x:c r="BG38" s="202" t="str">
        <x:v>UNVERIFIED_UNLIMITED_FOR_MVP</x:v>
      </x:c>
    </x:row>
    <x:row r="39">
      <x:c r="A39" s="187" t="str">
        <x:v>BUDGET_2026_V1</x:v>
      </x:c>
      <x:c r="B39" s="187" t="str">
        <x:v>BUDGET</x:v>
      </x:c>
      <x:c r="C39" s="187"/>
      <x:c r="D39" s="217" t="n">
        <x:v>46113</x:v>
      </x:c>
      <x:c r="E39" s="187" t="str">
        <x:v>R_FR_FR_B_ROAD</x:v>
      </x:c>
      <x:c r="F39" s="187" t="str">
        <x:v>FR</x:v>
      </x:c>
      <x:c r="G39" s="187" t="str">
        <x:v>FR_FC</x:v>
      </x:c>
      <x:c r="H39" s="187" t="str">
        <x:v>CARRIER_B</x:v>
      </x:c>
      <x:c r="I39" s="187" t="str">
        <x:v>ROAD</x:v>
      </x:c>
      <x:c r="J39" s="220" t="n">
        <x:v>15500</x:v>
      </x:c>
      <x:c r="K39" s="223" t="n">
        <x:v>0.32</x:v>
      </x:c>
      <x:c r="L39" s="223" t="n">
        <x:v>1</x:v>
      </x:c>
      <x:c r="M39" s="223" t="n">
        <x:v>0.65</x:v>
      </x:c>
      <x:c r="N39" s="226" t="n">
        <x:f>J39*K39*L39*M39</x:f>
        <x:v>3224</x:v>
      </x:c>
      <x:c r="O39" s="220" t="n">
        <x:v>1.06</x:v>
      </x:c>
      <x:c r="P39" s="226" t="n">
        <x:f>N39*O39</x:f>
        <x:v>3417.44</x:v>
      </x:c>
      <x:c r="Q39" s="220" t="n">
        <x:v>0.79</x:v>
      </x:c>
      <x:c r="R39" s="226" t="n">
        <x:f>P39*Q39</x:f>
        <x:v>2699.7776000000003</x:v>
      </x:c>
      <x:c r="S39" s="220" t="n">
        <x:v>0.06</x:v>
      </x:c>
      <x:c r="T39" s="226" t="n">
        <x:f>N39*S39</x:f>
        <x:v>193.44</x:v>
      </x:c>
      <x:c r="U39" s="226" t="n">
        <x:v>0.014</x:v>
      </x:c>
      <x:c r="V39" s="226" t="n">
        <x:f>P39*U39</x:f>
        <x:v>47.84416</x:v>
      </x:c>
      <x:c r="W39" s="196" t="str">
        <x:v>EUR</x:v>
      </x:c>
      <x:c r="X39" s="220" t="n">
        <x:v>2.6</x:v>
      </x:c>
      <x:c r="Y39" s="196" t="str">
        <x:v>PER_CHARGEABLE_KG</x:v>
      </x:c>
      <x:c r="Z39" s="220" t="n">
        <x:v>0.2</x:v>
      </x:c>
      <x:c r="AA39" s="220" t="n">
        <x:v>7.8</x:v>
      </x:c>
      <x:c r="AB39" s="220" t="n">
        <x:v>9</x:v>
      </x:c>
      <x:c r="AC39" s="226" t="n">
        <x:f>IF(W39="EUR",AA39,IF(W39="GBP",AB39,1))</x:f>
        <x:v>7.8</x:v>
      </x:c>
      <x:c r="AD39" s="226" t="n">
        <x:f>R39*X39</x:f>
        <x:v>7019.421760000001</x:v>
      </x:c>
      <x:c r="AE39" s="226" t="n">
        <x:f>IF(Y39="PERCENTAGE_OF_BASE_FREIGHT",AD39*Z39,IF(Y39="PER_CHARGEABLE_KG",R39*Z39,P39*Z39))</x:f>
        <x:v>539.9555200000001</x:v>
      </x:c>
      <x:c r="AF39" s="226" t="n">
        <x:f>AD39*AC39</x:f>
        <x:v>54751.48972800001</x:v>
      </x:c>
      <x:c r="AG39" s="226" t="n">
        <x:f>AE39*AC39</x:f>
        <x:v>4211.653056000001</x:v>
      </x:c>
      <x:c r="AH39" s="226" t="str">
        <x:v>EUR</x:v>
      </x:c>
      <x:c r="AI39" s="226" t="n">
        <x:v>1.05</x:v>
      </x:c>
      <x:c r="AJ39" s="226" t="n">
        <x:f>IF(AH39="EUR",AA39,IF(AH39="GBP",AB39,1))</x:f>
        <x:v>7.8</x:v>
      </x:c>
      <x:c r="AK39" s="226" t="n">
        <x:f>N39*AI39</x:f>
        <x:v>3385.2000000000003</x:v>
      </x:c>
      <x:c r="AL39" s="226" t="n">
        <x:f>AK39*AJ39</x:f>
        <x:v>26404.56</x:v>
      </x:c>
      <x:c r="AM39" s="226" t="str">
        <x:v>EUR</x:v>
      </x:c>
      <x:c r="AN39" s="226" t="n">
        <x:v>0.38</x:v>
      </x:c>
      <x:c r="AO39" s="226" t="n">
        <x:f>IF(AM39="EUR",AA39,IF(AM39="GBP",AB39,1))</x:f>
        <x:v>7.8</x:v>
      </x:c>
      <x:c r="AP39" s="226" t="n">
        <x:f>P39*AN39</x:f>
        <x:v>1298.6272000000001</x:v>
      </x:c>
      <x:c r="AQ39" s="226" t="n">
        <x:f>AP39*AO39</x:f>
        <x:v>10129.29216</x:v>
      </x:c>
      <x:c r="AR39" s="226" t="str">
        <x:v>EUR</x:v>
      </x:c>
      <x:c r="AS39" s="226" t="n">
        <x:v>3</x:v>
      </x:c>
      <x:c r="AT39" s="226" t="n">
        <x:f>IF(AR39="EUR",AA39,IF(AR39="GBP",AB39,1))</x:f>
        <x:v>7.8</x:v>
      </x:c>
      <x:c r="AU39" s="226" t="n">
        <x:f>T39*AS39</x:f>
        <x:v>580.3199999999999</x:v>
      </x:c>
      <x:c r="AV39" s="226" t="n">
        <x:f>AU39*AT39</x:f>
        <x:v>4526.495999999999</x:v>
      </x:c>
      <x:c r="AW39" s="226" t="str">
        <x:v>EUR</x:v>
      </x:c>
      <x:c r="AX39" s="226" t="n">
        <x:v>2.3</x:v>
      </x:c>
      <x:c r="AY39" s="226" t="n">
        <x:f>IF(AW39="EUR",AA39,IF(AW39="GBP",AB39,1))</x:f>
        <x:v>7.8</x:v>
      </x:c>
      <x:c r="AZ39" s="226" t="n">
        <x:f>V39*AX39</x:f>
        <x:v>110.041568</x:v>
      </x:c>
      <x:c r="BA39" s="226" t="n">
        <x:f>AZ39*AY39</x:f>
        <x:v>858.3242303999999</x:v>
      </x:c>
      <x:c r="BB39" s="226" t="n">
        <x:f>AF39+AG39+AL39+AQ39+AV39+BA39</x:f>
        <x:v>100881.8151744</x:v>
      </x:c>
      <x:c r="BC39" s="229" t="n">
        <x:v>0.973</x:v>
      </x:c>
      <x:c r="BD39" s="202"/>
      <x:c r="BE39" s="202"/>
      <x:c r="BF39" s="202"/>
      <x:c r="BG39" s="202" t="str">
        <x:v>UNVERIFIED_UNLIMITED_FOR_MVP</x:v>
      </x:c>
    </x:row>
    <x:row r="40">
      <x:c r="A40" s="187" t="str">
        <x:v>BUDGET_2026_V1</x:v>
      </x:c>
      <x:c r="B40" s="187" t="str">
        <x:v>BUDGET</x:v>
      </x:c>
      <x:c r="C40" s="187"/>
      <x:c r="D40" s="217" t="n">
        <x:v>46113</x:v>
      </x:c>
      <x:c r="E40" s="187" t="str">
        <x:v>R_GB_DE_A_ROAD</x:v>
      </x:c>
      <x:c r="F40" s="187" t="str">
        <x:v>GB</x:v>
      </x:c>
      <x:c r="G40" s="187" t="str">
        <x:v>DE_FC</x:v>
      </x:c>
      <x:c r="H40" s="187" t="str">
        <x:v>CARRIER_A</x:v>
      </x:c>
      <x:c r="I40" s="187" t="str">
        <x:v>ROAD</x:v>
      </x:c>
      <x:c r="J40" s="220" t="n">
        <x:v>15500</x:v>
      </x:c>
      <x:c r="K40" s="223" t="n">
        <x:v>0.28</x:v>
      </x:c>
      <x:c r="L40" s="223" t="n">
        <x:v>0.96</x:v>
      </x:c>
      <x:c r="M40" s="223" t="n">
        <x:v>0.65</x:v>
      </x:c>
      <x:c r="N40" s="226" t="n">
        <x:f>J40*K40*L40*M40</x:f>
        <x:v>2708.16</x:v>
      </x:c>
      <x:c r="O40" s="220" t="n">
        <x:v>1.12</x:v>
      </x:c>
      <x:c r="P40" s="226" t="n">
        <x:f>N40*O40</x:f>
        <x:v>3033.1392</x:v>
      </x:c>
      <x:c r="Q40" s="220" t="n">
        <x:v>1.02</x:v>
      </x:c>
      <x:c r="R40" s="226" t="n">
        <x:f>P40*Q40</x:f>
        <x:v>3093.801984</x:v>
      </x:c>
      <x:c r="S40" s="220" t="n">
        <x:v>0.08</x:v>
      </x:c>
      <x:c r="T40" s="226" t="n">
        <x:f>N40*S40</x:f>
        <x:v>216.65279999999998</x:v>
      </x:c>
      <x:c r="U40" s="226" t="n">
        <x:v>0.022</x:v>
      </x:c>
      <x:c r="V40" s="226" t="n">
        <x:f>P40*U40</x:f>
        <x:v>66.7290624</x:v>
      </x:c>
      <x:c r="W40" s="196" t="str">
        <x:v>GBP</x:v>
      </x:c>
      <x:c r="X40" s="220" t="n">
        <x:v>4</x:v>
      </x:c>
      <x:c r="Y40" s="196" t="str">
        <x:v>PERCENTAGE_OF_BASE_FREIGHT</x:v>
      </x:c>
      <x:c r="Z40" s="220" t="n">
        <x:v>0.1</x:v>
      </x:c>
      <x:c r="AA40" s="220" t="n">
        <x:v>7.8</x:v>
      </x:c>
      <x:c r="AB40" s="220" t="n">
        <x:v>9</x:v>
      </x:c>
      <x:c r="AC40" s="226" t="n">
        <x:f>IF(W40="EUR",AA40,IF(W40="GBP",AB40,1))</x:f>
        <x:v>9</x:v>
      </x:c>
      <x:c r="AD40" s="226" t="n">
        <x:f>R40*X40</x:f>
        <x:v>12375.207936</x:v>
      </x:c>
      <x:c r="AE40" s="226" t="n">
        <x:f>IF(Y40="PERCENTAGE_OF_BASE_FREIGHT",AD40*Z40,IF(Y40="PER_CHARGEABLE_KG",R40*Z40,P40*Z40))</x:f>
        <x:v>1237.5207936000002</x:v>
      </x:c>
      <x:c r="AF40" s="226" t="n">
        <x:f>AD40*AC40</x:f>
        <x:v>111376.87142400001</x:v>
      </x:c>
      <x:c r="AG40" s="226" t="n">
        <x:f>AE40*AC40</x:f>
        <x:v>11137.687142400002</x:v>
      </x:c>
      <x:c r="AH40" s="226" t="str">
        <x:v>EUR</x:v>
      </x:c>
      <x:c r="AI40" s="226" t="n">
        <x:v>1.18</x:v>
      </x:c>
      <x:c r="AJ40" s="226" t="n">
        <x:f>IF(AH40="EUR",AA40,IF(AH40="GBP",AB40,1))</x:f>
        <x:v>7.8</x:v>
      </x:c>
      <x:c r="AK40" s="226" t="n">
        <x:f>N40*AI40</x:f>
        <x:v>3195.6287999999995</x:v>
      </x:c>
      <x:c r="AL40" s="226" t="n">
        <x:f>AK40*AJ40</x:f>
        <x:v>24925.904639999997</x:v>
      </x:c>
      <x:c r="AM40" s="226" t="str">
        <x:v>EUR</x:v>
      </x:c>
      <x:c r="AN40" s="226" t="n">
        <x:v>0.42</x:v>
      </x:c>
      <x:c r="AO40" s="226" t="n">
        <x:f>IF(AM40="EUR",AA40,IF(AM40="GBP",AB40,1))</x:f>
        <x:v>7.8</x:v>
      </x:c>
      <x:c r="AP40" s="226" t="n">
        <x:f>P40*AN40</x:f>
        <x:v>1273.918464</x:v>
      </x:c>
      <x:c r="AQ40" s="226" t="n">
        <x:f>AP40*AO40</x:f>
        <x:v>9936.564019200001</x:v>
      </x:c>
      <x:c r="AR40" s="226" t="str">
        <x:v>GBP</x:v>
      </x:c>
      <x:c r="AS40" s="226" t="n">
        <x:v>4.8</x:v>
      </x:c>
      <x:c r="AT40" s="226" t="n">
        <x:f>IF(AR40="EUR",AA40,IF(AR40="GBP",AB40,1))</x:f>
        <x:v>9</x:v>
      </x:c>
      <x:c r="AU40" s="226" t="n">
        <x:f>T40*AS40</x:f>
        <x:v>1039.9334399999998</x:v>
      </x:c>
      <x:c r="AV40" s="226" t="n">
        <x:f>AU40*AT40</x:f>
        <x:v>9359.400959999999</x:v>
      </x:c>
      <x:c r="AW40" s="226" t="str">
        <x:v>GBP</x:v>
      </x:c>
      <x:c r="AX40" s="226" t="n">
        <x:v>2.3</x:v>
      </x:c>
      <x:c r="AY40" s="226" t="n">
        <x:f>IF(AW40="EUR",AA40,IF(AW40="GBP",AB40,1))</x:f>
        <x:v>9</x:v>
      </x:c>
      <x:c r="AZ40" s="226" t="n">
        <x:f>V40*AX40</x:f>
        <x:v>153.47684352</x:v>
      </x:c>
      <x:c r="BA40" s="226" t="n">
        <x:f>AZ40*AY40</x:f>
        <x:v>1381.2915916799998</x:v>
      </x:c>
      <x:c r="BB40" s="226" t="n">
        <x:f>AF40+AG40+AL40+AQ40+AV40+BA40</x:f>
        <x:v>168117.71977728003</x:v>
      </x:c>
      <x:c r="BC40" s="229" t="n">
        <x:v>0.93</x:v>
      </x:c>
      <x:c r="BD40" s="202"/>
      <x:c r="BE40" s="202"/>
      <x:c r="BF40" s="202"/>
      <x:c r="BG40" s="202" t="str">
        <x:v>UNVERIFIED_UNLIMITED_FOR_MVP</x:v>
      </x:c>
    </x:row>
    <x:row r="41">
      <x:c r="A41" s="187" t="str">
        <x:v>BUDGET_2026_V1</x:v>
      </x:c>
      <x:c r="B41" s="187" t="str">
        <x:v>BUDGET</x:v>
      </x:c>
      <x:c r="C41" s="187"/>
      <x:c r="D41" s="217" t="n">
        <x:v>46113</x:v>
      </x:c>
      <x:c r="E41" s="187" t="str">
        <x:v>R_GB_DE_B_ROAD</x:v>
      </x:c>
      <x:c r="F41" s="187" t="str">
        <x:v>GB</x:v>
      </x:c>
      <x:c r="G41" s="187" t="str">
        <x:v>DE_FC</x:v>
      </x:c>
      <x:c r="H41" s="187" t="str">
        <x:v>CARRIER_B</x:v>
      </x:c>
      <x:c r="I41" s="187" t="str">
        <x:v>ROAD</x:v>
      </x:c>
      <x:c r="J41" s="220" t="n">
        <x:v>15500</x:v>
      </x:c>
      <x:c r="K41" s="223" t="n">
        <x:v>0.28</x:v>
      </x:c>
      <x:c r="L41" s="223" t="n">
        <x:v>0.96</x:v>
      </x:c>
      <x:c r="M41" s="223" t="n">
        <x:v>0.25</x:v>
      </x:c>
      <x:c r="N41" s="226" t="n">
        <x:f>J41*K41*L41*M41</x:f>
        <x:v>1041.6</x:v>
      </x:c>
      <x:c r="O41" s="220" t="n">
        <x:v>1.12</x:v>
      </x:c>
      <x:c r="P41" s="226" t="n">
        <x:f>N41*O41</x:f>
        <x:v>1166.592</x:v>
      </x:c>
      <x:c r="Q41" s="220" t="n">
        <x:v>1</x:v>
      </x:c>
      <x:c r="R41" s="226" t="n">
        <x:f>P41*Q41</x:f>
        <x:v>1166.592</x:v>
      </x:c>
      <x:c r="S41" s="220" t="n">
        <x:v>0.08</x:v>
      </x:c>
      <x:c r="T41" s="226" t="n">
        <x:f>N41*S41</x:f>
        <x:v>83.32799999999999</x:v>
      </x:c>
      <x:c r="U41" s="226" t="n">
        <x:v>0.017</x:v>
      </x:c>
      <x:c r="V41" s="226" t="n">
        <x:f>P41*U41</x:f>
        <x:v>19.832064000000003</x:v>
      </x:c>
      <x:c r="W41" s="196" t="str">
        <x:v>GBP</x:v>
      </x:c>
      <x:c r="X41" s="220" t="n">
        <x:v>4.7</x:v>
      </x:c>
      <x:c r="Y41" s="196" t="str">
        <x:v>PER_CHARGEABLE_KG</x:v>
      </x:c>
      <x:c r="Z41" s="220" t="n">
        <x:v>0.33</x:v>
      </x:c>
      <x:c r="AA41" s="220" t="n">
        <x:v>7.8</x:v>
      </x:c>
      <x:c r="AB41" s="220" t="n">
        <x:v>9</x:v>
      </x:c>
      <x:c r="AC41" s="226" t="n">
        <x:f>IF(W41="EUR",AA41,IF(W41="GBP",AB41,1))</x:f>
        <x:v>9</x:v>
      </x:c>
      <x:c r="AD41" s="226" t="n">
        <x:f>R41*X41</x:f>
        <x:v>5482.982400000001</x:v>
      </x:c>
      <x:c r="AE41" s="226" t="n">
        <x:f>IF(Y41="PERCENTAGE_OF_BASE_FREIGHT",AD41*Z41,IF(Y41="PER_CHARGEABLE_KG",R41*Z41,P41*Z41))</x:f>
        <x:v>384.97536</x:v>
      </x:c>
      <x:c r="AF41" s="226" t="n">
        <x:f>AD41*AC41</x:f>
        <x:v>49346.84160000001</x:v>
      </x:c>
      <x:c r="AG41" s="226" t="n">
        <x:f>AE41*AC41</x:f>
        <x:v>3464.77824</x:v>
      </x:c>
      <x:c r="AH41" s="226" t="str">
        <x:v>EUR</x:v>
      </x:c>
      <x:c r="AI41" s="226" t="n">
        <x:v>1.18</x:v>
      </x:c>
      <x:c r="AJ41" s="226" t="n">
        <x:f>IF(AH41="EUR",AA41,IF(AH41="GBP",AB41,1))</x:f>
        <x:v>7.8</x:v>
      </x:c>
      <x:c r="AK41" s="226" t="n">
        <x:f>N41*AI41</x:f>
        <x:v>1229.0879999999997</x:v>
      </x:c>
      <x:c r="AL41" s="226" t="n">
        <x:f>AK41*AJ41</x:f>
        <x:v>9586.886399999998</x:v>
      </x:c>
      <x:c r="AM41" s="226" t="str">
        <x:v>EUR</x:v>
      </x:c>
      <x:c r="AN41" s="226" t="n">
        <x:v>0.42</x:v>
      </x:c>
      <x:c r="AO41" s="226" t="n">
        <x:f>IF(AM41="EUR",AA41,IF(AM41="GBP",AB41,1))</x:f>
        <x:v>7.8</x:v>
      </x:c>
      <x:c r="AP41" s="226" t="n">
        <x:f>P41*AN41</x:f>
        <x:v>489.96864000000005</x:v>
      </x:c>
      <x:c r="AQ41" s="226" t="n">
        <x:f>AP41*AO41</x:f>
        <x:v>3821.7553920000005</x:v>
      </x:c>
      <x:c r="AR41" s="226" t="str">
        <x:v>GBP</x:v>
      </x:c>
      <x:c r="AS41" s="226" t="n">
        <x:v>4.8</x:v>
      </x:c>
      <x:c r="AT41" s="226" t="n">
        <x:f>IF(AR41="EUR",AA41,IF(AR41="GBP",AB41,1))</x:f>
        <x:v>9</x:v>
      </x:c>
      <x:c r="AU41" s="226" t="n">
        <x:f>T41*AS41</x:f>
        <x:v>399.97439999999995</x:v>
      </x:c>
      <x:c r="AV41" s="226" t="n">
        <x:f>AU41*AT41</x:f>
        <x:v>3599.7695999999996</x:v>
      </x:c>
      <x:c r="AW41" s="226" t="str">
        <x:v>GBP</x:v>
      </x:c>
      <x:c r="AX41" s="226" t="n">
        <x:v>2.3</x:v>
      </x:c>
      <x:c r="AY41" s="226" t="n">
        <x:f>IF(AW41="EUR",AA41,IF(AW41="GBP",AB41,1))</x:f>
        <x:v>9</x:v>
      </x:c>
      <x:c r="AZ41" s="226" t="n">
        <x:f>V41*AX41</x:f>
        <x:v>45.613747200000006</x:v>
      </x:c>
      <x:c r="BA41" s="226" t="n">
        <x:f>AZ41*AY41</x:f>
        <x:v>410.5237248000001</x:v>
      </x:c>
      <x:c r="BB41" s="226" t="n">
        <x:f>AF41+AG41+AL41+AQ41+AV41+BA41</x:f>
        <x:v>70230.55495680001</x:v>
      </x:c>
      <x:c r="BC41" s="229" t="n">
        <x:v>0.95</x:v>
      </x:c>
      <x:c r="BD41" s="202"/>
      <x:c r="BE41" s="202"/>
      <x:c r="BF41" s="202"/>
      <x:c r="BG41" s="202" t="str">
        <x:v>UNVERIFIED_UNLIMITED_FOR_MVP</x:v>
      </x:c>
    </x:row>
    <x:row r="42">
      <x:c r="A42" s="187" t="str">
        <x:v>BUDGET_2026_V1</x:v>
      </x:c>
      <x:c r="B42" s="187" t="str">
        <x:v>BUDGET</x:v>
      </x:c>
      <x:c r="C42" s="187"/>
      <x:c r="D42" s="217" t="n">
        <x:v>46113</x:v>
      </x:c>
      <x:c r="E42" s="187" t="str">
        <x:v>R_GB_DE_B_AIR</x:v>
      </x:c>
      <x:c r="F42" s="187" t="str">
        <x:v>GB</x:v>
      </x:c>
      <x:c r="G42" s="187" t="str">
        <x:v>DE_FC</x:v>
      </x:c>
      <x:c r="H42" s="187" t="str">
        <x:v>CARRIER_B</x:v>
      </x:c>
      <x:c r="I42" s="187" t="str">
        <x:v>AIR</x:v>
      </x:c>
      <x:c r="J42" s="220" t="n">
        <x:v>15500</x:v>
      </x:c>
      <x:c r="K42" s="223" t="n">
        <x:v>0.28</x:v>
      </x:c>
      <x:c r="L42" s="223" t="n">
        <x:v>0.96</x:v>
      </x:c>
      <x:c r="M42" s="223" t="n">
        <x:v>0.07</x:v>
      </x:c>
      <x:c r="N42" s="226" t="n">
        <x:f>J42*K42*L42*M42</x:f>
        <x:v>291.648</x:v>
      </x:c>
      <x:c r="O42" s="220" t="n">
        <x:v>1.12</x:v>
      </x:c>
      <x:c r="P42" s="226" t="n">
        <x:f>N42*O42</x:f>
        <x:v>326.64576000000005</x:v>
      </x:c>
      <x:c r="Q42" s="220" t="n">
        <x:v>0.94</x:v>
      </x:c>
      <x:c r="R42" s="226" t="n">
        <x:f>P42*Q42</x:f>
        <x:v>307.0470144</x:v>
      </x:c>
      <x:c r="S42" s="220" t="n">
        <x:v>0.08</x:v>
      </x:c>
      <x:c r="T42" s="226" t="n">
        <x:f>N42*S42</x:f>
        <x:v>23.331840000000003</x:v>
      </x:c>
      <x:c r="U42" s="226" t="n">
        <x:v>0.013</x:v>
      </x:c>
      <x:c r="V42" s="226" t="n">
        <x:f>P42*U42</x:f>
        <x:v>4.24639488</x:v>
      </x:c>
      <x:c r="W42" s="196" t="str">
        <x:v>GBP</x:v>
      </x:c>
      <x:c r="X42" s="220" t="n">
        <x:v>6.2</x:v>
      </x:c>
      <x:c r="Y42" s="196" t="str">
        <x:v>PERCENTAGE_OF_BASE_FREIGHT</x:v>
      </x:c>
      <x:c r="Z42" s="220" t="n">
        <x:v>0.115</x:v>
      </x:c>
      <x:c r="AA42" s="220" t="n">
        <x:v>7.8</x:v>
      </x:c>
      <x:c r="AB42" s="220" t="n">
        <x:v>9</x:v>
      </x:c>
      <x:c r="AC42" s="226" t="n">
        <x:f>IF(W42="EUR",AA42,IF(W42="GBP",AB42,1))</x:f>
        <x:v>9</x:v>
      </x:c>
      <x:c r="AD42" s="226" t="n">
        <x:f>R42*X42</x:f>
        <x:v>1903.6914892800003</x:v>
      </x:c>
      <x:c r="AE42" s="226" t="n">
        <x:f>IF(Y42="PERCENTAGE_OF_BASE_FREIGHT",AD42*Z42,IF(Y42="PER_CHARGEABLE_KG",R42*Z42,P42*Z42))</x:f>
        <x:v>218.92452126720005</x:v>
      </x:c>
      <x:c r="AF42" s="226" t="n">
        <x:f>AD42*AC42</x:f>
        <x:v>17133.22340352</x:v>
      </x:c>
      <x:c r="AG42" s="226" t="n">
        <x:f>AE42*AC42</x:f>
        <x:v>1970.3206914048005</x:v>
      </x:c>
      <x:c r="AH42" s="226" t="str">
        <x:v>EUR</x:v>
      </x:c>
      <x:c r="AI42" s="226" t="n">
        <x:v>1.18</x:v>
      </x:c>
      <x:c r="AJ42" s="226" t="n">
        <x:f>IF(AH42="EUR",AA42,IF(AH42="GBP",AB42,1))</x:f>
        <x:v>7.8</x:v>
      </x:c>
      <x:c r="AK42" s="226" t="n">
        <x:f>N42*AI42</x:f>
        <x:v>344.14464000000004</x:v>
      </x:c>
      <x:c r="AL42" s="226" t="n">
        <x:f>AK42*AJ42</x:f>
        <x:v>2684.3281920000004</x:v>
      </x:c>
      <x:c r="AM42" s="226" t="str">
        <x:v>EUR</x:v>
      </x:c>
      <x:c r="AN42" s="226" t="n">
        <x:v>0.42</x:v>
      </x:c>
      <x:c r="AO42" s="226" t="n">
        <x:f>IF(AM42="EUR",AA42,IF(AM42="GBP",AB42,1))</x:f>
        <x:v>7.8</x:v>
      </x:c>
      <x:c r="AP42" s="226" t="n">
        <x:f>P42*AN42</x:f>
        <x:v>137.1912192</x:v>
      </x:c>
      <x:c r="AQ42" s="226" t="n">
        <x:f>AP42*AO42</x:f>
        <x:v>1070.09150976</x:v>
      </x:c>
      <x:c r="AR42" s="226" t="str">
        <x:v>GBP</x:v>
      </x:c>
      <x:c r="AS42" s="226" t="n">
        <x:v>4.8</x:v>
      </x:c>
      <x:c r="AT42" s="226" t="n">
        <x:f>IF(AR42="EUR",AA42,IF(AR42="GBP",AB42,1))</x:f>
        <x:v>9</x:v>
      </x:c>
      <x:c r="AU42" s="226" t="n">
        <x:f>T42*AS42</x:f>
        <x:v>111.992832</x:v>
      </x:c>
      <x:c r="AV42" s="226" t="n">
        <x:f>AU42*AT42</x:f>
        <x:v>1007.9354880000001</x:v>
      </x:c>
      <x:c r="AW42" s="226" t="str">
        <x:v>GBP</x:v>
      </x:c>
      <x:c r="AX42" s="226" t="n">
        <x:v>2.8</x:v>
      </x:c>
      <x:c r="AY42" s="226" t="n">
        <x:f>IF(AW42="EUR",AA42,IF(AW42="GBP",AB42,1))</x:f>
        <x:v>9</x:v>
      </x:c>
      <x:c r="AZ42" s="226" t="n">
        <x:f>V42*AX42</x:f>
        <x:v>11.889905664</x:v>
      </x:c>
      <x:c r="BA42" s="226" t="n">
        <x:f>AZ42*AY42</x:f>
        <x:v>107.009150976</x:v>
      </x:c>
      <x:c r="BB42" s="226" t="n">
        <x:f>AF42+AG42+AL42+AQ42+AV42+BA42</x:f>
        <x:v>23972.9084356608</x:v>
      </x:c>
      <x:c r="BC42" s="229" t="n">
        <x:v>0.974</x:v>
      </x:c>
      <x:c r="BD42" s="202"/>
      <x:c r="BE42" s="202"/>
      <x:c r="BF42" s="202"/>
      <x:c r="BG42" s="202" t="str">
        <x:v>UNVERIFIED_UNLIMITED_FOR_MVP</x:v>
      </x:c>
    </x:row>
    <x:row r="43">
      <x:c r="A43" s="187" t="str">
        <x:v>BUDGET_2026_V1</x:v>
      </x:c>
      <x:c r="B43" s="187" t="str">
        <x:v>BUDGET</x:v>
      </x:c>
      <x:c r="C43" s="187"/>
      <x:c r="D43" s="217" t="n">
        <x:v>46113</x:v>
      </x:c>
      <x:c r="E43" s="187" t="str">
        <x:v>R_GB_DE_C_AIR</x:v>
      </x:c>
      <x:c r="F43" s="187" t="str">
        <x:v>GB</x:v>
      </x:c>
      <x:c r="G43" s="187" t="str">
        <x:v>DE_FC</x:v>
      </x:c>
      <x:c r="H43" s="187" t="str">
        <x:v>CARRIER_C</x:v>
      </x:c>
      <x:c r="I43" s="187" t="str">
        <x:v>AIR</x:v>
      </x:c>
      <x:c r="J43" s="220" t="n">
        <x:v>15500</x:v>
      </x:c>
      <x:c r="K43" s="223" t="n">
        <x:v>0.28</x:v>
      </x:c>
      <x:c r="L43" s="223" t="n">
        <x:v>0.96</x:v>
      </x:c>
      <x:c r="M43" s="223" t="n">
        <x:v>0.03</x:v>
      </x:c>
      <x:c r="N43" s="226" t="n">
        <x:f>J43*K43*L43*M43</x:f>
        <x:v>124.99199999999999</x:v>
      </x:c>
      <x:c r="O43" s="220" t="n">
        <x:v>1.12</x:v>
      </x:c>
      <x:c r="P43" s="226" t="n">
        <x:f>N43*O43</x:f>
        <x:v>139.99104</x:v>
      </x:c>
      <x:c r="Q43" s="220" t="n">
        <x:v>0.92</x:v>
      </x:c>
      <x:c r="R43" s="226" t="n">
        <x:f>P43*Q43</x:f>
        <x:v>128.7917568</x:v>
      </x:c>
      <x:c r="S43" s="220" t="n">
        <x:v>0.08</x:v>
      </x:c>
      <x:c r="T43" s="226" t="n">
        <x:f>N43*S43</x:f>
        <x:v>9.99936</x:v>
      </x:c>
      <x:c r="U43" s="226" t="n">
        <x:v>0.009</x:v>
      </x:c>
      <x:c r="V43" s="226" t="n">
        <x:f>P43*U43</x:f>
        <x:v>1.2599193599999998</x:v>
      </x:c>
      <x:c r="W43" s="196" t="str">
        <x:v>GBP</x:v>
      </x:c>
      <x:c r="X43" s="220" t="n">
        <x:v>7.5</x:v>
      </x:c>
      <x:c r="Y43" s="196" t="str">
        <x:v>PER_CHARGEABLE_KG</x:v>
      </x:c>
      <x:c r="Z43" s="220" t="n">
        <x:v>0.58</x:v>
      </x:c>
      <x:c r="AA43" s="220" t="n">
        <x:v>7.8</x:v>
      </x:c>
      <x:c r="AB43" s="220" t="n">
        <x:v>9</x:v>
      </x:c>
      <x:c r="AC43" s="226" t="n">
        <x:f>IF(W43="EUR",AA43,IF(W43="GBP",AB43,1))</x:f>
        <x:v>9</x:v>
      </x:c>
      <x:c r="AD43" s="226" t="n">
        <x:f>R43*X43</x:f>
        <x:v>965.938176</x:v>
      </x:c>
      <x:c r="AE43" s="226" t="n">
        <x:f>IF(Y43="PERCENTAGE_OF_BASE_FREIGHT",AD43*Z43,IF(Y43="PER_CHARGEABLE_KG",R43*Z43,P43*Z43))</x:f>
        <x:v>74.699218944</x:v>
      </x:c>
      <x:c r="AF43" s="226" t="n">
        <x:f>AD43*AC43</x:f>
        <x:v>8693.443584</x:v>
      </x:c>
      <x:c r="AG43" s="226" t="n">
        <x:f>AE43*AC43</x:f>
        <x:v>672.292970496</x:v>
      </x:c>
      <x:c r="AH43" s="226" t="str">
        <x:v>EUR</x:v>
      </x:c>
      <x:c r="AI43" s="226" t="n">
        <x:v>1.18</x:v>
      </x:c>
      <x:c r="AJ43" s="226" t="n">
        <x:f>IF(AH43="EUR",AA43,IF(AH43="GBP",AB43,1))</x:f>
        <x:v>7.8</x:v>
      </x:c>
      <x:c r="AK43" s="226" t="n">
        <x:f>N43*AI43</x:f>
        <x:v>147.49056</x:v>
      </x:c>
      <x:c r="AL43" s="226" t="n">
        <x:f>AK43*AJ43</x:f>
        <x:v>1150.426368</x:v>
      </x:c>
      <x:c r="AM43" s="226" t="str">
        <x:v>EUR</x:v>
      </x:c>
      <x:c r="AN43" s="226" t="n">
        <x:v>0.42</x:v>
      </x:c>
      <x:c r="AO43" s="226" t="n">
        <x:f>IF(AM43="EUR",AA43,IF(AM43="GBP",AB43,1))</x:f>
        <x:v>7.8</x:v>
      </x:c>
      <x:c r="AP43" s="226" t="n">
        <x:f>P43*AN43</x:f>
        <x:v>58.796236799999996</x:v>
      </x:c>
      <x:c r="AQ43" s="226" t="n">
        <x:f>AP43*AO43</x:f>
        <x:v>458.61064703999995</x:v>
      </x:c>
      <x:c r="AR43" s="226" t="str">
        <x:v>GBP</x:v>
      </x:c>
      <x:c r="AS43" s="226" t="n">
        <x:v>4.8</x:v>
      </x:c>
      <x:c r="AT43" s="226" t="n">
        <x:f>IF(AR43="EUR",AA43,IF(AR43="GBP",AB43,1))</x:f>
        <x:v>9</x:v>
      </x:c>
      <x:c r="AU43" s="226" t="n">
        <x:f>T43*AS43</x:f>
        <x:v>47.996928</x:v>
      </x:c>
      <x:c r="AV43" s="226" t="n">
        <x:f>AU43*AT43</x:f>
        <x:v>431.972352</x:v>
      </x:c>
      <x:c r="AW43" s="226" t="str">
        <x:v>GBP</x:v>
      </x:c>
      <x:c r="AX43" s="226" t="n">
        <x:v>3.6</x:v>
      </x:c>
      <x:c r="AY43" s="226" t="n">
        <x:f>IF(AW43="EUR",AA43,IF(AW43="GBP",AB43,1))</x:f>
        <x:v>9</x:v>
      </x:c>
      <x:c r="AZ43" s="226" t="n">
        <x:f>V43*AX43</x:f>
        <x:v>4.535709696</x:v>
      </x:c>
      <x:c r="BA43" s="226" t="n">
        <x:f>AZ43*AY43</x:f>
        <x:v>40.821387263999995</x:v>
      </x:c>
      <x:c r="BB43" s="226" t="n">
        <x:f>AF43+AG43+AL43+AQ43+AV43+BA43</x:f>
        <x:v>11447.567308800002</x:v>
      </x:c>
      <x:c r="BC43" s="229" t="n">
        <x:v>0.988</x:v>
      </x:c>
      <x:c r="BD43" s="202"/>
      <x:c r="BE43" s="202"/>
      <x:c r="BF43" s="202"/>
      <x:c r="BG43" s="202" t="str">
        <x:v>UNVERIFIED_UNLIMITED_FOR_MVP</x:v>
      </x:c>
    </x:row>
    <x:row r="44">
      <x:c r="A44" s="187" t="str">
        <x:v>BUDGET_2026_V1</x:v>
      </x:c>
      <x:c r="B44" s="187" t="str">
        <x:v>BUDGET</x:v>
      </x:c>
      <x:c r="C44" s="187"/>
      <x:c r="D44" s="217" t="n">
        <x:v>46113</x:v>
      </x:c>
      <x:c r="E44" s="187" t="str">
        <x:v>R_GB_FR_B_AIR</x:v>
      </x:c>
      <x:c r="F44" s="187" t="str">
        <x:v>GB</x:v>
      </x:c>
      <x:c r="G44" s="187" t="str">
        <x:v>FR_FC</x:v>
      </x:c>
      <x:c r="H44" s="187" t="str">
        <x:v>CARRIER_B</x:v>
      </x:c>
      <x:c r="I44" s="187" t="str">
        <x:v>AIR</x:v>
      </x:c>
      <x:c r="J44" s="220" t="n">
        <x:v>15500</x:v>
      </x:c>
      <x:c r="K44" s="223" t="n">
        <x:v>0.28</x:v>
      </x:c>
      <x:c r="L44" s="223" t="n">
        <x:v>0.04</x:v>
      </x:c>
      <x:c r="M44" s="223" t="n">
        <x:v>1</x:v>
      </x:c>
      <x:c r="N44" s="226" t="n">
        <x:f>J44*K44*L44*M44</x:f>
        <x:v>173.6</x:v>
      </x:c>
      <x:c r="O44" s="220" t="n">
        <x:v>1.15</x:v>
      </x:c>
      <x:c r="P44" s="226" t="n">
        <x:f>N44*O44</x:f>
        <x:v>199.64</x:v>
      </x:c>
      <x:c r="Q44" s="220" t="n">
        <x:v>0.9</x:v>
      </x:c>
      <x:c r="R44" s="226" t="n">
        <x:f>P44*Q44</x:f>
        <x:v>179.676</x:v>
      </x:c>
      <x:c r="S44" s="220" t="n">
        <x:v>0.08</x:v>
      </x:c>
      <x:c r="T44" s="226" t="n">
        <x:f>N44*S44</x:f>
        <x:v>13.888</x:v>
      </x:c>
      <x:c r="U44" s="226" t="n">
        <x:v>0.012</x:v>
      </x:c>
      <x:c r="V44" s="226" t="n">
        <x:f>P44*U44</x:f>
        <x:v>2.39568</x:v>
      </x:c>
      <x:c r="W44" s="196" t="str">
        <x:v>EUR</x:v>
      </x:c>
      <x:c r="X44" s="220" t="n">
        <x:v>6.7</x:v>
      </x:c>
      <x:c r="Y44" s="196" t="str">
        <x:v>PERCENTAGE_OF_BASE_FREIGHT</x:v>
      </x:c>
      <x:c r="Z44" s="220" t="n">
        <x:v>0.105</x:v>
      </x:c>
      <x:c r="AA44" s="220" t="n">
        <x:v>7.8</x:v>
      </x:c>
      <x:c r="AB44" s="220" t="n">
        <x:v>9</x:v>
      </x:c>
      <x:c r="AC44" s="226" t="n">
        <x:f>IF(W44="EUR",AA44,IF(W44="GBP",AB44,1))</x:f>
        <x:v>7.8</x:v>
      </x:c>
      <x:c r="AD44" s="226" t="n">
        <x:f>R44*X44</x:f>
        <x:v>1203.8292</x:v>
      </x:c>
      <x:c r="AE44" s="226" t="n">
        <x:f>IF(Y44="PERCENTAGE_OF_BASE_FREIGHT",AD44*Z44,IF(Y44="PER_CHARGEABLE_KG",R44*Z44,P44*Z44))</x:f>
        <x:v>126.40206599999999</x:v>
      </x:c>
      <x:c r="AF44" s="226" t="n">
        <x:f>AD44*AC44</x:f>
        <x:v>9389.86776</x:v>
      </x:c>
      <x:c r="AG44" s="226" t="n">
        <x:f>AE44*AC44</x:f>
        <x:v>985.9361147999999</x:v>
      </x:c>
      <x:c r="AH44" s="226" t="str">
        <x:v>EUR</x:v>
      </x:c>
      <x:c r="AI44" s="226" t="n">
        <x:v>1.05</x:v>
      </x:c>
      <x:c r="AJ44" s="226" t="n">
        <x:f>IF(AH44="EUR",AA44,IF(AH44="GBP",AB44,1))</x:f>
        <x:v>7.8</x:v>
      </x:c>
      <x:c r="AK44" s="226" t="n">
        <x:f>N44*AI44</x:f>
        <x:v>182.28</x:v>
      </x:c>
      <x:c r="AL44" s="226" t="n">
        <x:f>AK44*AJ44</x:f>
        <x:v>1421.7839999999999</x:v>
      </x:c>
      <x:c r="AM44" s="226" t="str">
        <x:v>EUR</x:v>
      </x:c>
      <x:c r="AN44" s="226" t="n">
        <x:v>0.38</x:v>
      </x:c>
      <x:c r="AO44" s="226" t="n">
        <x:f>IF(AM44="EUR",AA44,IF(AM44="GBP",AB44,1))</x:f>
        <x:v>7.8</x:v>
      </x:c>
      <x:c r="AP44" s="226" t="n">
        <x:f>P44*AN44</x:f>
        <x:v>75.86319999999999</x:v>
      </x:c>
      <x:c r="AQ44" s="226" t="n">
        <x:f>AP44*AO44</x:f>
        <x:v>591.7329599999999</x:v>
      </x:c>
      <x:c r="AR44" s="226" t="str">
        <x:v>EUR</x:v>
      </x:c>
      <x:c r="AS44" s="226" t="n">
        <x:v>5.2</x:v>
      </x:c>
      <x:c r="AT44" s="226" t="n">
        <x:f>IF(AR44="EUR",AA44,IF(AR44="GBP",AB44,1))</x:f>
        <x:v>7.8</x:v>
      </x:c>
      <x:c r="AU44" s="226" t="n">
        <x:f>T44*AS44</x:f>
        <x:v>72.2176</x:v>
      </x:c>
      <x:c r="AV44" s="226" t="n">
        <x:f>AU44*AT44</x:f>
        <x:v>563.29728</x:v>
      </x:c>
      <x:c r="AW44" s="226" t="str">
        <x:v>EUR</x:v>
      </x:c>
      <x:c r="AX44" s="226" t="n">
        <x:v>2.8</x:v>
      </x:c>
      <x:c r="AY44" s="226" t="n">
        <x:f>IF(AW44="EUR",AA44,IF(AW44="GBP",AB44,1))</x:f>
        <x:v>7.8</x:v>
      </x:c>
      <x:c r="AZ44" s="226" t="n">
        <x:f>V44*AX44</x:f>
        <x:v>6.707904</x:v>
      </x:c>
      <x:c r="BA44" s="226" t="n">
        <x:f>AZ44*AY44</x:f>
        <x:v>52.3216512</x:v>
      </x:c>
      <x:c r="BB44" s="226" t="n">
        <x:f>AF44+AG44+AL44+AQ44+AV44+BA44</x:f>
        <x:v>13004.939766</x:v>
      </x:c>
      <x:c r="BC44" s="229" t="n">
        <x:v>0.971</x:v>
      </x:c>
      <x:c r="BD44" s="202"/>
      <x:c r="BE44" s="202"/>
      <x:c r="BF44" s="202"/>
      <x:c r="BG44" s="202" t="str">
        <x:v>UNVERIFIED_UNLIMITED_FOR_MVP</x:v>
      </x:c>
    </x:row>
    <x:row r="45">
      <x:c r="A45" s="187" t="str">
        <x:v>BUDGET_2026_V1</x:v>
      </x:c>
      <x:c r="B45" s="187" t="str">
        <x:v>BUDGET</x:v>
      </x:c>
      <x:c r="C45" s="187"/>
      <x:c r="D45" s="217" t="n">
        <x:v>46143</x:v>
      </x:c>
      <x:c r="E45" s="187" t="str">
        <x:v>R_DE_DE_A_ROAD</x:v>
      </x:c>
      <x:c r="F45" s="187" t="str">
        <x:v>DE</x:v>
      </x:c>
      <x:c r="G45" s="187" t="str">
        <x:v>DE_FC</x:v>
      </x:c>
      <x:c r="H45" s="187" t="str">
        <x:v>CARRIER_A</x:v>
      </x:c>
      <x:c r="I45" s="187" t="str">
        <x:v>ROAD</x:v>
      </x:c>
      <x:c r="J45" s="220" t="n">
        <x:v>16000</x:v>
      </x:c>
      <x:c r="K45" s="223" t="n">
        <x:v>0.39</x:v>
      </x:c>
      <x:c r="L45" s="223" t="n">
        <x:v>0.97</x:v>
      </x:c>
      <x:c r="M45" s="223" t="n">
        <x:v>0.6</x:v>
      </x:c>
      <x:c r="N45" s="226" t="n">
        <x:f>J45*K45*L45*M45</x:f>
        <x:v>3631.68</x:v>
      </x:c>
      <x:c r="O45" s="220" t="n">
        <x:v>1.05</x:v>
      </x:c>
      <x:c r="P45" s="226" t="n">
        <x:f>N45*O45</x:f>
        <x:v>3813.264</x:v>
      </x:c>
      <x:c r="Q45" s="220" t="n">
        <x:v>0.78</x:v>
      </x:c>
      <x:c r="R45" s="226" t="n">
        <x:f>P45*Q45</x:f>
        <x:v>2974.34592</x:v>
      </x:c>
      <x:c r="S45" s="220" t="n">
        <x:v>0.05</x:v>
      </x:c>
      <x:c r="T45" s="226" t="n">
        <x:f>N45*S45</x:f>
        <x:v>181.584</x:v>
      </x:c>
      <x:c r="U45" s="226" t="n">
        <x:v>0.016</x:v>
      </x:c>
      <x:c r="V45" s="226" t="n">
        <x:f>P45*U45</x:f>
        <x:v>61.012224</x:v>
      </x:c>
      <x:c r="W45" s="196" t="str">
        <x:v>EUR</x:v>
      </x:c>
      <x:c r="X45" s="220" t="n">
        <x:v>2.2</x:v>
      </x:c>
      <x:c r="Y45" s="196" t="str">
        <x:v>PERCENTAGE_OF_BASE_FREIGHT</x:v>
      </x:c>
      <x:c r="Z45" s="220" t="n">
        <x:v>0.095</x:v>
      </x:c>
      <x:c r="AA45" s="220" t="n">
        <x:v>7.8</x:v>
      </x:c>
      <x:c r="AB45" s="220" t="n">
        <x:v>9</x:v>
      </x:c>
      <x:c r="AC45" s="226" t="n">
        <x:f>IF(W45="EUR",AA45,IF(W45="GBP",AB45,1))</x:f>
        <x:v>7.8</x:v>
      </x:c>
      <x:c r="AD45" s="226" t="n">
        <x:f>R45*X45</x:f>
        <x:v>6543.5610240000005</x:v>
      </x:c>
      <x:c r="AE45" s="226" t="n">
        <x:f>IF(Y45="PERCENTAGE_OF_BASE_FREIGHT",AD45*Z45,IF(Y45="PER_CHARGEABLE_KG",R45*Z45,P45*Z45))</x:f>
        <x:v>621.6382972800001</x:v>
      </x:c>
      <x:c r="AF45" s="226" t="n">
        <x:f>AD45*AC45</x:f>
        <x:v>51039.7759872</x:v>
      </x:c>
      <x:c r="AG45" s="226" t="n">
        <x:f>AE45*AC45</x:f>
        <x:v>4848.778718784</x:v>
      </x:c>
      <x:c r="AH45" s="226" t="str">
        <x:v>EUR</x:v>
      </x:c>
      <x:c r="AI45" s="226" t="n">
        <x:v>1.18</x:v>
      </x:c>
      <x:c r="AJ45" s="226" t="n">
        <x:f>IF(AH45="EUR",AA45,IF(AH45="GBP",AB45,1))</x:f>
        <x:v>7.8</x:v>
      </x:c>
      <x:c r="AK45" s="226" t="n">
        <x:f>N45*AI45</x:f>
        <x:v>4285.3823999999995</x:v>
      </x:c>
      <x:c r="AL45" s="226" t="n">
        <x:f>AK45*AJ45</x:f>
        <x:v>33425.98271999999</x:v>
      </x:c>
      <x:c r="AM45" s="226" t="str">
        <x:v>EUR</x:v>
      </x:c>
      <x:c r="AN45" s="226" t="n">
        <x:v>0.42</x:v>
      </x:c>
      <x:c r="AO45" s="226" t="n">
        <x:f>IF(AM45="EUR",AA45,IF(AM45="GBP",AB45,1))</x:f>
        <x:v>7.8</x:v>
      </x:c>
      <x:c r="AP45" s="226" t="n">
        <x:f>P45*AN45</x:f>
        <x:v>1601.57088</x:v>
      </x:c>
      <x:c r="AQ45" s="226" t="n">
        <x:f>AP45*AO45</x:f>
        <x:v>12492.252864</x:v>
      </x:c>
      <x:c r="AR45" s="226" t="str">
        <x:v>EUR</x:v>
      </x:c>
      <x:c r="AS45" s="226" t="n">
        <x:v>3.2</x:v>
      </x:c>
      <x:c r="AT45" s="226" t="n">
        <x:f>IF(AR45="EUR",AA45,IF(AR45="GBP",AB45,1))</x:f>
        <x:v>7.8</x:v>
      </x:c>
      <x:c r="AU45" s="226" t="n">
        <x:f>T45*AS45</x:f>
        <x:v>581.0688</x:v>
      </x:c>
      <x:c r="AV45" s="226" t="n">
        <x:f>AU45*AT45</x:f>
        <x:v>4532.3366399999995</x:v>
      </x:c>
      <x:c r="AW45" s="226" t="str">
        <x:v>EUR</x:v>
      </x:c>
      <x:c r="AX45" s="226" t="n">
        <x:v>2.3</x:v>
      </x:c>
      <x:c r="AY45" s="226" t="n">
        <x:f>IF(AW45="EUR",AA45,IF(AW45="GBP",AB45,1))</x:f>
        <x:v>7.8</x:v>
      </x:c>
      <x:c r="AZ45" s="226" t="n">
        <x:f>V45*AX45</x:f>
        <x:v>140.32811519999998</x:v>
      </x:c>
      <x:c r="BA45" s="226" t="n">
        <x:f>AZ45*AY45</x:f>
        <x:v>1094.55929856</x:v>
      </x:c>
      <x:c r="BB45" s="226" t="n">
        <x:f>AF45+AG45+AL45+AQ45+AV45+BA45</x:f>
        <x:v>107433.68622854397</x:v>
      </x:c>
      <x:c r="BC45" s="229" t="n">
        <x:v>0.965</x:v>
      </x:c>
      <x:c r="BD45" s="202"/>
      <x:c r="BE45" s="202"/>
      <x:c r="BF45" s="202"/>
      <x:c r="BG45" s="202" t="str">
        <x:v>UNVERIFIED_UNLIMITED_FOR_MVP</x:v>
      </x:c>
    </x:row>
    <x:row r="46">
      <x:c r="A46" s="187" t="str">
        <x:v>BUDGET_2026_V1</x:v>
      </x:c>
      <x:c r="B46" s="187" t="str">
        <x:v>BUDGET</x:v>
      </x:c>
      <x:c r="C46" s="187"/>
      <x:c r="D46" s="217" t="n">
        <x:v>46143</x:v>
      </x:c>
      <x:c r="E46" s="187" t="str">
        <x:v>R_DE_DE_B_ROAD</x:v>
      </x:c>
      <x:c r="F46" s="187" t="str">
        <x:v>DE</x:v>
      </x:c>
      <x:c r="G46" s="187" t="str">
        <x:v>DE_FC</x:v>
      </x:c>
      <x:c r="H46" s="187" t="str">
        <x:v>CARRIER_B</x:v>
      </x:c>
      <x:c r="I46" s="187" t="str">
        <x:v>ROAD</x:v>
      </x:c>
      <x:c r="J46" s="220" t="n">
        <x:v>16000</x:v>
      </x:c>
      <x:c r="K46" s="223" t="n">
        <x:v>0.39</x:v>
      </x:c>
      <x:c r="L46" s="223" t="n">
        <x:v>0.97</x:v>
      </x:c>
      <x:c r="M46" s="223" t="n">
        <x:v>0.4</x:v>
      </x:c>
      <x:c r="N46" s="226" t="n">
        <x:f>J46*K46*L46*M46</x:f>
        <x:v>2421.1200000000003</x:v>
      </x:c>
      <x:c r="O46" s="220" t="n">
        <x:v>1.05</x:v>
      </x:c>
      <x:c r="P46" s="226" t="n">
        <x:f>N46*O46</x:f>
        <x:v>2542.1760000000004</x:v>
      </x:c>
      <x:c r="Q46" s="220" t="n">
        <x:v>0.8</x:v>
      </x:c>
      <x:c r="R46" s="226" t="n">
        <x:f>P46*Q46</x:f>
        <x:v>2033.7408000000005</x:v>
      </x:c>
      <x:c r="S46" s="220" t="n">
        <x:v>0.05</x:v>
      </x:c>
      <x:c r="T46" s="226" t="n">
        <x:f>N46*S46</x:f>
        <x:v>121.05600000000003</x:v>
      </x:c>
      <x:c r="U46" s="226" t="n">
        <x:v>0.013</x:v>
      </x:c>
      <x:c r="V46" s="226" t="n">
        <x:f>P46*U46</x:f>
        <x:v>33.04828800000001</x:v>
      </x:c>
      <x:c r="W46" s="196" t="str">
        <x:v>EUR</x:v>
      </x:c>
      <x:c r="X46" s="220" t="n">
        <x:v>2.75</x:v>
      </x:c>
      <x:c r="Y46" s="196" t="str">
        <x:v>PER_CHARGEABLE_KG</x:v>
      </x:c>
      <x:c r="Z46" s="220" t="n">
        <x:v>0.21</x:v>
      </x:c>
      <x:c r="AA46" s="220" t="n">
        <x:v>7.8</x:v>
      </x:c>
      <x:c r="AB46" s="220" t="n">
        <x:v>9</x:v>
      </x:c>
      <x:c r="AC46" s="226" t="n">
        <x:f>IF(W46="EUR",AA46,IF(W46="GBP",AB46,1))</x:f>
        <x:v>7.8</x:v>
      </x:c>
      <x:c r="AD46" s="226" t="n">
        <x:f>R46*X46</x:f>
        <x:v>5592.787200000002</x:v>
      </x:c>
      <x:c r="AE46" s="226" t="n">
        <x:f>IF(Y46="PERCENTAGE_OF_BASE_FREIGHT",AD46*Z46,IF(Y46="PER_CHARGEABLE_KG",R46*Z46,P46*Z46))</x:f>
        <x:v>427.0855680000001</x:v>
      </x:c>
      <x:c r="AF46" s="226" t="n">
        <x:f>AD46*AC46</x:f>
        <x:v>43623.74016000001</x:v>
      </x:c>
      <x:c r="AG46" s="226" t="n">
        <x:f>AE46*AC46</x:f>
        <x:v>3331.2674304000006</x:v>
      </x:c>
      <x:c r="AH46" s="226" t="str">
        <x:v>EUR</x:v>
      </x:c>
      <x:c r="AI46" s="226" t="n">
        <x:v>1.18</x:v>
      </x:c>
      <x:c r="AJ46" s="226" t="n">
        <x:f>IF(AH46="EUR",AA46,IF(AH46="GBP",AB46,1))</x:f>
        <x:v>7.8</x:v>
      </x:c>
      <x:c r="AK46" s="226" t="n">
        <x:f>N46*AI46</x:f>
        <x:v>2856.9216</x:v>
      </x:c>
      <x:c r="AL46" s="226" t="n">
        <x:f>AK46*AJ46</x:f>
        <x:v>22283.98848</x:v>
      </x:c>
      <x:c r="AM46" s="226" t="str">
        <x:v>EUR</x:v>
      </x:c>
      <x:c r="AN46" s="226" t="n">
        <x:v>0.42</x:v>
      </x:c>
      <x:c r="AO46" s="226" t="n">
        <x:f>IF(AM46="EUR",AA46,IF(AM46="GBP",AB46,1))</x:f>
        <x:v>7.8</x:v>
      </x:c>
      <x:c r="AP46" s="226" t="n">
        <x:f>P46*AN46</x:f>
        <x:v>1067.7139200000001</x:v>
      </x:c>
      <x:c r="AQ46" s="226" t="n">
        <x:f>AP46*AO46</x:f>
        <x:v>8328.168576</x:v>
      </x:c>
      <x:c r="AR46" s="226" t="str">
        <x:v>EUR</x:v>
      </x:c>
      <x:c r="AS46" s="226" t="n">
        <x:v>3.2</x:v>
      </x:c>
      <x:c r="AT46" s="226" t="n">
        <x:f>IF(AR46="EUR",AA46,IF(AR46="GBP",AB46,1))</x:f>
        <x:v>7.8</x:v>
      </x:c>
      <x:c r="AU46" s="226" t="n">
        <x:f>T46*AS46</x:f>
        <x:v>387.3792000000001</x:v>
      </x:c>
      <x:c r="AV46" s="226" t="n">
        <x:f>AU46*AT46</x:f>
        <x:v>3021.5577600000006</x:v>
      </x:c>
      <x:c r="AW46" s="226" t="str">
        <x:v>EUR</x:v>
      </x:c>
      <x:c r="AX46" s="226" t="n">
        <x:v>2.3</x:v>
      </x:c>
      <x:c r="AY46" s="226" t="n">
        <x:f>IF(AW46="EUR",AA46,IF(AW46="GBP",AB46,1))</x:f>
        <x:v>7.8</x:v>
      </x:c>
      <x:c r="AZ46" s="226" t="n">
        <x:f>V46*AX46</x:f>
        <x:v>76.01106240000001</x:v>
      </x:c>
      <x:c r="BA46" s="226" t="n">
        <x:f>AZ46*AY46</x:f>
        <x:v>592.88628672</x:v>
      </x:c>
      <x:c r="BB46" s="226" t="n">
        <x:f>AF46+AG46+AL46+AQ46+AV46+BA46</x:f>
        <x:v>81181.60869312</x:v>
      </x:c>
      <x:c r="BC46" s="229" t="n">
        <x:v>0.976</x:v>
      </x:c>
      <x:c r="BD46" s="202"/>
      <x:c r="BE46" s="202"/>
      <x:c r="BF46" s="202"/>
      <x:c r="BG46" s="202" t="str">
        <x:v>UNVERIFIED_UNLIMITED_FOR_MVP</x:v>
      </x:c>
    </x:row>
    <x:row r="47">
      <x:c r="A47" s="187" t="str">
        <x:v>BUDGET_2026_V1</x:v>
      </x:c>
      <x:c r="B47" s="187" t="str">
        <x:v>BUDGET</x:v>
      </x:c>
      <x:c r="C47" s="187"/>
      <x:c r="D47" s="217" t="n">
        <x:v>46143</x:v>
      </x:c>
      <x:c r="E47" s="187" t="str">
        <x:v>R_DE_FR_B_ROAD</x:v>
      </x:c>
      <x:c r="F47" s="187" t="str">
        <x:v>DE</x:v>
      </x:c>
      <x:c r="G47" s="187" t="str">
        <x:v>FR_FC</x:v>
      </x:c>
      <x:c r="H47" s="187" t="str">
        <x:v>CARRIER_B</x:v>
      </x:c>
      <x:c r="I47" s="187" t="str">
        <x:v>ROAD</x:v>
      </x:c>
      <x:c r="J47" s="220" t="n">
        <x:v>16000</x:v>
      </x:c>
      <x:c r="K47" s="223" t="n">
        <x:v>0.39</x:v>
      </x:c>
      <x:c r="L47" s="223" t="n">
        <x:v>0.03</x:v>
      </x:c>
      <x:c r="M47" s="223" t="n">
        <x:v>1</x:v>
      </x:c>
      <x:c r="N47" s="226" t="n">
        <x:f>J47*K47*L47*M47</x:f>
        <x:v>187.2</x:v>
      </x:c>
      <x:c r="O47" s="220" t="n">
        <x:v>1.08</x:v>
      </x:c>
      <x:c r="P47" s="226" t="n">
        <x:f>N47*O47</x:f>
        <x:v>202.176</x:v>
      </x:c>
      <x:c r="Q47" s="220" t="n">
        <x:v>0.86</x:v>
      </x:c>
      <x:c r="R47" s="226" t="n">
        <x:f>P47*Q47</x:f>
        <x:v>173.87135999999998</x:v>
      </x:c>
      <x:c r="S47" s="220" t="n">
        <x:v>0.05</x:v>
      </x:c>
      <x:c r="T47" s="226" t="n">
        <x:f>N47*S47</x:f>
        <x:v>9.36</x:v>
      </x:c>
      <x:c r="U47" s="226" t="n">
        <x:v>0.014</x:v>
      </x:c>
      <x:c r="V47" s="226" t="n">
        <x:f>P47*U47</x:f>
        <x:v>2.830464</x:v>
      </x:c>
      <x:c r="W47" s="196" t="str">
        <x:v>EUR</x:v>
      </x:c>
      <x:c r="X47" s="220" t="n">
        <x:v>3.3</x:v>
      </x:c>
      <x:c r="Y47" s="196" t="str">
        <x:v>PER_CHARGEABLE_KG</x:v>
      </x:c>
      <x:c r="Z47" s="220" t="n">
        <x:v>0.24</x:v>
      </x:c>
      <x:c r="AA47" s="220" t="n">
        <x:v>7.8</x:v>
      </x:c>
      <x:c r="AB47" s="220" t="n">
        <x:v>9</x:v>
      </x:c>
      <x:c r="AC47" s="226" t="n">
        <x:f>IF(W47="EUR",AA47,IF(W47="GBP",AB47,1))</x:f>
        <x:v>7.8</x:v>
      </x:c>
      <x:c r="AD47" s="226" t="n">
        <x:f>R47*X47</x:f>
        <x:v>573.7754879999999</x:v>
      </x:c>
      <x:c r="AE47" s="226" t="n">
        <x:f>IF(Y47="PERCENTAGE_OF_BASE_FREIGHT",AD47*Z47,IF(Y47="PER_CHARGEABLE_KG",R47*Z47,P47*Z47))</x:f>
        <x:v>41.72912639999999</x:v>
      </x:c>
      <x:c r="AF47" s="226" t="n">
        <x:f>AD47*AC47</x:f>
        <x:v>4475.448806399999</x:v>
      </x:c>
      <x:c r="AG47" s="226" t="n">
        <x:f>AE47*AC47</x:f>
        <x:v>325.48718591999994</x:v>
      </x:c>
      <x:c r="AH47" s="226" t="str">
        <x:v>EUR</x:v>
      </x:c>
      <x:c r="AI47" s="226" t="n">
        <x:v>1.05</x:v>
      </x:c>
      <x:c r="AJ47" s="226" t="n">
        <x:f>IF(AH47="EUR",AA47,IF(AH47="GBP",AB47,1))</x:f>
        <x:v>7.8</x:v>
      </x:c>
      <x:c r="AK47" s="226" t="n">
        <x:f>N47*AI47</x:f>
        <x:v>196.56</x:v>
      </x:c>
      <x:c r="AL47" s="226" t="n">
        <x:f>AK47*AJ47</x:f>
        <x:v>1533.168</x:v>
      </x:c>
      <x:c r="AM47" s="226" t="str">
        <x:v>EUR</x:v>
      </x:c>
      <x:c r="AN47" s="226" t="n">
        <x:v>0.38</x:v>
      </x:c>
      <x:c r="AO47" s="226" t="n">
        <x:f>IF(AM47="EUR",AA47,IF(AM47="GBP",AB47,1))</x:f>
        <x:v>7.8</x:v>
      </x:c>
      <x:c r="AP47" s="226" t="n">
        <x:f>P47*AN47</x:f>
        <x:v>76.82688</x:v>
      </x:c>
      <x:c r="AQ47" s="226" t="n">
        <x:f>AP47*AO47</x:f>
        <x:v>599.249664</x:v>
      </x:c>
      <x:c r="AR47" s="226" t="str">
        <x:v>EUR</x:v>
      </x:c>
      <x:c r="AS47" s="226" t="n">
        <x:v>3.8</x:v>
      </x:c>
      <x:c r="AT47" s="226" t="n">
        <x:f>IF(AR47="EUR",AA47,IF(AR47="GBP",AB47,1))</x:f>
        <x:v>7.8</x:v>
      </x:c>
      <x:c r="AU47" s="226" t="n">
        <x:f>T47*AS47</x:f>
        <x:v>35.568</x:v>
      </x:c>
      <x:c r="AV47" s="226" t="n">
        <x:f>AU47*AT47</x:f>
        <x:v>277.43039999999996</x:v>
      </x:c>
      <x:c r="AW47" s="226" t="str">
        <x:v>EUR</x:v>
      </x:c>
      <x:c r="AX47" s="226" t="n">
        <x:v>2.3</x:v>
      </x:c>
      <x:c r="AY47" s="226" t="n">
        <x:f>IF(AW47="EUR",AA47,IF(AW47="GBP",AB47,1))</x:f>
        <x:v>7.8</x:v>
      </x:c>
      <x:c r="AZ47" s="226" t="n">
        <x:f>V47*AX47</x:f>
        <x:v>6.5100672</x:v>
      </x:c>
      <x:c r="BA47" s="226" t="n">
        <x:f>AZ47*AY47</x:f>
        <x:v>50.778524159999996</x:v>
      </x:c>
      <x:c r="BB47" s="226" t="n">
        <x:f>AF47+AG47+AL47+AQ47+AV47+BA47</x:f>
        <x:v>7261.562580479999</x:v>
      </x:c>
      <x:c r="BC47" s="229" t="n">
        <x:v>0.968</x:v>
      </x:c>
      <x:c r="BD47" s="202"/>
      <x:c r="BE47" s="202"/>
      <x:c r="BF47" s="202"/>
      <x:c r="BG47" s="202" t="str">
        <x:v>UNVERIFIED_UNLIMITED_FOR_MVP</x:v>
      </x:c>
    </x:row>
    <x:row r="48">
      <x:c r="A48" s="187" t="str">
        <x:v>BUDGET_2026_V1</x:v>
      </x:c>
      <x:c r="B48" s="187" t="str">
        <x:v>BUDGET</x:v>
      </x:c>
      <x:c r="C48" s="187"/>
      <x:c r="D48" s="217" t="n">
        <x:v>46143</x:v>
      </x:c>
      <x:c r="E48" s="187" t="str">
        <x:v>R_FR_FR_A_ROAD</x:v>
      </x:c>
      <x:c r="F48" s="187" t="str">
        <x:v>FR</x:v>
      </x:c>
      <x:c r="G48" s="187" t="str">
        <x:v>FR_FC</x:v>
      </x:c>
      <x:c r="H48" s="187" t="str">
        <x:v>CARRIER_A</x:v>
      </x:c>
      <x:c r="I48" s="187" t="str">
        <x:v>ROAD</x:v>
      </x:c>
      <x:c r="J48" s="220" t="n">
        <x:v>16000</x:v>
      </x:c>
      <x:c r="K48" s="223" t="n">
        <x:v>0.32</x:v>
      </x:c>
      <x:c r="L48" s="223" t="n">
        <x:v>1</x:v>
      </x:c>
      <x:c r="M48" s="223" t="n">
        <x:v>0.35</x:v>
      </x:c>
      <x:c r="N48" s="226" t="n">
        <x:f>J48*K48*L48*M48</x:f>
        <x:v>1792</x:v>
      </x:c>
      <x:c r="O48" s="220" t="n">
        <x:v>1.06</x:v>
      </x:c>
      <x:c r="P48" s="226" t="n">
        <x:f>N48*O48</x:f>
        <x:v>1899.52</x:v>
      </x:c>
      <x:c r="Q48" s="220" t="n">
        <x:v>0.76</x:v>
      </x:c>
      <x:c r="R48" s="226" t="n">
        <x:f>P48*Q48</x:f>
        <x:v>1443.6352</x:v>
      </x:c>
      <x:c r="S48" s="220" t="n">
        <x:v>0.06</x:v>
      </x:c>
      <x:c r="T48" s="226" t="n">
        <x:f>N48*S48</x:f>
        <x:v>107.52</x:v>
      </x:c>
      <x:c r="U48" s="226" t="n">
        <x:v>0.017</x:v>
      </x:c>
      <x:c r="V48" s="226" t="n">
        <x:f>P48*U48</x:f>
        <x:v>32.29184</x:v>
      </x:c>
      <x:c r="W48" s="196" t="str">
        <x:v>EUR</x:v>
      </x:c>
      <x:c r="X48" s="220" t="n">
        <x:v>2.1</x:v>
      </x:c>
      <x:c r="Y48" s="196" t="str">
        <x:v>PERCENTAGE_OF_BASE_FREIGHT</x:v>
      </x:c>
      <x:c r="Z48" s="220" t="n">
        <x:v>0.09</x:v>
      </x:c>
      <x:c r="AA48" s="220" t="n">
        <x:v>7.8</x:v>
      </x:c>
      <x:c r="AB48" s="220" t="n">
        <x:v>9</x:v>
      </x:c>
      <x:c r="AC48" s="226" t="n">
        <x:f>IF(W48="EUR",AA48,IF(W48="GBP",AB48,1))</x:f>
        <x:v>7.8</x:v>
      </x:c>
      <x:c r="AD48" s="226" t="n">
        <x:f>R48*X48</x:f>
        <x:v>3031.63392</x:v>
      </x:c>
      <x:c r="AE48" s="226" t="n">
        <x:f>IF(Y48="PERCENTAGE_OF_BASE_FREIGHT",AD48*Z48,IF(Y48="PER_CHARGEABLE_KG",R48*Z48,P48*Z48))</x:f>
        <x:v>272.84705280000003</x:v>
      </x:c>
      <x:c r="AF48" s="226" t="n">
        <x:f>AD48*AC48</x:f>
        <x:v>23646.744576</x:v>
      </x:c>
      <x:c r="AG48" s="226" t="n">
        <x:f>AE48*AC48</x:f>
        <x:v>2128.20701184</x:v>
      </x:c>
      <x:c r="AH48" s="226" t="str">
        <x:v>EUR</x:v>
      </x:c>
      <x:c r="AI48" s="226" t="n">
        <x:v>1.05</x:v>
      </x:c>
      <x:c r="AJ48" s="226" t="n">
        <x:f>IF(AH48="EUR",AA48,IF(AH48="GBP",AB48,1))</x:f>
        <x:v>7.8</x:v>
      </x:c>
      <x:c r="AK48" s="226" t="n">
        <x:f>N48*AI48</x:f>
        <x:v>1881.6000000000001</x:v>
      </x:c>
      <x:c r="AL48" s="226" t="n">
        <x:f>AK48*AJ48</x:f>
        <x:v>14676.480000000001</x:v>
      </x:c>
      <x:c r="AM48" s="226" t="str">
        <x:v>EUR</x:v>
      </x:c>
      <x:c r="AN48" s="226" t="n">
        <x:v>0.38</x:v>
      </x:c>
      <x:c r="AO48" s="226" t="n">
        <x:f>IF(AM48="EUR",AA48,IF(AM48="GBP",AB48,1))</x:f>
        <x:v>7.8</x:v>
      </x:c>
      <x:c r="AP48" s="226" t="n">
        <x:f>P48*AN48</x:f>
        <x:v>721.8176</x:v>
      </x:c>
      <x:c r="AQ48" s="226" t="n">
        <x:f>AP48*AO48</x:f>
        <x:v>5630.17728</x:v>
      </x:c>
      <x:c r="AR48" s="226" t="str">
        <x:v>EUR</x:v>
      </x:c>
      <x:c r="AS48" s="226" t="n">
        <x:v>3</x:v>
      </x:c>
      <x:c r="AT48" s="226" t="n">
        <x:f>IF(AR48="EUR",AA48,IF(AR48="GBP",AB48,1))</x:f>
        <x:v>7.8</x:v>
      </x:c>
      <x:c r="AU48" s="226" t="n">
        <x:f>T48*AS48</x:f>
        <x:v>322.56</x:v>
      </x:c>
      <x:c r="AV48" s="226" t="n">
        <x:f>AU48*AT48</x:f>
        <x:v>2515.968</x:v>
      </x:c>
      <x:c r="AW48" s="226" t="str">
        <x:v>EUR</x:v>
      </x:c>
      <x:c r="AX48" s="226" t="n">
        <x:v>2.3</x:v>
      </x:c>
      <x:c r="AY48" s="226" t="n">
        <x:f>IF(AW48="EUR",AA48,IF(AW48="GBP",AB48,1))</x:f>
        <x:v>7.8</x:v>
      </x:c>
      <x:c r="AZ48" s="226" t="n">
        <x:f>V48*AX48</x:f>
        <x:v>74.271232</x:v>
      </x:c>
      <x:c r="BA48" s="226" t="n">
        <x:f>AZ48*AY48</x:f>
        <x:v>579.3156096</x:v>
      </x:c>
      <x:c r="BB48" s="226" t="n">
        <x:f>AF48+AG48+AL48+AQ48+AV48+BA48</x:f>
        <x:v>49176.89247744</x:v>
      </x:c>
      <x:c r="BC48" s="229" t="n">
        <x:v>0.961</x:v>
      </x:c>
      <x:c r="BD48" s="202"/>
      <x:c r="BE48" s="202"/>
      <x:c r="BF48" s="202"/>
      <x:c r="BG48" s="202" t="str">
        <x:v>UNVERIFIED_UNLIMITED_FOR_MVP</x:v>
      </x:c>
    </x:row>
    <x:row r="49">
      <x:c r="A49" s="187" t="str">
        <x:v>BUDGET_2026_V1</x:v>
      </x:c>
      <x:c r="B49" s="187" t="str">
        <x:v>BUDGET</x:v>
      </x:c>
      <x:c r="C49" s="187"/>
      <x:c r="D49" s="217" t="n">
        <x:v>46143</x:v>
      </x:c>
      <x:c r="E49" s="187" t="str">
        <x:v>R_FR_FR_B_ROAD</x:v>
      </x:c>
      <x:c r="F49" s="187" t="str">
        <x:v>FR</x:v>
      </x:c>
      <x:c r="G49" s="187" t="str">
        <x:v>FR_FC</x:v>
      </x:c>
      <x:c r="H49" s="187" t="str">
        <x:v>CARRIER_B</x:v>
      </x:c>
      <x:c r="I49" s="187" t="str">
        <x:v>ROAD</x:v>
      </x:c>
      <x:c r="J49" s="220" t="n">
        <x:v>16000</x:v>
      </x:c>
      <x:c r="K49" s="223" t="n">
        <x:v>0.32</x:v>
      </x:c>
      <x:c r="L49" s="223" t="n">
        <x:v>1</x:v>
      </x:c>
      <x:c r="M49" s="223" t="n">
        <x:v>0.65</x:v>
      </x:c>
      <x:c r="N49" s="226" t="n">
        <x:f>J49*K49*L49*M49</x:f>
        <x:v>3328</x:v>
      </x:c>
      <x:c r="O49" s="220" t="n">
        <x:v>1.06</x:v>
      </x:c>
      <x:c r="P49" s="226" t="n">
        <x:f>N49*O49</x:f>
        <x:v>3527.6800000000003</x:v>
      </x:c>
      <x:c r="Q49" s="220" t="n">
        <x:v>0.79</x:v>
      </x:c>
      <x:c r="R49" s="226" t="n">
        <x:f>P49*Q49</x:f>
        <x:v>2786.8672</x:v>
      </x:c>
      <x:c r="S49" s="220" t="n">
        <x:v>0.06</x:v>
      </x:c>
      <x:c r="T49" s="226" t="n">
        <x:f>N49*S49</x:f>
        <x:v>199.68</x:v>
      </x:c>
      <x:c r="U49" s="226" t="n">
        <x:v>0.014</x:v>
      </x:c>
      <x:c r="V49" s="226" t="n">
        <x:f>P49*U49</x:f>
        <x:v>49.38752</x:v>
      </x:c>
      <x:c r="W49" s="196" t="str">
        <x:v>EUR</x:v>
      </x:c>
      <x:c r="X49" s="220" t="n">
        <x:v>2.6</x:v>
      </x:c>
      <x:c r="Y49" s="196" t="str">
        <x:v>PER_CHARGEABLE_KG</x:v>
      </x:c>
      <x:c r="Z49" s="220" t="n">
        <x:v>0.2</x:v>
      </x:c>
      <x:c r="AA49" s="220" t="n">
        <x:v>7.8</x:v>
      </x:c>
      <x:c r="AB49" s="220" t="n">
        <x:v>9</x:v>
      </x:c>
      <x:c r="AC49" s="226" t="n">
        <x:f>IF(W49="EUR",AA49,IF(W49="GBP",AB49,1))</x:f>
        <x:v>7.8</x:v>
      </x:c>
      <x:c r="AD49" s="226" t="n">
        <x:f>R49*X49</x:f>
        <x:v>7245.85472</x:v>
      </x:c>
      <x:c r="AE49" s="226" t="n">
        <x:f>IF(Y49="PERCENTAGE_OF_BASE_FREIGHT",AD49*Z49,IF(Y49="PER_CHARGEABLE_KG",R49*Z49,P49*Z49))</x:f>
        <x:v>557.3734400000001</x:v>
      </x:c>
      <x:c r="AF49" s="226" t="n">
        <x:f>AD49*AC49</x:f>
        <x:v>56517.666816</x:v>
      </x:c>
      <x:c r="AG49" s="226" t="n">
        <x:f>AE49*AC49</x:f>
        <x:v>4347.512832</x:v>
      </x:c>
      <x:c r="AH49" s="226" t="str">
        <x:v>EUR</x:v>
      </x:c>
      <x:c r="AI49" s="226" t="n">
        <x:v>1.05</x:v>
      </x:c>
      <x:c r="AJ49" s="226" t="n">
        <x:f>IF(AH49="EUR",AA49,IF(AH49="GBP",AB49,1))</x:f>
        <x:v>7.8</x:v>
      </x:c>
      <x:c r="AK49" s="226" t="n">
        <x:f>N49*AI49</x:f>
        <x:v>3494.4</x:v>
      </x:c>
      <x:c r="AL49" s="226" t="n">
        <x:f>AK49*AJ49</x:f>
        <x:v>27256.32</x:v>
      </x:c>
      <x:c r="AM49" s="226" t="str">
        <x:v>EUR</x:v>
      </x:c>
      <x:c r="AN49" s="226" t="n">
        <x:v>0.38</x:v>
      </x:c>
      <x:c r="AO49" s="226" t="n">
        <x:f>IF(AM49="EUR",AA49,IF(AM49="GBP",AB49,1))</x:f>
        <x:v>7.8</x:v>
      </x:c>
      <x:c r="AP49" s="226" t="n">
        <x:f>P49*AN49</x:f>
        <x:v>1340.5184000000002</x:v>
      </x:c>
      <x:c r="AQ49" s="226" t="n">
        <x:f>AP49*AO49</x:f>
        <x:v>10456.043520000001</x:v>
      </x:c>
      <x:c r="AR49" s="226" t="str">
        <x:v>EUR</x:v>
      </x:c>
      <x:c r="AS49" s="226" t="n">
        <x:v>3</x:v>
      </x:c>
      <x:c r="AT49" s="226" t="n">
        <x:f>IF(AR49="EUR",AA49,IF(AR49="GBP",AB49,1))</x:f>
        <x:v>7.8</x:v>
      </x:c>
      <x:c r="AU49" s="226" t="n">
        <x:f>T49*AS49</x:f>
        <x:v>599.04</x:v>
      </x:c>
      <x:c r="AV49" s="226" t="n">
        <x:f>AU49*AT49</x:f>
        <x:v>4672.512</x:v>
      </x:c>
      <x:c r="AW49" s="226" t="str">
        <x:v>EUR</x:v>
      </x:c>
      <x:c r="AX49" s="226" t="n">
        <x:v>2.3</x:v>
      </x:c>
      <x:c r="AY49" s="226" t="n">
        <x:f>IF(AW49="EUR",AA49,IF(AW49="GBP",AB49,1))</x:f>
        <x:v>7.8</x:v>
      </x:c>
      <x:c r="AZ49" s="226" t="n">
        <x:f>V49*AX49</x:f>
        <x:v>113.591296</x:v>
      </x:c>
      <x:c r="BA49" s="226" t="n">
        <x:f>AZ49*AY49</x:f>
        <x:v>886.0121088</x:v>
      </x:c>
      <x:c r="BB49" s="226" t="n">
        <x:f>AF49+AG49+AL49+AQ49+AV49+BA49</x:f>
        <x:v>104136.06727680001</x:v>
      </x:c>
      <x:c r="BC49" s="229" t="n">
        <x:v>0.973</x:v>
      </x:c>
      <x:c r="BD49" s="202"/>
      <x:c r="BE49" s="202"/>
      <x:c r="BF49" s="202"/>
      <x:c r="BG49" s="202" t="str">
        <x:v>UNVERIFIED_UNLIMITED_FOR_MVP</x:v>
      </x:c>
    </x:row>
    <x:row r="50">
      <x:c r="A50" s="187" t="str">
        <x:v>BUDGET_2026_V1</x:v>
      </x:c>
      <x:c r="B50" s="187" t="str">
        <x:v>BUDGET</x:v>
      </x:c>
      <x:c r="C50" s="187"/>
      <x:c r="D50" s="217" t="n">
        <x:v>46143</x:v>
      </x:c>
      <x:c r="E50" s="187" t="str">
        <x:v>R_GB_DE_A_ROAD</x:v>
      </x:c>
      <x:c r="F50" s="187" t="str">
        <x:v>GB</x:v>
      </x:c>
      <x:c r="G50" s="187" t="str">
        <x:v>DE_FC</x:v>
      </x:c>
      <x:c r="H50" s="187" t="str">
        <x:v>CARRIER_A</x:v>
      </x:c>
      <x:c r="I50" s="187" t="str">
        <x:v>ROAD</x:v>
      </x:c>
      <x:c r="J50" s="220" t="n">
        <x:v>16000</x:v>
      </x:c>
      <x:c r="K50" s="223" t="n">
        <x:v>0.29</x:v>
      </x:c>
      <x:c r="L50" s="223" t="n">
        <x:v>0.96</x:v>
      </x:c>
      <x:c r="M50" s="223" t="n">
        <x:v>0.65</x:v>
      </x:c>
      <x:c r="N50" s="226" t="n">
        <x:f>J50*K50*L50*M50</x:f>
        <x:v>2895.3599999999997</x:v>
      </x:c>
      <x:c r="O50" s="220" t="n">
        <x:v>1.12</x:v>
      </x:c>
      <x:c r="P50" s="226" t="n">
        <x:f>N50*O50</x:f>
        <x:v>3242.8032</x:v>
      </x:c>
      <x:c r="Q50" s="220" t="n">
        <x:v>1.02</x:v>
      </x:c>
      <x:c r="R50" s="226" t="n">
        <x:f>P50*Q50</x:f>
        <x:v>3307.659264</x:v>
      </x:c>
      <x:c r="S50" s="220" t="n">
        <x:v>0.08</x:v>
      </x:c>
      <x:c r="T50" s="226" t="n">
        <x:f>N50*S50</x:f>
        <x:v>231.62879999999998</x:v>
      </x:c>
      <x:c r="U50" s="226" t="n">
        <x:v>0.022</x:v>
      </x:c>
      <x:c r="V50" s="226" t="n">
        <x:f>P50*U50</x:f>
        <x:v>71.3416704</x:v>
      </x:c>
      <x:c r="W50" s="196" t="str">
        <x:v>GBP</x:v>
      </x:c>
      <x:c r="X50" s="220" t="n">
        <x:v>4</x:v>
      </x:c>
      <x:c r="Y50" s="196" t="str">
        <x:v>PERCENTAGE_OF_BASE_FREIGHT</x:v>
      </x:c>
      <x:c r="Z50" s="220" t="n">
        <x:v>0.1</x:v>
      </x:c>
      <x:c r="AA50" s="220" t="n">
        <x:v>7.8</x:v>
      </x:c>
      <x:c r="AB50" s="220" t="n">
        <x:v>9</x:v>
      </x:c>
      <x:c r="AC50" s="226" t="n">
        <x:f>IF(W50="EUR",AA50,IF(W50="GBP",AB50,1))</x:f>
        <x:v>9</x:v>
      </x:c>
      <x:c r="AD50" s="226" t="n">
        <x:f>R50*X50</x:f>
        <x:v>13230.637056</x:v>
      </x:c>
      <x:c r="AE50" s="226" t="n">
        <x:f>IF(Y50="PERCENTAGE_OF_BASE_FREIGHT",AD50*Z50,IF(Y50="PER_CHARGEABLE_KG",R50*Z50,P50*Z50))</x:f>
        <x:v>1323.0637056</x:v>
      </x:c>
      <x:c r="AF50" s="226" t="n">
        <x:f>AD50*AC50</x:f>
        <x:v>119075.733504</x:v>
      </x:c>
      <x:c r="AG50" s="226" t="n">
        <x:f>AE50*AC50</x:f>
        <x:v>11907.5733504</x:v>
      </x:c>
      <x:c r="AH50" s="226" t="str">
        <x:v>EUR</x:v>
      </x:c>
      <x:c r="AI50" s="226" t="n">
        <x:v>1.18</x:v>
      </x:c>
      <x:c r="AJ50" s="226" t="n">
        <x:f>IF(AH50="EUR",AA50,IF(AH50="GBP",AB50,1))</x:f>
        <x:v>7.8</x:v>
      </x:c>
      <x:c r="AK50" s="226" t="n">
        <x:f>N50*AI50</x:f>
        <x:v>3416.5247999999992</x:v>
      </x:c>
      <x:c r="AL50" s="226" t="n">
        <x:f>AK50*AJ50</x:f>
        <x:v>26648.893439999993</x:v>
      </x:c>
      <x:c r="AM50" s="226" t="str">
        <x:v>EUR</x:v>
      </x:c>
      <x:c r="AN50" s="226" t="n">
        <x:v>0.42</x:v>
      </x:c>
      <x:c r="AO50" s="226" t="n">
        <x:f>IF(AM50="EUR",AA50,IF(AM50="GBP",AB50,1))</x:f>
        <x:v>7.8</x:v>
      </x:c>
      <x:c r="AP50" s="226" t="n">
        <x:f>P50*AN50</x:f>
        <x:v>1361.977344</x:v>
      </x:c>
      <x:c r="AQ50" s="226" t="n">
        <x:f>AP50*AO50</x:f>
        <x:v>10623.4232832</x:v>
      </x:c>
      <x:c r="AR50" s="226" t="str">
        <x:v>GBP</x:v>
      </x:c>
      <x:c r="AS50" s="226" t="n">
        <x:v>4.8</x:v>
      </x:c>
      <x:c r="AT50" s="226" t="n">
        <x:f>IF(AR50="EUR",AA50,IF(AR50="GBP",AB50,1))</x:f>
        <x:v>9</x:v>
      </x:c>
      <x:c r="AU50" s="226" t="n">
        <x:f>T50*AS50</x:f>
        <x:v>1111.8182399999998</x:v>
      </x:c>
      <x:c r="AV50" s="226" t="n">
        <x:f>AU50*AT50</x:f>
        <x:v>10006.36416</x:v>
      </x:c>
      <x:c r="AW50" s="226" t="str">
        <x:v>GBP</x:v>
      </x:c>
      <x:c r="AX50" s="226" t="n">
        <x:v>2.3</x:v>
      </x:c>
      <x:c r="AY50" s="226" t="n">
        <x:f>IF(AW50="EUR",AA50,IF(AW50="GBP",AB50,1))</x:f>
        <x:v>9</x:v>
      </x:c>
      <x:c r="AZ50" s="226" t="n">
        <x:f>V50*AX50</x:f>
        <x:v>164.08584191999998</x:v>
      </x:c>
      <x:c r="BA50" s="226" t="n">
        <x:f>AZ50*AY50</x:f>
        <x:v>1476.7725772799997</x:v>
      </x:c>
      <x:c r="BB50" s="226" t="n">
        <x:f>AF50+AG50+AL50+AQ50+AV50+BA50</x:f>
        <x:v>179738.76031488</x:v>
      </x:c>
      <x:c r="BC50" s="229" t="n">
        <x:v>0.93</x:v>
      </x:c>
      <x:c r="BD50" s="202"/>
      <x:c r="BE50" s="202"/>
      <x:c r="BF50" s="202"/>
      <x:c r="BG50" s="202" t="str">
        <x:v>UNVERIFIED_UNLIMITED_FOR_MVP</x:v>
      </x:c>
    </x:row>
    <x:row r="51">
      <x:c r="A51" s="187" t="str">
        <x:v>BUDGET_2026_V1</x:v>
      </x:c>
      <x:c r="B51" s="187" t="str">
        <x:v>BUDGET</x:v>
      </x:c>
      <x:c r="C51" s="187"/>
      <x:c r="D51" s="217" t="n">
        <x:v>46143</x:v>
      </x:c>
      <x:c r="E51" s="187" t="str">
        <x:v>R_GB_DE_B_ROAD</x:v>
      </x:c>
      <x:c r="F51" s="187" t="str">
        <x:v>GB</x:v>
      </x:c>
      <x:c r="G51" s="187" t="str">
        <x:v>DE_FC</x:v>
      </x:c>
      <x:c r="H51" s="187" t="str">
        <x:v>CARRIER_B</x:v>
      </x:c>
      <x:c r="I51" s="187" t="str">
        <x:v>ROAD</x:v>
      </x:c>
      <x:c r="J51" s="220" t="n">
        <x:v>16000</x:v>
      </x:c>
      <x:c r="K51" s="223" t="n">
        <x:v>0.29</x:v>
      </x:c>
      <x:c r="L51" s="223" t="n">
        <x:v>0.96</x:v>
      </x:c>
      <x:c r="M51" s="223" t="n">
        <x:v>0.25</x:v>
      </x:c>
      <x:c r="N51" s="226" t="n">
        <x:f>J51*K51*L51*M51</x:f>
        <x:v>1113.6</x:v>
      </x:c>
      <x:c r="O51" s="220" t="n">
        <x:v>1.12</x:v>
      </x:c>
      <x:c r="P51" s="226" t="n">
        <x:f>N51*O51</x:f>
        <x:v>1247.232</x:v>
      </x:c>
      <x:c r="Q51" s="220" t="n">
        <x:v>1</x:v>
      </x:c>
      <x:c r="R51" s="226" t="n">
        <x:f>P51*Q51</x:f>
        <x:v>1247.232</x:v>
      </x:c>
      <x:c r="S51" s="220" t="n">
        <x:v>0.08</x:v>
      </x:c>
      <x:c r="T51" s="226" t="n">
        <x:f>N51*S51</x:f>
        <x:v>89.088</x:v>
      </x:c>
      <x:c r="U51" s="226" t="n">
        <x:v>0.017</x:v>
      </x:c>
      <x:c r="V51" s="226" t="n">
        <x:f>P51*U51</x:f>
        <x:v>21.202944000000002</x:v>
      </x:c>
      <x:c r="W51" s="196" t="str">
        <x:v>GBP</x:v>
      </x:c>
      <x:c r="X51" s="220" t="n">
        <x:v>4.7</x:v>
      </x:c>
      <x:c r="Y51" s="196" t="str">
        <x:v>PER_CHARGEABLE_KG</x:v>
      </x:c>
      <x:c r="Z51" s="220" t="n">
        <x:v>0.33</x:v>
      </x:c>
      <x:c r="AA51" s="220" t="n">
        <x:v>7.8</x:v>
      </x:c>
      <x:c r="AB51" s="220" t="n">
        <x:v>9</x:v>
      </x:c>
      <x:c r="AC51" s="226" t="n">
        <x:f>IF(W51="EUR",AA51,IF(W51="GBP",AB51,1))</x:f>
        <x:v>9</x:v>
      </x:c>
      <x:c r="AD51" s="226" t="n">
        <x:f>R51*X51</x:f>
        <x:v>5861.9904</x:v>
      </x:c>
      <x:c r="AE51" s="226" t="n">
        <x:f>IF(Y51="PERCENTAGE_OF_BASE_FREIGHT",AD51*Z51,IF(Y51="PER_CHARGEABLE_KG",R51*Z51,P51*Z51))</x:f>
        <x:v>411.58656</x:v>
      </x:c>
      <x:c r="AF51" s="226" t="n">
        <x:f>AD51*AC51</x:f>
        <x:v>52757.9136</x:v>
      </x:c>
      <x:c r="AG51" s="226" t="n">
        <x:f>AE51*AC51</x:f>
        <x:v>3704.2790400000004</x:v>
      </x:c>
      <x:c r="AH51" s="226" t="str">
        <x:v>EUR</x:v>
      </x:c>
      <x:c r="AI51" s="226" t="n">
        <x:v>1.18</x:v>
      </x:c>
      <x:c r="AJ51" s="226" t="n">
        <x:f>IF(AH51="EUR",AA51,IF(AH51="GBP",AB51,1))</x:f>
        <x:v>7.8</x:v>
      </x:c>
      <x:c r="AK51" s="226" t="n">
        <x:f>N51*AI51</x:f>
        <x:v>1314.0479999999998</x:v>
      </x:c>
      <x:c r="AL51" s="226" t="n">
        <x:f>AK51*AJ51</x:f>
        <x:v>10249.574399999998</x:v>
      </x:c>
      <x:c r="AM51" s="226" t="str">
        <x:v>EUR</x:v>
      </x:c>
      <x:c r="AN51" s="226" t="n">
        <x:v>0.42</x:v>
      </x:c>
      <x:c r="AO51" s="226" t="n">
        <x:f>IF(AM51="EUR",AA51,IF(AM51="GBP",AB51,1))</x:f>
        <x:v>7.8</x:v>
      </x:c>
      <x:c r="AP51" s="226" t="n">
        <x:f>P51*AN51</x:f>
        <x:v>523.83744</x:v>
      </x:c>
      <x:c r="AQ51" s="226" t="n">
        <x:f>AP51*AO51</x:f>
        <x:v>4085.932032</x:v>
      </x:c>
      <x:c r="AR51" s="226" t="str">
        <x:v>GBP</x:v>
      </x:c>
      <x:c r="AS51" s="226" t="n">
        <x:v>4.8</x:v>
      </x:c>
      <x:c r="AT51" s="226" t="n">
        <x:f>IF(AR51="EUR",AA51,IF(AR51="GBP",AB51,1))</x:f>
        <x:v>9</x:v>
      </x:c>
      <x:c r="AU51" s="226" t="n">
        <x:f>T51*AS51</x:f>
        <x:v>427.62239999999997</x:v>
      </x:c>
      <x:c r="AV51" s="226" t="n">
        <x:f>AU51*AT51</x:f>
        <x:v>3848.6016</x:v>
      </x:c>
      <x:c r="AW51" s="226" t="str">
        <x:v>GBP</x:v>
      </x:c>
      <x:c r="AX51" s="226" t="n">
        <x:v>2.3</x:v>
      </x:c>
      <x:c r="AY51" s="226" t="n">
        <x:f>IF(AW51="EUR",AA51,IF(AW51="GBP",AB51,1))</x:f>
        <x:v>9</x:v>
      </x:c>
      <x:c r="AZ51" s="226" t="n">
        <x:f>V51*AX51</x:f>
        <x:v>48.7667712</x:v>
      </x:c>
      <x:c r="BA51" s="226" t="n">
        <x:f>AZ51*AY51</x:f>
        <x:v>438.9009408</x:v>
      </x:c>
      <x:c r="BB51" s="226" t="n">
        <x:f>AF51+AG51+AL51+AQ51+AV51+BA51</x:f>
        <x:v>75085.2016128</x:v>
      </x:c>
      <x:c r="BC51" s="229" t="n">
        <x:v>0.95</x:v>
      </x:c>
      <x:c r="BD51" s="202"/>
      <x:c r="BE51" s="202"/>
      <x:c r="BF51" s="202"/>
      <x:c r="BG51" s="202" t="str">
        <x:v>UNVERIFIED_UNLIMITED_FOR_MVP</x:v>
      </x:c>
    </x:row>
    <x:row r="52">
      <x:c r="A52" s="187" t="str">
        <x:v>BUDGET_2026_V1</x:v>
      </x:c>
      <x:c r="B52" s="187" t="str">
        <x:v>BUDGET</x:v>
      </x:c>
      <x:c r="C52" s="187"/>
      <x:c r="D52" s="217" t="n">
        <x:v>46143</x:v>
      </x:c>
      <x:c r="E52" s="187" t="str">
        <x:v>R_GB_DE_B_AIR</x:v>
      </x:c>
      <x:c r="F52" s="187" t="str">
        <x:v>GB</x:v>
      </x:c>
      <x:c r="G52" s="187" t="str">
        <x:v>DE_FC</x:v>
      </x:c>
      <x:c r="H52" s="187" t="str">
        <x:v>CARRIER_B</x:v>
      </x:c>
      <x:c r="I52" s="187" t="str">
        <x:v>AIR</x:v>
      </x:c>
      <x:c r="J52" s="220" t="n">
        <x:v>16000</x:v>
      </x:c>
      <x:c r="K52" s="223" t="n">
        <x:v>0.29</x:v>
      </x:c>
      <x:c r="L52" s="223" t="n">
        <x:v>0.96</x:v>
      </x:c>
      <x:c r="M52" s="223" t="n">
        <x:v>0.07</x:v>
      </x:c>
      <x:c r="N52" s="226" t="n">
        <x:f>J52*K52*L52*M52</x:f>
        <x:v>311.808</x:v>
      </x:c>
      <x:c r="O52" s="220" t="n">
        <x:v>1.12</x:v>
      </x:c>
      <x:c r="P52" s="226" t="n">
        <x:f>N52*O52</x:f>
        <x:v>349.22496</x:v>
      </x:c>
      <x:c r="Q52" s="220" t="n">
        <x:v>0.94</x:v>
      </x:c>
      <x:c r="R52" s="226" t="n">
        <x:f>P52*Q52</x:f>
        <x:v>328.2714624</x:v>
      </x:c>
      <x:c r="S52" s="220" t="n">
        <x:v>0.08</x:v>
      </x:c>
      <x:c r="T52" s="226" t="n">
        <x:f>N52*S52</x:f>
        <x:v>24.94464</x:v>
      </x:c>
      <x:c r="U52" s="226" t="n">
        <x:v>0.013</x:v>
      </x:c>
      <x:c r="V52" s="226" t="n">
        <x:f>P52*U52</x:f>
        <x:v>4.53992448</x:v>
      </x:c>
      <x:c r="W52" s="196" t="str">
        <x:v>GBP</x:v>
      </x:c>
      <x:c r="X52" s="220" t="n">
        <x:v>6.2</x:v>
      </x:c>
      <x:c r="Y52" s="196" t="str">
        <x:v>PERCENTAGE_OF_BASE_FREIGHT</x:v>
      </x:c>
      <x:c r="Z52" s="220" t="n">
        <x:v>0.115</x:v>
      </x:c>
      <x:c r="AA52" s="220" t="n">
        <x:v>7.8</x:v>
      </x:c>
      <x:c r="AB52" s="220" t="n">
        <x:v>9</x:v>
      </x:c>
      <x:c r="AC52" s="226" t="n">
        <x:f>IF(W52="EUR",AA52,IF(W52="GBP",AB52,1))</x:f>
        <x:v>9</x:v>
      </x:c>
      <x:c r="AD52" s="226" t="n">
        <x:f>R52*X52</x:f>
        <x:v>2035.2830668800002</x:v>
      </x:c>
      <x:c r="AE52" s="226" t="n">
        <x:f>IF(Y52="PERCENTAGE_OF_BASE_FREIGHT",AD52*Z52,IF(Y52="PER_CHARGEABLE_KG",R52*Z52,P52*Z52))</x:f>
        <x:v>234.05755269120004</x:v>
      </x:c>
      <x:c r="AF52" s="226" t="n">
        <x:f>AD52*AC52</x:f>
        <x:v>18317.547601920003</x:v>
      </x:c>
      <x:c r="AG52" s="226" t="n">
        <x:f>AE52*AC52</x:f>
        <x:v>2106.5179742208</x:v>
      </x:c>
      <x:c r="AH52" s="226" t="str">
        <x:v>EUR</x:v>
      </x:c>
      <x:c r="AI52" s="226" t="n">
        <x:v>1.18</x:v>
      </x:c>
      <x:c r="AJ52" s="226" t="n">
        <x:f>IF(AH52="EUR",AA52,IF(AH52="GBP",AB52,1))</x:f>
        <x:v>7.8</x:v>
      </x:c>
      <x:c r="AK52" s="226" t="n">
        <x:f>N52*AI52</x:f>
        <x:v>367.93343999999996</x:v>
      </x:c>
      <x:c r="AL52" s="226" t="n">
        <x:f>AK52*AJ52</x:f>
        <x:v>2869.880832</x:v>
      </x:c>
      <x:c r="AM52" s="226" t="str">
        <x:v>EUR</x:v>
      </x:c>
      <x:c r="AN52" s="226" t="n">
        <x:v>0.42</x:v>
      </x:c>
      <x:c r="AO52" s="226" t="n">
        <x:f>IF(AM52="EUR",AA52,IF(AM52="GBP",AB52,1))</x:f>
        <x:v>7.8</x:v>
      </x:c>
      <x:c r="AP52" s="226" t="n">
        <x:f>P52*AN52</x:f>
        <x:v>146.6744832</x:v>
      </x:c>
      <x:c r="AQ52" s="226" t="n">
        <x:f>AP52*AO52</x:f>
        <x:v>1144.0609689599999</x:v>
      </x:c>
      <x:c r="AR52" s="226" t="str">
        <x:v>GBP</x:v>
      </x:c>
      <x:c r="AS52" s="226" t="n">
        <x:v>4.8</x:v>
      </x:c>
      <x:c r="AT52" s="226" t="n">
        <x:f>IF(AR52="EUR",AA52,IF(AR52="GBP",AB52,1))</x:f>
        <x:v>9</x:v>
      </x:c>
      <x:c r="AU52" s="226" t="n">
        <x:f>T52*AS52</x:f>
        <x:v>119.73427199999999</x:v>
      </x:c>
      <x:c r="AV52" s="226" t="n">
        <x:f>AU52*AT52</x:f>
        <x:v>1077.608448</x:v>
      </x:c>
      <x:c r="AW52" s="226" t="str">
        <x:v>GBP</x:v>
      </x:c>
      <x:c r="AX52" s="226" t="n">
        <x:v>2.8</x:v>
      </x:c>
      <x:c r="AY52" s="226" t="n">
        <x:f>IF(AW52="EUR",AA52,IF(AW52="GBP",AB52,1))</x:f>
        <x:v>9</x:v>
      </x:c>
      <x:c r="AZ52" s="226" t="n">
        <x:f>V52*AX52</x:f>
        <x:v>12.711788544</x:v>
      </x:c>
      <x:c r="BA52" s="226" t="n">
        <x:f>AZ52*AY52</x:f>
        <x:v>114.406096896</x:v>
      </x:c>
      <x:c r="BB52" s="226" t="n">
        <x:f>AF52+AG52+AL52+AQ52+AV52+BA52</x:f>
        <x:v>25630.021921996802</x:v>
      </x:c>
      <x:c r="BC52" s="229" t="n">
        <x:v>0.974</x:v>
      </x:c>
      <x:c r="BD52" s="202"/>
      <x:c r="BE52" s="202"/>
      <x:c r="BF52" s="202"/>
      <x:c r="BG52" s="202" t="str">
        <x:v>UNVERIFIED_UNLIMITED_FOR_MVP</x:v>
      </x:c>
    </x:row>
    <x:row r="53">
      <x:c r="A53" s="187" t="str">
        <x:v>BUDGET_2026_V1</x:v>
      </x:c>
      <x:c r="B53" s="187" t="str">
        <x:v>BUDGET</x:v>
      </x:c>
      <x:c r="C53" s="187"/>
      <x:c r="D53" s="217" t="n">
        <x:v>46143</x:v>
      </x:c>
      <x:c r="E53" s="187" t="str">
        <x:v>R_GB_DE_C_AIR</x:v>
      </x:c>
      <x:c r="F53" s="187" t="str">
        <x:v>GB</x:v>
      </x:c>
      <x:c r="G53" s="187" t="str">
        <x:v>DE_FC</x:v>
      </x:c>
      <x:c r="H53" s="187" t="str">
        <x:v>CARRIER_C</x:v>
      </x:c>
      <x:c r="I53" s="187" t="str">
        <x:v>AIR</x:v>
      </x:c>
      <x:c r="J53" s="220" t="n">
        <x:v>16000</x:v>
      </x:c>
      <x:c r="K53" s="223" t="n">
        <x:v>0.29</x:v>
      </x:c>
      <x:c r="L53" s="223" t="n">
        <x:v>0.96</x:v>
      </x:c>
      <x:c r="M53" s="223" t="n">
        <x:v>0.03</x:v>
      </x:c>
      <x:c r="N53" s="226" t="n">
        <x:f>J53*K53*L53*M53</x:f>
        <x:v>133.63199999999998</x:v>
      </x:c>
      <x:c r="O53" s="220" t="n">
        <x:v>1.12</x:v>
      </x:c>
      <x:c r="P53" s="226" t="n">
        <x:f>N53*O53</x:f>
        <x:v>149.66783999999998</x:v>
      </x:c>
      <x:c r="Q53" s="220" t="n">
        <x:v>0.92</x:v>
      </x:c>
      <x:c r="R53" s="226" t="n">
        <x:f>P53*Q53</x:f>
        <x:v>137.69441279999998</x:v>
      </x:c>
      <x:c r="S53" s="220" t="n">
        <x:v>0.08</x:v>
      </x:c>
      <x:c r="T53" s="226" t="n">
        <x:f>N53*S53</x:f>
        <x:v>10.690559999999998</x:v>
      </x:c>
      <x:c r="U53" s="226" t="n">
        <x:v>0.009</x:v>
      </x:c>
      <x:c r="V53" s="226" t="n">
        <x:f>P53*U53</x:f>
        <x:v>1.3470105599999997</x:v>
      </x:c>
      <x:c r="W53" s="196" t="str">
        <x:v>GBP</x:v>
      </x:c>
      <x:c r="X53" s="220" t="n">
        <x:v>7.5</x:v>
      </x:c>
      <x:c r="Y53" s="196" t="str">
        <x:v>PER_CHARGEABLE_KG</x:v>
      </x:c>
      <x:c r="Z53" s="220" t="n">
        <x:v>0.58</x:v>
      </x:c>
      <x:c r="AA53" s="220" t="n">
        <x:v>7.8</x:v>
      </x:c>
      <x:c r="AB53" s="220" t="n">
        <x:v>9</x:v>
      </x:c>
      <x:c r="AC53" s="226" t="n">
        <x:f>IF(W53="EUR",AA53,IF(W53="GBP",AB53,1))</x:f>
        <x:v>9</x:v>
      </x:c>
      <x:c r="AD53" s="226" t="n">
        <x:f>R53*X53</x:f>
        <x:v>1032.7080959999998</x:v>
      </x:c>
      <x:c r="AE53" s="226" t="n">
        <x:f>IF(Y53="PERCENTAGE_OF_BASE_FREIGHT",AD53*Z53,IF(Y53="PER_CHARGEABLE_KG",R53*Z53,P53*Z53))</x:f>
        <x:v>79.86275942399999</x:v>
      </x:c>
      <x:c r="AF53" s="226" t="n">
        <x:f>AD53*AC53</x:f>
        <x:v>9294.372863999999</x:v>
      </x:c>
      <x:c r="AG53" s="226" t="n">
        <x:f>AE53*AC53</x:f>
        <x:v>718.7648348159998</x:v>
      </x:c>
      <x:c r="AH53" s="226" t="str">
        <x:v>EUR</x:v>
      </x:c>
      <x:c r="AI53" s="226" t="n">
        <x:v>1.18</x:v>
      </x:c>
      <x:c r="AJ53" s="226" t="n">
        <x:f>IF(AH53="EUR",AA53,IF(AH53="GBP",AB53,1))</x:f>
        <x:v>7.8</x:v>
      </x:c>
      <x:c r="AK53" s="226" t="n">
        <x:f>N53*AI53</x:f>
        <x:v>157.68575999999996</x:v>
      </x:c>
      <x:c r="AL53" s="226" t="n">
        <x:f>AK53*AJ53</x:f>
        <x:v>1229.9489279999996</x:v>
      </x:c>
      <x:c r="AM53" s="226" t="str">
        <x:v>EUR</x:v>
      </x:c>
      <x:c r="AN53" s="226" t="n">
        <x:v>0.42</x:v>
      </x:c>
      <x:c r="AO53" s="226" t="n">
        <x:f>IF(AM53="EUR",AA53,IF(AM53="GBP",AB53,1))</x:f>
        <x:v>7.8</x:v>
      </x:c>
      <x:c r="AP53" s="226" t="n">
        <x:f>P53*AN53</x:f>
        <x:v>62.86049279999999</x:v>
      </x:c>
      <x:c r="AQ53" s="226" t="n">
        <x:f>AP53*AO53</x:f>
        <x:v>490.3118438399999</x:v>
      </x:c>
      <x:c r="AR53" s="226" t="str">
        <x:v>GBP</x:v>
      </x:c>
      <x:c r="AS53" s="226" t="n">
        <x:v>4.8</x:v>
      </x:c>
      <x:c r="AT53" s="226" t="n">
        <x:f>IF(AR53="EUR",AA53,IF(AR53="GBP",AB53,1))</x:f>
        <x:v>9</x:v>
      </x:c>
      <x:c r="AU53" s="226" t="n">
        <x:f>T53*AS53</x:f>
        <x:v>51.31468799999999</x:v>
      </x:c>
      <x:c r="AV53" s="226" t="n">
        <x:f>AU53*AT53</x:f>
        <x:v>461.8321919999999</x:v>
      </x:c>
      <x:c r="AW53" s="226" t="str">
        <x:v>GBP</x:v>
      </x:c>
      <x:c r="AX53" s="226" t="n">
        <x:v>3.6</x:v>
      </x:c>
      <x:c r="AY53" s="226" t="n">
        <x:f>IF(AW53="EUR",AA53,IF(AW53="GBP",AB53,1))</x:f>
        <x:v>9</x:v>
      </x:c>
      <x:c r="AZ53" s="226" t="n">
        <x:f>V53*AX53</x:f>
        <x:v>4.849238015999999</x:v>
      </x:c>
      <x:c r="BA53" s="226" t="n">
        <x:f>AZ53*AY53</x:f>
        <x:v>43.643142143999995</x:v>
      </x:c>
      <x:c r="BB53" s="226" t="n">
        <x:f>AF53+AG53+AL53+AQ53+AV53+BA53</x:f>
        <x:v>12238.873804799998</x:v>
      </x:c>
      <x:c r="BC53" s="229" t="n">
        <x:v>0.988</x:v>
      </x:c>
      <x:c r="BD53" s="202"/>
      <x:c r="BE53" s="202"/>
      <x:c r="BF53" s="202"/>
      <x:c r="BG53" s="202" t="str">
        <x:v>UNVERIFIED_UNLIMITED_FOR_MVP</x:v>
      </x:c>
    </x:row>
    <x:row r="54">
      <x:c r="A54" s="187" t="str">
        <x:v>BUDGET_2026_V1</x:v>
      </x:c>
      <x:c r="B54" s="187" t="str">
        <x:v>BUDGET</x:v>
      </x:c>
      <x:c r="C54" s="187"/>
      <x:c r="D54" s="217" t="n">
        <x:v>46143</x:v>
      </x:c>
      <x:c r="E54" s="187" t="str">
        <x:v>R_GB_FR_B_AIR</x:v>
      </x:c>
      <x:c r="F54" s="187" t="str">
        <x:v>GB</x:v>
      </x:c>
      <x:c r="G54" s="187" t="str">
        <x:v>FR_FC</x:v>
      </x:c>
      <x:c r="H54" s="187" t="str">
        <x:v>CARRIER_B</x:v>
      </x:c>
      <x:c r="I54" s="187" t="str">
        <x:v>AIR</x:v>
      </x:c>
      <x:c r="J54" s="220" t="n">
        <x:v>16000</x:v>
      </x:c>
      <x:c r="K54" s="223" t="n">
        <x:v>0.29</x:v>
      </x:c>
      <x:c r="L54" s="223" t="n">
        <x:v>0.04</x:v>
      </x:c>
      <x:c r="M54" s="223" t="n">
        <x:v>1</x:v>
      </x:c>
      <x:c r="N54" s="226" t="n">
        <x:f>J54*K54*L54*M54</x:f>
        <x:v>185.6</x:v>
      </x:c>
      <x:c r="O54" s="220" t="n">
        <x:v>1.15</x:v>
      </x:c>
      <x:c r="P54" s="226" t="n">
        <x:f>N54*O54</x:f>
        <x:v>213.43999999999997</x:v>
      </x:c>
      <x:c r="Q54" s="220" t="n">
        <x:v>0.9</x:v>
      </x:c>
      <x:c r="R54" s="226" t="n">
        <x:f>P54*Q54</x:f>
        <x:v>192.09599999999998</x:v>
      </x:c>
      <x:c r="S54" s="220" t="n">
        <x:v>0.08</x:v>
      </x:c>
      <x:c r="T54" s="226" t="n">
        <x:f>N54*S54</x:f>
        <x:v>14.847999999999999</x:v>
      </x:c>
      <x:c r="U54" s="226" t="n">
        <x:v>0.012</x:v>
      </x:c>
      <x:c r="V54" s="226" t="n">
        <x:f>P54*U54</x:f>
        <x:v>2.5612799999999996</x:v>
      </x:c>
      <x:c r="W54" s="196" t="str">
        <x:v>EUR</x:v>
      </x:c>
      <x:c r="X54" s="220" t="n">
        <x:v>6.7</x:v>
      </x:c>
      <x:c r="Y54" s="196" t="str">
        <x:v>PERCENTAGE_OF_BASE_FREIGHT</x:v>
      </x:c>
      <x:c r="Z54" s="220" t="n">
        <x:v>0.105</x:v>
      </x:c>
      <x:c r="AA54" s="220" t="n">
        <x:v>7.8</x:v>
      </x:c>
      <x:c r="AB54" s="220" t="n">
        <x:v>9</x:v>
      </x:c>
      <x:c r="AC54" s="226" t="n">
        <x:f>IF(W54="EUR",AA54,IF(W54="GBP",AB54,1))</x:f>
        <x:v>7.8</x:v>
      </x:c>
      <x:c r="AD54" s="226" t="n">
        <x:f>R54*X54</x:f>
        <x:v>1287.0431999999998</x:v>
      </x:c>
      <x:c r="AE54" s="226" t="n">
        <x:f>IF(Y54="PERCENTAGE_OF_BASE_FREIGHT",AD54*Z54,IF(Y54="PER_CHARGEABLE_KG",R54*Z54,P54*Z54))</x:f>
        <x:v>135.139536</x:v>
      </x:c>
      <x:c r="AF54" s="226" t="n">
        <x:f>AD54*AC54</x:f>
        <x:v>10038.936959999999</x:v>
      </x:c>
      <x:c r="AG54" s="226" t="n">
        <x:f>AE54*AC54</x:f>
        <x:v>1054.0883807999999</x:v>
      </x:c>
      <x:c r="AH54" s="226" t="str">
        <x:v>EUR</x:v>
      </x:c>
      <x:c r="AI54" s="226" t="n">
        <x:v>1.05</x:v>
      </x:c>
      <x:c r="AJ54" s="226" t="n">
        <x:f>IF(AH54="EUR",AA54,IF(AH54="GBP",AB54,1))</x:f>
        <x:v>7.8</x:v>
      </x:c>
      <x:c r="AK54" s="226" t="n">
        <x:f>N54*AI54</x:f>
        <x:v>194.88</x:v>
      </x:c>
      <x:c r="AL54" s="226" t="n">
        <x:f>AK54*AJ54</x:f>
        <x:v>1520.0639999999999</x:v>
      </x:c>
      <x:c r="AM54" s="226" t="str">
        <x:v>EUR</x:v>
      </x:c>
      <x:c r="AN54" s="226" t="n">
        <x:v>0.38</x:v>
      </x:c>
      <x:c r="AO54" s="226" t="n">
        <x:f>IF(AM54="EUR",AA54,IF(AM54="GBP",AB54,1))</x:f>
        <x:v>7.8</x:v>
      </x:c>
      <x:c r="AP54" s="226" t="n">
        <x:f>P54*AN54</x:f>
        <x:v>81.10719999999999</x:v>
      </x:c>
      <x:c r="AQ54" s="226" t="n">
        <x:f>AP54*AO54</x:f>
        <x:v>632.6361599999999</x:v>
      </x:c>
      <x:c r="AR54" s="226" t="str">
        <x:v>EUR</x:v>
      </x:c>
      <x:c r="AS54" s="226" t="n">
        <x:v>5.2</x:v>
      </x:c>
      <x:c r="AT54" s="226" t="n">
        <x:f>IF(AR54="EUR",AA54,IF(AR54="GBP",AB54,1))</x:f>
        <x:v>7.8</x:v>
      </x:c>
      <x:c r="AU54" s="226" t="n">
        <x:f>T54*AS54</x:f>
        <x:v>77.2096</x:v>
      </x:c>
      <x:c r="AV54" s="226" t="n">
        <x:f>AU54*AT54</x:f>
        <x:v>602.23488</x:v>
      </x:c>
      <x:c r="AW54" s="226" t="str">
        <x:v>EUR</x:v>
      </x:c>
      <x:c r="AX54" s="226" t="n">
        <x:v>2.8</x:v>
      </x:c>
      <x:c r="AY54" s="226" t="n">
        <x:f>IF(AW54="EUR",AA54,IF(AW54="GBP",AB54,1))</x:f>
        <x:v>7.8</x:v>
      </x:c>
      <x:c r="AZ54" s="226" t="n">
        <x:f>V54*AX54</x:f>
        <x:v>7.171583999999998</x:v>
      </x:c>
      <x:c r="BA54" s="226" t="n">
        <x:f>AZ54*AY54</x:f>
        <x:v>55.93835519999999</x:v>
      </x:c>
      <x:c r="BB54" s="226" t="n">
        <x:f>AF54+AG54+AL54+AQ54+AV54+BA54</x:f>
        <x:v>13903.898736</x:v>
      </x:c>
      <x:c r="BC54" s="229" t="n">
        <x:v>0.971</x:v>
      </x:c>
      <x:c r="BD54" s="202"/>
      <x:c r="BE54" s="202"/>
      <x:c r="BF54" s="202"/>
      <x:c r="BG54" s="202" t="str">
        <x:v>UNVERIFIED_UNLIMITED_FOR_MVP</x:v>
      </x:c>
    </x:row>
    <x:row r="55">
      <x:c r="A55" s="187" t="str">
        <x:v>BUDGET_2026_V1</x:v>
      </x:c>
      <x:c r="B55" s="187" t="str">
        <x:v>BUDGET</x:v>
      </x:c>
      <x:c r="C55" s="187"/>
      <x:c r="D55" s="217" t="n">
        <x:v>46174</x:v>
      </x:c>
      <x:c r="E55" s="187" t="str">
        <x:v>R_DE_DE_A_ROAD</x:v>
      </x:c>
      <x:c r="F55" s="187" t="str">
        <x:v>DE</x:v>
      </x:c>
      <x:c r="G55" s="187" t="str">
        <x:v>DE_FC</x:v>
      </x:c>
      <x:c r="H55" s="187" t="str">
        <x:v>CARRIER_A</x:v>
      </x:c>
      <x:c r="I55" s="187" t="str">
        <x:v>ROAD</x:v>
      </x:c>
      <x:c r="J55" s="220" t="n">
        <x:v>16500</x:v>
      </x:c>
      <x:c r="K55" s="223" t="n">
        <x:v>0.39</x:v>
      </x:c>
      <x:c r="L55" s="223" t="n">
        <x:v>0.97</x:v>
      </x:c>
      <x:c r="M55" s="223" t="n">
        <x:v>0.6</x:v>
      </x:c>
      <x:c r="N55" s="226" t="n">
        <x:f>J55*K55*L55*M55</x:f>
        <x:v>3745.1699999999996</x:v>
      </x:c>
      <x:c r="O55" s="220" t="n">
        <x:v>1.05</x:v>
      </x:c>
      <x:c r="P55" s="226" t="n">
        <x:f>N55*O55</x:f>
        <x:v>3932.4285</x:v>
      </x:c>
      <x:c r="Q55" s="220" t="n">
        <x:v>0.78</x:v>
      </x:c>
      <x:c r="R55" s="226" t="n">
        <x:f>P55*Q55</x:f>
        <x:v>3067.29423</x:v>
      </x:c>
      <x:c r="S55" s="220" t="n">
        <x:v>0.05</x:v>
      </x:c>
      <x:c r="T55" s="226" t="n">
        <x:f>N55*S55</x:f>
        <x:v>187.2585</x:v>
      </x:c>
      <x:c r="U55" s="226" t="n">
        <x:v>0.016</x:v>
      </x:c>
      <x:c r="V55" s="226" t="n">
        <x:f>P55*U55</x:f>
        <x:v>62.918856</x:v>
      </x:c>
      <x:c r="W55" s="196" t="str">
        <x:v>EUR</x:v>
      </x:c>
      <x:c r="X55" s="220" t="n">
        <x:v>2.2</x:v>
      </x:c>
      <x:c r="Y55" s="196" t="str">
        <x:v>PERCENTAGE_OF_BASE_FREIGHT</x:v>
      </x:c>
      <x:c r="Z55" s="220" t="n">
        <x:v>0.095</x:v>
      </x:c>
      <x:c r="AA55" s="220" t="n">
        <x:v>7.8</x:v>
      </x:c>
      <x:c r="AB55" s="220" t="n">
        <x:v>9</x:v>
      </x:c>
      <x:c r="AC55" s="226" t="n">
        <x:f>IF(W55="EUR",AA55,IF(W55="GBP",AB55,1))</x:f>
        <x:v>7.8</x:v>
      </x:c>
      <x:c r="AD55" s="226" t="n">
        <x:f>R55*X55</x:f>
        <x:v>6748.047306</x:v>
      </x:c>
      <x:c r="AE55" s="226" t="n">
        <x:f>IF(Y55="PERCENTAGE_OF_BASE_FREIGHT",AD55*Z55,IF(Y55="PER_CHARGEABLE_KG",R55*Z55,P55*Z55))</x:f>
        <x:v>641.06449407</x:v>
      </x:c>
      <x:c r="AF55" s="226" t="n">
        <x:f>AD55*AC55</x:f>
        <x:v>52634.7689868</x:v>
      </x:c>
      <x:c r="AG55" s="226" t="n">
        <x:f>AE55*AC55</x:f>
        <x:v>5000.303053746</x:v>
      </x:c>
      <x:c r="AH55" s="226" t="str">
        <x:v>EUR</x:v>
      </x:c>
      <x:c r="AI55" s="226" t="n">
        <x:v>1.18</x:v>
      </x:c>
      <x:c r="AJ55" s="226" t="n">
        <x:f>IF(AH55="EUR",AA55,IF(AH55="GBP",AB55,1))</x:f>
        <x:v>7.8</x:v>
      </x:c>
      <x:c r="AK55" s="226" t="n">
        <x:f>N55*AI55</x:f>
        <x:v>4419.3006</x:v>
      </x:c>
      <x:c r="AL55" s="226" t="n">
        <x:f>AK55*AJ55</x:f>
        <x:v>34470.54468</x:v>
      </x:c>
      <x:c r="AM55" s="226" t="str">
        <x:v>EUR</x:v>
      </x:c>
      <x:c r="AN55" s="226" t="n">
        <x:v>0.42</x:v>
      </x:c>
      <x:c r="AO55" s="226" t="n">
        <x:f>IF(AM55="EUR",AA55,IF(AM55="GBP",AB55,1))</x:f>
        <x:v>7.8</x:v>
      </x:c>
      <x:c r="AP55" s="226" t="n">
        <x:f>P55*AN55</x:f>
        <x:v>1651.61997</x:v>
      </x:c>
      <x:c r="AQ55" s="226" t="n">
        <x:f>AP55*AO55</x:f>
        <x:v>12882.635766</x:v>
      </x:c>
      <x:c r="AR55" s="226" t="str">
        <x:v>EUR</x:v>
      </x:c>
      <x:c r="AS55" s="226" t="n">
        <x:v>3.2</x:v>
      </x:c>
      <x:c r="AT55" s="226" t="n">
        <x:f>IF(AR55="EUR",AA55,IF(AR55="GBP",AB55,1))</x:f>
        <x:v>7.8</x:v>
      </x:c>
      <x:c r="AU55" s="226" t="n">
        <x:f>T55*AS55</x:f>
        <x:v>599.2272</x:v>
      </x:c>
      <x:c r="AV55" s="226" t="n">
        <x:f>AU55*AT55</x:f>
        <x:v>4673.97216</x:v>
      </x:c>
      <x:c r="AW55" s="226" t="str">
        <x:v>EUR</x:v>
      </x:c>
      <x:c r="AX55" s="226" t="n">
        <x:v>2.3</x:v>
      </x:c>
      <x:c r="AY55" s="226" t="n">
        <x:f>IF(AW55="EUR",AA55,IF(AW55="GBP",AB55,1))</x:f>
        <x:v>7.8</x:v>
      </x:c>
      <x:c r="AZ55" s="226" t="n">
        <x:f>V55*AX55</x:f>
        <x:v>144.71336879999998</x:v>
      </x:c>
      <x:c r="BA55" s="226" t="n">
        <x:f>AZ55*AY55</x:f>
        <x:v>1128.76427664</x:v>
      </x:c>
      <x:c r="BB55" s="226" t="n">
        <x:f>AF55+AG55+AL55+AQ55+AV55+BA55</x:f>
        <x:v>110790.988923186</x:v>
      </x:c>
      <x:c r="BC55" s="229" t="n">
        <x:v>0.965</x:v>
      </x:c>
      <x:c r="BD55" s="202"/>
      <x:c r="BE55" s="202"/>
      <x:c r="BF55" s="202"/>
      <x:c r="BG55" s="202" t="str">
        <x:v>UNVERIFIED_UNLIMITED_FOR_MVP</x:v>
      </x:c>
    </x:row>
    <x:row r="56">
      <x:c r="A56" s="187" t="str">
        <x:v>BUDGET_2026_V1</x:v>
      </x:c>
      <x:c r="B56" s="187" t="str">
        <x:v>BUDGET</x:v>
      </x:c>
      <x:c r="C56" s="187"/>
      <x:c r="D56" s="217" t="n">
        <x:v>46174</x:v>
      </x:c>
      <x:c r="E56" s="187" t="str">
        <x:v>R_DE_DE_B_ROAD</x:v>
      </x:c>
      <x:c r="F56" s="187" t="str">
        <x:v>DE</x:v>
      </x:c>
      <x:c r="G56" s="187" t="str">
        <x:v>DE_FC</x:v>
      </x:c>
      <x:c r="H56" s="187" t="str">
        <x:v>CARRIER_B</x:v>
      </x:c>
      <x:c r="I56" s="187" t="str">
        <x:v>ROAD</x:v>
      </x:c>
      <x:c r="J56" s="220" t="n">
        <x:v>16500</x:v>
      </x:c>
      <x:c r="K56" s="223" t="n">
        <x:v>0.39</x:v>
      </x:c>
      <x:c r="L56" s="223" t="n">
        <x:v>0.97</x:v>
      </x:c>
      <x:c r="M56" s="223" t="n">
        <x:v>0.4</x:v>
      </x:c>
      <x:c r="N56" s="226" t="n">
        <x:f>J56*K56*L56*M56</x:f>
        <x:v>2496.78</x:v>
      </x:c>
      <x:c r="O56" s="220" t="n">
        <x:v>1.05</x:v>
      </x:c>
      <x:c r="P56" s="226" t="n">
        <x:f>N56*O56</x:f>
        <x:v>2621.619</x:v>
      </x:c>
      <x:c r="Q56" s="220" t="n">
        <x:v>0.8</x:v>
      </x:c>
      <x:c r="R56" s="226" t="n">
        <x:f>P56*Q56</x:f>
        <x:v>2097.2952</x:v>
      </x:c>
      <x:c r="S56" s="220" t="n">
        <x:v>0.05</x:v>
      </x:c>
      <x:c r="T56" s="226" t="n">
        <x:f>N56*S56</x:f>
        <x:v>124.83900000000001</x:v>
      </x:c>
      <x:c r="U56" s="226" t="n">
        <x:v>0.013</x:v>
      </x:c>
      <x:c r="V56" s="226" t="n">
        <x:f>P56*U56</x:f>
        <x:v>34.081047</x:v>
      </x:c>
      <x:c r="W56" s="196" t="str">
        <x:v>EUR</x:v>
      </x:c>
      <x:c r="X56" s="220" t="n">
        <x:v>2.75</x:v>
      </x:c>
      <x:c r="Y56" s="196" t="str">
        <x:v>PER_CHARGEABLE_KG</x:v>
      </x:c>
      <x:c r="Z56" s="220" t="n">
        <x:v>0.21</x:v>
      </x:c>
      <x:c r="AA56" s="220" t="n">
        <x:v>7.8</x:v>
      </x:c>
      <x:c r="AB56" s="220" t="n">
        <x:v>9</x:v>
      </x:c>
      <x:c r="AC56" s="226" t="n">
        <x:f>IF(W56="EUR",AA56,IF(W56="GBP",AB56,1))</x:f>
        <x:v>7.8</x:v>
      </x:c>
      <x:c r="AD56" s="226" t="n">
        <x:f>R56*X56</x:f>
        <x:v>5767.5618</x:v>
      </x:c>
      <x:c r="AE56" s="226" t="n">
        <x:f>IF(Y56="PERCENTAGE_OF_BASE_FREIGHT",AD56*Z56,IF(Y56="PER_CHARGEABLE_KG",R56*Z56,P56*Z56))</x:f>
        <x:v>440.431992</x:v>
      </x:c>
      <x:c r="AF56" s="226" t="n">
        <x:f>AD56*AC56</x:f>
        <x:v>44986.98204</x:v>
      </x:c>
      <x:c r="AG56" s="226" t="n">
        <x:f>AE56*AC56</x:f>
        <x:v>3435.3695375999996</x:v>
      </x:c>
      <x:c r="AH56" s="226" t="str">
        <x:v>EUR</x:v>
      </x:c>
      <x:c r="AI56" s="226" t="n">
        <x:v>1.18</x:v>
      </x:c>
      <x:c r="AJ56" s="226" t="n">
        <x:f>IF(AH56="EUR",AA56,IF(AH56="GBP",AB56,1))</x:f>
        <x:v>7.8</x:v>
      </x:c>
      <x:c r="AK56" s="226" t="n">
        <x:f>N56*AI56</x:f>
        <x:v>2946.2004</x:v>
      </x:c>
      <x:c r="AL56" s="226" t="n">
        <x:f>AK56*AJ56</x:f>
        <x:v>22980.36312</x:v>
      </x:c>
      <x:c r="AM56" s="226" t="str">
        <x:v>EUR</x:v>
      </x:c>
      <x:c r="AN56" s="226" t="n">
        <x:v>0.42</x:v>
      </x:c>
      <x:c r="AO56" s="226" t="n">
        <x:f>IF(AM56="EUR",AA56,IF(AM56="GBP",AB56,1))</x:f>
        <x:v>7.8</x:v>
      </x:c>
      <x:c r="AP56" s="226" t="n">
        <x:f>P56*AN56</x:f>
        <x:v>1101.07998</x:v>
      </x:c>
      <x:c r="AQ56" s="226" t="n">
        <x:f>AP56*AO56</x:f>
        <x:v>8588.423843999999</x:v>
      </x:c>
      <x:c r="AR56" s="226" t="str">
        <x:v>EUR</x:v>
      </x:c>
      <x:c r="AS56" s="226" t="n">
        <x:v>3.2</x:v>
      </x:c>
      <x:c r="AT56" s="226" t="n">
        <x:f>IF(AR56="EUR",AA56,IF(AR56="GBP",AB56,1))</x:f>
        <x:v>7.8</x:v>
      </x:c>
      <x:c r="AU56" s="226" t="n">
        <x:f>T56*AS56</x:f>
        <x:v>399.48480000000006</x:v>
      </x:c>
      <x:c r="AV56" s="226" t="n">
        <x:f>AU56*AT56</x:f>
        <x:v>3115.9814400000005</x:v>
      </x:c>
      <x:c r="AW56" s="226" t="str">
        <x:v>EUR</x:v>
      </x:c>
      <x:c r="AX56" s="226" t="n">
        <x:v>2.3</x:v>
      </x:c>
      <x:c r="AY56" s="226" t="n">
        <x:f>IF(AW56="EUR",AA56,IF(AW56="GBP",AB56,1))</x:f>
        <x:v>7.8</x:v>
      </x:c>
      <x:c r="AZ56" s="226" t="n">
        <x:f>V56*AX56</x:f>
        <x:v>78.38640809999998</x:v>
      </x:c>
      <x:c r="BA56" s="226" t="n">
        <x:f>AZ56*AY56</x:f>
        <x:v>611.4139831799998</x:v>
      </x:c>
      <x:c r="BB56" s="226" t="n">
        <x:f>AF56+AG56+AL56+AQ56+AV56+BA56</x:f>
        <x:v>83718.53396478</x:v>
      </x:c>
      <x:c r="BC56" s="229" t="n">
        <x:v>0.976</x:v>
      </x:c>
      <x:c r="BD56" s="202"/>
      <x:c r="BE56" s="202"/>
      <x:c r="BF56" s="202"/>
      <x:c r="BG56" s="202" t="str">
        <x:v>UNVERIFIED_UNLIMITED_FOR_MVP</x:v>
      </x:c>
    </x:row>
    <x:row r="57">
      <x:c r="A57" s="187" t="str">
        <x:v>BUDGET_2026_V1</x:v>
      </x:c>
      <x:c r="B57" s="187" t="str">
        <x:v>BUDGET</x:v>
      </x:c>
      <x:c r="C57" s="187"/>
      <x:c r="D57" s="217" t="n">
        <x:v>46174</x:v>
      </x:c>
      <x:c r="E57" s="187" t="str">
        <x:v>R_DE_FR_B_ROAD</x:v>
      </x:c>
      <x:c r="F57" s="187" t="str">
        <x:v>DE</x:v>
      </x:c>
      <x:c r="G57" s="187" t="str">
        <x:v>FR_FC</x:v>
      </x:c>
      <x:c r="H57" s="187" t="str">
        <x:v>CARRIER_B</x:v>
      </x:c>
      <x:c r="I57" s="187" t="str">
        <x:v>ROAD</x:v>
      </x:c>
      <x:c r="J57" s="220" t="n">
        <x:v>16500</x:v>
      </x:c>
      <x:c r="K57" s="223" t="n">
        <x:v>0.39</x:v>
      </x:c>
      <x:c r="L57" s="223" t="n">
        <x:v>0.03</x:v>
      </x:c>
      <x:c r="M57" s="223" t="n">
        <x:v>1</x:v>
      </x:c>
      <x:c r="N57" s="226" t="n">
        <x:f>J57*K57*L57*M57</x:f>
        <x:v>193.04999999999998</x:v>
      </x:c>
      <x:c r="O57" s="220" t="n">
        <x:v>1.08</x:v>
      </x:c>
      <x:c r="P57" s="226" t="n">
        <x:f>N57*O57</x:f>
        <x:v>208.494</x:v>
      </x:c>
      <x:c r="Q57" s="220" t="n">
        <x:v>0.86</x:v>
      </x:c>
      <x:c r="R57" s="226" t="n">
        <x:f>P57*Q57</x:f>
        <x:v>179.30483999999998</x:v>
      </x:c>
      <x:c r="S57" s="220" t="n">
        <x:v>0.05</x:v>
      </x:c>
      <x:c r="T57" s="226" t="n">
        <x:f>N57*S57</x:f>
        <x:v>9.6525</x:v>
      </x:c>
      <x:c r="U57" s="226" t="n">
        <x:v>0.014</x:v>
      </x:c>
      <x:c r="V57" s="226" t="n">
        <x:f>P57*U57</x:f>
        <x:v>2.918916</x:v>
      </x:c>
      <x:c r="W57" s="196" t="str">
        <x:v>EUR</x:v>
      </x:c>
      <x:c r="X57" s="220" t="n">
        <x:v>3.3</x:v>
      </x:c>
      <x:c r="Y57" s="196" t="str">
        <x:v>PER_CHARGEABLE_KG</x:v>
      </x:c>
      <x:c r="Z57" s="220" t="n">
        <x:v>0.24</x:v>
      </x:c>
      <x:c r="AA57" s="220" t="n">
        <x:v>7.8</x:v>
      </x:c>
      <x:c r="AB57" s="220" t="n">
        <x:v>9</x:v>
      </x:c>
      <x:c r="AC57" s="226" t="n">
        <x:f>IF(W57="EUR",AA57,IF(W57="GBP",AB57,1))</x:f>
        <x:v>7.8</x:v>
      </x:c>
      <x:c r="AD57" s="226" t="n">
        <x:f>R57*X57</x:f>
        <x:v>591.7059719999999</x:v>
      </x:c>
      <x:c r="AE57" s="226" t="n">
        <x:f>IF(Y57="PERCENTAGE_OF_BASE_FREIGHT",AD57*Z57,IF(Y57="PER_CHARGEABLE_KG",R57*Z57,P57*Z57))</x:f>
        <x:v>43.03316159999999</x:v>
      </x:c>
      <x:c r="AF57" s="226" t="n">
        <x:f>AD57*AC57</x:f>
        <x:v>4615.306581599999</x:v>
      </x:c>
      <x:c r="AG57" s="226" t="n">
        <x:f>AE57*AC57</x:f>
        <x:v>335.6586604799999</x:v>
      </x:c>
      <x:c r="AH57" s="226" t="str">
        <x:v>EUR</x:v>
      </x:c>
      <x:c r="AI57" s="226" t="n">
        <x:v>1.05</x:v>
      </x:c>
      <x:c r="AJ57" s="226" t="n">
        <x:f>IF(AH57="EUR",AA57,IF(AH57="GBP",AB57,1))</x:f>
        <x:v>7.8</x:v>
      </x:c>
      <x:c r="AK57" s="226" t="n">
        <x:f>N57*AI57</x:f>
        <x:v>202.7025</x:v>
      </x:c>
      <x:c r="AL57" s="226" t="n">
        <x:f>AK57*AJ57</x:f>
        <x:v>1581.0794999999998</x:v>
      </x:c>
      <x:c r="AM57" s="226" t="str">
        <x:v>EUR</x:v>
      </x:c>
      <x:c r="AN57" s="226" t="n">
        <x:v>0.38</x:v>
      </x:c>
      <x:c r="AO57" s="226" t="n">
        <x:f>IF(AM57="EUR",AA57,IF(AM57="GBP",AB57,1))</x:f>
        <x:v>7.8</x:v>
      </x:c>
      <x:c r="AP57" s="226" t="n">
        <x:f>P57*AN57</x:f>
        <x:v>79.22772</x:v>
      </x:c>
      <x:c r="AQ57" s="226" t="n">
        <x:f>AP57*AO57</x:f>
        <x:v>617.976216</x:v>
      </x:c>
      <x:c r="AR57" s="226" t="str">
        <x:v>EUR</x:v>
      </x:c>
      <x:c r="AS57" s="226" t="n">
        <x:v>3.8</x:v>
      </x:c>
      <x:c r="AT57" s="226" t="n">
        <x:f>IF(AR57="EUR",AA57,IF(AR57="GBP",AB57,1))</x:f>
        <x:v>7.8</x:v>
      </x:c>
      <x:c r="AU57" s="226" t="n">
        <x:f>T57*AS57</x:f>
        <x:v>36.6795</x:v>
      </x:c>
      <x:c r="AV57" s="226" t="n">
        <x:f>AU57*AT57</x:f>
        <x:v>286.1001</x:v>
      </x:c>
      <x:c r="AW57" s="226" t="str">
        <x:v>EUR</x:v>
      </x:c>
      <x:c r="AX57" s="226" t="n">
        <x:v>2.3</x:v>
      </x:c>
      <x:c r="AY57" s="226" t="n">
        <x:f>IF(AW57="EUR",AA57,IF(AW57="GBP",AB57,1))</x:f>
        <x:v>7.8</x:v>
      </x:c>
      <x:c r="AZ57" s="226" t="n">
        <x:f>V57*AX57</x:f>
        <x:v>6.713506799999999</x:v>
      </x:c>
      <x:c r="BA57" s="226" t="n">
        <x:f>AZ57*AY57</x:f>
        <x:v>52.365353039999995</x:v>
      </x:c>
      <x:c r="BB57" s="226" t="n">
        <x:f>AF57+AG57+AL57+AQ57+AV57+BA57</x:f>
        <x:v>7488.486411119998</x:v>
      </x:c>
      <x:c r="BC57" s="229" t="n">
        <x:v>0.968</x:v>
      </x:c>
      <x:c r="BD57" s="202"/>
      <x:c r="BE57" s="202"/>
      <x:c r="BF57" s="202"/>
      <x:c r="BG57" s="202" t="str">
        <x:v>UNVERIFIED_UNLIMITED_FOR_MVP</x:v>
      </x:c>
    </x:row>
    <x:row r="58">
      <x:c r="A58" s="187" t="str">
        <x:v>BUDGET_2026_V1</x:v>
      </x:c>
      <x:c r="B58" s="187" t="str">
        <x:v>BUDGET</x:v>
      </x:c>
      <x:c r="C58" s="187"/>
      <x:c r="D58" s="217" t="n">
        <x:v>46174</x:v>
      </x:c>
      <x:c r="E58" s="187" t="str">
        <x:v>R_FR_FR_A_ROAD</x:v>
      </x:c>
      <x:c r="F58" s="187" t="str">
        <x:v>FR</x:v>
      </x:c>
      <x:c r="G58" s="187" t="str">
        <x:v>FR_FC</x:v>
      </x:c>
      <x:c r="H58" s="187" t="str">
        <x:v>CARRIER_A</x:v>
      </x:c>
      <x:c r="I58" s="187" t="str">
        <x:v>ROAD</x:v>
      </x:c>
      <x:c r="J58" s="220" t="n">
        <x:v>16500</x:v>
      </x:c>
      <x:c r="K58" s="223" t="n">
        <x:v>0.32</x:v>
      </x:c>
      <x:c r="L58" s="223" t="n">
        <x:v>1</x:v>
      </x:c>
      <x:c r="M58" s="223" t="n">
        <x:v>0.35</x:v>
      </x:c>
      <x:c r="N58" s="226" t="n">
        <x:f>J58*K58*L58*M58</x:f>
        <x:v>1847.9999999999998</x:v>
      </x:c>
      <x:c r="O58" s="220" t="n">
        <x:v>1.06</x:v>
      </x:c>
      <x:c r="P58" s="226" t="n">
        <x:f>N58*O58</x:f>
        <x:v>1958.8799999999999</x:v>
      </x:c>
      <x:c r="Q58" s="220" t="n">
        <x:v>0.76</x:v>
      </x:c>
      <x:c r="R58" s="226" t="n">
        <x:f>P58*Q58</x:f>
        <x:v>1488.7487999999998</x:v>
      </x:c>
      <x:c r="S58" s="220" t="n">
        <x:v>0.06</x:v>
      </x:c>
      <x:c r="T58" s="226" t="n">
        <x:f>N58*S58</x:f>
        <x:v>110.87999999999998</x:v>
      </x:c>
      <x:c r="U58" s="226" t="n">
        <x:v>0.017</x:v>
      </x:c>
      <x:c r="V58" s="226" t="n">
        <x:f>P58*U58</x:f>
        <x:v>33.30096</x:v>
      </x:c>
      <x:c r="W58" s="196" t="str">
        <x:v>EUR</x:v>
      </x:c>
      <x:c r="X58" s="220" t="n">
        <x:v>2.1</x:v>
      </x:c>
      <x:c r="Y58" s="196" t="str">
        <x:v>PERCENTAGE_OF_BASE_FREIGHT</x:v>
      </x:c>
      <x:c r="Z58" s="220" t="n">
        <x:v>0.09</x:v>
      </x:c>
      <x:c r="AA58" s="220" t="n">
        <x:v>7.8</x:v>
      </x:c>
      <x:c r="AB58" s="220" t="n">
        <x:v>9</x:v>
      </x:c>
      <x:c r="AC58" s="226" t="n">
        <x:f>IF(W58="EUR",AA58,IF(W58="GBP",AB58,1))</x:f>
        <x:v>7.8</x:v>
      </x:c>
      <x:c r="AD58" s="226" t="n">
        <x:f>R58*X58</x:f>
        <x:v>3126.37248</x:v>
      </x:c>
      <x:c r="AE58" s="226" t="n">
        <x:f>IF(Y58="PERCENTAGE_OF_BASE_FREIGHT",AD58*Z58,IF(Y58="PER_CHARGEABLE_KG",R58*Z58,P58*Z58))</x:f>
        <x:v>281.37352319999997</x:v>
      </x:c>
      <x:c r="AF58" s="226" t="n">
        <x:f>AD58*AC58</x:f>
        <x:v>24385.705343999998</x:v>
      </x:c>
      <x:c r="AG58" s="226" t="n">
        <x:f>AE58*AC58</x:f>
        <x:v>2194.7134809599997</x:v>
      </x:c>
      <x:c r="AH58" s="226" t="str">
        <x:v>EUR</x:v>
      </x:c>
      <x:c r="AI58" s="226" t="n">
        <x:v>1.05</x:v>
      </x:c>
      <x:c r="AJ58" s="226" t="n">
        <x:f>IF(AH58="EUR",AA58,IF(AH58="GBP",AB58,1))</x:f>
        <x:v>7.8</x:v>
      </x:c>
      <x:c r="AK58" s="226" t="n">
        <x:f>N58*AI58</x:f>
        <x:v>1940.3999999999999</x:v>
      </x:c>
      <x:c r="AL58" s="226" t="n">
        <x:f>AK58*AJ58</x:f>
        <x:v>15135.119999999999</x:v>
      </x:c>
      <x:c r="AM58" s="226" t="str">
        <x:v>EUR</x:v>
      </x:c>
      <x:c r="AN58" s="226" t="n">
        <x:v>0.38</x:v>
      </x:c>
      <x:c r="AO58" s="226" t="n">
        <x:f>IF(AM58="EUR",AA58,IF(AM58="GBP",AB58,1))</x:f>
        <x:v>7.8</x:v>
      </x:c>
      <x:c r="AP58" s="226" t="n">
        <x:f>P58*AN58</x:f>
        <x:v>744.3743999999999</x:v>
      </x:c>
      <x:c r="AQ58" s="226" t="n">
        <x:f>AP58*AO58</x:f>
        <x:v>5806.120319999999</x:v>
      </x:c>
      <x:c r="AR58" s="226" t="str">
        <x:v>EUR</x:v>
      </x:c>
      <x:c r="AS58" s="226" t="n">
        <x:v>3</x:v>
      </x:c>
      <x:c r="AT58" s="226" t="n">
        <x:f>IF(AR58="EUR",AA58,IF(AR58="GBP",AB58,1))</x:f>
        <x:v>7.8</x:v>
      </x:c>
      <x:c r="AU58" s="226" t="n">
        <x:f>T58*AS58</x:f>
        <x:v>332.63999999999993</x:v>
      </x:c>
      <x:c r="AV58" s="226" t="n">
        <x:f>AU58*AT58</x:f>
        <x:v>2594.591999999999</x:v>
      </x:c>
      <x:c r="AW58" s="226" t="str">
        <x:v>EUR</x:v>
      </x:c>
      <x:c r="AX58" s="226" t="n">
        <x:v>2.3</x:v>
      </x:c>
      <x:c r="AY58" s="226" t="n">
        <x:f>IF(AW58="EUR",AA58,IF(AW58="GBP",AB58,1))</x:f>
        <x:v>7.8</x:v>
      </x:c>
      <x:c r="AZ58" s="226" t="n">
        <x:f>V58*AX58</x:f>
        <x:v>76.592208</x:v>
      </x:c>
      <x:c r="BA58" s="226" t="n">
        <x:f>AZ58*AY58</x:f>
        <x:v>597.4192224</x:v>
      </x:c>
      <x:c r="BB58" s="226" t="n">
        <x:f>AF58+AG58+AL58+AQ58+AV58+BA58</x:f>
        <x:v>50713.67036735999</x:v>
      </x:c>
      <x:c r="BC58" s="229" t="n">
        <x:v>0.961</x:v>
      </x:c>
      <x:c r="BD58" s="202"/>
      <x:c r="BE58" s="202"/>
      <x:c r="BF58" s="202"/>
      <x:c r="BG58" s="202" t="str">
        <x:v>UNVERIFIED_UNLIMITED_FOR_MVP</x:v>
      </x:c>
    </x:row>
    <x:row r="59">
      <x:c r="A59" s="187" t="str">
        <x:v>BUDGET_2026_V1</x:v>
      </x:c>
      <x:c r="B59" s="187" t="str">
        <x:v>BUDGET</x:v>
      </x:c>
      <x:c r="C59" s="187"/>
      <x:c r="D59" s="217" t="n">
        <x:v>46174</x:v>
      </x:c>
      <x:c r="E59" s="187" t="str">
        <x:v>R_FR_FR_B_ROAD</x:v>
      </x:c>
      <x:c r="F59" s="187" t="str">
        <x:v>FR</x:v>
      </x:c>
      <x:c r="G59" s="187" t="str">
        <x:v>FR_FC</x:v>
      </x:c>
      <x:c r="H59" s="187" t="str">
        <x:v>CARRIER_B</x:v>
      </x:c>
      <x:c r="I59" s="187" t="str">
        <x:v>ROAD</x:v>
      </x:c>
      <x:c r="J59" s="220" t="n">
        <x:v>16500</x:v>
      </x:c>
      <x:c r="K59" s="223" t="n">
        <x:v>0.32</x:v>
      </x:c>
      <x:c r="L59" s="223" t="n">
        <x:v>1</x:v>
      </x:c>
      <x:c r="M59" s="223" t="n">
        <x:v>0.65</x:v>
      </x:c>
      <x:c r="N59" s="226" t="n">
        <x:f>J59*K59*L59*M59</x:f>
        <x:v>3432</x:v>
      </x:c>
      <x:c r="O59" s="220" t="n">
        <x:v>1.06</x:v>
      </x:c>
      <x:c r="P59" s="226" t="n">
        <x:f>N59*O59</x:f>
        <x:v>3637.92</x:v>
      </x:c>
      <x:c r="Q59" s="220" t="n">
        <x:v>0.79</x:v>
      </x:c>
      <x:c r="R59" s="226" t="n">
        <x:f>P59*Q59</x:f>
        <x:v>2873.9568000000004</x:v>
      </x:c>
      <x:c r="S59" s="220" t="n">
        <x:v>0.06</x:v>
      </x:c>
      <x:c r="T59" s="226" t="n">
        <x:f>N59*S59</x:f>
        <x:v>205.92</x:v>
      </x:c>
      <x:c r="U59" s="226" t="n">
        <x:v>0.014</x:v>
      </x:c>
      <x:c r="V59" s="226" t="n">
        <x:f>P59*U59</x:f>
        <x:v>50.93088</x:v>
      </x:c>
      <x:c r="W59" s="196" t="str">
        <x:v>EUR</x:v>
      </x:c>
      <x:c r="X59" s="220" t="n">
        <x:v>2.6</x:v>
      </x:c>
      <x:c r="Y59" s="196" t="str">
        <x:v>PER_CHARGEABLE_KG</x:v>
      </x:c>
      <x:c r="Z59" s="220" t="n">
        <x:v>0.2</x:v>
      </x:c>
      <x:c r="AA59" s="220" t="n">
        <x:v>7.8</x:v>
      </x:c>
      <x:c r="AB59" s="220" t="n">
        <x:v>9</x:v>
      </x:c>
      <x:c r="AC59" s="226" t="n">
        <x:f>IF(W59="EUR",AA59,IF(W59="GBP",AB59,1))</x:f>
        <x:v>7.8</x:v>
      </x:c>
      <x:c r="AD59" s="226" t="n">
        <x:f>R59*X59</x:f>
        <x:v>7472.287680000001</x:v>
      </x:c>
      <x:c r="AE59" s="226" t="n">
        <x:f>IF(Y59="PERCENTAGE_OF_BASE_FREIGHT",AD59*Z59,IF(Y59="PER_CHARGEABLE_KG",R59*Z59,P59*Z59))</x:f>
        <x:v>574.79136</x:v>
      </x:c>
      <x:c r="AF59" s="226" t="n">
        <x:f>AD59*AC59</x:f>
        <x:v>58283.84390400001</x:v>
      </x:c>
      <x:c r="AG59" s="226" t="n">
        <x:f>AE59*AC59</x:f>
        <x:v>4483.372608000001</x:v>
      </x:c>
      <x:c r="AH59" s="226" t="str">
        <x:v>EUR</x:v>
      </x:c>
      <x:c r="AI59" s="226" t="n">
        <x:v>1.05</x:v>
      </x:c>
      <x:c r="AJ59" s="226" t="n">
        <x:f>IF(AH59="EUR",AA59,IF(AH59="GBP",AB59,1))</x:f>
        <x:v>7.8</x:v>
      </x:c>
      <x:c r="AK59" s="226" t="n">
        <x:f>N59*AI59</x:f>
        <x:v>3603.6000000000004</x:v>
      </x:c>
      <x:c r="AL59" s="226" t="n">
        <x:f>AK59*AJ59</x:f>
        <x:v>28108.08</x:v>
      </x:c>
      <x:c r="AM59" s="226" t="str">
        <x:v>EUR</x:v>
      </x:c>
      <x:c r="AN59" s="226" t="n">
        <x:v>0.38</x:v>
      </x:c>
      <x:c r="AO59" s="226" t="n">
        <x:f>IF(AM59="EUR",AA59,IF(AM59="GBP",AB59,1))</x:f>
        <x:v>7.8</x:v>
      </x:c>
      <x:c r="AP59" s="226" t="n">
        <x:f>P59*AN59</x:f>
        <x:v>1382.4096</x:v>
      </x:c>
      <x:c r="AQ59" s="226" t="n">
        <x:f>AP59*AO59</x:f>
        <x:v>10782.79488</x:v>
      </x:c>
      <x:c r="AR59" s="226" t="str">
        <x:v>EUR</x:v>
      </x:c>
      <x:c r="AS59" s="226" t="n">
        <x:v>3</x:v>
      </x:c>
      <x:c r="AT59" s="226" t="n">
        <x:f>IF(AR59="EUR",AA59,IF(AR59="GBP",AB59,1))</x:f>
        <x:v>7.8</x:v>
      </x:c>
      <x:c r="AU59" s="226" t="n">
        <x:f>T59*AS59</x:f>
        <x:v>617.76</x:v>
      </x:c>
      <x:c r="AV59" s="226" t="n">
        <x:f>AU59*AT59</x:f>
        <x:v>4818.528</x:v>
      </x:c>
      <x:c r="AW59" s="226" t="str">
        <x:v>EUR</x:v>
      </x:c>
      <x:c r="AX59" s="226" t="n">
        <x:v>2.3</x:v>
      </x:c>
      <x:c r="AY59" s="226" t="n">
        <x:f>IF(AW59="EUR",AA59,IF(AW59="GBP",AB59,1))</x:f>
        <x:v>7.8</x:v>
      </x:c>
      <x:c r="AZ59" s="226" t="n">
        <x:f>V59*AX59</x:f>
        <x:v>117.141024</x:v>
      </x:c>
      <x:c r="BA59" s="226" t="n">
        <x:f>AZ59*AY59</x:f>
        <x:v>913.6999872</x:v>
      </x:c>
      <x:c r="BB59" s="226" t="n">
        <x:f>AF59+AG59+AL59+AQ59+AV59+BA59</x:f>
        <x:v>107390.31937920001</x:v>
      </x:c>
      <x:c r="BC59" s="229" t="n">
        <x:v>0.973</x:v>
      </x:c>
      <x:c r="BD59" s="202"/>
      <x:c r="BE59" s="202"/>
      <x:c r="BF59" s="202"/>
      <x:c r="BG59" s="202" t="str">
        <x:v>UNVERIFIED_UNLIMITED_FOR_MVP</x:v>
      </x:c>
    </x:row>
    <x:row r="60">
      <x:c r="A60" s="187" t="str">
        <x:v>BUDGET_2026_V1</x:v>
      </x:c>
      <x:c r="B60" s="187" t="str">
        <x:v>BUDGET</x:v>
      </x:c>
      <x:c r="C60" s="187"/>
      <x:c r="D60" s="217" t="n">
        <x:v>46174</x:v>
      </x:c>
      <x:c r="E60" s="187" t="str">
        <x:v>R_GB_DE_A_ROAD</x:v>
      </x:c>
      <x:c r="F60" s="187" t="str">
        <x:v>GB</x:v>
      </x:c>
      <x:c r="G60" s="187" t="str">
        <x:v>DE_FC</x:v>
      </x:c>
      <x:c r="H60" s="187" t="str">
        <x:v>CARRIER_A</x:v>
      </x:c>
      <x:c r="I60" s="187" t="str">
        <x:v>ROAD</x:v>
      </x:c>
      <x:c r="J60" s="220" t="n">
        <x:v>16500</x:v>
      </x:c>
      <x:c r="K60" s="223" t="n">
        <x:v>0.29</x:v>
      </x:c>
      <x:c r="L60" s="223" t="n">
        <x:v>0.96</x:v>
      </x:c>
      <x:c r="M60" s="223" t="n">
        <x:v>0.65</x:v>
      </x:c>
      <x:c r="N60" s="226" t="n">
        <x:f>J60*K60*L60*M60</x:f>
        <x:v>2985.8399999999997</x:v>
      </x:c>
      <x:c r="O60" s="220" t="n">
        <x:v>1.12</x:v>
      </x:c>
      <x:c r="P60" s="226" t="n">
        <x:f>N60*O60</x:f>
        <x:v>3344.1408</x:v>
      </x:c>
      <x:c r="Q60" s="220" t="n">
        <x:v>1.02</x:v>
      </x:c>
      <x:c r="R60" s="226" t="n">
        <x:f>P60*Q60</x:f>
        <x:v>3411.0236160000004</x:v>
      </x:c>
      <x:c r="S60" s="220" t="n">
        <x:v>0.08</x:v>
      </x:c>
      <x:c r="T60" s="226" t="n">
        <x:f>N60*S60</x:f>
        <x:v>238.86719999999997</x:v>
      </x:c>
      <x:c r="U60" s="226" t="n">
        <x:v>0.022</x:v>
      </x:c>
      <x:c r="V60" s="226" t="n">
        <x:f>P60*U60</x:f>
        <x:v>73.5710976</x:v>
      </x:c>
      <x:c r="W60" s="196" t="str">
        <x:v>GBP</x:v>
      </x:c>
      <x:c r="X60" s="220" t="n">
        <x:v>4</x:v>
      </x:c>
      <x:c r="Y60" s="196" t="str">
        <x:v>PERCENTAGE_OF_BASE_FREIGHT</x:v>
      </x:c>
      <x:c r="Z60" s="220" t="n">
        <x:v>0.1</x:v>
      </x:c>
      <x:c r="AA60" s="220" t="n">
        <x:v>7.8</x:v>
      </x:c>
      <x:c r="AB60" s="220" t="n">
        <x:v>9</x:v>
      </x:c>
      <x:c r="AC60" s="226" t="n">
        <x:f>IF(W60="EUR",AA60,IF(W60="GBP",AB60,1))</x:f>
        <x:v>9</x:v>
      </x:c>
      <x:c r="AD60" s="226" t="n">
        <x:f>R60*X60</x:f>
        <x:v>13644.094464000002</x:v>
      </x:c>
      <x:c r="AE60" s="226" t="n">
        <x:f>IF(Y60="PERCENTAGE_OF_BASE_FREIGHT",AD60*Z60,IF(Y60="PER_CHARGEABLE_KG",R60*Z60,P60*Z60))</x:f>
        <x:v>1364.4094464000002</x:v>
      </x:c>
      <x:c r="AF60" s="226" t="n">
        <x:f>AD60*AC60</x:f>
        <x:v>122796.850176</x:v>
      </x:c>
      <x:c r="AG60" s="226" t="n">
        <x:f>AE60*AC60</x:f>
        <x:v>12279.685017600003</x:v>
      </x:c>
      <x:c r="AH60" s="226" t="str">
        <x:v>EUR</x:v>
      </x:c>
      <x:c r="AI60" s="226" t="n">
        <x:v>1.18</x:v>
      </x:c>
      <x:c r="AJ60" s="226" t="n">
        <x:f>IF(AH60="EUR",AA60,IF(AH60="GBP",AB60,1))</x:f>
        <x:v>7.8</x:v>
      </x:c>
      <x:c r="AK60" s="226" t="n">
        <x:f>N60*AI60</x:f>
        <x:v>3523.2911999999997</x:v>
      </x:c>
      <x:c r="AL60" s="226" t="n">
        <x:f>AK60*AJ60</x:f>
        <x:v>27481.671359999997</x:v>
      </x:c>
      <x:c r="AM60" s="226" t="str">
        <x:v>EUR</x:v>
      </x:c>
      <x:c r="AN60" s="226" t="n">
        <x:v>0.42</x:v>
      </x:c>
      <x:c r="AO60" s="226" t="n">
        <x:f>IF(AM60="EUR",AA60,IF(AM60="GBP",AB60,1))</x:f>
        <x:v>7.8</x:v>
      </x:c>
      <x:c r="AP60" s="226" t="n">
        <x:f>P60*AN60</x:f>
        <x:v>1404.539136</x:v>
      </x:c>
      <x:c r="AQ60" s="226" t="n">
        <x:f>AP60*AO60</x:f>
        <x:v>10955.4052608</x:v>
      </x:c>
      <x:c r="AR60" s="226" t="str">
        <x:v>GBP</x:v>
      </x:c>
      <x:c r="AS60" s="226" t="n">
        <x:v>4.8</x:v>
      </x:c>
      <x:c r="AT60" s="226" t="n">
        <x:f>IF(AR60="EUR",AA60,IF(AR60="GBP",AB60,1))</x:f>
        <x:v>9</x:v>
      </x:c>
      <x:c r="AU60" s="226" t="n">
        <x:f>T60*AS60</x:f>
        <x:v>1146.5625599999998</x:v>
      </x:c>
      <x:c r="AV60" s="226" t="n">
        <x:f>AU60*AT60</x:f>
        <x:v>10319.06304</x:v>
      </x:c>
      <x:c r="AW60" s="226" t="str">
        <x:v>GBP</x:v>
      </x:c>
      <x:c r="AX60" s="226" t="n">
        <x:v>2.3</x:v>
      </x:c>
      <x:c r="AY60" s="226" t="n">
        <x:f>IF(AW60="EUR",AA60,IF(AW60="GBP",AB60,1))</x:f>
        <x:v>9</x:v>
      </x:c>
      <x:c r="AZ60" s="226" t="n">
        <x:f>V60*AX60</x:f>
        <x:v>169.21352448</x:v>
      </x:c>
      <x:c r="BA60" s="226" t="n">
        <x:f>AZ60*AY60</x:f>
        <x:v>1522.9217203199998</x:v>
      </x:c>
      <x:c r="BB60" s="226" t="n">
        <x:f>AF60+AG60+AL60+AQ60+AV60+BA60</x:f>
        <x:v>185355.59657472005</x:v>
      </x:c>
      <x:c r="BC60" s="229" t="n">
        <x:v>0.93</x:v>
      </x:c>
      <x:c r="BD60" s="202"/>
      <x:c r="BE60" s="202"/>
      <x:c r="BF60" s="202"/>
      <x:c r="BG60" s="202" t="str">
        <x:v>UNVERIFIED_UNLIMITED_FOR_MVP</x:v>
      </x:c>
    </x:row>
    <x:row r="61">
      <x:c r="A61" s="187" t="str">
        <x:v>BUDGET_2026_V1</x:v>
      </x:c>
      <x:c r="B61" s="187" t="str">
        <x:v>BUDGET</x:v>
      </x:c>
      <x:c r="C61" s="187"/>
      <x:c r="D61" s="217" t="n">
        <x:v>46174</x:v>
      </x:c>
      <x:c r="E61" s="187" t="str">
        <x:v>R_GB_DE_B_ROAD</x:v>
      </x:c>
      <x:c r="F61" s="187" t="str">
        <x:v>GB</x:v>
      </x:c>
      <x:c r="G61" s="187" t="str">
        <x:v>DE_FC</x:v>
      </x:c>
      <x:c r="H61" s="187" t="str">
        <x:v>CARRIER_B</x:v>
      </x:c>
      <x:c r="I61" s="187" t="str">
        <x:v>ROAD</x:v>
      </x:c>
      <x:c r="J61" s="220" t="n">
        <x:v>16500</x:v>
      </x:c>
      <x:c r="K61" s="223" t="n">
        <x:v>0.29</x:v>
      </x:c>
      <x:c r="L61" s="223" t="n">
        <x:v>0.96</x:v>
      </x:c>
      <x:c r="M61" s="223" t="n">
        <x:v>0.25</x:v>
      </x:c>
      <x:c r="N61" s="226" t="n">
        <x:f>J61*K61*L61*M61</x:f>
        <x:v>1148.3999999999999</x:v>
      </x:c>
      <x:c r="O61" s="220" t="n">
        <x:v>1.12</x:v>
      </x:c>
      <x:c r="P61" s="226" t="n">
        <x:f>N61*O61</x:f>
        <x:v>1286.2079999999999</x:v>
      </x:c>
      <x:c r="Q61" s="220" t="n">
        <x:v>1</x:v>
      </x:c>
      <x:c r="R61" s="226" t="n">
        <x:f>P61*Q61</x:f>
        <x:v>1286.2079999999999</x:v>
      </x:c>
      <x:c r="S61" s="220" t="n">
        <x:v>0.08</x:v>
      </x:c>
      <x:c r="T61" s="226" t="n">
        <x:f>N61*S61</x:f>
        <x:v>91.87199999999999</x:v>
      </x:c>
      <x:c r="U61" s="226" t="n">
        <x:v>0.017</x:v>
      </x:c>
      <x:c r="V61" s="226" t="n">
        <x:f>P61*U61</x:f>
        <x:v>21.865536</x:v>
      </x:c>
      <x:c r="W61" s="196" t="str">
        <x:v>GBP</x:v>
      </x:c>
      <x:c r="X61" s="220" t="n">
        <x:v>4.7</x:v>
      </x:c>
      <x:c r="Y61" s="196" t="str">
        <x:v>PER_CHARGEABLE_KG</x:v>
      </x:c>
      <x:c r="Z61" s="220" t="n">
        <x:v>0.33</x:v>
      </x:c>
      <x:c r="AA61" s="220" t="n">
        <x:v>7.8</x:v>
      </x:c>
      <x:c r="AB61" s="220" t="n">
        <x:v>9</x:v>
      </x:c>
      <x:c r="AC61" s="226" t="n">
        <x:f>IF(W61="EUR",AA61,IF(W61="GBP",AB61,1))</x:f>
        <x:v>9</x:v>
      </x:c>
      <x:c r="AD61" s="226" t="n">
        <x:f>R61*X61</x:f>
        <x:v>6045.1776</x:v>
      </x:c>
      <x:c r="AE61" s="226" t="n">
        <x:f>IF(Y61="PERCENTAGE_OF_BASE_FREIGHT",AD61*Z61,IF(Y61="PER_CHARGEABLE_KG",R61*Z61,P61*Z61))</x:f>
        <x:v>424.44863999999995</x:v>
      </x:c>
      <x:c r="AF61" s="226" t="n">
        <x:f>AD61*AC61</x:f>
        <x:v>54406.5984</x:v>
      </x:c>
      <x:c r="AG61" s="226" t="n">
        <x:f>AE61*AC61</x:f>
        <x:v>3820.0377599999997</x:v>
      </x:c>
      <x:c r="AH61" s="226" t="str">
        <x:v>EUR</x:v>
      </x:c>
      <x:c r="AI61" s="226" t="n">
        <x:v>1.18</x:v>
      </x:c>
      <x:c r="AJ61" s="226" t="n">
        <x:f>IF(AH61="EUR",AA61,IF(AH61="GBP",AB61,1))</x:f>
        <x:v>7.8</x:v>
      </x:c>
      <x:c r="AK61" s="226" t="n">
        <x:f>N61*AI61</x:f>
        <x:v>1355.1119999999999</x:v>
      </x:c>
      <x:c r="AL61" s="226" t="n">
        <x:f>AK61*AJ61</x:f>
        <x:v>10569.873599999999</x:v>
      </x:c>
      <x:c r="AM61" s="226" t="str">
        <x:v>EUR</x:v>
      </x:c>
      <x:c r="AN61" s="226" t="n">
        <x:v>0.42</x:v>
      </x:c>
      <x:c r="AO61" s="226" t="n">
        <x:f>IF(AM61="EUR",AA61,IF(AM61="GBP",AB61,1))</x:f>
        <x:v>7.8</x:v>
      </x:c>
      <x:c r="AP61" s="226" t="n">
        <x:f>P61*AN61</x:f>
        <x:v>540.2073599999999</x:v>
      </x:c>
      <x:c r="AQ61" s="226" t="n">
        <x:f>AP61*AO61</x:f>
        <x:v>4213.617407999999</x:v>
      </x:c>
      <x:c r="AR61" s="226" t="str">
        <x:v>GBP</x:v>
      </x:c>
      <x:c r="AS61" s="226" t="n">
        <x:v>4.8</x:v>
      </x:c>
      <x:c r="AT61" s="226" t="n">
        <x:f>IF(AR61="EUR",AA61,IF(AR61="GBP",AB61,1))</x:f>
        <x:v>9</x:v>
      </x:c>
      <x:c r="AU61" s="226" t="n">
        <x:f>T61*AS61</x:f>
        <x:v>440.9855999999999</x:v>
      </x:c>
      <x:c r="AV61" s="226" t="n">
        <x:f>AU61*AT61</x:f>
        <x:v>3968.8703999999993</x:v>
      </x:c>
      <x:c r="AW61" s="226" t="str">
        <x:v>GBP</x:v>
      </x:c>
      <x:c r="AX61" s="226" t="n">
        <x:v>2.3</x:v>
      </x:c>
      <x:c r="AY61" s="226" t="n">
        <x:f>IF(AW61="EUR",AA61,IF(AW61="GBP",AB61,1))</x:f>
        <x:v>9</x:v>
      </x:c>
      <x:c r="AZ61" s="226" t="n">
        <x:f>V61*AX61</x:f>
        <x:v>50.290732799999994</x:v>
      </x:c>
      <x:c r="BA61" s="226" t="n">
        <x:f>AZ61*AY61</x:f>
        <x:v>452.61659519999995</x:v>
      </x:c>
      <x:c r="BB61" s="226" t="n">
        <x:f>AF61+AG61+AL61+AQ61+AV61+BA61</x:f>
        <x:v>77431.6141632</x:v>
      </x:c>
      <x:c r="BC61" s="229" t="n">
        <x:v>0.95</x:v>
      </x:c>
      <x:c r="BD61" s="202"/>
      <x:c r="BE61" s="202"/>
      <x:c r="BF61" s="202"/>
      <x:c r="BG61" s="202" t="str">
        <x:v>UNVERIFIED_UNLIMITED_FOR_MVP</x:v>
      </x:c>
    </x:row>
    <x:row r="62">
      <x:c r="A62" s="187" t="str">
        <x:v>BUDGET_2026_V1</x:v>
      </x:c>
      <x:c r="B62" s="187" t="str">
        <x:v>BUDGET</x:v>
      </x:c>
      <x:c r="C62" s="187"/>
      <x:c r="D62" s="217" t="n">
        <x:v>46174</x:v>
      </x:c>
      <x:c r="E62" s="187" t="str">
        <x:v>R_GB_DE_B_AIR</x:v>
      </x:c>
      <x:c r="F62" s="187" t="str">
        <x:v>GB</x:v>
      </x:c>
      <x:c r="G62" s="187" t="str">
        <x:v>DE_FC</x:v>
      </x:c>
      <x:c r="H62" s="187" t="str">
        <x:v>CARRIER_B</x:v>
      </x:c>
      <x:c r="I62" s="187" t="str">
        <x:v>AIR</x:v>
      </x:c>
      <x:c r="J62" s="220" t="n">
        <x:v>16500</x:v>
      </x:c>
      <x:c r="K62" s="223" t="n">
        <x:v>0.29</x:v>
      </x:c>
      <x:c r="L62" s="223" t="n">
        <x:v>0.96</x:v>
      </x:c>
      <x:c r="M62" s="223" t="n">
        <x:v>0.07</x:v>
      </x:c>
      <x:c r="N62" s="226" t="n">
        <x:f>J62*K62*L62*M62</x:f>
        <x:v>321.55199999999996</x:v>
      </x:c>
      <x:c r="O62" s="220" t="n">
        <x:v>1.12</x:v>
      </x:c>
      <x:c r="P62" s="226" t="n">
        <x:f>N62*O62</x:f>
        <x:v>360.13824</x:v>
      </x:c>
      <x:c r="Q62" s="220" t="n">
        <x:v>0.94</x:v>
      </x:c>
      <x:c r="R62" s="226" t="n">
        <x:f>P62*Q62</x:f>
        <x:v>338.52994559999996</x:v>
      </x:c>
      <x:c r="S62" s="220" t="n">
        <x:v>0.08</x:v>
      </x:c>
      <x:c r="T62" s="226" t="n">
        <x:f>N62*S62</x:f>
        <x:v>25.724159999999998</x:v>
      </x:c>
      <x:c r="U62" s="226" t="n">
        <x:v>0.013</x:v>
      </x:c>
      <x:c r="V62" s="226" t="n">
        <x:f>P62*U62</x:f>
        <x:v>4.68179712</x:v>
      </x:c>
      <x:c r="W62" s="196" t="str">
        <x:v>GBP</x:v>
      </x:c>
      <x:c r="X62" s="220" t="n">
        <x:v>6.2</x:v>
      </x:c>
      <x:c r="Y62" s="196" t="str">
        <x:v>PERCENTAGE_OF_BASE_FREIGHT</x:v>
      </x:c>
      <x:c r="Z62" s="220" t="n">
        <x:v>0.115</x:v>
      </x:c>
      <x:c r="AA62" s="220" t="n">
        <x:v>7.8</x:v>
      </x:c>
      <x:c r="AB62" s="220" t="n">
        <x:v>9</x:v>
      </x:c>
      <x:c r="AC62" s="226" t="n">
        <x:f>IF(W62="EUR",AA62,IF(W62="GBP",AB62,1))</x:f>
        <x:v>9</x:v>
      </x:c>
      <x:c r="AD62" s="226" t="n">
        <x:f>R62*X62</x:f>
        <x:v>2098.88566272</x:v>
      </x:c>
      <x:c r="AE62" s="226" t="n">
        <x:f>IF(Y62="PERCENTAGE_OF_BASE_FREIGHT",AD62*Z62,IF(Y62="PER_CHARGEABLE_KG",R62*Z62,P62*Z62))</x:f>
        <x:v>241.37185121279998</x:v>
      </x:c>
      <x:c r="AF62" s="226" t="n">
        <x:f>AD62*AC62</x:f>
        <x:v>18889.97096448</x:v>
      </x:c>
      <x:c r="AG62" s="226" t="n">
        <x:f>AE62*AC62</x:f>
        <x:v>2172.3466609151997</x:v>
      </x:c>
      <x:c r="AH62" s="226" t="str">
        <x:v>EUR</x:v>
      </x:c>
      <x:c r="AI62" s="226" t="n">
        <x:v>1.18</x:v>
      </x:c>
      <x:c r="AJ62" s="226" t="n">
        <x:f>IF(AH62="EUR",AA62,IF(AH62="GBP",AB62,1))</x:f>
        <x:v>7.8</x:v>
      </x:c>
      <x:c r="AK62" s="226" t="n">
        <x:f>N62*AI62</x:f>
        <x:v>379.4313599999999</x:v>
      </x:c>
      <x:c r="AL62" s="226" t="n">
        <x:f>AK62*AJ62</x:f>
        <x:v>2959.564607999999</x:v>
      </x:c>
      <x:c r="AM62" s="226" t="str">
        <x:v>EUR</x:v>
      </x:c>
      <x:c r="AN62" s="226" t="n">
        <x:v>0.42</x:v>
      </x:c>
      <x:c r="AO62" s="226" t="n">
        <x:f>IF(AM62="EUR",AA62,IF(AM62="GBP",AB62,1))</x:f>
        <x:v>7.8</x:v>
      </x:c>
      <x:c r="AP62" s="226" t="n">
        <x:f>P62*AN62</x:f>
        <x:v>151.25806079999998</x:v>
      </x:c>
      <x:c r="AQ62" s="226" t="n">
        <x:f>AP62*AO62</x:f>
        <x:v>1179.81287424</x:v>
      </x:c>
      <x:c r="AR62" s="226" t="str">
        <x:v>GBP</x:v>
      </x:c>
      <x:c r="AS62" s="226" t="n">
        <x:v>4.8</x:v>
      </x:c>
      <x:c r="AT62" s="226" t="n">
        <x:f>IF(AR62="EUR",AA62,IF(AR62="GBP",AB62,1))</x:f>
        <x:v>9</x:v>
      </x:c>
      <x:c r="AU62" s="226" t="n">
        <x:f>T62*AS62</x:f>
        <x:v>123.47596799999998</x:v>
      </x:c>
      <x:c r="AV62" s="226" t="n">
        <x:f>AU62*AT62</x:f>
        <x:v>1111.283712</x:v>
      </x:c>
      <x:c r="AW62" s="226" t="str">
        <x:v>GBP</x:v>
      </x:c>
      <x:c r="AX62" s="226" t="n">
        <x:v>2.8</x:v>
      </x:c>
      <x:c r="AY62" s="226" t="n">
        <x:f>IF(AW62="EUR",AA62,IF(AW62="GBP",AB62,1))</x:f>
        <x:v>9</x:v>
      </x:c>
      <x:c r="AZ62" s="226" t="n">
        <x:f>V62*AX62</x:f>
        <x:v>13.109031936</x:v>
      </x:c>
      <x:c r="BA62" s="226" t="n">
        <x:f>AZ62*AY62</x:f>
        <x:v>117.98128742399999</x:v>
      </x:c>
      <x:c r="BB62" s="226" t="n">
        <x:f>AF62+AG62+AL62+AQ62+AV62+BA62</x:f>
        <x:v>26430.9601070592</x:v>
      </x:c>
      <x:c r="BC62" s="229" t="n">
        <x:v>0.974</x:v>
      </x:c>
      <x:c r="BD62" s="202"/>
      <x:c r="BE62" s="202"/>
      <x:c r="BF62" s="202"/>
      <x:c r="BG62" s="202" t="str">
        <x:v>UNVERIFIED_UNLIMITED_FOR_MVP</x:v>
      </x:c>
    </x:row>
    <x:row r="63">
      <x:c r="A63" s="187" t="str">
        <x:v>BUDGET_2026_V1</x:v>
      </x:c>
      <x:c r="B63" s="187" t="str">
        <x:v>BUDGET</x:v>
      </x:c>
      <x:c r="C63" s="187"/>
      <x:c r="D63" s="217" t="n">
        <x:v>46174</x:v>
      </x:c>
      <x:c r="E63" s="187" t="str">
        <x:v>R_GB_DE_C_AIR</x:v>
      </x:c>
      <x:c r="F63" s="187" t="str">
        <x:v>GB</x:v>
      </x:c>
      <x:c r="G63" s="187" t="str">
        <x:v>DE_FC</x:v>
      </x:c>
      <x:c r="H63" s="187" t="str">
        <x:v>CARRIER_C</x:v>
      </x:c>
      <x:c r="I63" s="187" t="str">
        <x:v>AIR</x:v>
      </x:c>
      <x:c r="J63" s="220" t="n">
        <x:v>16500</x:v>
      </x:c>
      <x:c r="K63" s="223" t="n">
        <x:v>0.29</x:v>
      </x:c>
      <x:c r="L63" s="223" t="n">
        <x:v>0.96</x:v>
      </x:c>
      <x:c r="M63" s="223" t="n">
        <x:v>0.03</x:v>
      </x:c>
      <x:c r="N63" s="226" t="n">
        <x:f>J63*K63*L63*M63</x:f>
        <x:v>137.808</x:v>
      </x:c>
      <x:c r="O63" s="220" t="n">
        <x:v>1.12</x:v>
      </x:c>
      <x:c r="P63" s="226" t="n">
        <x:f>N63*O63</x:f>
        <x:v>154.34496000000001</x:v>
      </x:c>
      <x:c r="Q63" s="220" t="n">
        <x:v>0.92</x:v>
      </x:c>
      <x:c r="R63" s="226" t="n">
        <x:f>P63*Q63</x:f>
        <x:v>141.99736320000002</x:v>
      </x:c>
      <x:c r="S63" s="220" t="n">
        <x:v>0.08</x:v>
      </x:c>
      <x:c r="T63" s="226" t="n">
        <x:f>N63*S63</x:f>
        <x:v>11.02464</x:v>
      </x:c>
      <x:c r="U63" s="226" t="n">
        <x:v>0.009</x:v>
      </x:c>
      <x:c r="V63" s="226" t="n">
        <x:f>P63*U63</x:f>
        <x:v>1.38910464</x:v>
      </x:c>
      <x:c r="W63" s="196" t="str">
        <x:v>GBP</x:v>
      </x:c>
      <x:c r="X63" s="220" t="n">
        <x:v>7.5</x:v>
      </x:c>
      <x:c r="Y63" s="196" t="str">
        <x:v>PER_CHARGEABLE_KG</x:v>
      </x:c>
      <x:c r="Z63" s="220" t="n">
        <x:v>0.58</x:v>
      </x:c>
      <x:c r="AA63" s="220" t="n">
        <x:v>7.8</x:v>
      </x:c>
      <x:c r="AB63" s="220" t="n">
        <x:v>9</x:v>
      </x:c>
      <x:c r="AC63" s="226" t="n">
        <x:f>IF(W63="EUR",AA63,IF(W63="GBP",AB63,1))</x:f>
        <x:v>9</x:v>
      </x:c>
      <x:c r="AD63" s="226" t="n">
        <x:f>R63*X63</x:f>
        <x:v>1064.9802240000001</x:v>
      </x:c>
      <x:c r="AE63" s="226" t="n">
        <x:f>IF(Y63="PERCENTAGE_OF_BASE_FREIGHT",AD63*Z63,IF(Y63="PER_CHARGEABLE_KG",R63*Z63,P63*Z63))</x:f>
        <x:v>82.35847065600001</x:v>
      </x:c>
      <x:c r="AF63" s="226" t="n">
        <x:f>AD63*AC63</x:f>
        <x:v>9584.822016000002</x:v>
      </x:c>
      <x:c r="AG63" s="226" t="n">
        <x:f>AE63*AC63</x:f>
        <x:v>741.2262359040001</x:v>
      </x:c>
      <x:c r="AH63" s="226" t="str">
        <x:v>EUR</x:v>
      </x:c>
      <x:c r="AI63" s="226" t="n">
        <x:v>1.18</x:v>
      </x:c>
      <x:c r="AJ63" s="226" t="n">
        <x:f>IF(AH63="EUR",AA63,IF(AH63="GBP",AB63,1))</x:f>
        <x:v>7.8</x:v>
      </x:c>
      <x:c r="AK63" s="226" t="n">
        <x:f>N63*AI63</x:f>
        <x:v>162.61343999999997</x:v>
      </x:c>
      <x:c r="AL63" s="226" t="n">
        <x:f>AK63*AJ63</x:f>
        <x:v>1268.3848319999997</x:v>
      </x:c>
      <x:c r="AM63" s="226" t="str">
        <x:v>EUR</x:v>
      </x:c>
      <x:c r="AN63" s="226" t="n">
        <x:v>0.42</x:v>
      </x:c>
      <x:c r="AO63" s="226" t="n">
        <x:f>IF(AM63="EUR",AA63,IF(AM63="GBP",AB63,1))</x:f>
        <x:v>7.8</x:v>
      </x:c>
      <x:c r="AP63" s="226" t="n">
        <x:f>P63*AN63</x:f>
        <x:v>64.8248832</x:v>
      </x:c>
      <x:c r="AQ63" s="226" t="n">
        <x:f>AP63*AO63</x:f>
        <x:v>505.63408896</x:v>
      </x:c>
      <x:c r="AR63" s="226" t="str">
        <x:v>GBP</x:v>
      </x:c>
      <x:c r="AS63" s="226" t="n">
        <x:v>4.8</x:v>
      </x:c>
      <x:c r="AT63" s="226" t="n">
        <x:f>IF(AR63="EUR",AA63,IF(AR63="GBP",AB63,1))</x:f>
        <x:v>9</x:v>
      </x:c>
      <x:c r="AU63" s="226" t="n">
        <x:f>T63*AS63</x:f>
        <x:v>52.918271999999995</x:v>
      </x:c>
      <x:c r="AV63" s="226" t="n">
        <x:f>AU63*AT63</x:f>
        <x:v>476.26444799999996</x:v>
      </x:c>
      <x:c r="AW63" s="226" t="str">
        <x:v>GBP</x:v>
      </x:c>
      <x:c r="AX63" s="226" t="n">
        <x:v>3.6</x:v>
      </x:c>
      <x:c r="AY63" s="226" t="n">
        <x:f>IF(AW63="EUR",AA63,IF(AW63="GBP",AB63,1))</x:f>
        <x:v>9</x:v>
      </x:c>
      <x:c r="AZ63" s="226" t="n">
        <x:f>V63*AX63</x:f>
        <x:v>5.000776704</x:v>
      </x:c>
      <x:c r="BA63" s="226" t="n">
        <x:f>AZ63*AY63</x:f>
        <x:v>45.006990336</x:v>
      </x:c>
      <x:c r="BB63" s="226" t="n">
        <x:f>AF63+AG63+AL63+AQ63+AV63+BA63</x:f>
        <x:v>12621.3386112</x:v>
      </x:c>
      <x:c r="BC63" s="229" t="n">
        <x:v>0.988</x:v>
      </x:c>
      <x:c r="BD63" s="202"/>
      <x:c r="BE63" s="202"/>
      <x:c r="BF63" s="202"/>
      <x:c r="BG63" s="202" t="str">
        <x:v>UNVERIFIED_UNLIMITED_FOR_MVP</x:v>
      </x:c>
    </x:row>
    <x:row r="64">
      <x:c r="A64" s="187" t="str">
        <x:v>BUDGET_2026_V1</x:v>
      </x:c>
      <x:c r="B64" s="187" t="str">
        <x:v>BUDGET</x:v>
      </x:c>
      <x:c r="C64" s="187"/>
      <x:c r="D64" s="217" t="n">
        <x:v>46174</x:v>
      </x:c>
      <x:c r="E64" s="187" t="str">
        <x:v>R_GB_FR_B_AIR</x:v>
      </x:c>
      <x:c r="F64" s="187" t="str">
        <x:v>GB</x:v>
      </x:c>
      <x:c r="G64" s="187" t="str">
        <x:v>FR_FC</x:v>
      </x:c>
      <x:c r="H64" s="187" t="str">
        <x:v>CARRIER_B</x:v>
      </x:c>
      <x:c r="I64" s="187" t="str">
        <x:v>AIR</x:v>
      </x:c>
      <x:c r="J64" s="220" t="n">
        <x:v>16500</x:v>
      </x:c>
      <x:c r="K64" s="223" t="n">
        <x:v>0.29</x:v>
      </x:c>
      <x:c r="L64" s="223" t="n">
        <x:v>0.04</x:v>
      </x:c>
      <x:c r="M64" s="223" t="n">
        <x:v>1</x:v>
      </x:c>
      <x:c r="N64" s="226" t="n">
        <x:f>J64*K64*L64*M64</x:f>
        <x:v>191.4</x:v>
      </x:c>
      <x:c r="O64" s="220" t="n">
        <x:v>1.15</x:v>
      </x:c>
      <x:c r="P64" s="226" t="n">
        <x:f>N64*O64</x:f>
        <x:v>220.10999999999999</x:v>
      </x:c>
      <x:c r="Q64" s="220" t="n">
        <x:v>0.9</x:v>
      </x:c>
      <x:c r="R64" s="226" t="n">
        <x:f>P64*Q64</x:f>
        <x:v>198.099</x:v>
      </x:c>
      <x:c r="S64" s="220" t="n">
        <x:v>0.08</x:v>
      </x:c>
      <x:c r="T64" s="226" t="n">
        <x:f>N64*S64</x:f>
        <x:v>15.312000000000001</x:v>
      </x:c>
      <x:c r="U64" s="226" t="n">
        <x:v>0.012</x:v>
      </x:c>
      <x:c r="V64" s="226" t="n">
        <x:f>P64*U64</x:f>
        <x:v>2.64132</x:v>
      </x:c>
      <x:c r="W64" s="196" t="str">
        <x:v>EUR</x:v>
      </x:c>
      <x:c r="X64" s="220" t="n">
        <x:v>6.7</x:v>
      </x:c>
      <x:c r="Y64" s="196" t="str">
        <x:v>PERCENTAGE_OF_BASE_FREIGHT</x:v>
      </x:c>
      <x:c r="Z64" s="220" t="n">
        <x:v>0.105</x:v>
      </x:c>
      <x:c r="AA64" s="220" t="n">
        <x:v>7.8</x:v>
      </x:c>
      <x:c r="AB64" s="220" t="n">
        <x:v>9</x:v>
      </x:c>
      <x:c r="AC64" s="226" t="n">
        <x:f>IF(W64="EUR",AA64,IF(W64="GBP",AB64,1))</x:f>
        <x:v>7.8</x:v>
      </x:c>
      <x:c r="AD64" s="226" t="n">
        <x:f>R64*X64</x:f>
        <x:v>1327.2633</x:v>
      </x:c>
      <x:c r="AE64" s="226" t="n">
        <x:f>IF(Y64="PERCENTAGE_OF_BASE_FREIGHT",AD64*Z64,IF(Y64="PER_CHARGEABLE_KG",R64*Z64,P64*Z64))</x:f>
        <x:v>139.3626465</x:v>
      </x:c>
      <x:c r="AF64" s="226" t="n">
        <x:f>AD64*AC64</x:f>
        <x:v>10352.65374</x:v>
      </x:c>
      <x:c r="AG64" s="226" t="n">
        <x:f>AE64*AC64</x:f>
        <x:v>1087.0286427</x:v>
      </x:c>
      <x:c r="AH64" s="226" t="str">
        <x:v>EUR</x:v>
      </x:c>
      <x:c r="AI64" s="226" t="n">
        <x:v>1.05</x:v>
      </x:c>
      <x:c r="AJ64" s="226" t="n">
        <x:f>IF(AH64="EUR",AA64,IF(AH64="GBP",AB64,1))</x:f>
        <x:v>7.8</x:v>
      </x:c>
      <x:c r="AK64" s="226" t="n">
        <x:f>N64*AI64</x:f>
        <x:v>200.97000000000003</x:v>
      </x:c>
      <x:c r="AL64" s="226" t="n">
        <x:f>AK64*AJ64</x:f>
        <x:v>1567.5660000000003</x:v>
      </x:c>
      <x:c r="AM64" s="226" t="str">
        <x:v>EUR</x:v>
      </x:c>
      <x:c r="AN64" s="226" t="n">
        <x:v>0.38</x:v>
      </x:c>
      <x:c r="AO64" s="226" t="n">
        <x:f>IF(AM64="EUR",AA64,IF(AM64="GBP",AB64,1))</x:f>
        <x:v>7.8</x:v>
      </x:c>
      <x:c r="AP64" s="226" t="n">
        <x:f>P64*AN64</x:f>
        <x:v>83.64179999999999</x:v>
      </x:c>
      <x:c r="AQ64" s="226" t="n">
        <x:f>AP64*AO64</x:f>
        <x:v>652.4060399999998</x:v>
      </x:c>
      <x:c r="AR64" s="226" t="str">
        <x:v>EUR</x:v>
      </x:c>
      <x:c r="AS64" s="226" t="n">
        <x:v>5.2</x:v>
      </x:c>
      <x:c r="AT64" s="226" t="n">
        <x:f>IF(AR64="EUR",AA64,IF(AR64="GBP",AB64,1))</x:f>
        <x:v>7.8</x:v>
      </x:c>
      <x:c r="AU64" s="226" t="n">
        <x:f>T64*AS64</x:f>
        <x:v>79.62240000000001</x:v>
      </x:c>
      <x:c r="AV64" s="226" t="n">
        <x:f>AU64*AT64</x:f>
        <x:v>621.0547200000001</x:v>
      </x:c>
      <x:c r="AW64" s="226" t="str">
        <x:v>EUR</x:v>
      </x:c>
      <x:c r="AX64" s="226" t="n">
        <x:v>2.8</x:v>
      </x:c>
      <x:c r="AY64" s="226" t="n">
        <x:f>IF(AW64="EUR",AA64,IF(AW64="GBP",AB64,1))</x:f>
        <x:v>7.8</x:v>
      </x:c>
      <x:c r="AZ64" s="226" t="n">
        <x:f>V64*AX64</x:f>
        <x:v>7.395695999999999</x:v>
      </x:c>
      <x:c r="BA64" s="226" t="n">
        <x:f>AZ64*AY64</x:f>
        <x:v>57.686428799999995</x:v>
      </x:c>
      <x:c r="BB64" s="226" t="n">
        <x:f>AF64+AG64+AL64+AQ64+AV64+BA64</x:f>
        <x:v>14338.395571500001</x:v>
      </x:c>
      <x:c r="BC64" s="229" t="n">
        <x:v>0.971</x:v>
      </x:c>
      <x:c r="BD64" s="202"/>
      <x:c r="BE64" s="202"/>
      <x:c r="BF64" s="202"/>
      <x:c r="BG64" s="202" t="str">
        <x:v>UNVERIFIED_UNLIMITED_FOR_MVP</x:v>
      </x:c>
    </x:row>
    <x:row r="65">
      <x:c r="A65" s="187" t="str">
        <x:v>BUDGET_2026_V1</x:v>
      </x:c>
      <x:c r="B65" s="187" t="str">
        <x:v>BUDGET</x:v>
      </x:c>
      <x:c r="C65" s="187"/>
      <x:c r="D65" s="217" t="n">
        <x:v>46204</x:v>
      </x:c>
      <x:c r="E65" s="187" t="str">
        <x:v>R_DE_DE_A_ROAD</x:v>
      </x:c>
      <x:c r="F65" s="187" t="str">
        <x:v>DE</x:v>
      </x:c>
      <x:c r="G65" s="187" t="str">
        <x:v>DE_FC</x:v>
      </x:c>
      <x:c r="H65" s="187" t="str">
        <x:v>CARRIER_A</x:v>
      </x:c>
      <x:c r="I65" s="187" t="str">
        <x:v>ROAD</x:v>
      </x:c>
      <x:c r="J65" s="220" t="n">
        <x:v>17000</x:v>
      </x:c>
      <x:c r="K65" s="223" t="n">
        <x:v>0.38</x:v>
      </x:c>
      <x:c r="L65" s="223" t="n">
        <x:v>0.97</x:v>
      </x:c>
      <x:c r="M65" s="223" t="n">
        <x:v>0.6</x:v>
      </x:c>
      <x:c r="N65" s="226" t="n">
        <x:f>J65*K65*L65*M65</x:f>
        <x:v>3759.72</x:v>
      </x:c>
      <x:c r="O65" s="220" t="n">
        <x:v>1.05</x:v>
      </x:c>
      <x:c r="P65" s="226" t="n">
        <x:f>N65*O65</x:f>
        <x:v>3947.706</x:v>
      </x:c>
      <x:c r="Q65" s="220" t="n">
        <x:v>0.78</x:v>
      </x:c>
      <x:c r="R65" s="226" t="n">
        <x:f>P65*Q65</x:f>
        <x:v>3079.21068</x:v>
      </x:c>
      <x:c r="S65" s="220" t="n">
        <x:v>0.05</x:v>
      </x:c>
      <x:c r="T65" s="226" t="n">
        <x:f>N65*S65</x:f>
        <x:v>187.986</x:v>
      </x:c>
      <x:c r="U65" s="226" t="n">
        <x:v>0.016</x:v>
      </x:c>
      <x:c r="V65" s="226" t="n">
        <x:f>P65*U65</x:f>
        <x:v>63.163296</x:v>
      </x:c>
      <x:c r="W65" s="196" t="str">
        <x:v>EUR</x:v>
      </x:c>
      <x:c r="X65" s="220" t="n">
        <x:v>2.2</x:v>
      </x:c>
      <x:c r="Y65" s="196" t="str">
        <x:v>PERCENTAGE_OF_BASE_FREIGHT</x:v>
      </x:c>
      <x:c r="Z65" s="220" t="n">
        <x:v>0.095</x:v>
      </x:c>
      <x:c r="AA65" s="220" t="n">
        <x:v>7.8</x:v>
      </x:c>
      <x:c r="AB65" s="220" t="n">
        <x:v>9</x:v>
      </x:c>
      <x:c r="AC65" s="226" t="n">
        <x:f>IF(W65="EUR",AA65,IF(W65="GBP",AB65,1))</x:f>
        <x:v>7.8</x:v>
      </x:c>
      <x:c r="AD65" s="226" t="n">
        <x:f>R65*X65</x:f>
        <x:v>6774.2634960000005</x:v>
      </x:c>
      <x:c r="AE65" s="226" t="n">
        <x:f>IF(Y65="PERCENTAGE_OF_BASE_FREIGHT",AD65*Z65,IF(Y65="PER_CHARGEABLE_KG",R65*Z65,P65*Z65))</x:f>
        <x:v>643.5550321200001</x:v>
      </x:c>
      <x:c r="AF65" s="226" t="n">
        <x:f>AD65*AC65</x:f>
        <x:v>52839.2552688</x:v>
      </x:c>
      <x:c r="AG65" s="226" t="n">
        <x:f>AE65*AC65</x:f>
        <x:v>5019.729250536</x:v>
      </x:c>
      <x:c r="AH65" s="226" t="str">
        <x:v>EUR</x:v>
      </x:c>
      <x:c r="AI65" s="226" t="n">
        <x:v>1.18</x:v>
      </x:c>
      <x:c r="AJ65" s="226" t="n">
        <x:f>IF(AH65="EUR",AA65,IF(AH65="GBP",AB65,1))</x:f>
        <x:v>7.8</x:v>
      </x:c>
      <x:c r="AK65" s="226" t="n">
        <x:f>N65*AI65</x:f>
        <x:v>4436.469599999999</x:v>
      </x:c>
      <x:c r="AL65" s="226" t="n">
        <x:f>AK65*AJ65</x:f>
        <x:v>34604.46287999999</x:v>
      </x:c>
      <x:c r="AM65" s="226" t="str">
        <x:v>EUR</x:v>
      </x:c>
      <x:c r="AN65" s="226" t="n">
        <x:v>0.42</x:v>
      </x:c>
      <x:c r="AO65" s="226" t="n">
        <x:f>IF(AM65="EUR",AA65,IF(AM65="GBP",AB65,1))</x:f>
        <x:v>7.8</x:v>
      </x:c>
      <x:c r="AP65" s="226" t="n">
        <x:f>P65*AN65</x:f>
        <x:v>1658.0365199999999</x:v>
      </x:c>
      <x:c r="AQ65" s="226" t="n">
        <x:f>AP65*AO65</x:f>
        <x:v>12932.684855999998</x:v>
      </x:c>
      <x:c r="AR65" s="226" t="str">
        <x:v>EUR</x:v>
      </x:c>
      <x:c r="AS65" s="226" t="n">
        <x:v>3.2</x:v>
      </x:c>
      <x:c r="AT65" s="226" t="n">
        <x:f>IF(AR65="EUR",AA65,IF(AR65="GBP",AB65,1))</x:f>
        <x:v>7.8</x:v>
      </x:c>
      <x:c r="AU65" s="226" t="n">
        <x:f>T65*AS65</x:f>
        <x:v>601.5552</x:v>
      </x:c>
      <x:c r="AV65" s="226" t="n">
        <x:f>AU65*AT65</x:f>
        <x:v>4692.13056</x:v>
      </x:c>
      <x:c r="AW65" s="226" t="str">
        <x:v>EUR</x:v>
      </x:c>
      <x:c r="AX65" s="226" t="n">
        <x:v>2.3</x:v>
      </x:c>
      <x:c r="AY65" s="226" t="n">
        <x:f>IF(AW65="EUR",AA65,IF(AW65="GBP",AB65,1))</x:f>
        <x:v>7.8</x:v>
      </x:c>
      <x:c r="AZ65" s="226" t="n">
        <x:f>V65*AX65</x:f>
        <x:v>145.2755808</x:v>
      </x:c>
      <x:c r="BA65" s="226" t="n">
        <x:f>AZ65*AY65</x:f>
        <x:v>1133.1495302399999</x:v>
      </x:c>
      <x:c r="BB65" s="226" t="n">
        <x:f>AF65+AG65+AL65+AQ65+AV65+BA65</x:f>
        <x:v>111221.412345576</x:v>
      </x:c>
      <x:c r="BC65" s="229" t="n">
        <x:v>0.965</x:v>
      </x:c>
      <x:c r="BD65" s="202"/>
      <x:c r="BE65" s="202"/>
      <x:c r="BF65" s="202"/>
      <x:c r="BG65" s="202" t="str">
        <x:v>UNVERIFIED_UNLIMITED_FOR_MVP</x:v>
      </x:c>
    </x:row>
    <x:row r="66">
      <x:c r="A66" s="187" t="str">
        <x:v>BUDGET_2026_V1</x:v>
      </x:c>
      <x:c r="B66" s="187" t="str">
        <x:v>BUDGET</x:v>
      </x:c>
      <x:c r="C66" s="187"/>
      <x:c r="D66" s="217" t="n">
        <x:v>46204</x:v>
      </x:c>
      <x:c r="E66" s="187" t="str">
        <x:v>R_DE_DE_B_ROAD</x:v>
      </x:c>
      <x:c r="F66" s="187" t="str">
        <x:v>DE</x:v>
      </x:c>
      <x:c r="G66" s="187" t="str">
        <x:v>DE_FC</x:v>
      </x:c>
      <x:c r="H66" s="187" t="str">
        <x:v>CARRIER_B</x:v>
      </x:c>
      <x:c r="I66" s="187" t="str">
        <x:v>ROAD</x:v>
      </x:c>
      <x:c r="J66" s="220" t="n">
        <x:v>17000</x:v>
      </x:c>
      <x:c r="K66" s="223" t="n">
        <x:v>0.38</x:v>
      </x:c>
      <x:c r="L66" s="223" t="n">
        <x:v>0.97</x:v>
      </x:c>
      <x:c r="M66" s="223" t="n">
        <x:v>0.4</x:v>
      </x:c>
      <x:c r="N66" s="226" t="n">
        <x:f>J66*K66*L66*M66</x:f>
        <x:v>2506.48</x:v>
      </x:c>
      <x:c r="O66" s="220" t="n">
        <x:v>1.05</x:v>
      </x:c>
      <x:c r="P66" s="226" t="n">
        <x:f>N66*O66</x:f>
        <x:v>2631.804</x:v>
      </x:c>
      <x:c r="Q66" s="220" t="n">
        <x:v>0.8</x:v>
      </x:c>
      <x:c r="R66" s="226" t="n">
        <x:f>P66*Q66</x:f>
        <x:v>2105.4432</x:v>
      </x:c>
      <x:c r="S66" s="220" t="n">
        <x:v>0.05</x:v>
      </x:c>
      <x:c r="T66" s="226" t="n">
        <x:f>N66*S66</x:f>
        <x:v>125.32400000000001</x:v>
      </x:c>
      <x:c r="U66" s="226" t="n">
        <x:v>0.013</x:v>
      </x:c>
      <x:c r="V66" s="226" t="n">
        <x:f>P66*U66</x:f>
        <x:v>34.213452</x:v>
      </x:c>
      <x:c r="W66" s="196" t="str">
        <x:v>EUR</x:v>
      </x:c>
      <x:c r="X66" s="220" t="n">
        <x:v>2.75</x:v>
      </x:c>
      <x:c r="Y66" s="196" t="str">
        <x:v>PER_CHARGEABLE_KG</x:v>
      </x:c>
      <x:c r="Z66" s="220" t="n">
        <x:v>0.21</x:v>
      </x:c>
      <x:c r="AA66" s="220" t="n">
        <x:v>7.8</x:v>
      </x:c>
      <x:c r="AB66" s="220" t="n">
        <x:v>9</x:v>
      </x:c>
      <x:c r="AC66" s="226" t="n">
        <x:f>IF(W66="EUR",AA66,IF(W66="GBP",AB66,1))</x:f>
        <x:v>7.8</x:v>
      </x:c>
      <x:c r="AD66" s="226" t="n">
        <x:f>R66*X66</x:f>
        <x:v>5789.968800000001</x:v>
      </x:c>
      <x:c r="AE66" s="226" t="n">
        <x:f>IF(Y66="PERCENTAGE_OF_BASE_FREIGHT",AD66*Z66,IF(Y66="PER_CHARGEABLE_KG",R66*Z66,P66*Z66))</x:f>
        <x:v>442.143072</x:v>
      </x:c>
      <x:c r="AF66" s="226" t="n">
        <x:f>AD66*AC66</x:f>
        <x:v>45161.75664000001</x:v>
      </x:c>
      <x:c r="AG66" s="226" t="n">
        <x:f>AE66*AC66</x:f>
        <x:v>3448.7159616</x:v>
      </x:c>
      <x:c r="AH66" s="226" t="str">
        <x:v>EUR</x:v>
      </x:c>
      <x:c r="AI66" s="226" t="n">
        <x:v>1.18</x:v>
      </x:c>
      <x:c r="AJ66" s="226" t="n">
        <x:f>IF(AH66="EUR",AA66,IF(AH66="GBP",AB66,1))</x:f>
        <x:v>7.8</x:v>
      </x:c>
      <x:c r="AK66" s="226" t="n">
        <x:f>N66*AI66</x:f>
        <x:v>2957.6464</x:v>
      </x:c>
      <x:c r="AL66" s="226" t="n">
        <x:f>AK66*AJ66</x:f>
        <x:v>23069.641920000002</x:v>
      </x:c>
      <x:c r="AM66" s="226" t="str">
        <x:v>EUR</x:v>
      </x:c>
      <x:c r="AN66" s="226" t="n">
        <x:v>0.42</x:v>
      </x:c>
      <x:c r="AO66" s="226" t="n">
        <x:f>IF(AM66="EUR",AA66,IF(AM66="GBP",AB66,1))</x:f>
        <x:v>7.8</x:v>
      </x:c>
      <x:c r="AP66" s="226" t="n">
        <x:f>P66*AN66</x:f>
        <x:v>1105.35768</x:v>
      </x:c>
      <x:c r="AQ66" s="226" t="n">
        <x:f>AP66*AO66</x:f>
        <x:v>8621.789904000001</x:v>
      </x:c>
      <x:c r="AR66" s="226" t="str">
        <x:v>EUR</x:v>
      </x:c>
      <x:c r="AS66" s="226" t="n">
        <x:v>3.2</x:v>
      </x:c>
      <x:c r="AT66" s="226" t="n">
        <x:f>IF(AR66="EUR",AA66,IF(AR66="GBP",AB66,1))</x:f>
        <x:v>7.8</x:v>
      </x:c>
      <x:c r="AU66" s="226" t="n">
        <x:f>T66*AS66</x:f>
        <x:v>401.0368000000001</x:v>
      </x:c>
      <x:c r="AV66" s="226" t="n">
        <x:f>AU66*AT66</x:f>
        <x:v>3128.087040000001</x:v>
      </x:c>
      <x:c r="AW66" s="226" t="str">
        <x:v>EUR</x:v>
      </x:c>
      <x:c r="AX66" s="226" t="n">
        <x:v>2.3</x:v>
      </x:c>
      <x:c r="AY66" s="226" t="n">
        <x:f>IF(AW66="EUR",AA66,IF(AW66="GBP",AB66,1))</x:f>
        <x:v>7.8</x:v>
      </x:c>
      <x:c r="AZ66" s="226" t="n">
        <x:f>V66*AX66</x:f>
        <x:v>78.6909396</x:v>
      </x:c>
      <x:c r="BA66" s="226" t="n">
        <x:f>AZ66*AY66</x:f>
        <x:v>613.78932888</x:v>
      </x:c>
      <x:c r="BB66" s="226" t="n">
        <x:f>AF66+AG66+AL66+AQ66+AV66+BA66</x:f>
        <x:v>84043.78079448002</x:v>
      </x:c>
      <x:c r="BC66" s="229" t="n">
        <x:v>0.976</x:v>
      </x:c>
      <x:c r="BD66" s="202"/>
      <x:c r="BE66" s="202"/>
      <x:c r="BF66" s="202"/>
      <x:c r="BG66" s="202" t="str">
        <x:v>UNVERIFIED_UNLIMITED_FOR_MVP</x:v>
      </x:c>
    </x:row>
    <x:row r="67">
      <x:c r="A67" s="187" t="str">
        <x:v>BUDGET_2026_V1</x:v>
      </x:c>
      <x:c r="B67" s="187" t="str">
        <x:v>BUDGET</x:v>
      </x:c>
      <x:c r="C67" s="187"/>
      <x:c r="D67" s="217" t="n">
        <x:v>46204</x:v>
      </x:c>
      <x:c r="E67" s="187" t="str">
        <x:v>R_DE_FR_B_ROAD</x:v>
      </x:c>
      <x:c r="F67" s="187" t="str">
        <x:v>DE</x:v>
      </x:c>
      <x:c r="G67" s="187" t="str">
        <x:v>FR_FC</x:v>
      </x:c>
      <x:c r="H67" s="187" t="str">
        <x:v>CARRIER_B</x:v>
      </x:c>
      <x:c r="I67" s="187" t="str">
        <x:v>ROAD</x:v>
      </x:c>
      <x:c r="J67" s="220" t="n">
        <x:v>17000</x:v>
      </x:c>
      <x:c r="K67" s="223" t="n">
        <x:v>0.38</x:v>
      </x:c>
      <x:c r="L67" s="223" t="n">
        <x:v>0.03</x:v>
      </x:c>
      <x:c r="M67" s="223" t="n">
        <x:v>1</x:v>
      </x:c>
      <x:c r="N67" s="226" t="n">
        <x:f>J67*K67*L67*M67</x:f>
        <x:v>193.79999999999998</x:v>
      </x:c>
      <x:c r="O67" s="220" t="n">
        <x:v>1.08</x:v>
      </x:c>
      <x:c r="P67" s="226" t="n">
        <x:f>N67*O67</x:f>
        <x:v>209.304</x:v>
      </x:c>
      <x:c r="Q67" s="220" t="n">
        <x:v>0.86</x:v>
      </x:c>
      <x:c r="R67" s="226" t="n">
        <x:f>P67*Q67</x:f>
        <x:v>180.00144</x:v>
      </x:c>
      <x:c r="S67" s="220" t="n">
        <x:v>0.05</x:v>
      </x:c>
      <x:c r="T67" s="226" t="n">
        <x:f>N67*S67</x:f>
        <x:v>9.69</x:v>
      </x:c>
      <x:c r="U67" s="226" t="n">
        <x:v>0.014</x:v>
      </x:c>
      <x:c r="V67" s="226" t="n">
        <x:f>P67*U67</x:f>
        <x:v>2.930256</x:v>
      </x:c>
      <x:c r="W67" s="196" t="str">
        <x:v>EUR</x:v>
      </x:c>
      <x:c r="X67" s="220" t="n">
        <x:v>3.3</x:v>
      </x:c>
      <x:c r="Y67" s="196" t="str">
        <x:v>PER_CHARGEABLE_KG</x:v>
      </x:c>
      <x:c r="Z67" s="220" t="n">
        <x:v>0.24</x:v>
      </x:c>
      <x:c r="AA67" s="220" t="n">
        <x:v>7.8</x:v>
      </x:c>
      <x:c r="AB67" s="220" t="n">
        <x:v>9</x:v>
      </x:c>
      <x:c r="AC67" s="226" t="n">
        <x:f>IF(W67="EUR",AA67,IF(W67="GBP",AB67,1))</x:f>
        <x:v>7.8</x:v>
      </x:c>
      <x:c r="AD67" s="226" t="n">
        <x:f>R67*X67</x:f>
        <x:v>594.0047519999999</x:v>
      </x:c>
      <x:c r="AE67" s="226" t="n">
        <x:f>IF(Y67="PERCENTAGE_OF_BASE_FREIGHT",AD67*Z67,IF(Y67="PER_CHARGEABLE_KG",R67*Z67,P67*Z67))</x:f>
        <x:v>43.2003456</x:v>
      </x:c>
      <x:c r="AF67" s="226" t="n">
        <x:f>AD67*AC67</x:f>
        <x:v>4633.237065599999</x:v>
      </x:c>
      <x:c r="AG67" s="226" t="n">
        <x:f>AE67*AC67</x:f>
        <x:v>336.96269567999997</x:v>
      </x:c>
      <x:c r="AH67" s="226" t="str">
        <x:v>EUR</x:v>
      </x:c>
      <x:c r="AI67" s="226" t="n">
        <x:v>1.05</x:v>
      </x:c>
      <x:c r="AJ67" s="226" t="n">
        <x:f>IF(AH67="EUR",AA67,IF(AH67="GBP",AB67,1))</x:f>
        <x:v>7.8</x:v>
      </x:c>
      <x:c r="AK67" s="226" t="n">
        <x:f>N67*AI67</x:f>
        <x:v>203.48999999999998</x:v>
      </x:c>
      <x:c r="AL67" s="226" t="n">
        <x:f>AK67*AJ67</x:f>
        <x:v>1587.2219999999998</x:v>
      </x:c>
      <x:c r="AM67" s="226" t="str">
        <x:v>EUR</x:v>
      </x:c>
      <x:c r="AN67" s="226" t="n">
        <x:v>0.38</x:v>
      </x:c>
      <x:c r="AO67" s="226" t="n">
        <x:f>IF(AM67="EUR",AA67,IF(AM67="GBP",AB67,1))</x:f>
        <x:v>7.8</x:v>
      </x:c>
      <x:c r="AP67" s="226" t="n">
        <x:f>P67*AN67</x:f>
        <x:v>79.53552</x:v>
      </x:c>
      <x:c r="AQ67" s="226" t="n">
        <x:f>AP67*AO67</x:f>
        <x:v>620.377056</x:v>
      </x:c>
      <x:c r="AR67" s="226" t="str">
        <x:v>EUR</x:v>
      </x:c>
      <x:c r="AS67" s="226" t="n">
        <x:v>3.8</x:v>
      </x:c>
      <x:c r="AT67" s="226" t="n">
        <x:f>IF(AR67="EUR",AA67,IF(AR67="GBP",AB67,1))</x:f>
        <x:v>7.8</x:v>
      </x:c>
      <x:c r="AU67" s="226" t="n">
        <x:f>T67*AS67</x:f>
        <x:v>36.821999999999996</x:v>
      </x:c>
      <x:c r="AV67" s="226" t="n">
        <x:f>AU67*AT67</x:f>
        <x:v>287.2116</x:v>
      </x:c>
      <x:c r="AW67" s="226" t="str">
        <x:v>EUR</x:v>
      </x:c>
      <x:c r="AX67" s="226" t="n">
        <x:v>2.3</x:v>
      </x:c>
      <x:c r="AY67" s="226" t="n">
        <x:f>IF(AW67="EUR",AA67,IF(AW67="GBP",AB67,1))</x:f>
        <x:v>7.8</x:v>
      </x:c>
      <x:c r="AZ67" s="226" t="n">
        <x:f>V67*AX67</x:f>
        <x:v>6.739588799999999</x:v>
      </x:c>
      <x:c r="BA67" s="226" t="n">
        <x:f>AZ67*AY67</x:f>
        <x:v>52.56879263999999</x:v>
      </x:c>
      <x:c r="BB67" s="226" t="n">
        <x:f>AF67+AG67+AL67+AQ67+AV67+BA67</x:f>
        <x:v>7517.579209919999</x:v>
      </x:c>
      <x:c r="BC67" s="229" t="n">
        <x:v>0.968</x:v>
      </x:c>
      <x:c r="BD67" s="202"/>
      <x:c r="BE67" s="202"/>
      <x:c r="BF67" s="202"/>
      <x:c r="BG67" s="202" t="str">
        <x:v>UNVERIFIED_UNLIMITED_FOR_MVP</x:v>
      </x:c>
    </x:row>
    <x:row r="68">
      <x:c r="A68" s="187" t="str">
        <x:v>BUDGET_2026_V1</x:v>
      </x:c>
      <x:c r="B68" s="187" t="str">
        <x:v>BUDGET</x:v>
      </x:c>
      <x:c r="C68" s="187"/>
      <x:c r="D68" s="217" t="n">
        <x:v>46204</x:v>
      </x:c>
      <x:c r="E68" s="187" t="str">
        <x:v>R_FR_FR_A_ROAD</x:v>
      </x:c>
      <x:c r="F68" s="187" t="str">
        <x:v>FR</x:v>
      </x:c>
      <x:c r="G68" s="187" t="str">
        <x:v>FR_FC</x:v>
      </x:c>
      <x:c r="H68" s="187" t="str">
        <x:v>CARRIER_A</x:v>
      </x:c>
      <x:c r="I68" s="187" t="str">
        <x:v>ROAD</x:v>
      </x:c>
      <x:c r="J68" s="220" t="n">
        <x:v>17000</x:v>
      </x:c>
      <x:c r="K68" s="223" t="n">
        <x:v>0.32</x:v>
      </x:c>
      <x:c r="L68" s="223" t="n">
        <x:v>1</x:v>
      </x:c>
      <x:c r="M68" s="223" t="n">
        <x:v>0.35</x:v>
      </x:c>
      <x:c r="N68" s="226" t="n">
        <x:f>J68*K68*L68*M68</x:f>
        <x:v>1903.9999999999998</x:v>
      </x:c>
      <x:c r="O68" s="220" t="n">
        <x:v>1.06</x:v>
      </x:c>
      <x:c r="P68" s="226" t="n">
        <x:f>N68*O68</x:f>
        <x:v>2018.2399999999998</x:v>
      </x:c>
      <x:c r="Q68" s="220" t="n">
        <x:v>0.76</x:v>
      </x:c>
      <x:c r="R68" s="226" t="n">
        <x:f>P68*Q68</x:f>
        <x:v>1533.8623999999998</x:v>
      </x:c>
      <x:c r="S68" s="220" t="n">
        <x:v>0.06</x:v>
      </x:c>
      <x:c r="T68" s="226" t="n">
        <x:f>N68*S68</x:f>
        <x:v>114.23999999999998</x:v>
      </x:c>
      <x:c r="U68" s="226" t="n">
        <x:v>0.017</x:v>
      </x:c>
      <x:c r="V68" s="226" t="n">
        <x:f>P68*U68</x:f>
        <x:v>34.31008</x:v>
      </x:c>
      <x:c r="W68" s="196" t="str">
        <x:v>EUR</x:v>
      </x:c>
      <x:c r="X68" s="220" t="n">
        <x:v>2.1</x:v>
      </x:c>
      <x:c r="Y68" s="196" t="str">
        <x:v>PERCENTAGE_OF_BASE_FREIGHT</x:v>
      </x:c>
      <x:c r="Z68" s="220" t="n">
        <x:v>0.09</x:v>
      </x:c>
      <x:c r="AA68" s="220" t="n">
        <x:v>7.8</x:v>
      </x:c>
      <x:c r="AB68" s="220" t="n">
        <x:v>9</x:v>
      </x:c>
      <x:c r="AC68" s="226" t="n">
        <x:f>IF(W68="EUR",AA68,IF(W68="GBP",AB68,1))</x:f>
        <x:v>7.8</x:v>
      </x:c>
      <x:c r="AD68" s="226" t="n">
        <x:f>R68*X68</x:f>
        <x:v>3221.11104</x:v>
      </x:c>
      <x:c r="AE68" s="226" t="n">
        <x:f>IF(Y68="PERCENTAGE_OF_BASE_FREIGHT",AD68*Z68,IF(Y68="PER_CHARGEABLE_KG",R68*Z68,P68*Z68))</x:f>
        <x:v>289.89999359999996</x:v>
      </x:c>
      <x:c r="AF68" s="226" t="n">
        <x:f>AD68*AC68</x:f>
        <x:v>25124.666112</x:v>
      </x:c>
      <x:c r="AG68" s="226" t="n">
        <x:f>AE68*AC68</x:f>
        <x:v>2261.2199500799998</x:v>
      </x:c>
      <x:c r="AH68" s="226" t="str">
        <x:v>EUR</x:v>
      </x:c>
      <x:c r="AI68" s="226" t="n">
        <x:v>1.05</x:v>
      </x:c>
      <x:c r="AJ68" s="226" t="n">
        <x:f>IF(AH68="EUR",AA68,IF(AH68="GBP",AB68,1))</x:f>
        <x:v>7.8</x:v>
      </x:c>
      <x:c r="AK68" s="226" t="n">
        <x:f>N68*AI68</x:f>
        <x:v>1999.1999999999998</x:v>
      </x:c>
      <x:c r="AL68" s="226" t="n">
        <x:f>AK68*AJ68</x:f>
        <x:v>15593.759999999998</x:v>
      </x:c>
      <x:c r="AM68" s="226" t="str">
        <x:v>EUR</x:v>
      </x:c>
      <x:c r="AN68" s="226" t="n">
        <x:v>0.38</x:v>
      </x:c>
      <x:c r="AO68" s="226" t="n">
        <x:f>IF(AM68="EUR",AA68,IF(AM68="GBP",AB68,1))</x:f>
        <x:v>7.8</x:v>
      </x:c>
      <x:c r="AP68" s="226" t="n">
        <x:f>P68*AN68</x:f>
        <x:v>766.9311999999999</x:v>
      </x:c>
      <x:c r="AQ68" s="226" t="n">
        <x:f>AP68*AO68</x:f>
        <x:v>5982.063359999999</x:v>
      </x:c>
      <x:c r="AR68" s="226" t="str">
        <x:v>EUR</x:v>
      </x:c>
      <x:c r="AS68" s="226" t="n">
        <x:v>3</x:v>
      </x:c>
      <x:c r="AT68" s="226" t="n">
        <x:f>IF(AR68="EUR",AA68,IF(AR68="GBP",AB68,1))</x:f>
        <x:v>7.8</x:v>
      </x:c>
      <x:c r="AU68" s="226" t="n">
        <x:f>T68*AS68</x:f>
        <x:v>342.7199999999999</x:v>
      </x:c>
      <x:c r="AV68" s="226" t="n">
        <x:f>AU68*AT68</x:f>
        <x:v>2673.2159999999994</x:v>
      </x:c>
      <x:c r="AW68" s="226" t="str">
        <x:v>EUR</x:v>
      </x:c>
      <x:c r="AX68" s="226" t="n">
        <x:v>2.3</x:v>
      </x:c>
      <x:c r="AY68" s="226" t="n">
        <x:f>IF(AW68="EUR",AA68,IF(AW68="GBP",AB68,1))</x:f>
        <x:v>7.8</x:v>
      </x:c>
      <x:c r="AZ68" s="226" t="n">
        <x:f>V68*AX68</x:f>
        <x:v>78.91318399999999</x:v>
      </x:c>
      <x:c r="BA68" s="226" t="n">
        <x:f>AZ68*AY68</x:f>
        <x:v>615.5228351999999</x:v>
      </x:c>
      <x:c r="BB68" s="226" t="n">
        <x:f>AF68+AG68+AL68+AQ68+AV68+BA68</x:f>
        <x:v>52250.44825727999</x:v>
      </x:c>
      <x:c r="BC68" s="229" t="n">
        <x:v>0.961</x:v>
      </x:c>
      <x:c r="BD68" s="202"/>
      <x:c r="BE68" s="202"/>
      <x:c r="BF68" s="202"/>
      <x:c r="BG68" s="202" t="str">
        <x:v>UNVERIFIED_UNLIMITED_FOR_MVP</x:v>
      </x:c>
    </x:row>
    <x:row r="69">
      <x:c r="A69" s="187" t="str">
        <x:v>BUDGET_2026_V1</x:v>
      </x:c>
      <x:c r="B69" s="187" t="str">
        <x:v>BUDGET</x:v>
      </x:c>
      <x:c r="C69" s="187"/>
      <x:c r="D69" s="217" t="n">
        <x:v>46204</x:v>
      </x:c>
      <x:c r="E69" s="187" t="str">
        <x:v>R_FR_FR_B_ROAD</x:v>
      </x:c>
      <x:c r="F69" s="187" t="str">
        <x:v>FR</x:v>
      </x:c>
      <x:c r="G69" s="187" t="str">
        <x:v>FR_FC</x:v>
      </x:c>
      <x:c r="H69" s="187" t="str">
        <x:v>CARRIER_B</x:v>
      </x:c>
      <x:c r="I69" s="187" t="str">
        <x:v>ROAD</x:v>
      </x:c>
      <x:c r="J69" s="220" t="n">
        <x:v>17000</x:v>
      </x:c>
      <x:c r="K69" s="223" t="n">
        <x:v>0.32</x:v>
      </x:c>
      <x:c r="L69" s="223" t="n">
        <x:v>1</x:v>
      </x:c>
      <x:c r="M69" s="223" t="n">
        <x:v>0.65</x:v>
      </x:c>
      <x:c r="N69" s="226" t="n">
        <x:f>J69*K69*L69*M69</x:f>
        <x:v>3536</x:v>
      </x:c>
      <x:c r="O69" s="220" t="n">
        <x:v>1.06</x:v>
      </x:c>
      <x:c r="P69" s="226" t="n">
        <x:f>N69*O69</x:f>
        <x:v>3748.1600000000003</x:v>
      </x:c>
      <x:c r="Q69" s="220" t="n">
        <x:v>0.79</x:v>
      </x:c>
      <x:c r="R69" s="226" t="n">
        <x:f>P69*Q69</x:f>
        <x:v>2961.0464</x:v>
      </x:c>
      <x:c r="S69" s="220" t="n">
        <x:v>0.06</x:v>
      </x:c>
      <x:c r="T69" s="226" t="n">
        <x:f>N69*S69</x:f>
        <x:v>212.16</x:v>
      </x:c>
      <x:c r="U69" s="226" t="n">
        <x:v>0.014</x:v>
      </x:c>
      <x:c r="V69" s="226" t="n">
        <x:f>P69*U69</x:f>
        <x:v>52.47424000000001</x:v>
      </x:c>
      <x:c r="W69" s="196" t="str">
        <x:v>EUR</x:v>
      </x:c>
      <x:c r="X69" s="220" t="n">
        <x:v>2.6</x:v>
      </x:c>
      <x:c r="Y69" s="196" t="str">
        <x:v>PER_CHARGEABLE_KG</x:v>
      </x:c>
      <x:c r="Z69" s="220" t="n">
        <x:v>0.2</x:v>
      </x:c>
      <x:c r="AA69" s="220" t="n">
        <x:v>7.8</x:v>
      </x:c>
      <x:c r="AB69" s="220" t="n">
        <x:v>9</x:v>
      </x:c>
      <x:c r="AC69" s="226" t="n">
        <x:f>IF(W69="EUR",AA69,IF(W69="GBP",AB69,1))</x:f>
        <x:v>7.8</x:v>
      </x:c>
      <x:c r="AD69" s="226" t="n">
        <x:f>R69*X69</x:f>
        <x:v>7698.7206400000005</x:v>
      </x:c>
      <x:c r="AE69" s="226" t="n">
        <x:f>IF(Y69="PERCENTAGE_OF_BASE_FREIGHT",AD69*Z69,IF(Y69="PER_CHARGEABLE_KG",R69*Z69,P69*Z69))</x:f>
        <x:v>592.20928</x:v>
      </x:c>
      <x:c r="AF69" s="226" t="n">
        <x:f>AD69*AC69</x:f>
        <x:v>60050.020992000005</x:v>
      </x:c>
      <x:c r="AG69" s="226" t="n">
        <x:f>AE69*AC69</x:f>
        <x:v>4619.232384</x:v>
      </x:c>
      <x:c r="AH69" s="226" t="str">
        <x:v>EUR</x:v>
      </x:c>
      <x:c r="AI69" s="226" t="n">
        <x:v>1.05</x:v>
      </x:c>
      <x:c r="AJ69" s="226" t="n">
        <x:f>IF(AH69="EUR",AA69,IF(AH69="GBP",AB69,1))</x:f>
        <x:v>7.8</x:v>
      </x:c>
      <x:c r="AK69" s="226" t="n">
        <x:f>N69*AI69</x:f>
        <x:v>3712.8</x:v>
      </x:c>
      <x:c r="AL69" s="226" t="n">
        <x:f>AK69*AJ69</x:f>
        <x:v>28959.84</x:v>
      </x:c>
      <x:c r="AM69" s="226" t="str">
        <x:v>EUR</x:v>
      </x:c>
      <x:c r="AN69" s="226" t="n">
        <x:v>0.38</x:v>
      </x:c>
      <x:c r="AO69" s="226" t="n">
        <x:f>IF(AM69="EUR",AA69,IF(AM69="GBP",AB69,1))</x:f>
        <x:v>7.8</x:v>
      </x:c>
      <x:c r="AP69" s="226" t="n">
        <x:f>P69*AN69</x:f>
        <x:v>1424.3008000000002</x:v>
      </x:c>
      <x:c r="AQ69" s="226" t="n">
        <x:f>AP69*AO69</x:f>
        <x:v>11109.546240000001</x:v>
      </x:c>
      <x:c r="AR69" s="226" t="str">
        <x:v>EUR</x:v>
      </x:c>
      <x:c r="AS69" s="226" t="n">
        <x:v>3</x:v>
      </x:c>
      <x:c r="AT69" s="226" t="n">
        <x:f>IF(AR69="EUR",AA69,IF(AR69="GBP",AB69,1))</x:f>
        <x:v>7.8</x:v>
      </x:c>
      <x:c r="AU69" s="226" t="n">
        <x:f>T69*AS69</x:f>
        <x:v>636.48</x:v>
      </x:c>
      <x:c r="AV69" s="226" t="n">
        <x:f>AU69*AT69</x:f>
        <x:v>4964.544</x:v>
      </x:c>
      <x:c r="AW69" s="226" t="str">
        <x:v>EUR</x:v>
      </x:c>
      <x:c r="AX69" s="226" t="n">
        <x:v>2.3</x:v>
      </x:c>
      <x:c r="AY69" s="226" t="n">
        <x:f>IF(AW69="EUR",AA69,IF(AW69="GBP",AB69,1))</x:f>
        <x:v>7.8</x:v>
      </x:c>
      <x:c r="AZ69" s="226" t="n">
        <x:f>V69*AX69</x:f>
        <x:v>120.69075200000002</x:v>
      </x:c>
      <x:c r="BA69" s="226" t="n">
        <x:f>AZ69*AY69</x:f>
        <x:v>941.3878656000002</x:v>
      </x:c>
      <x:c r="BB69" s="226" t="n">
        <x:f>AF69+AG69+AL69+AQ69+AV69+BA69</x:f>
        <x:v>110644.5714816</x:v>
      </x:c>
      <x:c r="BC69" s="229" t="n">
        <x:v>0.973</x:v>
      </x:c>
      <x:c r="BD69" s="202"/>
      <x:c r="BE69" s="202"/>
      <x:c r="BF69" s="202"/>
      <x:c r="BG69" s="202" t="str">
        <x:v>UNVERIFIED_UNLIMITED_FOR_MVP</x:v>
      </x:c>
    </x:row>
    <x:row r="70">
      <x:c r="A70" s="187" t="str">
        <x:v>BUDGET_2026_V1</x:v>
      </x:c>
      <x:c r="B70" s="187" t="str">
        <x:v>BUDGET</x:v>
      </x:c>
      <x:c r="C70" s="187"/>
      <x:c r="D70" s="217" t="n">
        <x:v>46204</x:v>
      </x:c>
      <x:c r="E70" s="187" t="str">
        <x:v>R_GB_DE_A_ROAD</x:v>
      </x:c>
      <x:c r="F70" s="187" t="str">
        <x:v>GB</x:v>
      </x:c>
      <x:c r="G70" s="187" t="str">
        <x:v>DE_FC</x:v>
      </x:c>
      <x:c r="H70" s="187" t="str">
        <x:v>CARRIER_A</x:v>
      </x:c>
      <x:c r="I70" s="187" t="str">
        <x:v>ROAD</x:v>
      </x:c>
      <x:c r="J70" s="220" t="n">
        <x:v>17000</x:v>
      </x:c>
      <x:c r="K70" s="223" t="n">
        <x:v>0.3</x:v>
      </x:c>
      <x:c r="L70" s="223" t="n">
        <x:v>0.96</x:v>
      </x:c>
      <x:c r="M70" s="223" t="n">
        <x:v>0.65</x:v>
      </x:c>
      <x:c r="N70" s="226" t="n">
        <x:f>J70*K70*L70*M70</x:f>
        <x:v>3182.4</x:v>
      </x:c>
      <x:c r="O70" s="220" t="n">
        <x:v>1.12</x:v>
      </x:c>
      <x:c r="P70" s="226" t="n">
        <x:f>N70*O70</x:f>
        <x:v>3564.2880000000005</x:v>
      </x:c>
      <x:c r="Q70" s="220" t="n">
        <x:v>1.02</x:v>
      </x:c>
      <x:c r="R70" s="226" t="n">
        <x:f>P70*Q70</x:f>
        <x:v>3635.5737600000007</x:v>
      </x:c>
      <x:c r="S70" s="220" t="n">
        <x:v>0.08</x:v>
      </x:c>
      <x:c r="T70" s="226" t="n">
        <x:f>N70*S70</x:f>
        <x:v>254.592</x:v>
      </x:c>
      <x:c r="U70" s="226" t="n">
        <x:v>0.022</x:v>
      </x:c>
      <x:c r="V70" s="226" t="n">
        <x:f>P70*U70</x:f>
        <x:v>78.414336</x:v>
      </x:c>
      <x:c r="W70" s="196" t="str">
        <x:v>GBP</x:v>
      </x:c>
      <x:c r="X70" s="220" t="n">
        <x:v>4</x:v>
      </x:c>
      <x:c r="Y70" s="196" t="str">
        <x:v>PERCENTAGE_OF_BASE_FREIGHT</x:v>
      </x:c>
      <x:c r="Z70" s="220" t="n">
        <x:v>0.1</x:v>
      </x:c>
      <x:c r="AA70" s="220" t="n">
        <x:v>7.8</x:v>
      </x:c>
      <x:c r="AB70" s="220" t="n">
        <x:v>9</x:v>
      </x:c>
      <x:c r="AC70" s="226" t="n">
        <x:f>IF(W70="EUR",AA70,IF(W70="GBP",AB70,1))</x:f>
        <x:v>9</x:v>
      </x:c>
      <x:c r="AD70" s="226" t="n">
        <x:f>R70*X70</x:f>
        <x:v>14542.295040000003</x:v>
      </x:c>
      <x:c r="AE70" s="226" t="n">
        <x:f>IF(Y70="PERCENTAGE_OF_BASE_FREIGHT",AD70*Z70,IF(Y70="PER_CHARGEABLE_KG",R70*Z70,P70*Z70))</x:f>
        <x:v>1454.2295040000004</x:v>
      </x:c>
      <x:c r="AF70" s="226" t="n">
        <x:f>AD70*AC70</x:f>
        <x:v>130880.65536000002</x:v>
      </x:c>
      <x:c r="AG70" s="226" t="n">
        <x:f>AE70*AC70</x:f>
        <x:v>13088.065536000004</x:v>
      </x:c>
      <x:c r="AH70" s="226" t="str">
        <x:v>EUR</x:v>
      </x:c>
      <x:c r="AI70" s="226" t="n">
        <x:v>1.18</x:v>
      </x:c>
      <x:c r="AJ70" s="226" t="n">
        <x:f>IF(AH70="EUR",AA70,IF(AH70="GBP",AB70,1))</x:f>
        <x:v>7.8</x:v>
      </x:c>
      <x:c r="AK70" s="226" t="n">
        <x:f>N70*AI70</x:f>
        <x:v>3755.232</x:v>
      </x:c>
      <x:c r="AL70" s="226" t="n">
        <x:f>AK70*AJ70</x:f>
        <x:v>29290.8096</x:v>
      </x:c>
      <x:c r="AM70" s="226" t="str">
        <x:v>EUR</x:v>
      </x:c>
      <x:c r="AN70" s="226" t="n">
        <x:v>0.42</x:v>
      </x:c>
      <x:c r="AO70" s="226" t="n">
        <x:f>IF(AM70="EUR",AA70,IF(AM70="GBP",AB70,1))</x:f>
        <x:v>7.8</x:v>
      </x:c>
      <x:c r="AP70" s="226" t="n">
        <x:f>P70*AN70</x:f>
        <x:v>1497.00096</x:v>
      </x:c>
      <x:c r="AQ70" s="226" t="n">
        <x:f>AP70*AO70</x:f>
        <x:v>11676.607488</x:v>
      </x:c>
      <x:c r="AR70" s="226" t="str">
        <x:v>GBP</x:v>
      </x:c>
      <x:c r="AS70" s="226" t="n">
        <x:v>4.8</x:v>
      </x:c>
      <x:c r="AT70" s="226" t="n">
        <x:f>IF(AR70="EUR",AA70,IF(AR70="GBP",AB70,1))</x:f>
        <x:v>9</x:v>
      </x:c>
      <x:c r="AU70" s="226" t="n">
        <x:f>T70*AS70</x:f>
        <x:v>1222.0416</x:v>
      </x:c>
      <x:c r="AV70" s="226" t="n">
        <x:f>AU70*AT70</x:f>
        <x:v>10998.3744</x:v>
      </x:c>
      <x:c r="AW70" s="226" t="str">
        <x:v>GBP</x:v>
      </x:c>
      <x:c r="AX70" s="226" t="n">
        <x:v>2.3</x:v>
      </x:c>
      <x:c r="AY70" s="226" t="n">
        <x:f>IF(AW70="EUR",AA70,IF(AW70="GBP",AB70,1))</x:f>
        <x:v>9</x:v>
      </x:c>
      <x:c r="AZ70" s="226" t="n">
        <x:f>V70*AX70</x:f>
        <x:v>180.3529728</x:v>
      </x:c>
      <x:c r="BA70" s="226" t="n">
        <x:f>AZ70*AY70</x:f>
        <x:v>1623.1767552000001</x:v>
      </x:c>
      <x:c r="BB70" s="226" t="n">
        <x:f>AF70+AG70+AL70+AQ70+AV70+BA70</x:f>
        <x:v>197557.68913920003</x:v>
      </x:c>
      <x:c r="BC70" s="229" t="n">
        <x:v>0.93</x:v>
      </x:c>
      <x:c r="BD70" s="202"/>
      <x:c r="BE70" s="202"/>
      <x:c r="BF70" s="202"/>
      <x:c r="BG70" s="202" t="str">
        <x:v>UNVERIFIED_UNLIMITED_FOR_MVP</x:v>
      </x:c>
    </x:row>
    <x:row r="71">
      <x:c r="A71" s="187" t="str">
        <x:v>BUDGET_2026_V1</x:v>
      </x:c>
      <x:c r="B71" s="187" t="str">
        <x:v>BUDGET</x:v>
      </x:c>
      <x:c r="C71" s="187"/>
      <x:c r="D71" s="217" t="n">
        <x:v>46204</x:v>
      </x:c>
      <x:c r="E71" s="187" t="str">
        <x:v>R_GB_DE_B_ROAD</x:v>
      </x:c>
      <x:c r="F71" s="187" t="str">
        <x:v>GB</x:v>
      </x:c>
      <x:c r="G71" s="187" t="str">
        <x:v>DE_FC</x:v>
      </x:c>
      <x:c r="H71" s="187" t="str">
        <x:v>CARRIER_B</x:v>
      </x:c>
      <x:c r="I71" s="187" t="str">
        <x:v>ROAD</x:v>
      </x:c>
      <x:c r="J71" s="220" t="n">
        <x:v>17000</x:v>
      </x:c>
      <x:c r="K71" s="223" t="n">
        <x:v>0.3</x:v>
      </x:c>
      <x:c r="L71" s="223" t="n">
        <x:v>0.96</x:v>
      </x:c>
      <x:c r="M71" s="223" t="n">
        <x:v>0.25</x:v>
      </x:c>
      <x:c r="N71" s="226" t="n">
        <x:f>J71*K71*L71*M71</x:f>
        <x:v>1224</x:v>
      </x:c>
      <x:c r="O71" s="220" t="n">
        <x:v>1.12</x:v>
      </x:c>
      <x:c r="P71" s="226" t="n">
        <x:f>N71*O71</x:f>
        <x:v>1370.88</x:v>
      </x:c>
      <x:c r="Q71" s="220" t="n">
        <x:v>1</x:v>
      </x:c>
      <x:c r="R71" s="226" t="n">
        <x:f>P71*Q71</x:f>
        <x:v>1370.88</x:v>
      </x:c>
      <x:c r="S71" s="220" t="n">
        <x:v>0.08</x:v>
      </x:c>
      <x:c r="T71" s="226" t="n">
        <x:f>N71*S71</x:f>
        <x:v>97.92</x:v>
      </x:c>
      <x:c r="U71" s="226" t="n">
        <x:v>0.017</x:v>
      </x:c>
      <x:c r="V71" s="226" t="n">
        <x:f>P71*U71</x:f>
        <x:v>23.304960000000005</x:v>
      </x:c>
      <x:c r="W71" s="196" t="str">
        <x:v>GBP</x:v>
      </x:c>
      <x:c r="X71" s="220" t="n">
        <x:v>4.7</x:v>
      </x:c>
      <x:c r="Y71" s="196" t="str">
        <x:v>PER_CHARGEABLE_KG</x:v>
      </x:c>
      <x:c r="Z71" s="220" t="n">
        <x:v>0.33</x:v>
      </x:c>
      <x:c r="AA71" s="220" t="n">
        <x:v>7.8</x:v>
      </x:c>
      <x:c r="AB71" s="220" t="n">
        <x:v>9</x:v>
      </x:c>
      <x:c r="AC71" s="226" t="n">
        <x:f>IF(W71="EUR",AA71,IF(W71="GBP",AB71,1))</x:f>
        <x:v>9</x:v>
      </x:c>
      <x:c r="AD71" s="226" t="n">
        <x:f>R71*X71</x:f>
        <x:v>6443.136</x:v>
      </x:c>
      <x:c r="AE71" s="226" t="n">
        <x:f>IF(Y71="PERCENTAGE_OF_BASE_FREIGHT",AD71*Z71,IF(Y71="PER_CHARGEABLE_KG",R71*Z71,P71*Z71))</x:f>
        <x:v>452.39040000000006</x:v>
      </x:c>
      <x:c r="AF71" s="226" t="n">
        <x:f>AD71*AC71</x:f>
        <x:v>57988.224</x:v>
      </x:c>
      <x:c r="AG71" s="226" t="n">
        <x:f>AE71*AC71</x:f>
        <x:v>4071.5136000000007</x:v>
      </x:c>
      <x:c r="AH71" s="226" t="str">
        <x:v>EUR</x:v>
      </x:c>
      <x:c r="AI71" s="226" t="n">
        <x:v>1.18</x:v>
      </x:c>
      <x:c r="AJ71" s="226" t="n">
        <x:f>IF(AH71="EUR",AA71,IF(AH71="GBP",AB71,1))</x:f>
        <x:v>7.8</x:v>
      </x:c>
      <x:c r="AK71" s="226" t="n">
        <x:f>N71*AI71</x:f>
        <x:v>1444.32</x:v>
      </x:c>
      <x:c r="AL71" s="226" t="n">
        <x:f>AK71*AJ71</x:f>
        <x:v>11265.696</x:v>
      </x:c>
      <x:c r="AM71" s="226" t="str">
        <x:v>EUR</x:v>
      </x:c>
      <x:c r="AN71" s="226" t="n">
        <x:v>0.42</x:v>
      </x:c>
      <x:c r="AO71" s="226" t="n">
        <x:f>IF(AM71="EUR",AA71,IF(AM71="GBP",AB71,1))</x:f>
        <x:v>7.8</x:v>
      </x:c>
      <x:c r="AP71" s="226" t="n">
        <x:f>P71*AN71</x:f>
        <x:v>575.7696</x:v>
      </x:c>
      <x:c r="AQ71" s="226" t="n">
        <x:f>AP71*AO71</x:f>
        <x:v>4491.00288</x:v>
      </x:c>
      <x:c r="AR71" s="226" t="str">
        <x:v>GBP</x:v>
      </x:c>
      <x:c r="AS71" s="226" t="n">
        <x:v>4.8</x:v>
      </x:c>
      <x:c r="AT71" s="226" t="n">
        <x:f>IF(AR71="EUR",AA71,IF(AR71="GBP",AB71,1))</x:f>
        <x:v>9</x:v>
      </x:c>
      <x:c r="AU71" s="226" t="n">
        <x:f>T71*AS71</x:f>
        <x:v>470.01599999999996</x:v>
      </x:c>
      <x:c r="AV71" s="226" t="n">
        <x:f>AU71*AT71</x:f>
        <x:v>4230.143999999999</x:v>
      </x:c>
      <x:c r="AW71" s="226" t="str">
        <x:v>GBP</x:v>
      </x:c>
      <x:c r="AX71" s="226" t="n">
        <x:v>2.3</x:v>
      </x:c>
      <x:c r="AY71" s="226" t="n">
        <x:f>IF(AW71="EUR",AA71,IF(AW71="GBP",AB71,1))</x:f>
        <x:v>9</x:v>
      </x:c>
      <x:c r="AZ71" s="226" t="n">
        <x:f>V71*AX71</x:f>
        <x:v>53.601408000000006</x:v>
      </x:c>
      <x:c r="BA71" s="226" t="n">
        <x:f>AZ71*AY71</x:f>
        <x:v>482.41267200000004</x:v>
      </x:c>
      <x:c r="BB71" s="226" t="n">
        <x:f>AF71+AG71+AL71+AQ71+AV71+BA71</x:f>
        <x:v>82528.99315200001</x:v>
      </x:c>
      <x:c r="BC71" s="229" t="n">
        <x:v>0.95</x:v>
      </x:c>
      <x:c r="BD71" s="202"/>
      <x:c r="BE71" s="202"/>
      <x:c r="BF71" s="202"/>
      <x:c r="BG71" s="202" t="str">
        <x:v>UNVERIFIED_UNLIMITED_FOR_MVP</x:v>
      </x:c>
    </x:row>
    <x:row r="72">
      <x:c r="A72" s="187" t="str">
        <x:v>BUDGET_2026_V1</x:v>
      </x:c>
      <x:c r="B72" s="187" t="str">
        <x:v>BUDGET</x:v>
      </x:c>
      <x:c r="C72" s="187"/>
      <x:c r="D72" s="217" t="n">
        <x:v>46204</x:v>
      </x:c>
      <x:c r="E72" s="187" t="str">
        <x:v>R_GB_DE_B_AIR</x:v>
      </x:c>
      <x:c r="F72" s="187" t="str">
        <x:v>GB</x:v>
      </x:c>
      <x:c r="G72" s="187" t="str">
        <x:v>DE_FC</x:v>
      </x:c>
      <x:c r="H72" s="187" t="str">
        <x:v>CARRIER_B</x:v>
      </x:c>
      <x:c r="I72" s="187" t="str">
        <x:v>AIR</x:v>
      </x:c>
      <x:c r="J72" s="220" t="n">
        <x:v>17000</x:v>
      </x:c>
      <x:c r="K72" s="223" t="n">
        <x:v>0.3</x:v>
      </x:c>
      <x:c r="L72" s="223" t="n">
        <x:v>0.96</x:v>
      </x:c>
      <x:c r="M72" s="223" t="n">
        <x:v>0.07</x:v>
      </x:c>
      <x:c r="N72" s="226" t="n">
        <x:f>J72*K72*L72*M72</x:f>
        <x:v>342.72</x:v>
      </x:c>
      <x:c r="O72" s="220" t="n">
        <x:v>1.12</x:v>
      </x:c>
      <x:c r="P72" s="226" t="n">
        <x:f>N72*O72</x:f>
        <x:v>383.8464000000001</x:v>
      </x:c>
      <x:c r="Q72" s="220" t="n">
        <x:v>0.94</x:v>
      </x:c>
      <x:c r="R72" s="226" t="n">
        <x:f>P72*Q72</x:f>
        <x:v>360.81561600000003</x:v>
      </x:c>
      <x:c r="S72" s="220" t="n">
        <x:v>0.08</x:v>
      </x:c>
      <x:c r="T72" s="226" t="n">
        <x:f>N72*S72</x:f>
        <x:v>27.417600000000004</x:v>
      </x:c>
      <x:c r="U72" s="226" t="n">
        <x:v>0.013</x:v>
      </x:c>
      <x:c r="V72" s="226" t="n">
        <x:f>P72*U72</x:f>
        <x:v>4.9900032</x:v>
      </x:c>
      <x:c r="W72" s="196" t="str">
        <x:v>GBP</x:v>
      </x:c>
      <x:c r="X72" s="220" t="n">
        <x:v>6.2</x:v>
      </x:c>
      <x:c r="Y72" s="196" t="str">
        <x:v>PERCENTAGE_OF_BASE_FREIGHT</x:v>
      </x:c>
      <x:c r="Z72" s="220" t="n">
        <x:v>0.115</x:v>
      </x:c>
      <x:c r="AA72" s="220" t="n">
        <x:v>7.8</x:v>
      </x:c>
      <x:c r="AB72" s="220" t="n">
        <x:v>9</x:v>
      </x:c>
      <x:c r="AC72" s="226" t="n">
        <x:f>IF(W72="EUR",AA72,IF(W72="GBP",AB72,1))</x:f>
        <x:v>9</x:v>
      </x:c>
      <x:c r="AD72" s="226" t="n">
        <x:f>R72*X72</x:f>
        <x:v>2237.0568192</x:v>
      </x:c>
      <x:c r="AE72" s="226" t="n">
        <x:f>IF(Y72="PERCENTAGE_OF_BASE_FREIGHT",AD72*Z72,IF(Y72="PER_CHARGEABLE_KG",R72*Z72,P72*Z72))</x:f>
        <x:v>257.261534208</x:v>
      </x:c>
      <x:c r="AF72" s="226" t="n">
        <x:f>AD72*AC72</x:f>
        <x:v>20133.5113728</x:v>
      </x:c>
      <x:c r="AG72" s="226" t="n">
        <x:f>AE72*AC72</x:f>
        <x:v>2315.353807872</x:v>
      </x:c>
      <x:c r="AH72" s="226" t="str">
        <x:v>EUR</x:v>
      </x:c>
      <x:c r="AI72" s="226" t="n">
        <x:v>1.18</x:v>
      </x:c>
      <x:c r="AJ72" s="226" t="n">
        <x:f>IF(AH72="EUR",AA72,IF(AH72="GBP",AB72,1))</x:f>
        <x:v>7.8</x:v>
      </x:c>
      <x:c r="AK72" s="226" t="n">
        <x:f>N72*AI72</x:f>
        <x:v>404.4096</x:v>
      </x:c>
      <x:c r="AL72" s="226" t="n">
        <x:f>AK72*AJ72</x:f>
        <x:v>3154.39488</x:v>
      </x:c>
      <x:c r="AM72" s="226" t="str">
        <x:v>EUR</x:v>
      </x:c>
      <x:c r="AN72" s="226" t="n">
        <x:v>0.42</x:v>
      </x:c>
      <x:c r="AO72" s="226" t="n">
        <x:f>IF(AM72="EUR",AA72,IF(AM72="GBP",AB72,1))</x:f>
        <x:v>7.8</x:v>
      </x:c>
      <x:c r="AP72" s="226" t="n">
        <x:f>P72*AN72</x:f>
        <x:v>161.21548800000002</x:v>
      </x:c>
      <x:c r="AQ72" s="226" t="n">
        <x:f>AP72*AO72</x:f>
        <x:v>1257.4808064000001</x:v>
      </x:c>
      <x:c r="AR72" s="226" t="str">
        <x:v>GBP</x:v>
      </x:c>
      <x:c r="AS72" s="226" t="n">
        <x:v>4.8</x:v>
      </x:c>
      <x:c r="AT72" s="226" t="n">
        <x:f>IF(AR72="EUR",AA72,IF(AR72="GBP",AB72,1))</x:f>
        <x:v>9</x:v>
      </x:c>
      <x:c r="AU72" s="226" t="n">
        <x:f>T72*AS72</x:f>
        <x:v>131.60448000000002</x:v>
      </x:c>
      <x:c r="AV72" s="226" t="n">
        <x:f>AU72*AT72</x:f>
        <x:v>1184.4403200000002</x:v>
      </x:c>
      <x:c r="AW72" s="226" t="str">
        <x:v>GBP</x:v>
      </x:c>
      <x:c r="AX72" s="226" t="n">
        <x:v>2.8</x:v>
      </x:c>
      <x:c r="AY72" s="226" t="n">
        <x:f>IF(AW72="EUR",AA72,IF(AW72="GBP",AB72,1))</x:f>
        <x:v>9</x:v>
      </x:c>
      <x:c r="AZ72" s="226" t="n">
        <x:f>V72*AX72</x:f>
        <x:v>13.97200896</x:v>
      </x:c>
      <x:c r="BA72" s="226" t="n">
        <x:f>AZ72*AY72</x:f>
        <x:v>125.74808064</x:v>
      </x:c>
      <x:c r="BB72" s="226" t="n">
        <x:f>AF72+AG72+AL72+AQ72+AV72+BA72</x:f>
        <x:v>28170.929267712003</x:v>
      </x:c>
      <x:c r="BC72" s="229" t="n">
        <x:v>0.974</x:v>
      </x:c>
      <x:c r="BD72" s="202"/>
      <x:c r="BE72" s="202"/>
      <x:c r="BF72" s="202"/>
      <x:c r="BG72" s="202" t="str">
        <x:v>UNVERIFIED_UNLIMITED_FOR_MVP</x:v>
      </x:c>
    </x:row>
    <x:row r="73">
      <x:c r="A73" s="187" t="str">
        <x:v>BUDGET_2026_V1</x:v>
      </x:c>
      <x:c r="B73" s="187" t="str">
        <x:v>BUDGET</x:v>
      </x:c>
      <x:c r="C73" s="187"/>
      <x:c r="D73" s="217" t="n">
        <x:v>46204</x:v>
      </x:c>
      <x:c r="E73" s="187" t="str">
        <x:v>R_GB_DE_C_AIR</x:v>
      </x:c>
      <x:c r="F73" s="187" t="str">
        <x:v>GB</x:v>
      </x:c>
      <x:c r="G73" s="187" t="str">
        <x:v>DE_FC</x:v>
      </x:c>
      <x:c r="H73" s="187" t="str">
        <x:v>CARRIER_C</x:v>
      </x:c>
      <x:c r="I73" s="187" t="str">
        <x:v>AIR</x:v>
      </x:c>
      <x:c r="J73" s="220" t="n">
        <x:v>17000</x:v>
      </x:c>
      <x:c r="K73" s="223" t="n">
        <x:v>0.3</x:v>
      </x:c>
      <x:c r="L73" s="223" t="n">
        <x:v>0.96</x:v>
      </x:c>
      <x:c r="M73" s="223" t="n">
        <x:v>0.03</x:v>
      </x:c>
      <x:c r="N73" s="226" t="n">
        <x:f>J73*K73*L73*M73</x:f>
        <x:v>146.88</x:v>
      </x:c>
      <x:c r="O73" s="220" t="n">
        <x:v>1.12</x:v>
      </x:c>
      <x:c r="P73" s="226" t="n">
        <x:f>N73*O73</x:f>
        <x:v>164.50560000000002</x:v>
      </x:c>
      <x:c r="Q73" s="220" t="n">
        <x:v>0.92</x:v>
      </x:c>
      <x:c r="R73" s="226" t="n">
        <x:f>P73*Q73</x:f>
        <x:v>151.345152</x:v>
      </x:c>
      <x:c r="S73" s="220" t="n">
        <x:v>0.08</x:v>
      </x:c>
      <x:c r="T73" s="226" t="n">
        <x:f>N73*S73</x:f>
        <x:v>11.750399999999999</x:v>
      </x:c>
      <x:c r="U73" s="226" t="n">
        <x:v>0.009</x:v>
      </x:c>
      <x:c r="V73" s="226" t="n">
        <x:f>P73*U73</x:f>
        <x:v>1.4805504</x:v>
      </x:c>
      <x:c r="W73" s="196" t="str">
        <x:v>GBP</x:v>
      </x:c>
      <x:c r="X73" s="220" t="n">
        <x:v>7.5</x:v>
      </x:c>
      <x:c r="Y73" s="196" t="str">
        <x:v>PER_CHARGEABLE_KG</x:v>
      </x:c>
      <x:c r="Z73" s="220" t="n">
        <x:v>0.58</x:v>
      </x:c>
      <x:c r="AA73" s="220" t="n">
        <x:v>7.8</x:v>
      </x:c>
      <x:c r="AB73" s="220" t="n">
        <x:v>9</x:v>
      </x:c>
      <x:c r="AC73" s="226" t="n">
        <x:f>IF(W73="EUR",AA73,IF(W73="GBP",AB73,1))</x:f>
        <x:v>9</x:v>
      </x:c>
      <x:c r="AD73" s="226" t="n">
        <x:f>R73*X73</x:f>
        <x:v>1135.0886400000002</x:v>
      </x:c>
      <x:c r="AE73" s="226" t="n">
        <x:f>IF(Y73="PERCENTAGE_OF_BASE_FREIGHT",AD73*Z73,IF(Y73="PER_CHARGEABLE_KG",R73*Z73,P73*Z73))</x:f>
        <x:v>87.78018816</x:v>
      </x:c>
      <x:c r="AF73" s="226" t="n">
        <x:f>AD73*AC73</x:f>
        <x:v>10215.797760000001</x:v>
      </x:c>
      <x:c r="AG73" s="226" t="n">
        <x:f>AE73*AC73</x:f>
        <x:v>790.0216934399999</x:v>
      </x:c>
      <x:c r="AH73" s="226" t="str">
        <x:v>EUR</x:v>
      </x:c>
      <x:c r="AI73" s="226" t="n">
        <x:v>1.18</x:v>
      </x:c>
      <x:c r="AJ73" s="226" t="n">
        <x:f>IF(AH73="EUR",AA73,IF(AH73="GBP",AB73,1))</x:f>
        <x:v>7.8</x:v>
      </x:c>
      <x:c r="AK73" s="226" t="n">
        <x:f>N73*AI73</x:f>
        <x:v>173.3184</x:v>
      </x:c>
      <x:c r="AL73" s="226" t="n">
        <x:f>AK73*AJ73</x:f>
        <x:v>1351.8835199999999</x:v>
      </x:c>
      <x:c r="AM73" s="226" t="str">
        <x:v>EUR</x:v>
      </x:c>
      <x:c r="AN73" s="226" t="n">
        <x:v>0.42</x:v>
      </x:c>
      <x:c r="AO73" s="226" t="n">
        <x:f>IF(AM73="EUR",AA73,IF(AM73="GBP",AB73,1))</x:f>
        <x:v>7.8</x:v>
      </x:c>
      <x:c r="AP73" s="226" t="n">
        <x:f>P73*AN73</x:f>
        <x:v>69.092352</x:v>
      </x:c>
      <x:c r="AQ73" s="226" t="n">
        <x:f>AP73*AO73</x:f>
        <x:v>538.9203456</x:v>
      </x:c>
      <x:c r="AR73" s="226" t="str">
        <x:v>GBP</x:v>
      </x:c>
      <x:c r="AS73" s="226" t="n">
        <x:v>4.8</x:v>
      </x:c>
      <x:c r="AT73" s="226" t="n">
        <x:f>IF(AR73="EUR",AA73,IF(AR73="GBP",AB73,1))</x:f>
        <x:v>9</x:v>
      </x:c>
      <x:c r="AU73" s="226" t="n">
        <x:f>T73*AS73</x:f>
        <x:v>56.40192</x:v>
      </x:c>
      <x:c r="AV73" s="226" t="n">
        <x:f>AU73*AT73</x:f>
        <x:v>507.61728</x:v>
      </x:c>
      <x:c r="AW73" s="226" t="str">
        <x:v>GBP</x:v>
      </x:c>
      <x:c r="AX73" s="226" t="n">
        <x:v>3.6</x:v>
      </x:c>
      <x:c r="AY73" s="226" t="n">
        <x:f>IF(AW73="EUR",AA73,IF(AW73="GBP",AB73,1))</x:f>
        <x:v>9</x:v>
      </x:c>
      <x:c r="AZ73" s="226" t="n">
        <x:f>V73*AX73</x:f>
        <x:v>5.32998144</x:v>
      </x:c>
      <x:c r="BA73" s="226" t="n">
        <x:f>AZ73*AY73</x:f>
        <x:v>47.96983296</x:v>
      </x:c>
      <x:c r="BB73" s="226" t="n">
        <x:f>AF73+AG73+AL73+AQ73+AV73+BA73</x:f>
        <x:v>13452.210432</x:v>
      </x:c>
      <x:c r="BC73" s="229" t="n">
        <x:v>0.988</x:v>
      </x:c>
      <x:c r="BD73" s="202"/>
      <x:c r="BE73" s="202"/>
      <x:c r="BF73" s="202"/>
      <x:c r="BG73" s="202" t="str">
        <x:v>UNVERIFIED_UNLIMITED_FOR_MVP</x:v>
      </x:c>
    </x:row>
    <x:row r="74">
      <x:c r="A74" s="187" t="str">
        <x:v>BUDGET_2026_V1</x:v>
      </x:c>
      <x:c r="B74" s="187" t="str">
        <x:v>BUDGET</x:v>
      </x:c>
      <x:c r="C74" s="187"/>
      <x:c r="D74" s="217" t="n">
        <x:v>46204</x:v>
      </x:c>
      <x:c r="E74" s="187" t="str">
        <x:v>R_GB_FR_B_AIR</x:v>
      </x:c>
      <x:c r="F74" s="187" t="str">
        <x:v>GB</x:v>
      </x:c>
      <x:c r="G74" s="187" t="str">
        <x:v>FR_FC</x:v>
      </x:c>
      <x:c r="H74" s="187" t="str">
        <x:v>CARRIER_B</x:v>
      </x:c>
      <x:c r="I74" s="187" t="str">
        <x:v>AIR</x:v>
      </x:c>
      <x:c r="J74" s="220" t="n">
        <x:v>17000</x:v>
      </x:c>
      <x:c r="K74" s="223" t="n">
        <x:v>0.3</x:v>
      </x:c>
      <x:c r="L74" s="223" t="n">
        <x:v>0.04</x:v>
      </x:c>
      <x:c r="M74" s="223" t="n">
        <x:v>1</x:v>
      </x:c>
      <x:c r="N74" s="226" t="n">
        <x:f>J74*K74*L74*M74</x:f>
        <x:v>204</x:v>
      </x:c>
      <x:c r="O74" s="220" t="n">
        <x:v>1.15</x:v>
      </x:c>
      <x:c r="P74" s="226" t="n">
        <x:f>N74*O74</x:f>
        <x:v>234.6</x:v>
      </x:c>
      <x:c r="Q74" s="220" t="n">
        <x:v>0.9</x:v>
      </x:c>
      <x:c r="R74" s="226" t="n">
        <x:f>P74*Q74</x:f>
        <x:v>211.14</x:v>
      </x:c>
      <x:c r="S74" s="220" t="n">
        <x:v>0.08</x:v>
      </x:c>
      <x:c r="T74" s="226" t="n">
        <x:f>N74*S74</x:f>
        <x:v>16.32</x:v>
      </x:c>
      <x:c r="U74" s="226" t="n">
        <x:v>0.012</x:v>
      </x:c>
      <x:c r="V74" s="226" t="n">
        <x:f>P74*U74</x:f>
        <x:v>2.8152</x:v>
      </x:c>
      <x:c r="W74" s="196" t="str">
        <x:v>EUR</x:v>
      </x:c>
      <x:c r="X74" s="220" t="n">
        <x:v>6.7</x:v>
      </x:c>
      <x:c r="Y74" s="196" t="str">
        <x:v>PERCENTAGE_OF_BASE_FREIGHT</x:v>
      </x:c>
      <x:c r="Z74" s="220" t="n">
        <x:v>0.105</x:v>
      </x:c>
      <x:c r="AA74" s="220" t="n">
        <x:v>7.8</x:v>
      </x:c>
      <x:c r="AB74" s="220" t="n">
        <x:v>9</x:v>
      </x:c>
      <x:c r="AC74" s="226" t="n">
        <x:f>IF(W74="EUR",AA74,IF(W74="GBP",AB74,1))</x:f>
        <x:v>7.8</x:v>
      </x:c>
      <x:c r="AD74" s="226" t="n">
        <x:f>R74*X74</x:f>
        <x:v>1414.638</x:v>
      </x:c>
      <x:c r="AE74" s="226" t="n">
        <x:f>IF(Y74="PERCENTAGE_OF_BASE_FREIGHT",AD74*Z74,IF(Y74="PER_CHARGEABLE_KG",R74*Z74,P74*Z74))</x:f>
        <x:v>148.53698999999997</x:v>
      </x:c>
      <x:c r="AF74" s="226" t="n">
        <x:f>AD74*AC74</x:f>
        <x:v>11034.176399999998</x:v>
      </x:c>
      <x:c r="AG74" s="226" t="n">
        <x:f>AE74*AC74</x:f>
        <x:v>1158.5885219999998</x:v>
      </x:c>
      <x:c r="AH74" s="226" t="str">
        <x:v>EUR</x:v>
      </x:c>
      <x:c r="AI74" s="226" t="n">
        <x:v>1.05</x:v>
      </x:c>
      <x:c r="AJ74" s="226" t="n">
        <x:f>IF(AH74="EUR",AA74,IF(AH74="GBP",AB74,1))</x:f>
        <x:v>7.8</x:v>
      </x:c>
      <x:c r="AK74" s="226" t="n">
        <x:f>N74*AI74</x:f>
        <x:v>214.20000000000002</x:v>
      </x:c>
      <x:c r="AL74" s="226" t="n">
        <x:f>AK74*AJ74</x:f>
        <x:v>1670.76</x:v>
      </x:c>
      <x:c r="AM74" s="226" t="str">
        <x:v>EUR</x:v>
      </x:c>
      <x:c r="AN74" s="226" t="n">
        <x:v>0.38</x:v>
      </x:c>
      <x:c r="AO74" s="226" t="n">
        <x:f>IF(AM74="EUR",AA74,IF(AM74="GBP",AB74,1))</x:f>
        <x:v>7.8</x:v>
      </x:c>
      <x:c r="AP74" s="226" t="n">
        <x:f>P74*AN74</x:f>
        <x:v>89.148</x:v>
      </x:c>
      <x:c r="AQ74" s="226" t="n">
        <x:f>AP74*AO74</x:f>
        <x:v>695.3543999999999</x:v>
      </x:c>
      <x:c r="AR74" s="226" t="str">
        <x:v>EUR</x:v>
      </x:c>
      <x:c r="AS74" s="226" t="n">
        <x:v>5.2</x:v>
      </x:c>
      <x:c r="AT74" s="226" t="n">
        <x:f>IF(AR74="EUR",AA74,IF(AR74="GBP",AB74,1))</x:f>
        <x:v>7.8</x:v>
      </x:c>
      <x:c r="AU74" s="226" t="n">
        <x:f>T74*AS74</x:f>
        <x:v>84.864</x:v>
      </x:c>
      <x:c r="AV74" s="226" t="n">
        <x:f>AU74*AT74</x:f>
        <x:v>661.9392</x:v>
      </x:c>
      <x:c r="AW74" s="226" t="str">
        <x:v>EUR</x:v>
      </x:c>
      <x:c r="AX74" s="226" t="n">
        <x:v>2.8</x:v>
      </x:c>
      <x:c r="AY74" s="226" t="n">
        <x:f>IF(AW74="EUR",AA74,IF(AW74="GBP",AB74,1))</x:f>
        <x:v>7.8</x:v>
      </x:c>
      <x:c r="AZ74" s="226" t="n">
        <x:f>V74*AX74</x:f>
        <x:v>7.882559999999999</x:v>
      </x:c>
      <x:c r="BA74" s="226" t="n">
        <x:f>AZ74*AY74</x:f>
        <x:v>61.48396799999999</x:v>
      </x:c>
      <x:c r="BB74" s="226" t="n">
        <x:f>AF74+AG74+AL74+AQ74+AV74+BA74</x:f>
        <x:v>15282.30249</x:v>
      </x:c>
      <x:c r="BC74" s="229" t="n">
        <x:v>0.971</x:v>
      </x:c>
      <x:c r="BD74" s="202"/>
      <x:c r="BE74" s="202"/>
      <x:c r="BF74" s="202"/>
      <x:c r="BG74" s="202" t="str">
        <x:v>UNVERIFIED_UNLIMITED_FOR_MVP</x:v>
      </x:c>
    </x:row>
    <x:row r="75">
      <x:c r="A75" s="187" t="str">
        <x:v>BUDGET_2026_V1</x:v>
      </x:c>
      <x:c r="B75" s="187" t="str">
        <x:v>BUDGET</x:v>
      </x:c>
      <x:c r="C75" s="187"/>
      <x:c r="D75" s="217" t="n">
        <x:v>46235</x:v>
      </x:c>
      <x:c r="E75" s="187" t="str">
        <x:v>R_DE_DE_A_ROAD</x:v>
      </x:c>
      <x:c r="F75" s="187" t="str">
        <x:v>DE</x:v>
      </x:c>
      <x:c r="G75" s="187" t="str">
        <x:v>DE_FC</x:v>
      </x:c>
      <x:c r="H75" s="187" t="str">
        <x:v>CARRIER_A</x:v>
      </x:c>
      <x:c r="I75" s="187" t="str">
        <x:v>ROAD</x:v>
      </x:c>
      <x:c r="J75" s="220" t="n">
        <x:v>16000</x:v>
      </x:c>
      <x:c r="K75" s="223" t="n">
        <x:v>0.38</x:v>
      </x:c>
      <x:c r="L75" s="223" t="n">
        <x:v>0.97</x:v>
      </x:c>
      <x:c r="M75" s="223" t="n">
        <x:v>0.6</x:v>
      </x:c>
      <x:c r="N75" s="226" t="n">
        <x:f>J75*K75*L75*M75</x:f>
        <x:v>3538.5599999999995</x:v>
      </x:c>
      <x:c r="O75" s="220" t="n">
        <x:v>1.05</x:v>
      </x:c>
      <x:c r="P75" s="226" t="n">
        <x:f>N75*O75</x:f>
        <x:v>3715.488</x:v>
      </x:c>
      <x:c r="Q75" s="220" t="n">
        <x:v>0.78</x:v>
      </x:c>
      <x:c r="R75" s="226" t="n">
        <x:f>P75*Q75</x:f>
        <x:v>2898.08064</x:v>
      </x:c>
      <x:c r="S75" s="220" t="n">
        <x:v>0.05</x:v>
      </x:c>
      <x:c r="T75" s="226" t="n">
        <x:f>N75*S75</x:f>
        <x:v>176.928</x:v>
      </x:c>
      <x:c r="U75" s="226" t="n">
        <x:v>0.016</x:v>
      </x:c>
      <x:c r="V75" s="226" t="n">
        <x:f>P75*U75</x:f>
        <x:v>59.447808</x:v>
      </x:c>
      <x:c r="W75" s="196" t="str">
        <x:v>EUR</x:v>
      </x:c>
      <x:c r="X75" s="220" t="n">
        <x:v>2.2</x:v>
      </x:c>
      <x:c r="Y75" s="196" t="str">
        <x:v>PERCENTAGE_OF_BASE_FREIGHT</x:v>
      </x:c>
      <x:c r="Z75" s="220" t="n">
        <x:v>0.095</x:v>
      </x:c>
      <x:c r="AA75" s="220" t="n">
        <x:v>7.8</x:v>
      </x:c>
      <x:c r="AB75" s="220" t="n">
        <x:v>9</x:v>
      </x:c>
      <x:c r="AC75" s="226" t="n">
        <x:f>IF(W75="EUR",AA75,IF(W75="GBP",AB75,1))</x:f>
        <x:v>7.8</x:v>
      </x:c>
      <x:c r="AD75" s="226" t="n">
        <x:f>R75*X75</x:f>
        <x:v>6375.777408000001</x:v>
      </x:c>
      <x:c r="AE75" s="226" t="n">
        <x:f>IF(Y75="PERCENTAGE_OF_BASE_FREIGHT",AD75*Z75,IF(Y75="PER_CHARGEABLE_KG",R75*Z75,P75*Z75))</x:f>
        <x:v>605.6988537600001</x:v>
      </x:c>
      <x:c r="AF75" s="226" t="n">
        <x:f>AD75*AC75</x:f>
        <x:v>49731.06378240001</x:v>
      </x:c>
      <x:c r="AG75" s="226" t="n">
        <x:f>AE75*AC75</x:f>
        <x:v>4724.451059328001</x:v>
      </x:c>
      <x:c r="AH75" s="226" t="str">
        <x:v>EUR</x:v>
      </x:c>
      <x:c r="AI75" s="226" t="n">
        <x:v>1.18</x:v>
      </x:c>
      <x:c r="AJ75" s="226" t="n">
        <x:f>IF(AH75="EUR",AA75,IF(AH75="GBP",AB75,1))</x:f>
        <x:v>7.8</x:v>
      </x:c>
      <x:c r="AK75" s="226" t="n">
        <x:f>N75*AI75</x:f>
        <x:v>4175.500799999999</x:v>
      </x:c>
      <x:c r="AL75" s="226" t="n">
        <x:f>AK75*AJ75</x:f>
        <x:v>32568.90623999999</x:v>
      </x:c>
      <x:c r="AM75" s="226" t="str">
        <x:v>EUR</x:v>
      </x:c>
      <x:c r="AN75" s="226" t="n">
        <x:v>0.42</x:v>
      </x:c>
      <x:c r="AO75" s="226" t="n">
        <x:f>IF(AM75="EUR",AA75,IF(AM75="GBP",AB75,1))</x:f>
        <x:v>7.8</x:v>
      </x:c>
      <x:c r="AP75" s="226" t="n">
        <x:f>P75*AN75</x:f>
        <x:v>1560.50496</x:v>
      </x:c>
      <x:c r="AQ75" s="226" t="n">
        <x:f>AP75*AO75</x:f>
        <x:v>12171.938688</x:v>
      </x:c>
      <x:c r="AR75" s="226" t="str">
        <x:v>EUR</x:v>
      </x:c>
      <x:c r="AS75" s="226" t="n">
        <x:v>3.2</x:v>
      </x:c>
      <x:c r="AT75" s="226" t="n">
        <x:f>IF(AR75="EUR",AA75,IF(AR75="GBP",AB75,1))</x:f>
        <x:v>7.8</x:v>
      </x:c>
      <x:c r="AU75" s="226" t="n">
        <x:f>T75*AS75</x:f>
        <x:v>566.1696000000001</x:v>
      </x:c>
      <x:c r="AV75" s="226" t="n">
        <x:f>AU75*AT75</x:f>
        <x:v>4416.122880000001</x:v>
      </x:c>
      <x:c r="AW75" s="226" t="str">
        <x:v>EUR</x:v>
      </x:c>
      <x:c r="AX75" s="226" t="n">
        <x:v>2.3</x:v>
      </x:c>
      <x:c r="AY75" s="226" t="n">
        <x:f>IF(AW75="EUR",AA75,IF(AW75="GBP",AB75,1))</x:f>
        <x:v>7.8</x:v>
      </x:c>
      <x:c r="AZ75" s="226" t="n">
        <x:f>V75*AX75</x:f>
        <x:v>136.7299584</x:v>
      </x:c>
      <x:c r="BA75" s="226" t="n">
        <x:f>AZ75*AY75</x:f>
        <x:v>1066.49367552</x:v>
      </x:c>
      <x:c r="BB75" s="226" t="n">
        <x:f>AF75+AG75+AL75+AQ75+AV75+BA75</x:f>
        <x:v>104678.97632524799</x:v>
      </x:c>
      <x:c r="BC75" s="229" t="n">
        <x:v>0.965</x:v>
      </x:c>
      <x:c r="BD75" s="202" t="str">
        <x:v>UK promotion</x:v>
      </x:c>
      <x:c r="BE75" s="202"/>
      <x:c r="BF75" s="202"/>
      <x:c r="BG75" s="202" t="str">
        <x:v>UNVERIFIED_UNLIMITED_FOR_MVP</x:v>
      </x:c>
    </x:row>
    <x:row r="76">
      <x:c r="A76" s="187" t="str">
        <x:v>BUDGET_2026_V1</x:v>
      </x:c>
      <x:c r="B76" s="187" t="str">
        <x:v>BUDGET</x:v>
      </x:c>
      <x:c r="C76" s="187"/>
      <x:c r="D76" s="217" t="n">
        <x:v>46235</x:v>
      </x:c>
      <x:c r="E76" s="187" t="str">
        <x:v>R_DE_DE_B_ROAD</x:v>
      </x:c>
      <x:c r="F76" s="187" t="str">
        <x:v>DE</x:v>
      </x:c>
      <x:c r="G76" s="187" t="str">
        <x:v>DE_FC</x:v>
      </x:c>
      <x:c r="H76" s="187" t="str">
        <x:v>CARRIER_B</x:v>
      </x:c>
      <x:c r="I76" s="187" t="str">
        <x:v>ROAD</x:v>
      </x:c>
      <x:c r="J76" s="220" t="n">
        <x:v>16000</x:v>
      </x:c>
      <x:c r="K76" s="223" t="n">
        <x:v>0.38</x:v>
      </x:c>
      <x:c r="L76" s="223" t="n">
        <x:v>0.97</x:v>
      </x:c>
      <x:c r="M76" s="223" t="n">
        <x:v>0.4</x:v>
      </x:c>
      <x:c r="N76" s="226" t="n">
        <x:f>J76*K76*L76*M76</x:f>
        <x:v>2359.04</x:v>
      </x:c>
      <x:c r="O76" s="220" t="n">
        <x:v>1.05</x:v>
      </x:c>
      <x:c r="P76" s="226" t="n">
        <x:f>N76*O76</x:f>
        <x:v>2476.992</x:v>
      </x:c>
      <x:c r="Q76" s="220" t="n">
        <x:v>0.8</x:v>
      </x:c>
      <x:c r="R76" s="226" t="n">
        <x:f>P76*Q76</x:f>
        <x:v>1981.5936000000002</x:v>
      </x:c>
      <x:c r="S76" s="220" t="n">
        <x:v>0.05</x:v>
      </x:c>
      <x:c r="T76" s="226" t="n">
        <x:f>N76*S76</x:f>
        <x:v>117.952</x:v>
      </x:c>
      <x:c r="U76" s="226" t="n">
        <x:v>0.013</x:v>
      </x:c>
      <x:c r="V76" s="226" t="n">
        <x:f>P76*U76</x:f>
        <x:v>32.200896</x:v>
      </x:c>
      <x:c r="W76" s="196" t="str">
        <x:v>EUR</x:v>
      </x:c>
      <x:c r="X76" s="220" t="n">
        <x:v>2.75</x:v>
      </x:c>
      <x:c r="Y76" s="196" t="str">
        <x:v>PER_CHARGEABLE_KG</x:v>
      </x:c>
      <x:c r="Z76" s="220" t="n">
        <x:v>0.21</x:v>
      </x:c>
      <x:c r="AA76" s="220" t="n">
        <x:v>7.8</x:v>
      </x:c>
      <x:c r="AB76" s="220" t="n">
        <x:v>9</x:v>
      </x:c>
      <x:c r="AC76" s="226" t="n">
        <x:f>IF(W76="EUR",AA76,IF(W76="GBP",AB76,1))</x:f>
        <x:v>7.8</x:v>
      </x:c>
      <x:c r="AD76" s="226" t="n">
        <x:f>R76*X76</x:f>
        <x:v>5449.3824</x:v>
      </x:c>
      <x:c r="AE76" s="226" t="n">
        <x:f>IF(Y76="PERCENTAGE_OF_BASE_FREIGHT",AD76*Z76,IF(Y76="PER_CHARGEABLE_KG",R76*Z76,P76*Z76))</x:f>
        <x:v>416.134656</x:v>
      </x:c>
      <x:c r="AF76" s="226" t="n">
        <x:f>AD76*AC76</x:f>
        <x:v>42505.182720000004</x:v>
      </x:c>
      <x:c r="AG76" s="226" t="n">
        <x:f>AE76*AC76</x:f>
        <x:v>3245.8503168</x:v>
      </x:c>
      <x:c r="AH76" s="226" t="str">
        <x:v>EUR</x:v>
      </x:c>
      <x:c r="AI76" s="226" t="n">
        <x:v>1.18</x:v>
      </x:c>
      <x:c r="AJ76" s="226" t="n">
        <x:f>IF(AH76="EUR",AA76,IF(AH76="GBP",AB76,1))</x:f>
        <x:v>7.8</x:v>
      </x:c>
      <x:c r="AK76" s="226" t="n">
        <x:f>N76*AI76</x:f>
        <x:v>2783.6672</x:v>
      </x:c>
      <x:c r="AL76" s="226" t="n">
        <x:f>AK76*AJ76</x:f>
        <x:v>21712.60416</x:v>
      </x:c>
      <x:c r="AM76" s="226" t="str">
        <x:v>EUR</x:v>
      </x:c>
      <x:c r="AN76" s="226" t="n">
        <x:v>0.42</x:v>
      </x:c>
      <x:c r="AO76" s="226" t="n">
        <x:f>IF(AM76="EUR",AA76,IF(AM76="GBP",AB76,1))</x:f>
        <x:v>7.8</x:v>
      </x:c>
      <x:c r="AP76" s="226" t="n">
        <x:f>P76*AN76</x:f>
        <x:v>1040.33664</x:v>
      </x:c>
      <x:c r="AQ76" s="226" t="n">
        <x:f>AP76*AO76</x:f>
        <x:v>8114.625792</x:v>
      </x:c>
      <x:c r="AR76" s="226" t="str">
        <x:v>EUR</x:v>
      </x:c>
      <x:c r="AS76" s="226" t="n">
        <x:v>3.2</x:v>
      </x:c>
      <x:c r="AT76" s="226" t="n">
        <x:f>IF(AR76="EUR",AA76,IF(AR76="GBP",AB76,1))</x:f>
        <x:v>7.8</x:v>
      </x:c>
      <x:c r="AU76" s="226" t="n">
        <x:f>T76*AS76</x:f>
        <x:v>377.44640000000004</x:v>
      </x:c>
      <x:c r="AV76" s="226" t="n">
        <x:f>AU76*AT76</x:f>
        <x:v>2944.08192</x:v>
      </x:c>
      <x:c r="AW76" s="226" t="str">
        <x:v>EUR</x:v>
      </x:c>
      <x:c r="AX76" s="226" t="n">
        <x:v>2.3</x:v>
      </x:c>
      <x:c r="AY76" s="226" t="n">
        <x:f>IF(AW76="EUR",AA76,IF(AW76="GBP",AB76,1))</x:f>
        <x:v>7.8</x:v>
      </x:c>
      <x:c r="AZ76" s="226" t="n">
        <x:f>V76*AX76</x:f>
        <x:v>74.0620608</x:v>
      </x:c>
      <x:c r="BA76" s="226" t="n">
        <x:f>AZ76*AY76</x:f>
        <x:v>577.68407424</x:v>
      </x:c>
      <x:c r="BB76" s="226" t="n">
        <x:f>AF76+AG76+AL76+AQ76+AV76+BA76</x:f>
        <x:v>79100.02898304</x:v>
      </x:c>
      <x:c r="BC76" s="229" t="n">
        <x:v>0.976</x:v>
      </x:c>
      <x:c r="BD76" s="202" t="str">
        <x:v>UK promotion</x:v>
      </x:c>
      <x:c r="BE76" s="202"/>
      <x:c r="BF76" s="202"/>
      <x:c r="BG76" s="202" t="str">
        <x:v>UNVERIFIED_UNLIMITED_FOR_MVP</x:v>
      </x:c>
    </x:row>
    <x:row r="77">
      <x:c r="A77" s="187" t="str">
        <x:v>BUDGET_2026_V1</x:v>
      </x:c>
      <x:c r="B77" s="187" t="str">
        <x:v>BUDGET</x:v>
      </x:c>
      <x:c r="C77" s="187"/>
      <x:c r="D77" s="217" t="n">
        <x:v>46235</x:v>
      </x:c>
      <x:c r="E77" s="187" t="str">
        <x:v>R_DE_FR_B_ROAD</x:v>
      </x:c>
      <x:c r="F77" s="187" t="str">
        <x:v>DE</x:v>
      </x:c>
      <x:c r="G77" s="187" t="str">
        <x:v>FR_FC</x:v>
      </x:c>
      <x:c r="H77" s="187" t="str">
        <x:v>CARRIER_B</x:v>
      </x:c>
      <x:c r="I77" s="187" t="str">
        <x:v>ROAD</x:v>
      </x:c>
      <x:c r="J77" s="220" t="n">
        <x:v>16000</x:v>
      </x:c>
      <x:c r="K77" s="223" t="n">
        <x:v>0.38</x:v>
      </x:c>
      <x:c r="L77" s="223" t="n">
        <x:v>0.03</x:v>
      </x:c>
      <x:c r="M77" s="223" t="n">
        <x:v>1</x:v>
      </x:c>
      <x:c r="N77" s="226" t="n">
        <x:f>J77*K77*L77*M77</x:f>
        <x:v>182.4</x:v>
      </x:c>
      <x:c r="O77" s="220" t="n">
        <x:v>1.08</x:v>
      </x:c>
      <x:c r="P77" s="226" t="n">
        <x:f>N77*O77</x:f>
        <x:v>196.99200000000002</x:v>
      </x:c>
      <x:c r="Q77" s="220" t="n">
        <x:v>0.86</x:v>
      </x:c>
      <x:c r="R77" s="226" t="n">
        <x:f>P77*Q77</x:f>
        <x:v>169.41312000000002</x:v>
      </x:c>
      <x:c r="S77" s="220" t="n">
        <x:v>0.05</x:v>
      </x:c>
      <x:c r="T77" s="226" t="n">
        <x:f>N77*S77</x:f>
        <x:v>9.120000000000001</x:v>
      </x:c>
      <x:c r="U77" s="226" t="n">
        <x:v>0.014</x:v>
      </x:c>
      <x:c r="V77" s="226" t="n">
        <x:f>P77*U77</x:f>
        <x:v>2.7578880000000003</x:v>
      </x:c>
      <x:c r="W77" s="196" t="str">
        <x:v>EUR</x:v>
      </x:c>
      <x:c r="X77" s="220" t="n">
        <x:v>3.3</x:v>
      </x:c>
      <x:c r="Y77" s="196" t="str">
        <x:v>PER_CHARGEABLE_KG</x:v>
      </x:c>
      <x:c r="Z77" s="220" t="n">
        <x:v>0.24</x:v>
      </x:c>
      <x:c r="AA77" s="220" t="n">
        <x:v>7.8</x:v>
      </x:c>
      <x:c r="AB77" s="220" t="n">
        <x:v>9</x:v>
      </x:c>
      <x:c r="AC77" s="226" t="n">
        <x:f>IF(W77="EUR",AA77,IF(W77="GBP",AB77,1))</x:f>
        <x:v>7.8</x:v>
      </x:c>
      <x:c r="AD77" s="226" t="n">
        <x:f>R77*X77</x:f>
        <x:v>559.063296</x:v>
      </x:c>
      <x:c r="AE77" s="226" t="n">
        <x:f>IF(Y77="PERCENTAGE_OF_BASE_FREIGHT",AD77*Z77,IF(Y77="PER_CHARGEABLE_KG",R77*Z77,P77*Z77))</x:f>
        <x:v>40.659148800000004</x:v>
      </x:c>
      <x:c r="AF77" s="226" t="n">
        <x:f>AD77*AC77</x:f>
        <x:v>4360.6937088</x:v>
      </x:c>
      <x:c r="AG77" s="226" t="n">
        <x:f>AE77*AC77</x:f>
        <x:v>317.14136064</x:v>
      </x:c>
      <x:c r="AH77" s="226" t="str">
        <x:v>EUR</x:v>
      </x:c>
      <x:c r="AI77" s="226" t="n">
        <x:v>1.05</x:v>
      </x:c>
      <x:c r="AJ77" s="226" t="n">
        <x:f>IF(AH77="EUR",AA77,IF(AH77="GBP",AB77,1))</x:f>
        <x:v>7.8</x:v>
      </x:c>
      <x:c r="AK77" s="226" t="n">
        <x:f>N77*AI77</x:f>
        <x:v>191.52</x:v>
      </x:c>
      <x:c r="AL77" s="226" t="n">
        <x:f>AK77*AJ77</x:f>
        <x:v>1493.856</x:v>
      </x:c>
      <x:c r="AM77" s="226" t="str">
        <x:v>EUR</x:v>
      </x:c>
      <x:c r="AN77" s="226" t="n">
        <x:v>0.38</x:v>
      </x:c>
      <x:c r="AO77" s="226" t="n">
        <x:f>IF(AM77="EUR",AA77,IF(AM77="GBP",AB77,1))</x:f>
        <x:v>7.8</x:v>
      </x:c>
      <x:c r="AP77" s="226" t="n">
        <x:f>P77*AN77</x:f>
        <x:v>74.85696000000002</x:v>
      </x:c>
      <x:c r="AQ77" s="226" t="n">
        <x:f>AP77*AO77</x:f>
        <x:v>583.8842880000001</x:v>
      </x:c>
      <x:c r="AR77" s="226" t="str">
        <x:v>EUR</x:v>
      </x:c>
      <x:c r="AS77" s="226" t="n">
        <x:v>3.8</x:v>
      </x:c>
      <x:c r="AT77" s="226" t="n">
        <x:f>IF(AR77="EUR",AA77,IF(AR77="GBP",AB77,1))</x:f>
        <x:v>7.8</x:v>
      </x:c>
      <x:c r="AU77" s="226" t="n">
        <x:f>T77*AS77</x:f>
        <x:v>34.656</x:v>
      </x:c>
      <x:c r="AV77" s="226" t="n">
        <x:f>AU77*AT77</x:f>
        <x:v>270.3168</x:v>
      </x:c>
      <x:c r="AW77" s="226" t="str">
        <x:v>EUR</x:v>
      </x:c>
      <x:c r="AX77" s="226" t="n">
        <x:v>2.3</x:v>
      </x:c>
      <x:c r="AY77" s="226" t="n">
        <x:f>IF(AW77="EUR",AA77,IF(AW77="GBP",AB77,1))</x:f>
        <x:v>7.8</x:v>
      </x:c>
      <x:c r="AZ77" s="226" t="n">
        <x:f>V77*AX77</x:f>
        <x:v>6.3431424000000005</x:v>
      </x:c>
      <x:c r="BA77" s="226" t="n">
        <x:f>AZ77*AY77</x:f>
        <x:v>49.47651072</x:v>
      </x:c>
      <x:c r="BB77" s="226" t="n">
        <x:f>AF77+AG77+AL77+AQ77+AV77+BA77</x:f>
        <x:v>7075.36866816</x:v>
      </x:c>
      <x:c r="BC77" s="229" t="n">
        <x:v>0.968</x:v>
      </x:c>
      <x:c r="BD77" s="202" t="str">
        <x:v>UK promotion</x:v>
      </x:c>
      <x:c r="BE77" s="202"/>
      <x:c r="BF77" s="202"/>
      <x:c r="BG77" s="202" t="str">
        <x:v>UNVERIFIED_UNLIMITED_FOR_MVP</x:v>
      </x:c>
    </x:row>
    <x:row r="78">
      <x:c r="A78" s="187" t="str">
        <x:v>BUDGET_2026_V1</x:v>
      </x:c>
      <x:c r="B78" s="187" t="str">
        <x:v>BUDGET</x:v>
      </x:c>
      <x:c r="C78" s="187"/>
      <x:c r="D78" s="217" t="n">
        <x:v>46235</x:v>
      </x:c>
      <x:c r="E78" s="187" t="str">
        <x:v>R_FR_FR_A_ROAD</x:v>
      </x:c>
      <x:c r="F78" s="187" t="str">
        <x:v>FR</x:v>
      </x:c>
      <x:c r="G78" s="187" t="str">
        <x:v>FR_FC</x:v>
      </x:c>
      <x:c r="H78" s="187" t="str">
        <x:v>CARRIER_A</x:v>
      </x:c>
      <x:c r="I78" s="187" t="str">
        <x:v>ROAD</x:v>
      </x:c>
      <x:c r="J78" s="220" t="n">
        <x:v>16000</x:v>
      </x:c>
      <x:c r="K78" s="223" t="n">
        <x:v>0.32</x:v>
      </x:c>
      <x:c r="L78" s="223" t="n">
        <x:v>1</x:v>
      </x:c>
      <x:c r="M78" s="223" t="n">
        <x:v>0.35</x:v>
      </x:c>
      <x:c r="N78" s="226" t="n">
        <x:f>J78*K78*L78*M78</x:f>
        <x:v>1792</x:v>
      </x:c>
      <x:c r="O78" s="220" t="n">
        <x:v>1.06</x:v>
      </x:c>
      <x:c r="P78" s="226" t="n">
        <x:f>N78*O78</x:f>
        <x:v>1899.52</x:v>
      </x:c>
      <x:c r="Q78" s="220" t="n">
        <x:v>0.76</x:v>
      </x:c>
      <x:c r="R78" s="226" t="n">
        <x:f>P78*Q78</x:f>
        <x:v>1443.6352</x:v>
      </x:c>
      <x:c r="S78" s="220" t="n">
        <x:v>0.06</x:v>
      </x:c>
      <x:c r="T78" s="226" t="n">
        <x:f>N78*S78</x:f>
        <x:v>107.52</x:v>
      </x:c>
      <x:c r="U78" s="226" t="n">
        <x:v>0.017</x:v>
      </x:c>
      <x:c r="V78" s="226" t="n">
        <x:f>P78*U78</x:f>
        <x:v>32.29184</x:v>
      </x:c>
      <x:c r="W78" s="196" t="str">
        <x:v>EUR</x:v>
      </x:c>
      <x:c r="X78" s="220" t="n">
        <x:v>2.1</x:v>
      </x:c>
      <x:c r="Y78" s="196" t="str">
        <x:v>PERCENTAGE_OF_BASE_FREIGHT</x:v>
      </x:c>
      <x:c r="Z78" s="220" t="n">
        <x:v>0.09</x:v>
      </x:c>
      <x:c r="AA78" s="220" t="n">
        <x:v>7.8</x:v>
      </x:c>
      <x:c r="AB78" s="220" t="n">
        <x:v>9</x:v>
      </x:c>
      <x:c r="AC78" s="226" t="n">
        <x:f>IF(W78="EUR",AA78,IF(W78="GBP",AB78,1))</x:f>
        <x:v>7.8</x:v>
      </x:c>
      <x:c r="AD78" s="226" t="n">
        <x:f>R78*X78</x:f>
        <x:v>3031.63392</x:v>
      </x:c>
      <x:c r="AE78" s="226" t="n">
        <x:f>IF(Y78="PERCENTAGE_OF_BASE_FREIGHT",AD78*Z78,IF(Y78="PER_CHARGEABLE_KG",R78*Z78,P78*Z78))</x:f>
        <x:v>272.84705280000003</x:v>
      </x:c>
      <x:c r="AF78" s="226" t="n">
        <x:f>AD78*AC78</x:f>
        <x:v>23646.744576</x:v>
      </x:c>
      <x:c r="AG78" s="226" t="n">
        <x:f>AE78*AC78</x:f>
        <x:v>2128.20701184</x:v>
      </x:c>
      <x:c r="AH78" s="226" t="str">
        <x:v>EUR</x:v>
      </x:c>
      <x:c r="AI78" s="226" t="n">
        <x:v>1.05</x:v>
      </x:c>
      <x:c r="AJ78" s="226" t="n">
        <x:f>IF(AH78="EUR",AA78,IF(AH78="GBP",AB78,1))</x:f>
        <x:v>7.8</x:v>
      </x:c>
      <x:c r="AK78" s="226" t="n">
        <x:f>N78*AI78</x:f>
        <x:v>1881.6000000000001</x:v>
      </x:c>
      <x:c r="AL78" s="226" t="n">
        <x:f>AK78*AJ78</x:f>
        <x:v>14676.480000000001</x:v>
      </x:c>
      <x:c r="AM78" s="226" t="str">
        <x:v>EUR</x:v>
      </x:c>
      <x:c r="AN78" s="226" t="n">
        <x:v>0.38</x:v>
      </x:c>
      <x:c r="AO78" s="226" t="n">
        <x:f>IF(AM78="EUR",AA78,IF(AM78="GBP",AB78,1))</x:f>
        <x:v>7.8</x:v>
      </x:c>
      <x:c r="AP78" s="226" t="n">
        <x:f>P78*AN78</x:f>
        <x:v>721.8176</x:v>
      </x:c>
      <x:c r="AQ78" s="226" t="n">
        <x:f>AP78*AO78</x:f>
        <x:v>5630.17728</x:v>
      </x:c>
      <x:c r="AR78" s="226" t="str">
        <x:v>EUR</x:v>
      </x:c>
      <x:c r="AS78" s="226" t="n">
        <x:v>3</x:v>
      </x:c>
      <x:c r="AT78" s="226" t="n">
        <x:f>IF(AR78="EUR",AA78,IF(AR78="GBP",AB78,1))</x:f>
        <x:v>7.8</x:v>
      </x:c>
      <x:c r="AU78" s="226" t="n">
        <x:f>T78*AS78</x:f>
        <x:v>322.56</x:v>
      </x:c>
      <x:c r="AV78" s="226" t="n">
        <x:f>AU78*AT78</x:f>
        <x:v>2515.968</x:v>
      </x:c>
      <x:c r="AW78" s="226" t="str">
        <x:v>EUR</x:v>
      </x:c>
      <x:c r="AX78" s="226" t="n">
        <x:v>2.3</x:v>
      </x:c>
      <x:c r="AY78" s="226" t="n">
        <x:f>IF(AW78="EUR",AA78,IF(AW78="GBP",AB78,1))</x:f>
        <x:v>7.8</x:v>
      </x:c>
      <x:c r="AZ78" s="226" t="n">
        <x:f>V78*AX78</x:f>
        <x:v>74.271232</x:v>
      </x:c>
      <x:c r="BA78" s="226" t="n">
        <x:f>AZ78*AY78</x:f>
        <x:v>579.3156096</x:v>
      </x:c>
      <x:c r="BB78" s="226" t="n">
        <x:f>AF78+AG78+AL78+AQ78+AV78+BA78</x:f>
        <x:v>49176.89247744</x:v>
      </x:c>
      <x:c r="BC78" s="229" t="n">
        <x:v>0.961</x:v>
      </x:c>
      <x:c r="BD78" s="202" t="str">
        <x:v>UK promotion</x:v>
      </x:c>
      <x:c r="BE78" s="202"/>
      <x:c r="BF78" s="202"/>
      <x:c r="BG78" s="202" t="str">
        <x:v>UNVERIFIED_UNLIMITED_FOR_MVP</x:v>
      </x:c>
    </x:row>
    <x:row r="79">
      <x:c r="A79" s="187" t="str">
        <x:v>BUDGET_2026_V1</x:v>
      </x:c>
      <x:c r="B79" s="187" t="str">
        <x:v>BUDGET</x:v>
      </x:c>
      <x:c r="C79" s="187"/>
      <x:c r="D79" s="217" t="n">
        <x:v>46235</x:v>
      </x:c>
      <x:c r="E79" s="187" t="str">
        <x:v>R_FR_FR_B_ROAD</x:v>
      </x:c>
      <x:c r="F79" s="187" t="str">
        <x:v>FR</x:v>
      </x:c>
      <x:c r="G79" s="187" t="str">
        <x:v>FR_FC</x:v>
      </x:c>
      <x:c r="H79" s="187" t="str">
        <x:v>CARRIER_B</x:v>
      </x:c>
      <x:c r="I79" s="187" t="str">
        <x:v>ROAD</x:v>
      </x:c>
      <x:c r="J79" s="220" t="n">
        <x:v>16000</x:v>
      </x:c>
      <x:c r="K79" s="223" t="n">
        <x:v>0.32</x:v>
      </x:c>
      <x:c r="L79" s="223" t="n">
        <x:v>1</x:v>
      </x:c>
      <x:c r="M79" s="223" t="n">
        <x:v>0.65</x:v>
      </x:c>
      <x:c r="N79" s="226" t="n">
        <x:f>J79*K79*L79*M79</x:f>
        <x:v>3328</x:v>
      </x:c>
      <x:c r="O79" s="220" t="n">
        <x:v>1.06</x:v>
      </x:c>
      <x:c r="P79" s="226" t="n">
        <x:f>N79*O79</x:f>
        <x:v>3527.6800000000003</x:v>
      </x:c>
      <x:c r="Q79" s="220" t="n">
        <x:v>0.79</x:v>
      </x:c>
      <x:c r="R79" s="226" t="n">
        <x:f>P79*Q79</x:f>
        <x:v>2786.8672</x:v>
      </x:c>
      <x:c r="S79" s="220" t="n">
        <x:v>0.06</x:v>
      </x:c>
      <x:c r="T79" s="226" t="n">
        <x:f>N79*S79</x:f>
        <x:v>199.68</x:v>
      </x:c>
      <x:c r="U79" s="226" t="n">
        <x:v>0.014</x:v>
      </x:c>
      <x:c r="V79" s="226" t="n">
        <x:f>P79*U79</x:f>
        <x:v>49.38752</x:v>
      </x:c>
      <x:c r="W79" s="196" t="str">
        <x:v>EUR</x:v>
      </x:c>
      <x:c r="X79" s="220" t="n">
        <x:v>2.6</x:v>
      </x:c>
      <x:c r="Y79" s="196" t="str">
        <x:v>PER_CHARGEABLE_KG</x:v>
      </x:c>
      <x:c r="Z79" s="220" t="n">
        <x:v>0.2</x:v>
      </x:c>
      <x:c r="AA79" s="220" t="n">
        <x:v>7.8</x:v>
      </x:c>
      <x:c r="AB79" s="220" t="n">
        <x:v>9</x:v>
      </x:c>
      <x:c r="AC79" s="226" t="n">
        <x:f>IF(W79="EUR",AA79,IF(W79="GBP",AB79,1))</x:f>
        <x:v>7.8</x:v>
      </x:c>
      <x:c r="AD79" s="226" t="n">
        <x:f>R79*X79</x:f>
        <x:v>7245.85472</x:v>
      </x:c>
      <x:c r="AE79" s="226" t="n">
        <x:f>IF(Y79="PERCENTAGE_OF_BASE_FREIGHT",AD79*Z79,IF(Y79="PER_CHARGEABLE_KG",R79*Z79,P79*Z79))</x:f>
        <x:v>557.3734400000001</x:v>
      </x:c>
      <x:c r="AF79" s="226" t="n">
        <x:f>AD79*AC79</x:f>
        <x:v>56517.666816</x:v>
      </x:c>
      <x:c r="AG79" s="226" t="n">
        <x:f>AE79*AC79</x:f>
        <x:v>4347.512832</x:v>
      </x:c>
      <x:c r="AH79" s="226" t="str">
        <x:v>EUR</x:v>
      </x:c>
      <x:c r="AI79" s="226" t="n">
        <x:v>1.05</x:v>
      </x:c>
      <x:c r="AJ79" s="226" t="n">
        <x:f>IF(AH79="EUR",AA79,IF(AH79="GBP",AB79,1))</x:f>
        <x:v>7.8</x:v>
      </x:c>
      <x:c r="AK79" s="226" t="n">
        <x:f>N79*AI79</x:f>
        <x:v>3494.4</x:v>
      </x:c>
      <x:c r="AL79" s="226" t="n">
        <x:f>AK79*AJ79</x:f>
        <x:v>27256.32</x:v>
      </x:c>
      <x:c r="AM79" s="226" t="str">
        <x:v>EUR</x:v>
      </x:c>
      <x:c r="AN79" s="226" t="n">
        <x:v>0.38</x:v>
      </x:c>
      <x:c r="AO79" s="226" t="n">
        <x:f>IF(AM79="EUR",AA79,IF(AM79="GBP",AB79,1))</x:f>
        <x:v>7.8</x:v>
      </x:c>
      <x:c r="AP79" s="226" t="n">
        <x:f>P79*AN79</x:f>
        <x:v>1340.5184000000002</x:v>
      </x:c>
      <x:c r="AQ79" s="226" t="n">
        <x:f>AP79*AO79</x:f>
        <x:v>10456.043520000001</x:v>
      </x:c>
      <x:c r="AR79" s="226" t="str">
        <x:v>EUR</x:v>
      </x:c>
      <x:c r="AS79" s="226" t="n">
        <x:v>3</x:v>
      </x:c>
      <x:c r="AT79" s="226" t="n">
        <x:f>IF(AR79="EUR",AA79,IF(AR79="GBP",AB79,1))</x:f>
        <x:v>7.8</x:v>
      </x:c>
      <x:c r="AU79" s="226" t="n">
        <x:f>T79*AS79</x:f>
        <x:v>599.04</x:v>
      </x:c>
      <x:c r="AV79" s="226" t="n">
        <x:f>AU79*AT79</x:f>
        <x:v>4672.512</x:v>
      </x:c>
      <x:c r="AW79" s="226" t="str">
        <x:v>EUR</x:v>
      </x:c>
      <x:c r="AX79" s="226" t="n">
        <x:v>2.3</x:v>
      </x:c>
      <x:c r="AY79" s="226" t="n">
        <x:f>IF(AW79="EUR",AA79,IF(AW79="GBP",AB79,1))</x:f>
        <x:v>7.8</x:v>
      </x:c>
      <x:c r="AZ79" s="226" t="n">
        <x:f>V79*AX79</x:f>
        <x:v>113.591296</x:v>
      </x:c>
      <x:c r="BA79" s="226" t="n">
        <x:f>AZ79*AY79</x:f>
        <x:v>886.0121088</x:v>
      </x:c>
      <x:c r="BB79" s="226" t="n">
        <x:f>AF79+AG79+AL79+AQ79+AV79+BA79</x:f>
        <x:v>104136.06727680001</x:v>
      </x:c>
      <x:c r="BC79" s="229" t="n">
        <x:v>0.973</x:v>
      </x:c>
      <x:c r="BD79" s="202" t="str">
        <x:v>UK promotion</x:v>
      </x:c>
      <x:c r="BE79" s="202"/>
      <x:c r="BF79" s="202"/>
      <x:c r="BG79" s="202" t="str">
        <x:v>UNVERIFIED_UNLIMITED_FOR_MVP</x:v>
      </x:c>
    </x:row>
    <x:row r="80">
      <x:c r="A80" s="187" t="str">
        <x:v>BUDGET_2026_V1</x:v>
      </x:c>
      <x:c r="B80" s="187" t="str">
        <x:v>BUDGET</x:v>
      </x:c>
      <x:c r="C80" s="187"/>
      <x:c r="D80" s="217" t="n">
        <x:v>46235</x:v>
      </x:c>
      <x:c r="E80" s="187" t="str">
        <x:v>R_GB_DE_A_ROAD</x:v>
      </x:c>
      <x:c r="F80" s="187" t="str">
        <x:v>GB</x:v>
      </x:c>
      <x:c r="G80" s="187" t="str">
        <x:v>DE_FC</x:v>
      </x:c>
      <x:c r="H80" s="187" t="str">
        <x:v>CARRIER_A</x:v>
      </x:c>
      <x:c r="I80" s="187" t="str">
        <x:v>ROAD</x:v>
      </x:c>
      <x:c r="J80" s="220" t="n">
        <x:v>16000</x:v>
      </x:c>
      <x:c r="K80" s="223" t="n">
        <x:v>0.3</x:v>
      </x:c>
      <x:c r="L80" s="223" t="n">
        <x:v>0.96</x:v>
      </x:c>
      <x:c r="M80" s="223" t="n">
        <x:v>0.65</x:v>
      </x:c>
      <x:c r="N80" s="226" t="n">
        <x:f>J80*K80*L80*M80</x:f>
        <x:v>2995.2000000000003</x:v>
      </x:c>
      <x:c r="O80" s="220" t="n">
        <x:v>1.12</x:v>
      </x:c>
      <x:c r="P80" s="226" t="n">
        <x:f>N80*O80</x:f>
        <x:v>3354.6240000000007</x:v>
      </x:c>
      <x:c r="Q80" s="220" t="n">
        <x:v>1.02</x:v>
      </x:c>
      <x:c r="R80" s="226" t="n">
        <x:f>P80*Q80</x:f>
        <x:v>3421.716480000001</x:v>
      </x:c>
      <x:c r="S80" s="220" t="n">
        <x:v>0.08</x:v>
      </x:c>
      <x:c r="T80" s="226" t="n">
        <x:f>N80*S80</x:f>
        <x:v>239.616</x:v>
      </x:c>
      <x:c r="U80" s="226" t="n">
        <x:v>0.022</x:v>
      </x:c>
      <x:c r="V80" s="226" t="n">
        <x:f>P80*U80</x:f>
        <x:v>73.80172800000001</x:v>
      </x:c>
      <x:c r="W80" s="196" t="str">
        <x:v>GBP</x:v>
      </x:c>
      <x:c r="X80" s="220" t="n">
        <x:v>4</x:v>
      </x:c>
      <x:c r="Y80" s="196" t="str">
        <x:v>PERCENTAGE_OF_BASE_FREIGHT</x:v>
      </x:c>
      <x:c r="Z80" s="220" t="n">
        <x:v>0.1</x:v>
      </x:c>
      <x:c r="AA80" s="220" t="n">
        <x:v>7.8</x:v>
      </x:c>
      <x:c r="AB80" s="220" t="n">
        <x:v>9</x:v>
      </x:c>
      <x:c r="AC80" s="226" t="n">
        <x:f>IF(W80="EUR",AA80,IF(W80="GBP",AB80,1))</x:f>
        <x:v>9</x:v>
      </x:c>
      <x:c r="AD80" s="226" t="n">
        <x:f>R80*X80</x:f>
        <x:v>13686.865920000004</x:v>
      </x:c>
      <x:c r="AE80" s="226" t="n">
        <x:f>IF(Y80="PERCENTAGE_OF_BASE_FREIGHT",AD80*Z80,IF(Y80="PER_CHARGEABLE_KG",R80*Z80,P80*Z80))</x:f>
        <x:v>1368.6865920000005</x:v>
      </x:c>
      <x:c r="AF80" s="226" t="n">
        <x:f>AD80*AC80</x:f>
        <x:v>123181.79328000004</x:v>
      </x:c>
      <x:c r="AG80" s="226" t="n">
        <x:f>AE80*AC80</x:f>
        <x:v>12318.179328000004</x:v>
      </x:c>
      <x:c r="AH80" s="226" t="str">
        <x:v>EUR</x:v>
      </x:c>
      <x:c r="AI80" s="226" t="n">
        <x:v>1.18</x:v>
      </x:c>
      <x:c r="AJ80" s="226" t="n">
        <x:f>IF(AH80="EUR",AA80,IF(AH80="GBP",AB80,1))</x:f>
        <x:v>7.8</x:v>
      </x:c>
      <x:c r="AK80" s="226" t="n">
        <x:f>N80*AI80</x:f>
        <x:v>3534.3360000000002</x:v>
      </x:c>
      <x:c r="AL80" s="226" t="n">
        <x:f>AK80*AJ80</x:f>
        <x:v>27567.8208</x:v>
      </x:c>
      <x:c r="AM80" s="226" t="str">
        <x:v>EUR</x:v>
      </x:c>
      <x:c r="AN80" s="226" t="n">
        <x:v>0.42</x:v>
      </x:c>
      <x:c r="AO80" s="226" t="n">
        <x:f>IF(AM80="EUR",AA80,IF(AM80="GBP",AB80,1))</x:f>
        <x:v>7.8</x:v>
      </x:c>
      <x:c r="AP80" s="226" t="n">
        <x:f>P80*AN80</x:f>
        <x:v>1408.9420800000003</x:v>
      </x:c>
      <x:c r="AQ80" s="226" t="n">
        <x:f>AP80*AO80</x:f>
        <x:v>10989.748224000003</x:v>
      </x:c>
      <x:c r="AR80" s="226" t="str">
        <x:v>GBP</x:v>
      </x:c>
      <x:c r="AS80" s="226" t="n">
        <x:v>4.8</x:v>
      </x:c>
      <x:c r="AT80" s="226" t="n">
        <x:f>IF(AR80="EUR",AA80,IF(AR80="GBP",AB80,1))</x:f>
        <x:v>9</x:v>
      </x:c>
      <x:c r="AU80" s="226" t="n">
        <x:f>T80*AS80</x:f>
        <x:v>1150.1568</x:v>
      </x:c>
      <x:c r="AV80" s="226" t="n">
        <x:f>AU80*AT80</x:f>
        <x:v>10351.4112</x:v>
      </x:c>
      <x:c r="AW80" s="226" t="str">
        <x:v>GBP</x:v>
      </x:c>
      <x:c r="AX80" s="226" t="n">
        <x:v>2.3</x:v>
      </x:c>
      <x:c r="AY80" s="226" t="n">
        <x:f>IF(AW80="EUR",AA80,IF(AW80="GBP",AB80,1))</x:f>
        <x:v>9</x:v>
      </x:c>
      <x:c r="AZ80" s="226" t="n">
        <x:f>V80*AX80</x:f>
        <x:v>169.7439744</x:v>
      </x:c>
      <x:c r="BA80" s="226" t="n">
        <x:f>AZ80*AY80</x:f>
        <x:v>1527.6957696000002</x:v>
      </x:c>
      <x:c r="BB80" s="226" t="n">
        <x:f>AF80+AG80+AL80+AQ80+AV80+BA80</x:f>
        <x:v>185936.64860160003</x:v>
      </x:c>
      <x:c r="BC80" s="229" t="n">
        <x:v>0.93</x:v>
      </x:c>
      <x:c r="BD80" s="202" t="str">
        <x:v>UK promotion</x:v>
      </x:c>
      <x:c r="BE80" s="202"/>
      <x:c r="BF80" s="202"/>
      <x:c r="BG80" s="202" t="str">
        <x:v>UNVERIFIED_UNLIMITED_FOR_MVP</x:v>
      </x:c>
    </x:row>
    <x:row r="81">
      <x:c r="A81" s="187" t="str">
        <x:v>BUDGET_2026_V1</x:v>
      </x:c>
      <x:c r="B81" s="187" t="str">
        <x:v>BUDGET</x:v>
      </x:c>
      <x:c r="C81" s="187"/>
      <x:c r="D81" s="217" t="n">
        <x:v>46235</x:v>
      </x:c>
      <x:c r="E81" s="187" t="str">
        <x:v>R_GB_DE_B_ROAD</x:v>
      </x:c>
      <x:c r="F81" s="187" t="str">
        <x:v>GB</x:v>
      </x:c>
      <x:c r="G81" s="187" t="str">
        <x:v>DE_FC</x:v>
      </x:c>
      <x:c r="H81" s="187" t="str">
        <x:v>CARRIER_B</x:v>
      </x:c>
      <x:c r="I81" s="187" t="str">
        <x:v>ROAD</x:v>
      </x:c>
      <x:c r="J81" s="220" t="n">
        <x:v>16000</x:v>
      </x:c>
      <x:c r="K81" s="223" t="n">
        <x:v>0.3</x:v>
      </x:c>
      <x:c r="L81" s="223" t="n">
        <x:v>0.96</x:v>
      </x:c>
      <x:c r="M81" s="223" t="n">
        <x:v>0.25</x:v>
      </x:c>
      <x:c r="N81" s="226" t="n">
        <x:f>J81*K81*L81*M81</x:f>
        <x:v>1152</x:v>
      </x:c>
      <x:c r="O81" s="220" t="n">
        <x:v>1.12</x:v>
      </x:c>
      <x:c r="P81" s="226" t="n">
        <x:f>N81*O81</x:f>
        <x:v>1290.2400000000002</x:v>
      </x:c>
      <x:c r="Q81" s="220" t="n">
        <x:v>1</x:v>
      </x:c>
      <x:c r="R81" s="226" t="n">
        <x:f>P81*Q81</x:f>
        <x:v>1290.2400000000002</x:v>
      </x:c>
      <x:c r="S81" s="220" t="n">
        <x:v>0.08</x:v>
      </x:c>
      <x:c r="T81" s="226" t="n">
        <x:f>N81*S81</x:f>
        <x:v>92.16</x:v>
      </x:c>
      <x:c r="U81" s="226" t="n">
        <x:v>0.017</x:v>
      </x:c>
      <x:c r="V81" s="226" t="n">
        <x:f>P81*U81</x:f>
        <x:v>21.934080000000005</x:v>
      </x:c>
      <x:c r="W81" s="196" t="str">
        <x:v>GBP</x:v>
      </x:c>
      <x:c r="X81" s="220" t="n">
        <x:v>4.7</x:v>
      </x:c>
      <x:c r="Y81" s="196" t="str">
        <x:v>PER_CHARGEABLE_KG</x:v>
      </x:c>
      <x:c r="Z81" s="220" t="n">
        <x:v>0.33</x:v>
      </x:c>
      <x:c r="AA81" s="220" t="n">
        <x:v>7.8</x:v>
      </x:c>
      <x:c r="AB81" s="220" t="n">
        <x:v>9</x:v>
      </x:c>
      <x:c r="AC81" s="226" t="n">
        <x:f>IF(W81="EUR",AA81,IF(W81="GBP",AB81,1))</x:f>
        <x:v>9</x:v>
      </x:c>
      <x:c r="AD81" s="226" t="n">
        <x:f>R81*X81</x:f>
        <x:v>6064.1280000000015</x:v>
      </x:c>
      <x:c r="AE81" s="226" t="n">
        <x:f>IF(Y81="PERCENTAGE_OF_BASE_FREIGHT",AD81*Z81,IF(Y81="PER_CHARGEABLE_KG",R81*Z81,P81*Z81))</x:f>
        <x:v>425.7792000000001</x:v>
      </x:c>
      <x:c r="AF81" s="226" t="n">
        <x:f>AD81*AC81</x:f>
        <x:v>54577.15200000002</x:v>
      </x:c>
      <x:c r="AG81" s="226" t="n">
        <x:f>AE81*AC81</x:f>
        <x:v>3832.012800000001</x:v>
      </x:c>
      <x:c r="AH81" s="226" t="str">
        <x:v>EUR</x:v>
      </x:c>
      <x:c r="AI81" s="226" t="n">
        <x:v>1.18</x:v>
      </x:c>
      <x:c r="AJ81" s="226" t="n">
        <x:f>IF(AH81="EUR",AA81,IF(AH81="GBP",AB81,1))</x:f>
        <x:v>7.8</x:v>
      </x:c>
      <x:c r="AK81" s="226" t="n">
        <x:f>N81*AI81</x:f>
        <x:v>1359.36</x:v>
      </x:c>
      <x:c r="AL81" s="226" t="n">
        <x:f>AK81*AJ81</x:f>
        <x:v>10603.008</x:v>
      </x:c>
      <x:c r="AM81" s="226" t="str">
        <x:v>EUR</x:v>
      </x:c>
      <x:c r="AN81" s="226" t="n">
        <x:v>0.42</x:v>
      </x:c>
      <x:c r="AO81" s="226" t="n">
        <x:f>IF(AM81="EUR",AA81,IF(AM81="GBP",AB81,1))</x:f>
        <x:v>7.8</x:v>
      </x:c>
      <x:c r="AP81" s="226" t="n">
        <x:f>P81*AN81</x:f>
        <x:v>541.9008000000001</x:v>
      </x:c>
      <x:c r="AQ81" s="226" t="n">
        <x:f>AP81*AO81</x:f>
        <x:v>4226.826240000001</x:v>
      </x:c>
      <x:c r="AR81" s="226" t="str">
        <x:v>GBP</x:v>
      </x:c>
      <x:c r="AS81" s="226" t="n">
        <x:v>4.8</x:v>
      </x:c>
      <x:c r="AT81" s="226" t="n">
        <x:f>IF(AR81="EUR",AA81,IF(AR81="GBP",AB81,1))</x:f>
        <x:v>9</x:v>
      </x:c>
      <x:c r="AU81" s="226" t="n">
        <x:f>T81*AS81</x:f>
        <x:v>442.368</x:v>
      </x:c>
      <x:c r="AV81" s="226" t="n">
        <x:f>AU81*AT81</x:f>
        <x:v>3981.312</x:v>
      </x:c>
      <x:c r="AW81" s="226" t="str">
        <x:v>GBP</x:v>
      </x:c>
      <x:c r="AX81" s="226" t="n">
        <x:v>2.3</x:v>
      </x:c>
      <x:c r="AY81" s="226" t="n">
        <x:f>IF(AW81="EUR",AA81,IF(AW81="GBP",AB81,1))</x:f>
        <x:v>9</x:v>
      </x:c>
      <x:c r="AZ81" s="226" t="n">
        <x:f>V81*AX81</x:f>
        <x:v>50.44838400000001</x:v>
      </x:c>
      <x:c r="BA81" s="226" t="n">
        <x:f>AZ81*AY81</x:f>
        <x:v>454.0354560000001</x:v>
      </x:c>
      <x:c r="BB81" s="226" t="n">
        <x:f>AF81+AG81+AL81+AQ81+AV81+BA81</x:f>
        <x:v>77674.34649600001</x:v>
      </x:c>
      <x:c r="BC81" s="229" t="n">
        <x:v>0.95</x:v>
      </x:c>
      <x:c r="BD81" s="202" t="str">
        <x:v>UK promotion</x:v>
      </x:c>
      <x:c r="BE81" s="202"/>
      <x:c r="BF81" s="202"/>
      <x:c r="BG81" s="202" t="str">
        <x:v>UNVERIFIED_UNLIMITED_FOR_MVP</x:v>
      </x:c>
    </x:row>
    <x:row r="82">
      <x:c r="A82" s="187" t="str">
        <x:v>BUDGET_2026_V1</x:v>
      </x:c>
      <x:c r="B82" s="187" t="str">
        <x:v>BUDGET</x:v>
      </x:c>
      <x:c r="C82" s="187"/>
      <x:c r="D82" s="217" t="n">
        <x:v>46235</x:v>
      </x:c>
      <x:c r="E82" s="187" t="str">
        <x:v>R_GB_DE_B_AIR</x:v>
      </x:c>
      <x:c r="F82" s="187" t="str">
        <x:v>GB</x:v>
      </x:c>
      <x:c r="G82" s="187" t="str">
        <x:v>DE_FC</x:v>
      </x:c>
      <x:c r="H82" s="187" t="str">
        <x:v>CARRIER_B</x:v>
      </x:c>
      <x:c r="I82" s="187" t="str">
        <x:v>AIR</x:v>
      </x:c>
      <x:c r="J82" s="220" t="n">
        <x:v>16000</x:v>
      </x:c>
      <x:c r="K82" s="223" t="n">
        <x:v>0.3</x:v>
      </x:c>
      <x:c r="L82" s="223" t="n">
        <x:v>0.96</x:v>
      </x:c>
      <x:c r="M82" s="223" t="n">
        <x:v>0.07</x:v>
      </x:c>
      <x:c r="N82" s="226" t="n">
        <x:f>J82*K82*L82*M82</x:f>
        <x:v>322.56000000000006</x:v>
      </x:c>
      <x:c r="O82" s="220" t="n">
        <x:v>1.12</x:v>
      </x:c>
      <x:c r="P82" s="226" t="n">
        <x:f>N82*O82</x:f>
        <x:v>361.2672000000001</x:v>
      </x:c>
      <x:c r="Q82" s="220" t="n">
        <x:v>0.94</x:v>
      </x:c>
      <x:c r="R82" s="226" t="n">
        <x:f>P82*Q82</x:f>
        <x:v>339.5911680000001</x:v>
      </x:c>
      <x:c r="S82" s="220" t="n">
        <x:v>0.08</x:v>
      </x:c>
      <x:c r="T82" s="226" t="n">
        <x:f>N82*S82</x:f>
        <x:v>25.804800000000004</x:v>
      </x:c>
      <x:c r="U82" s="226" t="n">
        <x:v>0.013</x:v>
      </x:c>
      <x:c r="V82" s="226" t="n">
        <x:f>P82*U82</x:f>
        <x:v>4.696473600000001</x:v>
      </x:c>
      <x:c r="W82" s="196" t="str">
        <x:v>GBP</x:v>
      </x:c>
      <x:c r="X82" s="220" t="n">
        <x:v>6.2</x:v>
      </x:c>
      <x:c r="Y82" s="196" t="str">
        <x:v>PERCENTAGE_OF_BASE_FREIGHT</x:v>
      </x:c>
      <x:c r="Z82" s="220" t="n">
        <x:v>0.115</x:v>
      </x:c>
      <x:c r="AA82" s="220" t="n">
        <x:v>7.8</x:v>
      </x:c>
      <x:c r="AB82" s="220" t="n">
        <x:v>9</x:v>
      </x:c>
      <x:c r="AC82" s="226" t="n">
        <x:f>IF(W82="EUR",AA82,IF(W82="GBP",AB82,1))</x:f>
        <x:v>9</x:v>
      </x:c>
      <x:c r="AD82" s="226" t="n">
        <x:f>R82*X82</x:f>
        <x:v>2105.465241600001</x:v>
      </x:c>
      <x:c r="AE82" s="226" t="n">
        <x:f>IF(Y82="PERCENTAGE_OF_BASE_FREIGHT",AD82*Z82,IF(Y82="PER_CHARGEABLE_KG",R82*Z82,P82*Z82))</x:f>
        <x:v>242.1285027840001</x:v>
      </x:c>
      <x:c r="AF82" s="226" t="n">
        <x:f>AD82*AC82</x:f>
        <x:v>18949.18717440001</x:v>
      </x:c>
      <x:c r="AG82" s="226" t="n">
        <x:f>AE82*AC82</x:f>
        <x:v>2179.1565250560006</x:v>
      </x:c>
      <x:c r="AH82" s="226" t="str">
        <x:v>EUR</x:v>
      </x:c>
      <x:c r="AI82" s="226" t="n">
        <x:v>1.18</x:v>
      </x:c>
      <x:c r="AJ82" s="226" t="n">
        <x:f>IF(AH82="EUR",AA82,IF(AH82="GBP",AB82,1))</x:f>
        <x:v>7.8</x:v>
      </x:c>
      <x:c r="AK82" s="226" t="n">
        <x:f>N82*AI82</x:f>
        <x:v>380.62080000000003</x:v>
      </x:c>
      <x:c r="AL82" s="226" t="n">
        <x:f>AK82*AJ82</x:f>
        <x:v>2968.8422400000004</x:v>
      </x:c>
      <x:c r="AM82" s="226" t="str">
        <x:v>EUR</x:v>
      </x:c>
      <x:c r="AN82" s="226" t="n">
        <x:v>0.42</x:v>
      </x:c>
      <x:c r="AO82" s="226" t="n">
        <x:f>IF(AM82="EUR",AA82,IF(AM82="GBP",AB82,1))</x:f>
        <x:v>7.8</x:v>
      </x:c>
      <x:c r="AP82" s="226" t="n">
        <x:f>P82*AN82</x:f>
        <x:v>151.73222400000003</x:v>
      </x:c>
      <x:c r="AQ82" s="226" t="n">
        <x:f>AP82*AO82</x:f>
        <x:v>1183.5113472000003</x:v>
      </x:c>
      <x:c r="AR82" s="226" t="str">
        <x:v>GBP</x:v>
      </x:c>
      <x:c r="AS82" s="226" t="n">
        <x:v>4.8</x:v>
      </x:c>
      <x:c r="AT82" s="226" t="n">
        <x:f>IF(AR82="EUR",AA82,IF(AR82="GBP",AB82,1))</x:f>
        <x:v>9</x:v>
      </x:c>
      <x:c r="AU82" s="226" t="n">
        <x:f>T82*AS82</x:f>
        <x:v>123.86304000000001</x:v>
      </x:c>
      <x:c r="AV82" s="226" t="n">
        <x:f>AU82*AT82</x:f>
        <x:v>1114.76736</x:v>
      </x:c>
      <x:c r="AW82" s="226" t="str">
        <x:v>GBP</x:v>
      </x:c>
      <x:c r="AX82" s="226" t="n">
        <x:v>2.8</x:v>
      </x:c>
      <x:c r="AY82" s="226" t="n">
        <x:f>IF(AW82="EUR",AA82,IF(AW82="GBP",AB82,1))</x:f>
        <x:v>9</x:v>
      </x:c>
      <x:c r="AZ82" s="226" t="n">
        <x:f>V82*AX82</x:f>
        <x:v>13.150126080000001</x:v>
      </x:c>
      <x:c r="BA82" s="226" t="n">
        <x:f>AZ82*AY82</x:f>
        <x:v>118.35113472000002</x:v>
      </x:c>
      <x:c r="BB82" s="226" t="n">
        <x:f>AF82+AG82+AL82+AQ82+AV82+BA82</x:f>
        <x:v>26513.815781376015</x:v>
      </x:c>
      <x:c r="BC82" s="229" t="n">
        <x:v>0.974</x:v>
      </x:c>
      <x:c r="BD82" s="202" t="str">
        <x:v>UK promotion</x:v>
      </x:c>
      <x:c r="BE82" s="202"/>
      <x:c r="BF82" s="202"/>
      <x:c r="BG82" s="202" t="str">
        <x:v>UNVERIFIED_UNLIMITED_FOR_MVP</x:v>
      </x:c>
    </x:row>
    <x:row r="83">
      <x:c r="A83" s="187" t="str">
        <x:v>BUDGET_2026_V1</x:v>
      </x:c>
      <x:c r="B83" s="187" t="str">
        <x:v>BUDGET</x:v>
      </x:c>
      <x:c r="C83" s="187"/>
      <x:c r="D83" s="217" t="n">
        <x:v>46235</x:v>
      </x:c>
      <x:c r="E83" s="187" t="str">
        <x:v>R_GB_DE_C_AIR</x:v>
      </x:c>
      <x:c r="F83" s="187" t="str">
        <x:v>GB</x:v>
      </x:c>
      <x:c r="G83" s="187" t="str">
        <x:v>DE_FC</x:v>
      </x:c>
      <x:c r="H83" s="187" t="str">
        <x:v>CARRIER_C</x:v>
      </x:c>
      <x:c r="I83" s="187" t="str">
        <x:v>AIR</x:v>
      </x:c>
      <x:c r="J83" s="220" t="n">
        <x:v>16000</x:v>
      </x:c>
      <x:c r="K83" s="223" t="n">
        <x:v>0.3</x:v>
      </x:c>
      <x:c r="L83" s="223" t="n">
        <x:v>0.96</x:v>
      </x:c>
      <x:c r="M83" s="223" t="n">
        <x:v>0.03</x:v>
      </x:c>
      <x:c r="N83" s="226" t="n">
        <x:f>J83*K83*L83*M83</x:f>
        <x:v>138.24</x:v>
      </x:c>
      <x:c r="O83" s="220" t="n">
        <x:v>1.12</x:v>
      </x:c>
      <x:c r="P83" s="226" t="n">
        <x:f>N83*O83</x:f>
        <x:v>154.82880000000003</x:v>
      </x:c>
      <x:c r="Q83" s="220" t="n">
        <x:v>0.92</x:v>
      </x:c>
      <x:c r="R83" s="226" t="n">
        <x:f>P83*Q83</x:f>
        <x:v>142.44249600000003</x:v>
      </x:c>
      <x:c r="S83" s="220" t="n">
        <x:v>0.08</x:v>
      </x:c>
      <x:c r="T83" s="226" t="n">
        <x:f>N83*S83</x:f>
        <x:v>11.0592</x:v>
      </x:c>
      <x:c r="U83" s="226" t="n">
        <x:v>0.009</x:v>
      </x:c>
      <x:c r="V83" s="226" t="n">
        <x:f>P83*U83</x:f>
        <x:v>1.3934592000000001</x:v>
      </x:c>
      <x:c r="W83" s="196" t="str">
        <x:v>GBP</x:v>
      </x:c>
      <x:c r="X83" s="220" t="n">
        <x:v>7.5</x:v>
      </x:c>
      <x:c r="Y83" s="196" t="str">
        <x:v>PER_CHARGEABLE_KG</x:v>
      </x:c>
      <x:c r="Z83" s="220" t="n">
        <x:v>0.58</x:v>
      </x:c>
      <x:c r="AA83" s="220" t="n">
        <x:v>7.8</x:v>
      </x:c>
      <x:c r="AB83" s="220" t="n">
        <x:v>9</x:v>
      </x:c>
      <x:c r="AC83" s="226" t="n">
        <x:f>IF(W83="EUR",AA83,IF(W83="GBP",AB83,1))</x:f>
        <x:v>9</x:v>
      </x:c>
      <x:c r="AD83" s="226" t="n">
        <x:f>R83*X83</x:f>
        <x:v>1068.3187200000002</x:v>
      </x:c>
      <x:c r="AE83" s="226" t="n">
        <x:f>IF(Y83="PERCENTAGE_OF_BASE_FREIGHT",AD83*Z83,IF(Y83="PER_CHARGEABLE_KG",R83*Z83,P83*Z83))</x:f>
        <x:v>82.61664768000001</x:v>
      </x:c>
      <x:c r="AF83" s="226" t="n">
        <x:f>AD83*AC83</x:f>
        <x:v>9614.868480000001</x:v>
      </x:c>
      <x:c r="AG83" s="226" t="n">
        <x:f>AE83*AC83</x:f>
        <x:v>743.5498291200001</x:v>
      </x:c>
      <x:c r="AH83" s="226" t="str">
        <x:v>EUR</x:v>
      </x:c>
      <x:c r="AI83" s="226" t="n">
        <x:v>1.18</x:v>
      </x:c>
      <x:c r="AJ83" s="226" t="n">
        <x:f>IF(AH83="EUR",AA83,IF(AH83="GBP",AB83,1))</x:f>
        <x:v>7.8</x:v>
      </x:c>
      <x:c r="AK83" s="226" t="n">
        <x:f>N83*AI83</x:f>
        <x:v>163.1232</x:v>
      </x:c>
      <x:c r="AL83" s="226" t="n">
        <x:f>AK83*AJ83</x:f>
        <x:v>1272.36096</x:v>
      </x:c>
      <x:c r="AM83" s="226" t="str">
        <x:v>EUR</x:v>
      </x:c>
      <x:c r="AN83" s="226" t="n">
        <x:v>0.42</x:v>
      </x:c>
      <x:c r="AO83" s="226" t="n">
        <x:f>IF(AM83="EUR",AA83,IF(AM83="GBP",AB83,1))</x:f>
        <x:v>7.8</x:v>
      </x:c>
      <x:c r="AP83" s="226" t="n">
        <x:f>P83*AN83</x:f>
        <x:v>65.028096</x:v>
      </x:c>
      <x:c r="AQ83" s="226" t="n">
        <x:f>AP83*AO83</x:f>
        <x:v>507.2191488</x:v>
      </x:c>
      <x:c r="AR83" s="226" t="str">
        <x:v>GBP</x:v>
      </x:c>
      <x:c r="AS83" s="226" t="n">
        <x:v>4.8</x:v>
      </x:c>
      <x:c r="AT83" s="226" t="n">
        <x:f>IF(AR83="EUR",AA83,IF(AR83="GBP",AB83,1))</x:f>
        <x:v>9</x:v>
      </x:c>
      <x:c r="AU83" s="226" t="n">
        <x:f>T83*AS83</x:f>
        <x:v>53.084160000000004</x:v>
      </x:c>
      <x:c r="AV83" s="226" t="n">
        <x:f>AU83*AT83</x:f>
        <x:v>477.75744000000003</x:v>
      </x:c>
      <x:c r="AW83" s="226" t="str">
        <x:v>GBP</x:v>
      </x:c>
      <x:c r="AX83" s="226" t="n">
        <x:v>3.6</x:v>
      </x:c>
      <x:c r="AY83" s="226" t="n">
        <x:f>IF(AW83="EUR",AA83,IF(AW83="GBP",AB83,1))</x:f>
        <x:v>9</x:v>
      </x:c>
      <x:c r="AZ83" s="226" t="n">
        <x:f>V83*AX83</x:f>
        <x:v>5.01645312</x:v>
      </x:c>
      <x:c r="BA83" s="226" t="n">
        <x:f>AZ83*AY83</x:f>
        <x:v>45.148078080000005</x:v>
      </x:c>
      <x:c r="BB83" s="226" t="n">
        <x:f>AF83+AG83+AL83+AQ83+AV83+BA83</x:f>
        <x:v>12660.903936</x:v>
      </x:c>
      <x:c r="BC83" s="229" t="n">
        <x:v>0.988</x:v>
      </x:c>
      <x:c r="BD83" s="202" t="str">
        <x:v>UK promotion</x:v>
      </x:c>
      <x:c r="BE83" s="202"/>
      <x:c r="BF83" s="202"/>
      <x:c r="BG83" s="202" t="str">
        <x:v>UNVERIFIED_UNLIMITED_FOR_MVP</x:v>
      </x:c>
    </x:row>
    <x:row r="84">
      <x:c r="A84" s="187" t="str">
        <x:v>BUDGET_2026_V1</x:v>
      </x:c>
      <x:c r="B84" s="187" t="str">
        <x:v>BUDGET</x:v>
      </x:c>
      <x:c r="C84" s="187"/>
      <x:c r="D84" s="217" t="n">
        <x:v>46235</x:v>
      </x:c>
      <x:c r="E84" s="187" t="str">
        <x:v>R_GB_FR_B_AIR</x:v>
      </x:c>
      <x:c r="F84" s="187" t="str">
        <x:v>GB</x:v>
      </x:c>
      <x:c r="G84" s="187" t="str">
        <x:v>FR_FC</x:v>
      </x:c>
      <x:c r="H84" s="187" t="str">
        <x:v>CARRIER_B</x:v>
      </x:c>
      <x:c r="I84" s="187" t="str">
        <x:v>AIR</x:v>
      </x:c>
      <x:c r="J84" s="220" t="n">
        <x:v>16000</x:v>
      </x:c>
      <x:c r="K84" s="223" t="n">
        <x:v>0.3</x:v>
      </x:c>
      <x:c r="L84" s="223" t="n">
        <x:v>0.04</x:v>
      </x:c>
      <x:c r="M84" s="223" t="n">
        <x:v>1</x:v>
      </x:c>
      <x:c r="N84" s="226" t="n">
        <x:f>J84*K84*L84*M84</x:f>
        <x:v>192</x:v>
      </x:c>
      <x:c r="O84" s="220" t="n">
        <x:v>1.15</x:v>
      </x:c>
      <x:c r="P84" s="226" t="n">
        <x:f>N84*O84</x:f>
        <x:v>220.79999999999998</x:v>
      </x:c>
      <x:c r="Q84" s="220" t="n">
        <x:v>0.9</x:v>
      </x:c>
      <x:c r="R84" s="226" t="n">
        <x:f>P84*Q84</x:f>
        <x:v>198.72</x:v>
      </x:c>
      <x:c r="S84" s="220" t="n">
        <x:v>0.08</x:v>
      </x:c>
      <x:c r="T84" s="226" t="n">
        <x:f>N84*S84</x:f>
        <x:v>15.36</x:v>
      </x:c>
      <x:c r="U84" s="226" t="n">
        <x:v>0.012</x:v>
      </x:c>
      <x:c r="V84" s="226" t="n">
        <x:f>P84*U84</x:f>
        <x:v>2.6496</x:v>
      </x:c>
      <x:c r="W84" s="196" t="str">
        <x:v>EUR</x:v>
      </x:c>
      <x:c r="X84" s="220" t="n">
        <x:v>6.7</x:v>
      </x:c>
      <x:c r="Y84" s="196" t="str">
        <x:v>PERCENTAGE_OF_BASE_FREIGHT</x:v>
      </x:c>
      <x:c r="Z84" s="220" t="n">
        <x:v>0.105</x:v>
      </x:c>
      <x:c r="AA84" s="220" t="n">
        <x:v>7.8</x:v>
      </x:c>
      <x:c r="AB84" s="220" t="n">
        <x:v>9</x:v>
      </x:c>
      <x:c r="AC84" s="226" t="n">
        <x:f>IF(W84="EUR",AA84,IF(W84="GBP",AB84,1))</x:f>
        <x:v>7.8</x:v>
      </x:c>
      <x:c r="AD84" s="226" t="n">
        <x:f>R84*X84</x:f>
        <x:v>1331.424</x:v>
      </x:c>
      <x:c r="AE84" s="226" t="n">
        <x:f>IF(Y84="PERCENTAGE_OF_BASE_FREIGHT",AD84*Z84,IF(Y84="PER_CHARGEABLE_KG",R84*Z84,P84*Z84))</x:f>
        <x:v>139.79952</x:v>
      </x:c>
      <x:c r="AF84" s="226" t="n">
        <x:f>AD84*AC84</x:f>
        <x:v>10385.1072</x:v>
      </x:c>
      <x:c r="AG84" s="226" t="n">
        <x:f>AE84*AC84</x:f>
        <x:v>1090.436256</x:v>
      </x:c>
      <x:c r="AH84" s="226" t="str">
        <x:v>EUR</x:v>
      </x:c>
      <x:c r="AI84" s="226" t="n">
        <x:v>1.05</x:v>
      </x:c>
      <x:c r="AJ84" s="226" t="n">
        <x:f>IF(AH84="EUR",AA84,IF(AH84="GBP",AB84,1))</x:f>
        <x:v>7.8</x:v>
      </x:c>
      <x:c r="AK84" s="226" t="n">
        <x:f>N84*AI84</x:f>
        <x:v>201.60000000000002</x:v>
      </x:c>
      <x:c r="AL84" s="226" t="n">
        <x:f>AK84*AJ84</x:f>
        <x:v>1572.4800000000002</x:v>
      </x:c>
      <x:c r="AM84" s="226" t="str">
        <x:v>EUR</x:v>
      </x:c>
      <x:c r="AN84" s="226" t="n">
        <x:v>0.38</x:v>
      </x:c>
      <x:c r="AO84" s="226" t="n">
        <x:f>IF(AM84="EUR",AA84,IF(AM84="GBP",AB84,1))</x:f>
        <x:v>7.8</x:v>
      </x:c>
      <x:c r="AP84" s="226" t="n">
        <x:f>P84*AN84</x:f>
        <x:v>83.904</x:v>
      </x:c>
      <x:c r="AQ84" s="226" t="n">
        <x:f>AP84*AO84</x:f>
        <x:v>654.4512</x:v>
      </x:c>
      <x:c r="AR84" s="226" t="str">
        <x:v>EUR</x:v>
      </x:c>
      <x:c r="AS84" s="226" t="n">
        <x:v>5.2</x:v>
      </x:c>
      <x:c r="AT84" s="226" t="n">
        <x:f>IF(AR84="EUR",AA84,IF(AR84="GBP",AB84,1))</x:f>
        <x:v>7.8</x:v>
      </x:c>
      <x:c r="AU84" s="226" t="n">
        <x:f>T84*AS84</x:f>
        <x:v>79.872</x:v>
      </x:c>
      <x:c r="AV84" s="226" t="n">
        <x:f>AU84*AT84</x:f>
        <x:v>623.0015999999999</x:v>
      </x:c>
      <x:c r="AW84" s="226" t="str">
        <x:v>EUR</x:v>
      </x:c>
      <x:c r="AX84" s="226" t="n">
        <x:v>2.8</x:v>
      </x:c>
      <x:c r="AY84" s="226" t="n">
        <x:f>IF(AW84="EUR",AA84,IF(AW84="GBP",AB84,1))</x:f>
        <x:v>7.8</x:v>
      </x:c>
      <x:c r="AZ84" s="226" t="n">
        <x:f>V84*AX84</x:f>
        <x:v>7.41888</x:v>
      </x:c>
      <x:c r="BA84" s="226" t="n">
        <x:f>AZ84*AY84</x:f>
        <x:v>57.867264</x:v>
      </x:c>
      <x:c r="BB84" s="226" t="n">
        <x:f>AF84+AG84+AL84+AQ84+AV84+BA84</x:f>
        <x:v>14383.343519999999</x:v>
      </x:c>
      <x:c r="BC84" s="229" t="n">
        <x:v>0.971</x:v>
      </x:c>
      <x:c r="BD84" s="202" t="str">
        <x:v>UK promotion</x:v>
      </x:c>
      <x:c r="BE84" s="202"/>
      <x:c r="BF84" s="202"/>
      <x:c r="BG84" s="202" t="str">
        <x:v>UNVERIFIED_UNLIMITED_FOR_MVP</x:v>
      </x:c>
    </x:row>
    <x:row r="85">
      <x:c r="A85" s="187" t="str">
        <x:v>BUDGET_2026_V1</x:v>
      </x:c>
      <x:c r="B85" s="187" t="str">
        <x:v>BUDGET</x:v>
      </x:c>
      <x:c r="C85" s="187"/>
      <x:c r="D85" s="217" t="n">
        <x:v>46266</x:v>
      </x:c>
      <x:c r="E85" s="187" t="str">
        <x:v>R_DE_DE_A_ROAD</x:v>
      </x:c>
      <x:c r="F85" s="187" t="str">
        <x:v>DE</x:v>
      </x:c>
      <x:c r="G85" s="187" t="str">
        <x:v>DE_FC</x:v>
      </x:c>
      <x:c r="H85" s="187" t="str">
        <x:v>CARRIER_A</x:v>
      </x:c>
      <x:c r="I85" s="187" t="str">
        <x:v>ROAD</x:v>
      </x:c>
      <x:c r="J85" s="220" t="n">
        <x:v>16000</x:v>
      </x:c>
      <x:c r="K85" s="223" t="n">
        <x:v>0.38</x:v>
      </x:c>
      <x:c r="L85" s="223" t="n">
        <x:v>0.97</x:v>
      </x:c>
      <x:c r="M85" s="223" t="n">
        <x:v>0.6</x:v>
      </x:c>
      <x:c r="N85" s="226" t="n">
        <x:f>J85*K85*L85*M85</x:f>
        <x:v>3538.5599999999995</x:v>
      </x:c>
      <x:c r="O85" s="220" t="n">
        <x:v>1.05</x:v>
      </x:c>
      <x:c r="P85" s="226" t="n">
        <x:f>N85*O85</x:f>
        <x:v>3715.488</x:v>
      </x:c>
      <x:c r="Q85" s="220" t="n">
        <x:v>0.78</x:v>
      </x:c>
      <x:c r="R85" s="226" t="n">
        <x:f>P85*Q85</x:f>
        <x:v>2898.08064</x:v>
      </x:c>
      <x:c r="S85" s="220" t="n">
        <x:v>0.05</x:v>
      </x:c>
      <x:c r="T85" s="226" t="n">
        <x:f>N85*S85</x:f>
        <x:v>176.928</x:v>
      </x:c>
      <x:c r="U85" s="226" t="n">
        <x:v>0.016</x:v>
      </x:c>
      <x:c r="V85" s="226" t="n">
        <x:f>P85*U85</x:f>
        <x:v>59.447808</x:v>
      </x:c>
      <x:c r="W85" s="196" t="str">
        <x:v>EUR</x:v>
      </x:c>
      <x:c r="X85" s="220" t="n">
        <x:v>2.2</x:v>
      </x:c>
      <x:c r="Y85" s="196" t="str">
        <x:v>PERCENTAGE_OF_BASE_FREIGHT</x:v>
      </x:c>
      <x:c r="Z85" s="220" t="n">
        <x:v>0.095</x:v>
      </x:c>
      <x:c r="AA85" s="220" t="n">
        <x:v>7.8</x:v>
      </x:c>
      <x:c r="AB85" s="220" t="n">
        <x:v>9</x:v>
      </x:c>
      <x:c r="AC85" s="226" t="n">
        <x:f>IF(W85="EUR",AA85,IF(W85="GBP",AB85,1))</x:f>
        <x:v>7.8</x:v>
      </x:c>
      <x:c r="AD85" s="226" t="n">
        <x:f>R85*X85</x:f>
        <x:v>6375.777408000001</x:v>
      </x:c>
      <x:c r="AE85" s="226" t="n">
        <x:f>IF(Y85="PERCENTAGE_OF_BASE_FREIGHT",AD85*Z85,IF(Y85="PER_CHARGEABLE_KG",R85*Z85,P85*Z85))</x:f>
        <x:v>605.6988537600001</x:v>
      </x:c>
      <x:c r="AF85" s="226" t="n">
        <x:f>AD85*AC85</x:f>
        <x:v>49731.06378240001</x:v>
      </x:c>
      <x:c r="AG85" s="226" t="n">
        <x:f>AE85*AC85</x:f>
        <x:v>4724.451059328001</x:v>
      </x:c>
      <x:c r="AH85" s="226" t="str">
        <x:v>EUR</x:v>
      </x:c>
      <x:c r="AI85" s="226" t="n">
        <x:v>1.18</x:v>
      </x:c>
      <x:c r="AJ85" s="226" t="n">
        <x:f>IF(AH85="EUR",AA85,IF(AH85="GBP",AB85,1))</x:f>
        <x:v>7.8</x:v>
      </x:c>
      <x:c r="AK85" s="226" t="n">
        <x:f>N85*AI85</x:f>
        <x:v>4175.500799999999</x:v>
      </x:c>
      <x:c r="AL85" s="226" t="n">
        <x:f>AK85*AJ85</x:f>
        <x:v>32568.90623999999</x:v>
      </x:c>
      <x:c r="AM85" s="226" t="str">
        <x:v>EUR</x:v>
      </x:c>
      <x:c r="AN85" s="226" t="n">
        <x:v>0.42</x:v>
      </x:c>
      <x:c r="AO85" s="226" t="n">
        <x:f>IF(AM85="EUR",AA85,IF(AM85="GBP",AB85,1))</x:f>
        <x:v>7.8</x:v>
      </x:c>
      <x:c r="AP85" s="226" t="n">
        <x:f>P85*AN85</x:f>
        <x:v>1560.50496</x:v>
      </x:c>
      <x:c r="AQ85" s="226" t="n">
        <x:f>AP85*AO85</x:f>
        <x:v>12171.938688</x:v>
      </x:c>
      <x:c r="AR85" s="226" t="str">
        <x:v>EUR</x:v>
      </x:c>
      <x:c r="AS85" s="226" t="n">
        <x:v>3.2</x:v>
      </x:c>
      <x:c r="AT85" s="226" t="n">
        <x:f>IF(AR85="EUR",AA85,IF(AR85="GBP",AB85,1))</x:f>
        <x:v>7.8</x:v>
      </x:c>
      <x:c r="AU85" s="226" t="n">
        <x:f>T85*AS85</x:f>
        <x:v>566.1696000000001</x:v>
      </x:c>
      <x:c r="AV85" s="226" t="n">
        <x:f>AU85*AT85</x:f>
        <x:v>4416.122880000001</x:v>
      </x:c>
      <x:c r="AW85" s="226" t="str">
        <x:v>EUR</x:v>
      </x:c>
      <x:c r="AX85" s="226" t="n">
        <x:v>2.3</x:v>
      </x:c>
      <x:c r="AY85" s="226" t="n">
        <x:f>IF(AW85="EUR",AA85,IF(AW85="GBP",AB85,1))</x:f>
        <x:v>7.8</x:v>
      </x:c>
      <x:c r="AZ85" s="226" t="n">
        <x:f>V85*AX85</x:f>
        <x:v>136.7299584</x:v>
      </x:c>
      <x:c r="BA85" s="226" t="n">
        <x:f>AZ85*AY85</x:f>
        <x:v>1066.49367552</x:v>
      </x:c>
      <x:c r="BB85" s="226" t="n">
        <x:f>AF85+AG85+AL85+AQ85+AV85+BA85</x:f>
        <x:v>104678.97632524799</x:v>
      </x:c>
      <x:c r="BC85" s="229" t="n">
        <x:v>0.965</x:v>
      </x:c>
      <x:c r="BD85" s="202"/>
      <x:c r="BE85" s="202"/>
      <x:c r="BF85" s="202"/>
      <x:c r="BG85" s="202" t="str">
        <x:v>UNVERIFIED_UNLIMITED_FOR_MVP</x:v>
      </x:c>
    </x:row>
    <x:row r="86">
      <x:c r="A86" s="187" t="str">
        <x:v>BUDGET_2026_V1</x:v>
      </x:c>
      <x:c r="B86" s="187" t="str">
        <x:v>BUDGET</x:v>
      </x:c>
      <x:c r="C86" s="187"/>
      <x:c r="D86" s="217" t="n">
        <x:v>46266</x:v>
      </x:c>
      <x:c r="E86" s="187" t="str">
        <x:v>R_DE_DE_B_ROAD</x:v>
      </x:c>
      <x:c r="F86" s="187" t="str">
        <x:v>DE</x:v>
      </x:c>
      <x:c r="G86" s="187" t="str">
        <x:v>DE_FC</x:v>
      </x:c>
      <x:c r="H86" s="187" t="str">
        <x:v>CARRIER_B</x:v>
      </x:c>
      <x:c r="I86" s="187" t="str">
        <x:v>ROAD</x:v>
      </x:c>
      <x:c r="J86" s="220" t="n">
        <x:v>16000</x:v>
      </x:c>
      <x:c r="K86" s="223" t="n">
        <x:v>0.38</x:v>
      </x:c>
      <x:c r="L86" s="223" t="n">
        <x:v>0.97</x:v>
      </x:c>
      <x:c r="M86" s="223" t="n">
        <x:v>0.4</x:v>
      </x:c>
      <x:c r="N86" s="226" t="n">
        <x:f>J86*K86*L86*M86</x:f>
        <x:v>2359.04</x:v>
      </x:c>
      <x:c r="O86" s="220" t="n">
        <x:v>1.05</x:v>
      </x:c>
      <x:c r="P86" s="226" t="n">
        <x:f>N86*O86</x:f>
        <x:v>2476.992</x:v>
      </x:c>
      <x:c r="Q86" s="220" t="n">
        <x:v>0.8</x:v>
      </x:c>
      <x:c r="R86" s="226" t="n">
        <x:f>P86*Q86</x:f>
        <x:v>1981.5936000000002</x:v>
      </x:c>
      <x:c r="S86" s="220" t="n">
        <x:v>0.05</x:v>
      </x:c>
      <x:c r="T86" s="226" t="n">
        <x:f>N86*S86</x:f>
        <x:v>117.952</x:v>
      </x:c>
      <x:c r="U86" s="226" t="n">
        <x:v>0.013</x:v>
      </x:c>
      <x:c r="V86" s="226" t="n">
        <x:f>P86*U86</x:f>
        <x:v>32.200896</x:v>
      </x:c>
      <x:c r="W86" s="196" t="str">
        <x:v>EUR</x:v>
      </x:c>
      <x:c r="X86" s="220" t="n">
        <x:v>2.75</x:v>
      </x:c>
      <x:c r="Y86" s="196" t="str">
        <x:v>PER_CHARGEABLE_KG</x:v>
      </x:c>
      <x:c r="Z86" s="220" t="n">
        <x:v>0.21</x:v>
      </x:c>
      <x:c r="AA86" s="220" t="n">
        <x:v>7.8</x:v>
      </x:c>
      <x:c r="AB86" s="220" t="n">
        <x:v>9</x:v>
      </x:c>
      <x:c r="AC86" s="226" t="n">
        <x:f>IF(W86="EUR",AA86,IF(W86="GBP",AB86,1))</x:f>
        <x:v>7.8</x:v>
      </x:c>
      <x:c r="AD86" s="226" t="n">
        <x:f>R86*X86</x:f>
        <x:v>5449.3824</x:v>
      </x:c>
      <x:c r="AE86" s="226" t="n">
        <x:f>IF(Y86="PERCENTAGE_OF_BASE_FREIGHT",AD86*Z86,IF(Y86="PER_CHARGEABLE_KG",R86*Z86,P86*Z86))</x:f>
        <x:v>416.134656</x:v>
      </x:c>
      <x:c r="AF86" s="226" t="n">
        <x:f>AD86*AC86</x:f>
        <x:v>42505.182720000004</x:v>
      </x:c>
      <x:c r="AG86" s="226" t="n">
        <x:f>AE86*AC86</x:f>
        <x:v>3245.8503168</x:v>
      </x:c>
      <x:c r="AH86" s="226" t="str">
        <x:v>EUR</x:v>
      </x:c>
      <x:c r="AI86" s="226" t="n">
        <x:v>1.18</x:v>
      </x:c>
      <x:c r="AJ86" s="226" t="n">
        <x:f>IF(AH86="EUR",AA86,IF(AH86="GBP",AB86,1))</x:f>
        <x:v>7.8</x:v>
      </x:c>
      <x:c r="AK86" s="226" t="n">
        <x:f>N86*AI86</x:f>
        <x:v>2783.6672</x:v>
      </x:c>
      <x:c r="AL86" s="226" t="n">
        <x:f>AK86*AJ86</x:f>
        <x:v>21712.60416</x:v>
      </x:c>
      <x:c r="AM86" s="226" t="str">
        <x:v>EUR</x:v>
      </x:c>
      <x:c r="AN86" s="226" t="n">
        <x:v>0.42</x:v>
      </x:c>
      <x:c r="AO86" s="226" t="n">
        <x:f>IF(AM86="EUR",AA86,IF(AM86="GBP",AB86,1))</x:f>
        <x:v>7.8</x:v>
      </x:c>
      <x:c r="AP86" s="226" t="n">
        <x:f>P86*AN86</x:f>
        <x:v>1040.33664</x:v>
      </x:c>
      <x:c r="AQ86" s="226" t="n">
        <x:f>AP86*AO86</x:f>
        <x:v>8114.625792</x:v>
      </x:c>
      <x:c r="AR86" s="226" t="str">
        <x:v>EUR</x:v>
      </x:c>
      <x:c r="AS86" s="226" t="n">
        <x:v>3.2</x:v>
      </x:c>
      <x:c r="AT86" s="226" t="n">
        <x:f>IF(AR86="EUR",AA86,IF(AR86="GBP",AB86,1))</x:f>
        <x:v>7.8</x:v>
      </x:c>
      <x:c r="AU86" s="226" t="n">
        <x:f>T86*AS86</x:f>
        <x:v>377.44640000000004</x:v>
      </x:c>
      <x:c r="AV86" s="226" t="n">
        <x:f>AU86*AT86</x:f>
        <x:v>2944.08192</x:v>
      </x:c>
      <x:c r="AW86" s="226" t="str">
        <x:v>EUR</x:v>
      </x:c>
      <x:c r="AX86" s="226" t="n">
        <x:v>2.3</x:v>
      </x:c>
      <x:c r="AY86" s="226" t="n">
        <x:f>IF(AW86="EUR",AA86,IF(AW86="GBP",AB86,1))</x:f>
        <x:v>7.8</x:v>
      </x:c>
      <x:c r="AZ86" s="226" t="n">
        <x:f>V86*AX86</x:f>
        <x:v>74.0620608</x:v>
      </x:c>
      <x:c r="BA86" s="226" t="n">
        <x:f>AZ86*AY86</x:f>
        <x:v>577.68407424</x:v>
      </x:c>
      <x:c r="BB86" s="226" t="n">
        <x:f>AF86+AG86+AL86+AQ86+AV86+BA86</x:f>
        <x:v>79100.02898304</x:v>
      </x:c>
      <x:c r="BC86" s="229" t="n">
        <x:v>0.976</x:v>
      </x:c>
      <x:c r="BD86" s="202"/>
      <x:c r="BE86" s="202"/>
      <x:c r="BF86" s="202"/>
      <x:c r="BG86" s="202" t="str">
        <x:v>UNVERIFIED_UNLIMITED_FOR_MVP</x:v>
      </x:c>
    </x:row>
    <x:row r="87">
      <x:c r="A87" s="187" t="str">
        <x:v>BUDGET_2026_V1</x:v>
      </x:c>
      <x:c r="B87" s="187" t="str">
        <x:v>BUDGET</x:v>
      </x:c>
      <x:c r="C87" s="187"/>
      <x:c r="D87" s="217" t="n">
        <x:v>46266</x:v>
      </x:c>
      <x:c r="E87" s="187" t="str">
        <x:v>R_DE_FR_B_ROAD</x:v>
      </x:c>
      <x:c r="F87" s="187" t="str">
        <x:v>DE</x:v>
      </x:c>
      <x:c r="G87" s="187" t="str">
        <x:v>FR_FC</x:v>
      </x:c>
      <x:c r="H87" s="187" t="str">
        <x:v>CARRIER_B</x:v>
      </x:c>
      <x:c r="I87" s="187" t="str">
        <x:v>ROAD</x:v>
      </x:c>
      <x:c r="J87" s="220" t="n">
        <x:v>16000</x:v>
      </x:c>
      <x:c r="K87" s="223" t="n">
        <x:v>0.38</x:v>
      </x:c>
      <x:c r="L87" s="223" t="n">
        <x:v>0.03</x:v>
      </x:c>
      <x:c r="M87" s="223" t="n">
        <x:v>1</x:v>
      </x:c>
      <x:c r="N87" s="226" t="n">
        <x:f>J87*K87*L87*M87</x:f>
        <x:v>182.4</x:v>
      </x:c>
      <x:c r="O87" s="220" t="n">
        <x:v>1.08</x:v>
      </x:c>
      <x:c r="P87" s="226" t="n">
        <x:f>N87*O87</x:f>
        <x:v>196.99200000000002</x:v>
      </x:c>
      <x:c r="Q87" s="220" t="n">
        <x:v>0.86</x:v>
      </x:c>
      <x:c r="R87" s="226" t="n">
        <x:f>P87*Q87</x:f>
        <x:v>169.41312000000002</x:v>
      </x:c>
      <x:c r="S87" s="220" t="n">
        <x:v>0.05</x:v>
      </x:c>
      <x:c r="T87" s="226" t="n">
        <x:f>N87*S87</x:f>
        <x:v>9.120000000000001</x:v>
      </x:c>
      <x:c r="U87" s="226" t="n">
        <x:v>0.014</x:v>
      </x:c>
      <x:c r="V87" s="226" t="n">
        <x:f>P87*U87</x:f>
        <x:v>2.7578880000000003</x:v>
      </x:c>
      <x:c r="W87" s="196" t="str">
        <x:v>EUR</x:v>
      </x:c>
      <x:c r="X87" s="220" t="n">
        <x:v>3.3</x:v>
      </x:c>
      <x:c r="Y87" s="196" t="str">
        <x:v>PER_CHARGEABLE_KG</x:v>
      </x:c>
      <x:c r="Z87" s="220" t="n">
        <x:v>0.24</x:v>
      </x:c>
      <x:c r="AA87" s="220" t="n">
        <x:v>7.8</x:v>
      </x:c>
      <x:c r="AB87" s="220" t="n">
        <x:v>9</x:v>
      </x:c>
      <x:c r="AC87" s="226" t="n">
        <x:f>IF(W87="EUR",AA87,IF(W87="GBP",AB87,1))</x:f>
        <x:v>7.8</x:v>
      </x:c>
      <x:c r="AD87" s="226" t="n">
        <x:f>R87*X87</x:f>
        <x:v>559.063296</x:v>
      </x:c>
      <x:c r="AE87" s="226" t="n">
        <x:f>IF(Y87="PERCENTAGE_OF_BASE_FREIGHT",AD87*Z87,IF(Y87="PER_CHARGEABLE_KG",R87*Z87,P87*Z87))</x:f>
        <x:v>40.659148800000004</x:v>
      </x:c>
      <x:c r="AF87" s="226" t="n">
        <x:f>AD87*AC87</x:f>
        <x:v>4360.6937088</x:v>
      </x:c>
      <x:c r="AG87" s="226" t="n">
        <x:f>AE87*AC87</x:f>
        <x:v>317.14136064</x:v>
      </x:c>
      <x:c r="AH87" s="226" t="str">
        <x:v>EUR</x:v>
      </x:c>
      <x:c r="AI87" s="226" t="n">
        <x:v>1.05</x:v>
      </x:c>
      <x:c r="AJ87" s="226" t="n">
        <x:f>IF(AH87="EUR",AA87,IF(AH87="GBP",AB87,1))</x:f>
        <x:v>7.8</x:v>
      </x:c>
      <x:c r="AK87" s="226" t="n">
        <x:f>N87*AI87</x:f>
        <x:v>191.52</x:v>
      </x:c>
      <x:c r="AL87" s="226" t="n">
        <x:f>AK87*AJ87</x:f>
        <x:v>1493.856</x:v>
      </x:c>
      <x:c r="AM87" s="226" t="str">
        <x:v>EUR</x:v>
      </x:c>
      <x:c r="AN87" s="226" t="n">
        <x:v>0.38</x:v>
      </x:c>
      <x:c r="AO87" s="226" t="n">
        <x:f>IF(AM87="EUR",AA87,IF(AM87="GBP",AB87,1))</x:f>
        <x:v>7.8</x:v>
      </x:c>
      <x:c r="AP87" s="226" t="n">
        <x:f>P87*AN87</x:f>
        <x:v>74.85696000000002</x:v>
      </x:c>
      <x:c r="AQ87" s="226" t="n">
        <x:f>AP87*AO87</x:f>
        <x:v>583.8842880000001</x:v>
      </x:c>
      <x:c r="AR87" s="226" t="str">
        <x:v>EUR</x:v>
      </x:c>
      <x:c r="AS87" s="226" t="n">
        <x:v>3.8</x:v>
      </x:c>
      <x:c r="AT87" s="226" t="n">
        <x:f>IF(AR87="EUR",AA87,IF(AR87="GBP",AB87,1))</x:f>
        <x:v>7.8</x:v>
      </x:c>
      <x:c r="AU87" s="226" t="n">
        <x:f>T87*AS87</x:f>
        <x:v>34.656</x:v>
      </x:c>
      <x:c r="AV87" s="226" t="n">
        <x:f>AU87*AT87</x:f>
        <x:v>270.3168</x:v>
      </x:c>
      <x:c r="AW87" s="226" t="str">
        <x:v>EUR</x:v>
      </x:c>
      <x:c r="AX87" s="226" t="n">
        <x:v>2.3</x:v>
      </x:c>
      <x:c r="AY87" s="226" t="n">
        <x:f>IF(AW87="EUR",AA87,IF(AW87="GBP",AB87,1))</x:f>
        <x:v>7.8</x:v>
      </x:c>
      <x:c r="AZ87" s="226" t="n">
        <x:f>V87*AX87</x:f>
        <x:v>6.3431424000000005</x:v>
      </x:c>
      <x:c r="BA87" s="226" t="n">
        <x:f>AZ87*AY87</x:f>
        <x:v>49.47651072</x:v>
      </x:c>
      <x:c r="BB87" s="226" t="n">
        <x:f>AF87+AG87+AL87+AQ87+AV87+BA87</x:f>
        <x:v>7075.36866816</x:v>
      </x:c>
      <x:c r="BC87" s="229" t="n">
        <x:v>0.968</x:v>
      </x:c>
      <x:c r="BD87" s="202"/>
      <x:c r="BE87" s="202"/>
      <x:c r="BF87" s="202"/>
      <x:c r="BG87" s="202" t="str">
        <x:v>UNVERIFIED_UNLIMITED_FOR_MVP</x:v>
      </x:c>
    </x:row>
    <x:row r="88">
      <x:c r="A88" s="187" t="str">
        <x:v>BUDGET_2026_V1</x:v>
      </x:c>
      <x:c r="B88" s="187" t="str">
        <x:v>BUDGET</x:v>
      </x:c>
      <x:c r="C88" s="187"/>
      <x:c r="D88" s="217" t="n">
        <x:v>46266</x:v>
      </x:c>
      <x:c r="E88" s="187" t="str">
        <x:v>R_FR_FR_A_ROAD</x:v>
      </x:c>
      <x:c r="F88" s="187" t="str">
        <x:v>FR</x:v>
      </x:c>
      <x:c r="G88" s="187" t="str">
        <x:v>FR_FC</x:v>
      </x:c>
      <x:c r="H88" s="187" t="str">
        <x:v>CARRIER_A</x:v>
      </x:c>
      <x:c r="I88" s="187" t="str">
        <x:v>ROAD</x:v>
      </x:c>
      <x:c r="J88" s="220" t="n">
        <x:v>16000</x:v>
      </x:c>
      <x:c r="K88" s="223" t="n">
        <x:v>0.31</x:v>
      </x:c>
      <x:c r="L88" s="223" t="n">
        <x:v>1</x:v>
      </x:c>
      <x:c r="M88" s="223" t="n">
        <x:v>0.35</x:v>
      </x:c>
      <x:c r="N88" s="226" t="n">
        <x:f>J88*K88*L88*M88</x:f>
        <x:v>1736</x:v>
      </x:c>
      <x:c r="O88" s="220" t="n">
        <x:v>1.06</x:v>
      </x:c>
      <x:c r="P88" s="226" t="n">
        <x:f>N88*O88</x:f>
        <x:v>1840.16</x:v>
      </x:c>
      <x:c r="Q88" s="220" t="n">
        <x:v>0.76</x:v>
      </x:c>
      <x:c r="R88" s="226" t="n">
        <x:f>P88*Q88</x:f>
        <x:v>1398.5216</x:v>
      </x:c>
      <x:c r="S88" s="220" t="n">
        <x:v>0.06</x:v>
      </x:c>
      <x:c r="T88" s="226" t="n">
        <x:f>N88*S88</x:f>
        <x:v>104.16</x:v>
      </x:c>
      <x:c r="U88" s="226" t="n">
        <x:v>0.017</x:v>
      </x:c>
      <x:c r="V88" s="226" t="n">
        <x:f>P88*U88</x:f>
        <x:v>31.282720000000005</x:v>
      </x:c>
      <x:c r="W88" s="196" t="str">
        <x:v>EUR</x:v>
      </x:c>
      <x:c r="X88" s="220" t="n">
        <x:v>2.1</x:v>
      </x:c>
      <x:c r="Y88" s="196" t="str">
        <x:v>PERCENTAGE_OF_BASE_FREIGHT</x:v>
      </x:c>
      <x:c r="Z88" s="220" t="n">
        <x:v>0.09</x:v>
      </x:c>
      <x:c r="AA88" s="220" t="n">
        <x:v>7.8</x:v>
      </x:c>
      <x:c r="AB88" s="220" t="n">
        <x:v>9</x:v>
      </x:c>
      <x:c r="AC88" s="226" t="n">
        <x:f>IF(W88="EUR",AA88,IF(W88="GBP",AB88,1))</x:f>
        <x:v>7.8</x:v>
      </x:c>
      <x:c r="AD88" s="226" t="n">
        <x:f>R88*X88</x:f>
        <x:v>2936.89536</x:v>
      </x:c>
      <x:c r="AE88" s="226" t="n">
        <x:f>IF(Y88="PERCENTAGE_OF_BASE_FREIGHT",AD88*Z88,IF(Y88="PER_CHARGEABLE_KG",R88*Z88,P88*Z88))</x:f>
        <x:v>264.3205824</x:v>
      </x:c>
      <x:c r="AF88" s="226" t="n">
        <x:f>AD88*AC88</x:f>
        <x:v>22907.783808</x:v>
      </x:c>
      <x:c r="AG88" s="226" t="n">
        <x:f>AE88*AC88</x:f>
        <x:v>2061.7005427199997</x:v>
      </x:c>
      <x:c r="AH88" s="226" t="str">
        <x:v>EUR</x:v>
      </x:c>
      <x:c r="AI88" s="226" t="n">
        <x:v>1.05</x:v>
      </x:c>
      <x:c r="AJ88" s="226" t="n">
        <x:f>IF(AH88="EUR",AA88,IF(AH88="GBP",AB88,1))</x:f>
        <x:v>7.8</x:v>
      </x:c>
      <x:c r="AK88" s="226" t="n">
        <x:f>N88*AI88</x:f>
        <x:v>1822.8000000000002</x:v>
      </x:c>
      <x:c r="AL88" s="226" t="n">
        <x:f>AK88*AJ88</x:f>
        <x:v>14217.840000000002</x:v>
      </x:c>
      <x:c r="AM88" s="226" t="str">
        <x:v>EUR</x:v>
      </x:c>
      <x:c r="AN88" s="226" t="n">
        <x:v>0.38</x:v>
      </x:c>
      <x:c r="AO88" s="226" t="n">
        <x:f>IF(AM88="EUR",AA88,IF(AM88="GBP",AB88,1))</x:f>
        <x:v>7.8</x:v>
      </x:c>
      <x:c r="AP88" s="226" t="n">
        <x:f>P88*AN88</x:f>
        <x:v>699.2608</x:v>
      </x:c>
      <x:c r="AQ88" s="226" t="n">
        <x:f>AP88*AO88</x:f>
        <x:v>5454.23424</x:v>
      </x:c>
      <x:c r="AR88" s="226" t="str">
        <x:v>EUR</x:v>
      </x:c>
      <x:c r="AS88" s="226" t="n">
        <x:v>3</x:v>
      </x:c>
      <x:c r="AT88" s="226" t="n">
        <x:f>IF(AR88="EUR",AA88,IF(AR88="GBP",AB88,1))</x:f>
        <x:v>7.8</x:v>
      </x:c>
      <x:c r="AU88" s="226" t="n">
        <x:f>T88*AS88</x:f>
        <x:v>312.48</x:v>
      </x:c>
      <x:c r="AV88" s="226" t="n">
        <x:f>AU88*AT88</x:f>
        <x:v>2437.344</x:v>
      </x:c>
      <x:c r="AW88" s="226" t="str">
        <x:v>EUR</x:v>
      </x:c>
      <x:c r="AX88" s="226" t="n">
        <x:v>2.3</x:v>
      </x:c>
      <x:c r="AY88" s="226" t="n">
        <x:f>IF(AW88="EUR",AA88,IF(AW88="GBP",AB88,1))</x:f>
        <x:v>7.8</x:v>
      </x:c>
      <x:c r="AZ88" s="226" t="n">
        <x:f>V88*AX88</x:f>
        <x:v>71.95025600000001</x:v>
      </x:c>
      <x:c r="BA88" s="226" t="n">
        <x:f>AZ88*AY88</x:f>
        <x:v>561.2119968000001</x:v>
      </x:c>
      <x:c r="BB88" s="226" t="n">
        <x:f>AF88+AG88+AL88+AQ88+AV88+BA88</x:f>
        <x:v>47640.114587519995</x:v>
      </x:c>
      <x:c r="BC88" s="229" t="n">
        <x:v>0.961</x:v>
      </x:c>
      <x:c r="BD88" s="202"/>
      <x:c r="BE88" s="202"/>
      <x:c r="BF88" s="202"/>
      <x:c r="BG88" s="202" t="str">
        <x:v>UNVERIFIED_UNLIMITED_FOR_MVP</x:v>
      </x:c>
    </x:row>
    <x:row r="89">
      <x:c r="A89" s="187" t="str">
        <x:v>BUDGET_2026_V1</x:v>
      </x:c>
      <x:c r="B89" s="187" t="str">
        <x:v>BUDGET</x:v>
      </x:c>
      <x:c r="C89" s="187"/>
      <x:c r="D89" s="217" t="n">
        <x:v>46266</x:v>
      </x:c>
      <x:c r="E89" s="187" t="str">
        <x:v>R_FR_FR_B_ROAD</x:v>
      </x:c>
      <x:c r="F89" s="187" t="str">
        <x:v>FR</x:v>
      </x:c>
      <x:c r="G89" s="187" t="str">
        <x:v>FR_FC</x:v>
      </x:c>
      <x:c r="H89" s="187" t="str">
        <x:v>CARRIER_B</x:v>
      </x:c>
      <x:c r="I89" s="187" t="str">
        <x:v>ROAD</x:v>
      </x:c>
      <x:c r="J89" s="220" t="n">
        <x:v>16000</x:v>
      </x:c>
      <x:c r="K89" s="223" t="n">
        <x:v>0.31</x:v>
      </x:c>
      <x:c r="L89" s="223" t="n">
        <x:v>1</x:v>
      </x:c>
      <x:c r="M89" s="223" t="n">
        <x:v>0.65</x:v>
      </x:c>
      <x:c r="N89" s="226" t="n">
        <x:f>J89*K89*L89*M89</x:f>
        <x:v>3224</x:v>
      </x:c>
      <x:c r="O89" s="220" t="n">
        <x:v>1.06</x:v>
      </x:c>
      <x:c r="P89" s="226" t="n">
        <x:f>N89*O89</x:f>
        <x:v>3417.44</x:v>
      </x:c>
      <x:c r="Q89" s="220" t="n">
        <x:v>0.79</x:v>
      </x:c>
      <x:c r="R89" s="226" t="n">
        <x:f>P89*Q89</x:f>
        <x:v>2699.7776000000003</x:v>
      </x:c>
      <x:c r="S89" s="220" t="n">
        <x:v>0.06</x:v>
      </x:c>
      <x:c r="T89" s="226" t="n">
        <x:f>N89*S89</x:f>
        <x:v>193.44</x:v>
      </x:c>
      <x:c r="U89" s="226" t="n">
        <x:v>0.014</x:v>
      </x:c>
      <x:c r="V89" s="226" t="n">
        <x:f>P89*U89</x:f>
        <x:v>47.84416</x:v>
      </x:c>
      <x:c r="W89" s="196" t="str">
        <x:v>EUR</x:v>
      </x:c>
      <x:c r="X89" s="220" t="n">
        <x:v>2.6</x:v>
      </x:c>
      <x:c r="Y89" s="196" t="str">
        <x:v>PER_CHARGEABLE_KG</x:v>
      </x:c>
      <x:c r="Z89" s="220" t="n">
        <x:v>0.2</x:v>
      </x:c>
      <x:c r="AA89" s="220" t="n">
        <x:v>7.8</x:v>
      </x:c>
      <x:c r="AB89" s="220" t="n">
        <x:v>9</x:v>
      </x:c>
      <x:c r="AC89" s="226" t="n">
        <x:f>IF(W89="EUR",AA89,IF(W89="GBP",AB89,1))</x:f>
        <x:v>7.8</x:v>
      </x:c>
      <x:c r="AD89" s="226" t="n">
        <x:f>R89*X89</x:f>
        <x:v>7019.421760000001</x:v>
      </x:c>
      <x:c r="AE89" s="226" t="n">
        <x:f>IF(Y89="PERCENTAGE_OF_BASE_FREIGHT",AD89*Z89,IF(Y89="PER_CHARGEABLE_KG",R89*Z89,P89*Z89))</x:f>
        <x:v>539.9555200000001</x:v>
      </x:c>
      <x:c r="AF89" s="226" t="n">
        <x:f>AD89*AC89</x:f>
        <x:v>54751.48972800001</x:v>
      </x:c>
      <x:c r="AG89" s="226" t="n">
        <x:f>AE89*AC89</x:f>
        <x:v>4211.653056000001</x:v>
      </x:c>
      <x:c r="AH89" s="226" t="str">
        <x:v>EUR</x:v>
      </x:c>
      <x:c r="AI89" s="226" t="n">
        <x:v>1.05</x:v>
      </x:c>
      <x:c r="AJ89" s="226" t="n">
        <x:f>IF(AH89="EUR",AA89,IF(AH89="GBP",AB89,1))</x:f>
        <x:v>7.8</x:v>
      </x:c>
      <x:c r="AK89" s="226" t="n">
        <x:f>N89*AI89</x:f>
        <x:v>3385.2000000000003</x:v>
      </x:c>
      <x:c r="AL89" s="226" t="n">
        <x:f>AK89*AJ89</x:f>
        <x:v>26404.56</x:v>
      </x:c>
      <x:c r="AM89" s="226" t="str">
        <x:v>EUR</x:v>
      </x:c>
      <x:c r="AN89" s="226" t="n">
        <x:v>0.38</x:v>
      </x:c>
      <x:c r="AO89" s="226" t="n">
        <x:f>IF(AM89="EUR",AA89,IF(AM89="GBP",AB89,1))</x:f>
        <x:v>7.8</x:v>
      </x:c>
      <x:c r="AP89" s="226" t="n">
        <x:f>P89*AN89</x:f>
        <x:v>1298.6272000000001</x:v>
      </x:c>
      <x:c r="AQ89" s="226" t="n">
        <x:f>AP89*AO89</x:f>
        <x:v>10129.29216</x:v>
      </x:c>
      <x:c r="AR89" s="226" t="str">
        <x:v>EUR</x:v>
      </x:c>
      <x:c r="AS89" s="226" t="n">
        <x:v>3</x:v>
      </x:c>
      <x:c r="AT89" s="226" t="n">
        <x:f>IF(AR89="EUR",AA89,IF(AR89="GBP",AB89,1))</x:f>
        <x:v>7.8</x:v>
      </x:c>
      <x:c r="AU89" s="226" t="n">
        <x:f>T89*AS89</x:f>
        <x:v>580.3199999999999</x:v>
      </x:c>
      <x:c r="AV89" s="226" t="n">
        <x:f>AU89*AT89</x:f>
        <x:v>4526.495999999999</x:v>
      </x:c>
      <x:c r="AW89" s="226" t="str">
        <x:v>EUR</x:v>
      </x:c>
      <x:c r="AX89" s="226" t="n">
        <x:v>2.3</x:v>
      </x:c>
      <x:c r="AY89" s="226" t="n">
        <x:f>IF(AW89="EUR",AA89,IF(AW89="GBP",AB89,1))</x:f>
        <x:v>7.8</x:v>
      </x:c>
      <x:c r="AZ89" s="226" t="n">
        <x:f>V89*AX89</x:f>
        <x:v>110.041568</x:v>
      </x:c>
      <x:c r="BA89" s="226" t="n">
        <x:f>AZ89*AY89</x:f>
        <x:v>858.3242303999999</x:v>
      </x:c>
      <x:c r="BB89" s="226" t="n">
        <x:f>AF89+AG89+AL89+AQ89+AV89+BA89</x:f>
        <x:v>100881.8151744</x:v>
      </x:c>
      <x:c r="BC89" s="229" t="n">
        <x:v>0.973</x:v>
      </x:c>
      <x:c r="BD89" s="202"/>
      <x:c r="BE89" s="202"/>
      <x:c r="BF89" s="202"/>
      <x:c r="BG89" s="202" t="str">
        <x:v>UNVERIFIED_UNLIMITED_FOR_MVP</x:v>
      </x:c>
    </x:row>
    <x:row r="90">
      <x:c r="A90" s="187" t="str">
        <x:v>BUDGET_2026_V1</x:v>
      </x:c>
      <x:c r="B90" s="187" t="str">
        <x:v>BUDGET</x:v>
      </x:c>
      <x:c r="C90" s="187"/>
      <x:c r="D90" s="217" t="n">
        <x:v>46266</x:v>
      </x:c>
      <x:c r="E90" s="187" t="str">
        <x:v>R_GB_DE_A_ROAD</x:v>
      </x:c>
      <x:c r="F90" s="187" t="str">
        <x:v>GB</x:v>
      </x:c>
      <x:c r="G90" s="187" t="str">
        <x:v>DE_FC</x:v>
      </x:c>
      <x:c r="H90" s="187" t="str">
        <x:v>CARRIER_A</x:v>
      </x:c>
      <x:c r="I90" s="187" t="str">
        <x:v>ROAD</x:v>
      </x:c>
      <x:c r="J90" s="220" t="n">
        <x:v>16000</x:v>
      </x:c>
      <x:c r="K90" s="223" t="n">
        <x:v>0.31</x:v>
      </x:c>
      <x:c r="L90" s="223" t="n">
        <x:v>0.96</x:v>
      </x:c>
      <x:c r="M90" s="223" t="n">
        <x:v>0.65</x:v>
      </x:c>
      <x:c r="N90" s="226" t="n">
        <x:f>J90*K90*L90*M90</x:f>
        <x:v>3095.04</x:v>
      </x:c>
      <x:c r="O90" s="220" t="n">
        <x:v>1.12</x:v>
      </x:c>
      <x:c r="P90" s="226" t="n">
        <x:f>N90*O90</x:f>
        <x:v>3466.4448</x:v>
      </x:c>
      <x:c r="Q90" s="220" t="n">
        <x:v>1.02</x:v>
      </x:c>
      <x:c r="R90" s="226" t="n">
        <x:f>P90*Q90</x:f>
        <x:v>3535.773696</x:v>
      </x:c>
      <x:c r="S90" s="220" t="n">
        <x:v>0.08</x:v>
      </x:c>
      <x:c r="T90" s="226" t="n">
        <x:f>N90*S90</x:f>
        <x:v>247.60320000000002</x:v>
      </x:c>
      <x:c r="U90" s="226" t="n">
        <x:v>0.022</x:v>
      </x:c>
      <x:c r="V90" s="226" t="n">
        <x:f>P90*U90</x:f>
        <x:v>76.2617856</x:v>
      </x:c>
      <x:c r="W90" s="196" t="str">
        <x:v>GBP</x:v>
      </x:c>
      <x:c r="X90" s="220" t="n">
        <x:v>4</x:v>
      </x:c>
      <x:c r="Y90" s="196" t="str">
        <x:v>PERCENTAGE_OF_BASE_FREIGHT</x:v>
      </x:c>
      <x:c r="Z90" s="220" t="n">
        <x:v>0.1</x:v>
      </x:c>
      <x:c r="AA90" s="220" t="n">
        <x:v>7.8</x:v>
      </x:c>
      <x:c r="AB90" s="220" t="n">
        <x:v>9</x:v>
      </x:c>
      <x:c r="AC90" s="226" t="n">
        <x:f>IF(W90="EUR",AA90,IF(W90="GBP",AB90,1))</x:f>
        <x:v>9</x:v>
      </x:c>
      <x:c r="AD90" s="226" t="n">
        <x:f>R90*X90</x:f>
        <x:v>14143.094784</x:v>
      </x:c>
      <x:c r="AE90" s="226" t="n">
        <x:f>IF(Y90="PERCENTAGE_OF_BASE_FREIGHT",AD90*Z90,IF(Y90="PER_CHARGEABLE_KG",R90*Z90,P90*Z90))</x:f>
        <x:v>1414.3094784000002</x:v>
      </x:c>
      <x:c r="AF90" s="226" t="n">
        <x:f>AD90*AC90</x:f>
        <x:v>127287.853056</x:v>
      </x:c>
      <x:c r="AG90" s="226" t="n">
        <x:f>AE90*AC90</x:f>
        <x:v>12728.785305600002</x:v>
      </x:c>
      <x:c r="AH90" s="226" t="str">
        <x:v>EUR</x:v>
      </x:c>
      <x:c r="AI90" s="226" t="n">
        <x:v>1.18</x:v>
      </x:c>
      <x:c r="AJ90" s="226" t="n">
        <x:f>IF(AH90="EUR",AA90,IF(AH90="GBP",AB90,1))</x:f>
        <x:v>7.8</x:v>
      </x:c>
      <x:c r="AK90" s="226" t="n">
        <x:f>N90*AI90</x:f>
        <x:v>3652.1472</x:v>
      </x:c>
      <x:c r="AL90" s="226" t="n">
        <x:f>AK90*AJ90</x:f>
        <x:v>28486.74816</x:v>
      </x:c>
      <x:c r="AM90" s="226" t="str">
        <x:v>EUR</x:v>
      </x:c>
      <x:c r="AN90" s="226" t="n">
        <x:v>0.42</x:v>
      </x:c>
      <x:c r="AO90" s="226" t="n">
        <x:f>IF(AM90="EUR",AA90,IF(AM90="GBP",AB90,1))</x:f>
        <x:v>7.8</x:v>
      </x:c>
      <x:c r="AP90" s="226" t="n">
        <x:f>P90*AN90</x:f>
        <x:v>1455.906816</x:v>
      </x:c>
      <x:c r="AQ90" s="226" t="n">
        <x:f>AP90*AO90</x:f>
        <x:v>11356.0731648</x:v>
      </x:c>
      <x:c r="AR90" s="226" t="str">
        <x:v>GBP</x:v>
      </x:c>
      <x:c r="AS90" s="226" t="n">
        <x:v>4.8</x:v>
      </x:c>
      <x:c r="AT90" s="226" t="n">
        <x:f>IF(AR90="EUR",AA90,IF(AR90="GBP",AB90,1))</x:f>
        <x:v>9</x:v>
      </x:c>
      <x:c r="AU90" s="226" t="n">
        <x:f>T90*AS90</x:f>
        <x:v>1188.4953600000001</x:v>
      </x:c>
      <x:c r="AV90" s="226" t="n">
        <x:f>AU90*AT90</x:f>
        <x:v>10696.458240000002</x:v>
      </x:c>
      <x:c r="AW90" s="226" t="str">
        <x:v>GBP</x:v>
      </x:c>
      <x:c r="AX90" s="226" t="n">
        <x:v>2.3</x:v>
      </x:c>
      <x:c r="AY90" s="226" t="n">
        <x:f>IF(AW90="EUR",AA90,IF(AW90="GBP",AB90,1))</x:f>
        <x:v>9</x:v>
      </x:c>
      <x:c r="AZ90" s="226" t="n">
        <x:f>V90*AX90</x:f>
        <x:v>175.40210688</x:v>
      </x:c>
      <x:c r="BA90" s="226" t="n">
        <x:f>AZ90*AY90</x:f>
        <x:v>1578.61896192</x:v>
      </x:c>
      <x:c r="BB90" s="226" t="n">
        <x:f>AF90+AG90+AL90+AQ90+AV90+BA90</x:f>
        <x:v>192134.53688832</x:v>
      </x:c>
      <x:c r="BC90" s="229" t="n">
        <x:v>0.93</x:v>
      </x:c>
      <x:c r="BD90" s="202"/>
      <x:c r="BE90" s="202"/>
      <x:c r="BF90" s="202"/>
      <x:c r="BG90" s="202" t="str">
        <x:v>UNVERIFIED_UNLIMITED_FOR_MVP</x:v>
      </x:c>
    </x:row>
    <x:row r="91">
      <x:c r="A91" s="187" t="str">
        <x:v>BUDGET_2026_V1</x:v>
      </x:c>
      <x:c r="B91" s="187" t="str">
        <x:v>BUDGET</x:v>
      </x:c>
      <x:c r="C91" s="187"/>
      <x:c r="D91" s="217" t="n">
        <x:v>46266</x:v>
      </x:c>
      <x:c r="E91" s="187" t="str">
        <x:v>R_GB_DE_B_ROAD</x:v>
      </x:c>
      <x:c r="F91" s="187" t="str">
        <x:v>GB</x:v>
      </x:c>
      <x:c r="G91" s="187" t="str">
        <x:v>DE_FC</x:v>
      </x:c>
      <x:c r="H91" s="187" t="str">
        <x:v>CARRIER_B</x:v>
      </x:c>
      <x:c r="I91" s="187" t="str">
        <x:v>ROAD</x:v>
      </x:c>
      <x:c r="J91" s="220" t="n">
        <x:v>16000</x:v>
      </x:c>
      <x:c r="K91" s="223" t="n">
        <x:v>0.31</x:v>
      </x:c>
      <x:c r="L91" s="223" t="n">
        <x:v>0.96</x:v>
      </x:c>
      <x:c r="M91" s="223" t="n">
        <x:v>0.25</x:v>
      </x:c>
      <x:c r="N91" s="226" t="n">
        <x:f>J91*K91*L91*M91</x:f>
        <x:v>1190.3999999999999</x:v>
      </x:c>
      <x:c r="O91" s="220" t="n">
        <x:v>1.12</x:v>
      </x:c>
      <x:c r="P91" s="226" t="n">
        <x:f>N91*O91</x:f>
        <x:v>1333.248</x:v>
      </x:c>
      <x:c r="Q91" s="220" t="n">
        <x:v>1</x:v>
      </x:c>
      <x:c r="R91" s="226" t="n">
        <x:f>P91*Q91</x:f>
        <x:v>1333.248</x:v>
      </x:c>
      <x:c r="S91" s="220" t="n">
        <x:v>0.08</x:v>
      </x:c>
      <x:c r="T91" s="226" t="n">
        <x:f>N91*S91</x:f>
        <x:v>95.23199999999999</x:v>
      </x:c>
      <x:c r="U91" s="226" t="n">
        <x:v>0.017</x:v>
      </x:c>
      <x:c r="V91" s="226" t="n">
        <x:f>P91*U91</x:f>
        <x:v>22.665216</x:v>
      </x:c>
      <x:c r="W91" s="196" t="str">
        <x:v>GBP</x:v>
      </x:c>
      <x:c r="X91" s="220" t="n">
        <x:v>4.7</x:v>
      </x:c>
      <x:c r="Y91" s="196" t="str">
        <x:v>PER_CHARGEABLE_KG</x:v>
      </x:c>
      <x:c r="Z91" s="220" t="n">
        <x:v>0.33</x:v>
      </x:c>
      <x:c r="AA91" s="220" t="n">
        <x:v>7.8</x:v>
      </x:c>
      <x:c r="AB91" s="220" t="n">
        <x:v>9</x:v>
      </x:c>
      <x:c r="AC91" s="226" t="n">
        <x:f>IF(W91="EUR",AA91,IF(W91="GBP",AB91,1))</x:f>
        <x:v>9</x:v>
      </x:c>
      <x:c r="AD91" s="226" t="n">
        <x:f>R91*X91</x:f>
        <x:v>6266.265600000001</x:v>
      </x:c>
      <x:c r="AE91" s="226" t="n">
        <x:f>IF(Y91="PERCENTAGE_OF_BASE_FREIGHT",AD91*Z91,IF(Y91="PER_CHARGEABLE_KG",R91*Z91,P91*Z91))</x:f>
        <x:v>439.97184000000004</x:v>
      </x:c>
      <x:c r="AF91" s="226" t="n">
        <x:f>AD91*AC91</x:f>
        <x:v>56396.390400000004</x:v>
      </x:c>
      <x:c r="AG91" s="226" t="n">
        <x:f>AE91*AC91</x:f>
        <x:v>3959.7465600000005</x:v>
      </x:c>
      <x:c r="AH91" s="226" t="str">
        <x:v>EUR</x:v>
      </x:c>
      <x:c r="AI91" s="226" t="n">
        <x:v>1.18</x:v>
      </x:c>
      <x:c r="AJ91" s="226" t="n">
        <x:f>IF(AH91="EUR",AA91,IF(AH91="GBP",AB91,1))</x:f>
        <x:v>7.8</x:v>
      </x:c>
      <x:c r="AK91" s="226" t="n">
        <x:f>N91*AI91</x:f>
        <x:v>1404.6719999999998</x:v>
      </x:c>
      <x:c r="AL91" s="226" t="n">
        <x:f>AK91*AJ91</x:f>
        <x:v>10956.441599999998</x:v>
      </x:c>
      <x:c r="AM91" s="226" t="str">
        <x:v>EUR</x:v>
      </x:c>
      <x:c r="AN91" s="226" t="n">
        <x:v>0.42</x:v>
      </x:c>
      <x:c r="AO91" s="226" t="n">
        <x:f>IF(AM91="EUR",AA91,IF(AM91="GBP",AB91,1))</x:f>
        <x:v>7.8</x:v>
      </x:c>
      <x:c r="AP91" s="226" t="n">
        <x:f>P91*AN91</x:f>
        <x:v>559.96416</x:v>
      </x:c>
      <x:c r="AQ91" s="226" t="n">
        <x:f>AP91*AO91</x:f>
        <x:v>4367.720448</x:v>
      </x:c>
      <x:c r="AR91" s="226" t="str">
        <x:v>GBP</x:v>
      </x:c>
      <x:c r="AS91" s="226" t="n">
        <x:v>4.8</x:v>
      </x:c>
      <x:c r="AT91" s="226" t="n">
        <x:f>IF(AR91="EUR",AA91,IF(AR91="GBP",AB91,1))</x:f>
        <x:v>9</x:v>
      </x:c>
      <x:c r="AU91" s="226" t="n">
        <x:f>T91*AS91</x:f>
        <x:v>457.1135999999999</x:v>
      </x:c>
      <x:c r="AV91" s="226" t="n">
        <x:f>AU91*AT91</x:f>
        <x:v>4114.022399999999</x:v>
      </x:c>
      <x:c r="AW91" s="226" t="str">
        <x:v>GBP</x:v>
      </x:c>
      <x:c r="AX91" s="226" t="n">
        <x:v>2.3</x:v>
      </x:c>
      <x:c r="AY91" s="226" t="n">
        <x:f>IF(AW91="EUR",AA91,IF(AW91="GBP",AB91,1))</x:f>
        <x:v>9</x:v>
      </x:c>
      <x:c r="AZ91" s="226" t="n">
        <x:f>V91*AX91</x:f>
        <x:v>52.1299968</x:v>
      </x:c>
      <x:c r="BA91" s="226" t="n">
        <x:f>AZ91*AY91</x:f>
        <x:v>469.1699712</x:v>
      </x:c>
      <x:c r="BB91" s="226" t="n">
        <x:f>AF91+AG91+AL91+AQ91+AV91+BA91</x:f>
        <x:v>80263.4913792</x:v>
      </x:c>
      <x:c r="BC91" s="229" t="n">
        <x:v>0.95</x:v>
      </x:c>
      <x:c r="BD91" s="202"/>
      <x:c r="BE91" s="202"/>
      <x:c r="BF91" s="202"/>
      <x:c r="BG91" s="202" t="str">
        <x:v>UNVERIFIED_UNLIMITED_FOR_MVP</x:v>
      </x:c>
    </x:row>
    <x:row r="92">
      <x:c r="A92" s="187" t="str">
        <x:v>BUDGET_2026_V1</x:v>
      </x:c>
      <x:c r="B92" s="187" t="str">
        <x:v>BUDGET</x:v>
      </x:c>
      <x:c r="C92" s="187"/>
      <x:c r="D92" s="217" t="n">
        <x:v>46266</x:v>
      </x:c>
      <x:c r="E92" s="187" t="str">
        <x:v>R_GB_DE_B_AIR</x:v>
      </x:c>
      <x:c r="F92" s="187" t="str">
        <x:v>GB</x:v>
      </x:c>
      <x:c r="G92" s="187" t="str">
        <x:v>DE_FC</x:v>
      </x:c>
      <x:c r="H92" s="187" t="str">
        <x:v>CARRIER_B</x:v>
      </x:c>
      <x:c r="I92" s="187" t="str">
        <x:v>AIR</x:v>
      </x:c>
      <x:c r="J92" s="220" t="n">
        <x:v>16000</x:v>
      </x:c>
      <x:c r="K92" s="223" t="n">
        <x:v>0.31</x:v>
      </x:c>
      <x:c r="L92" s="223" t="n">
        <x:v>0.96</x:v>
      </x:c>
      <x:c r="M92" s="223" t="n">
        <x:v>0.07</x:v>
      </x:c>
      <x:c r="N92" s="226" t="n">
        <x:f>J92*K92*L92*M92</x:f>
        <x:v>333.312</x:v>
      </x:c>
      <x:c r="O92" s="220" t="n">
        <x:v>1.12</x:v>
      </x:c>
      <x:c r="P92" s="226" t="n">
        <x:f>N92*O92</x:f>
        <x:v>373.30944000000005</x:v>
      </x:c>
      <x:c r="Q92" s="220" t="n">
        <x:v>0.94</x:v>
      </x:c>
      <x:c r="R92" s="226" t="n">
        <x:f>P92*Q92</x:f>
        <x:v>350.9108736</x:v>
      </x:c>
      <x:c r="S92" s="220" t="n">
        <x:v>0.08</x:v>
      </x:c>
      <x:c r="T92" s="226" t="n">
        <x:f>N92*S92</x:f>
        <x:v>26.66496</x:v>
      </x:c>
      <x:c r="U92" s="226" t="n">
        <x:v>0.013</x:v>
      </x:c>
      <x:c r="V92" s="226" t="n">
        <x:f>P92*U92</x:f>
        <x:v>4.85302272</x:v>
      </x:c>
      <x:c r="W92" s="196" t="str">
        <x:v>GBP</x:v>
      </x:c>
      <x:c r="X92" s="220" t="n">
        <x:v>6.2</x:v>
      </x:c>
      <x:c r="Y92" s="196" t="str">
        <x:v>PERCENTAGE_OF_BASE_FREIGHT</x:v>
      </x:c>
      <x:c r="Z92" s="220" t="n">
        <x:v>0.115</x:v>
      </x:c>
      <x:c r="AA92" s="220" t="n">
        <x:v>7.8</x:v>
      </x:c>
      <x:c r="AB92" s="220" t="n">
        <x:v>9</x:v>
      </x:c>
      <x:c r="AC92" s="226" t="n">
        <x:f>IF(W92="EUR",AA92,IF(W92="GBP",AB92,1))</x:f>
        <x:v>9</x:v>
      </x:c>
      <x:c r="AD92" s="226" t="n">
        <x:f>R92*X92</x:f>
        <x:v>2175.64741632</x:v>
      </x:c>
      <x:c r="AE92" s="226" t="n">
        <x:f>IF(Y92="PERCENTAGE_OF_BASE_FREIGHT",AD92*Z92,IF(Y92="PER_CHARGEABLE_KG",R92*Z92,P92*Z92))</x:f>
        <x:v>250.19945287680002</x:v>
      </x:c>
      <x:c r="AF92" s="226" t="n">
        <x:f>AD92*AC92</x:f>
        <x:v>19580.82674688</x:v>
      </x:c>
      <x:c r="AG92" s="226" t="n">
        <x:f>AE92*AC92</x:f>
        <x:v>2251.7950758912</x:v>
      </x:c>
      <x:c r="AH92" s="226" t="str">
        <x:v>EUR</x:v>
      </x:c>
      <x:c r="AI92" s="226" t="n">
        <x:v>1.18</x:v>
      </x:c>
      <x:c r="AJ92" s="226" t="n">
        <x:f>IF(AH92="EUR",AA92,IF(AH92="GBP",AB92,1))</x:f>
        <x:v>7.8</x:v>
      </x:c>
      <x:c r="AK92" s="226" t="n">
        <x:f>N92*AI92</x:f>
        <x:v>393.30816</x:v>
      </x:c>
      <x:c r="AL92" s="226" t="n">
        <x:f>AK92*AJ92</x:f>
        <x:v>3067.8036479999996</x:v>
      </x:c>
      <x:c r="AM92" s="226" t="str">
        <x:v>EUR</x:v>
      </x:c>
      <x:c r="AN92" s="226" t="n">
        <x:v>0.42</x:v>
      </x:c>
      <x:c r="AO92" s="226" t="n">
        <x:f>IF(AM92="EUR",AA92,IF(AM92="GBP",AB92,1))</x:f>
        <x:v>7.8</x:v>
      </x:c>
      <x:c r="AP92" s="226" t="n">
        <x:f>P92*AN92</x:f>
        <x:v>156.7899648</x:v>
      </x:c>
      <x:c r="AQ92" s="226" t="n">
        <x:f>AP92*AO92</x:f>
        <x:v>1222.96172544</x:v>
      </x:c>
      <x:c r="AR92" s="226" t="str">
        <x:v>GBP</x:v>
      </x:c>
      <x:c r="AS92" s="226" t="n">
        <x:v>4.8</x:v>
      </x:c>
      <x:c r="AT92" s="226" t="n">
        <x:f>IF(AR92="EUR",AA92,IF(AR92="GBP",AB92,1))</x:f>
        <x:v>9</x:v>
      </x:c>
      <x:c r="AU92" s="226" t="n">
        <x:f>T92*AS92</x:f>
        <x:v>127.99180799999999</x:v>
      </x:c>
      <x:c r="AV92" s="226" t="n">
        <x:f>AU92*AT92</x:f>
        <x:v>1151.926272</x:v>
      </x:c>
      <x:c r="AW92" s="226" t="str">
        <x:v>GBP</x:v>
      </x:c>
      <x:c r="AX92" s="226" t="n">
        <x:v>2.8</x:v>
      </x:c>
      <x:c r="AY92" s="226" t="n">
        <x:f>IF(AW92="EUR",AA92,IF(AW92="GBP",AB92,1))</x:f>
        <x:v>9</x:v>
      </x:c>
      <x:c r="AZ92" s="226" t="n">
        <x:f>V92*AX92</x:f>
        <x:v>13.588463616</x:v>
      </x:c>
      <x:c r="BA92" s="226" t="n">
        <x:f>AZ92*AY92</x:f>
        <x:v>122.296172544</x:v>
      </x:c>
      <x:c r="BB92" s="226" t="n">
        <x:f>AF92+AG92+AL92+AQ92+AV92+BA92</x:f>
        <x:v>27397.609640755203</x:v>
      </x:c>
      <x:c r="BC92" s="229" t="n">
        <x:v>0.974</x:v>
      </x:c>
      <x:c r="BD92" s="202"/>
      <x:c r="BE92" s="202"/>
      <x:c r="BF92" s="202"/>
      <x:c r="BG92" s="202" t="str">
        <x:v>UNVERIFIED_UNLIMITED_FOR_MVP</x:v>
      </x:c>
    </x:row>
    <x:row r="93">
      <x:c r="A93" s="187" t="str">
        <x:v>BUDGET_2026_V1</x:v>
      </x:c>
      <x:c r="B93" s="187" t="str">
        <x:v>BUDGET</x:v>
      </x:c>
      <x:c r="C93" s="187"/>
      <x:c r="D93" s="217" t="n">
        <x:v>46266</x:v>
      </x:c>
      <x:c r="E93" s="187" t="str">
        <x:v>R_GB_DE_C_AIR</x:v>
      </x:c>
      <x:c r="F93" s="187" t="str">
        <x:v>GB</x:v>
      </x:c>
      <x:c r="G93" s="187" t="str">
        <x:v>DE_FC</x:v>
      </x:c>
      <x:c r="H93" s="187" t="str">
        <x:v>CARRIER_C</x:v>
      </x:c>
      <x:c r="I93" s="187" t="str">
        <x:v>AIR</x:v>
      </x:c>
      <x:c r="J93" s="220" t="n">
        <x:v>16000</x:v>
      </x:c>
      <x:c r="K93" s="223" t="n">
        <x:v>0.31</x:v>
      </x:c>
      <x:c r="L93" s="223" t="n">
        <x:v>0.96</x:v>
      </x:c>
      <x:c r="M93" s="223" t="n">
        <x:v>0.03</x:v>
      </x:c>
      <x:c r="N93" s="226" t="n">
        <x:f>J93*K93*L93*M93</x:f>
        <x:v>142.84799999999998</x:v>
      </x:c>
      <x:c r="O93" s="220" t="n">
        <x:v>1.12</x:v>
      </x:c>
      <x:c r="P93" s="226" t="n">
        <x:f>N93*O93</x:f>
        <x:v>159.98976</x:v>
      </x:c>
      <x:c r="Q93" s="220" t="n">
        <x:v>0.92</x:v>
      </x:c>
      <x:c r="R93" s="226" t="n">
        <x:f>P93*Q93</x:f>
        <x:v>147.1905792</x:v>
      </x:c>
      <x:c r="S93" s="220" t="n">
        <x:v>0.08</x:v>
      </x:c>
      <x:c r="T93" s="226" t="n">
        <x:f>N93*S93</x:f>
        <x:v>11.42784</x:v>
      </x:c>
      <x:c r="U93" s="226" t="n">
        <x:v>0.009</x:v>
      </x:c>
      <x:c r="V93" s="226" t="n">
        <x:f>P93*U93</x:f>
        <x:v>1.4399078399999998</x:v>
      </x:c>
      <x:c r="W93" s="196" t="str">
        <x:v>GBP</x:v>
      </x:c>
      <x:c r="X93" s="220" t="n">
        <x:v>7.5</x:v>
      </x:c>
      <x:c r="Y93" s="196" t="str">
        <x:v>PER_CHARGEABLE_KG</x:v>
      </x:c>
      <x:c r="Z93" s="220" t="n">
        <x:v>0.58</x:v>
      </x:c>
      <x:c r="AA93" s="220" t="n">
        <x:v>7.8</x:v>
      </x:c>
      <x:c r="AB93" s="220" t="n">
        <x:v>9</x:v>
      </x:c>
      <x:c r="AC93" s="226" t="n">
        <x:f>IF(W93="EUR",AA93,IF(W93="GBP",AB93,1))</x:f>
        <x:v>9</x:v>
      </x:c>
      <x:c r="AD93" s="226" t="n">
        <x:f>R93*X93</x:f>
        <x:v>1103.9293440000001</x:v>
      </x:c>
      <x:c r="AE93" s="226" t="n">
        <x:f>IF(Y93="PERCENTAGE_OF_BASE_FREIGHT",AD93*Z93,IF(Y93="PER_CHARGEABLE_KG",R93*Z93,P93*Z93))</x:f>
        <x:v>85.370535936</x:v>
      </x:c>
      <x:c r="AF93" s="226" t="n">
        <x:f>AD93*AC93</x:f>
        <x:v>9935.364096000001</x:v>
      </x:c>
      <x:c r="AG93" s="226" t="n">
        <x:f>AE93*AC93</x:f>
        <x:v>768.334823424</x:v>
      </x:c>
      <x:c r="AH93" s="226" t="str">
        <x:v>EUR</x:v>
      </x:c>
      <x:c r="AI93" s="226" t="n">
        <x:v>1.18</x:v>
      </x:c>
      <x:c r="AJ93" s="226" t="n">
        <x:f>IF(AH93="EUR",AA93,IF(AH93="GBP",AB93,1))</x:f>
        <x:v>7.8</x:v>
      </x:c>
      <x:c r="AK93" s="226" t="n">
        <x:f>N93*AI93</x:f>
        <x:v>168.56063999999998</x:v>
      </x:c>
      <x:c r="AL93" s="226" t="n">
        <x:f>AK93*AJ93</x:f>
        <x:v>1314.7729919999997</x:v>
      </x:c>
      <x:c r="AM93" s="226" t="str">
        <x:v>EUR</x:v>
      </x:c>
      <x:c r="AN93" s="226" t="n">
        <x:v>0.42</x:v>
      </x:c>
      <x:c r="AO93" s="226" t="n">
        <x:f>IF(AM93="EUR",AA93,IF(AM93="GBP",AB93,1))</x:f>
        <x:v>7.8</x:v>
      </x:c>
      <x:c r="AP93" s="226" t="n">
        <x:f>P93*AN93</x:f>
        <x:v>67.19569919999999</x:v>
      </x:c>
      <x:c r="AQ93" s="226" t="n">
        <x:f>AP93*AO93</x:f>
        <x:v>524.1264537599999</x:v>
      </x:c>
      <x:c r="AR93" s="226" t="str">
        <x:v>GBP</x:v>
      </x:c>
      <x:c r="AS93" s="226" t="n">
        <x:v>4.8</x:v>
      </x:c>
      <x:c r="AT93" s="226" t="n">
        <x:f>IF(AR93="EUR",AA93,IF(AR93="GBP",AB93,1))</x:f>
        <x:v>9</x:v>
      </x:c>
      <x:c r="AU93" s="226" t="n">
        <x:f>T93*AS93</x:f>
        <x:v>54.853632</x:v>
      </x:c>
      <x:c r="AV93" s="226" t="n">
        <x:f>AU93*AT93</x:f>
        <x:v>493.682688</x:v>
      </x:c>
      <x:c r="AW93" s="226" t="str">
        <x:v>GBP</x:v>
      </x:c>
      <x:c r="AX93" s="226" t="n">
        <x:v>3.6</x:v>
      </x:c>
      <x:c r="AY93" s="226" t="n">
        <x:f>IF(AW93="EUR",AA93,IF(AW93="GBP",AB93,1))</x:f>
        <x:v>9</x:v>
      </x:c>
      <x:c r="AZ93" s="226" t="n">
        <x:f>V93*AX93</x:f>
        <x:v>5.183668224</x:v>
      </x:c>
      <x:c r="BA93" s="226" t="n">
        <x:f>AZ93*AY93</x:f>
        <x:v>46.653014016</x:v>
      </x:c>
      <x:c r="BB93" s="226" t="n">
        <x:f>AF93+AG93+AL93+AQ93+AV93+BA93</x:f>
        <x:v>13082.934067200002</x:v>
      </x:c>
      <x:c r="BC93" s="229" t="n">
        <x:v>0.988</x:v>
      </x:c>
      <x:c r="BD93" s="202"/>
      <x:c r="BE93" s="202"/>
      <x:c r="BF93" s="202"/>
      <x:c r="BG93" s="202" t="str">
        <x:v>UNVERIFIED_UNLIMITED_FOR_MVP</x:v>
      </x:c>
    </x:row>
    <x:row r="94">
      <x:c r="A94" s="187" t="str">
        <x:v>BUDGET_2026_V1</x:v>
      </x:c>
      <x:c r="B94" s="187" t="str">
        <x:v>BUDGET</x:v>
      </x:c>
      <x:c r="C94" s="187"/>
      <x:c r="D94" s="217" t="n">
        <x:v>46266</x:v>
      </x:c>
      <x:c r="E94" s="187" t="str">
        <x:v>R_GB_FR_B_AIR</x:v>
      </x:c>
      <x:c r="F94" s="187" t="str">
        <x:v>GB</x:v>
      </x:c>
      <x:c r="G94" s="187" t="str">
        <x:v>FR_FC</x:v>
      </x:c>
      <x:c r="H94" s="187" t="str">
        <x:v>CARRIER_B</x:v>
      </x:c>
      <x:c r="I94" s="187" t="str">
        <x:v>AIR</x:v>
      </x:c>
      <x:c r="J94" s="220" t="n">
        <x:v>16000</x:v>
      </x:c>
      <x:c r="K94" s="223" t="n">
        <x:v>0.31</x:v>
      </x:c>
      <x:c r="L94" s="223" t="n">
        <x:v>0.04</x:v>
      </x:c>
      <x:c r="M94" s="223" t="n">
        <x:v>1</x:v>
      </x:c>
      <x:c r="N94" s="226" t="n">
        <x:f>J94*K94*L94*M94</x:f>
        <x:v>198.4</x:v>
      </x:c>
      <x:c r="O94" s="220" t="n">
        <x:v>1.15</x:v>
      </x:c>
      <x:c r="P94" s="226" t="n">
        <x:f>N94*O94</x:f>
        <x:v>228.16</x:v>
      </x:c>
      <x:c r="Q94" s="220" t="n">
        <x:v>0.9</x:v>
      </x:c>
      <x:c r="R94" s="226" t="n">
        <x:f>P94*Q94</x:f>
        <x:v>205.344</x:v>
      </x:c>
      <x:c r="S94" s="220" t="n">
        <x:v>0.08</x:v>
      </x:c>
      <x:c r="T94" s="226" t="n">
        <x:f>N94*S94</x:f>
        <x:v>15.872000000000002</x:v>
      </x:c>
      <x:c r="U94" s="226" t="n">
        <x:v>0.012</x:v>
      </x:c>
      <x:c r="V94" s="226" t="n">
        <x:f>P94*U94</x:f>
        <x:v>2.73792</x:v>
      </x:c>
      <x:c r="W94" s="196" t="str">
        <x:v>EUR</x:v>
      </x:c>
      <x:c r="X94" s="220" t="n">
        <x:v>6.7</x:v>
      </x:c>
      <x:c r="Y94" s="196" t="str">
        <x:v>PERCENTAGE_OF_BASE_FREIGHT</x:v>
      </x:c>
      <x:c r="Z94" s="220" t="n">
        <x:v>0.105</x:v>
      </x:c>
      <x:c r="AA94" s="220" t="n">
        <x:v>7.8</x:v>
      </x:c>
      <x:c r="AB94" s="220" t="n">
        <x:v>9</x:v>
      </x:c>
      <x:c r="AC94" s="226" t="n">
        <x:f>IF(W94="EUR",AA94,IF(W94="GBP",AB94,1))</x:f>
        <x:v>7.8</x:v>
      </x:c>
      <x:c r="AD94" s="226" t="n">
        <x:f>R94*X94</x:f>
        <x:v>1375.8048</x:v>
      </x:c>
      <x:c r="AE94" s="226" t="n">
        <x:f>IF(Y94="PERCENTAGE_OF_BASE_FREIGHT",AD94*Z94,IF(Y94="PER_CHARGEABLE_KG",R94*Z94,P94*Z94))</x:f>
        <x:v>144.45950399999998</x:v>
      </x:c>
      <x:c r="AF94" s="226" t="n">
        <x:f>AD94*AC94</x:f>
        <x:v>10731.277439999998</x:v>
      </x:c>
      <x:c r="AG94" s="226" t="n">
        <x:f>AE94*AC94</x:f>
        <x:v>1126.7841311999998</x:v>
      </x:c>
      <x:c r="AH94" s="226" t="str">
        <x:v>EUR</x:v>
      </x:c>
      <x:c r="AI94" s="226" t="n">
        <x:v>1.05</x:v>
      </x:c>
      <x:c r="AJ94" s="226" t="n">
        <x:f>IF(AH94="EUR",AA94,IF(AH94="GBP",AB94,1))</x:f>
        <x:v>7.8</x:v>
      </x:c>
      <x:c r="AK94" s="226" t="n">
        <x:f>N94*AI94</x:f>
        <x:v>208.32000000000002</x:v>
      </x:c>
      <x:c r="AL94" s="226" t="n">
        <x:f>AK94*AJ94</x:f>
        <x:v>1624.8960000000002</x:v>
      </x:c>
      <x:c r="AM94" s="226" t="str">
        <x:v>EUR</x:v>
      </x:c>
      <x:c r="AN94" s="226" t="n">
        <x:v>0.38</x:v>
      </x:c>
      <x:c r="AO94" s="226" t="n">
        <x:f>IF(AM94="EUR",AA94,IF(AM94="GBP",AB94,1))</x:f>
        <x:v>7.8</x:v>
      </x:c>
      <x:c r="AP94" s="226" t="n">
        <x:f>P94*AN94</x:f>
        <x:v>86.7008</x:v>
      </x:c>
      <x:c r="AQ94" s="226" t="n">
        <x:f>AP94*AO94</x:f>
        <x:v>676.26624</x:v>
      </x:c>
      <x:c r="AR94" s="226" t="str">
        <x:v>EUR</x:v>
      </x:c>
      <x:c r="AS94" s="226" t="n">
        <x:v>5.2</x:v>
      </x:c>
      <x:c r="AT94" s="226" t="n">
        <x:f>IF(AR94="EUR",AA94,IF(AR94="GBP",AB94,1))</x:f>
        <x:v>7.8</x:v>
      </x:c>
      <x:c r="AU94" s="226" t="n">
        <x:f>T94*AS94</x:f>
        <x:v>82.5344</x:v>
      </x:c>
      <x:c r="AV94" s="226" t="n">
        <x:f>AU94*AT94</x:f>
        <x:v>643.76832</x:v>
      </x:c>
      <x:c r="AW94" s="226" t="str">
        <x:v>EUR</x:v>
      </x:c>
      <x:c r="AX94" s="226" t="n">
        <x:v>2.8</x:v>
      </x:c>
      <x:c r="AY94" s="226" t="n">
        <x:f>IF(AW94="EUR",AA94,IF(AW94="GBP",AB94,1))</x:f>
        <x:v>7.8</x:v>
      </x:c>
      <x:c r="AZ94" s="226" t="n">
        <x:f>V94*AX94</x:f>
        <x:v>7.666175999999999</x:v>
      </x:c>
      <x:c r="BA94" s="226" t="n">
        <x:f>AZ94*AY94</x:f>
        <x:v>59.796172799999994</x:v>
      </x:c>
      <x:c r="BB94" s="226" t="n">
        <x:f>AF94+AG94+AL94+AQ94+AV94+BA94</x:f>
        <x:v>14862.788303999998</x:v>
      </x:c>
      <x:c r="BC94" s="229" t="n">
        <x:v>0.971</x:v>
      </x:c>
      <x:c r="BD94" s="202"/>
      <x:c r="BE94" s="202"/>
      <x:c r="BF94" s="202"/>
      <x:c r="BG94" s="202" t="str">
        <x:v>UNVERIFIED_UNLIMITED_FOR_MVP</x:v>
      </x:c>
    </x:row>
    <x:row r="95">
      <x:c r="A95" s="187" t="str">
        <x:v>BUDGET_2026_V1</x:v>
      </x:c>
      <x:c r="B95" s="187" t="str">
        <x:v>BUDGET</x:v>
      </x:c>
      <x:c r="C95" s="187"/>
      <x:c r="D95" s="217" t="n">
        <x:v>46296</x:v>
      </x:c>
      <x:c r="E95" s="187" t="str">
        <x:v>R_DE_DE_A_ROAD</x:v>
      </x:c>
      <x:c r="F95" s="187" t="str">
        <x:v>DE</x:v>
      </x:c>
      <x:c r="G95" s="187" t="str">
        <x:v>DE_FC</x:v>
      </x:c>
      <x:c r="H95" s="187" t="str">
        <x:v>CARRIER_A</x:v>
      </x:c>
      <x:c r="I95" s="187" t="str">
        <x:v>ROAD</x:v>
      </x:c>
      <x:c r="J95" s="220" t="n">
        <x:v>18000</x:v>
      </x:c>
      <x:c r="K95" s="223" t="n">
        <x:v>0.36</x:v>
      </x:c>
      <x:c r="L95" s="223" t="n">
        <x:v>0.97</x:v>
      </x:c>
      <x:c r="M95" s="223" t="n">
        <x:v>0.6</x:v>
      </x:c>
      <x:c r="N95" s="226" t="n">
        <x:f>J95*K95*L95*M95</x:f>
        <x:v>3771.3599999999997</x:v>
      </x:c>
      <x:c r="O95" s="220" t="n">
        <x:v>1.05</x:v>
      </x:c>
      <x:c r="P95" s="226" t="n">
        <x:f>N95*O95</x:f>
        <x:v>3959.928</x:v>
      </x:c>
      <x:c r="Q95" s="220" t="n">
        <x:v>0.7878</x:v>
      </x:c>
      <x:c r="R95" s="226" t="n">
        <x:f>P95*Q95</x:f>
        <x:v>3119.6312783999997</x:v>
      </x:c>
      <x:c r="S95" s="220" t="n">
        <x:v>0.05</x:v>
      </x:c>
      <x:c r="T95" s="226" t="n">
        <x:f>N95*S95</x:f>
        <x:v>188.56799999999998</x:v>
      </x:c>
      <x:c r="U95" s="226" t="n">
        <x:v>0.016</x:v>
      </x:c>
      <x:c r="V95" s="226" t="n">
        <x:f>P95*U95</x:f>
        <x:v>63.358848</x:v>
      </x:c>
      <x:c r="W95" s="196" t="str">
        <x:v>EUR</x:v>
      </x:c>
      <x:c r="X95" s="220" t="n">
        <x:v>2.2</x:v>
      </x:c>
      <x:c r="Y95" s="196" t="str">
        <x:v>PERCENTAGE_OF_BASE_FREIGHT</x:v>
      </x:c>
      <x:c r="Z95" s="220" t="n">
        <x:v>0.095</x:v>
      </x:c>
      <x:c r="AA95" s="220" t="n">
        <x:v>7.8</x:v>
      </x:c>
      <x:c r="AB95" s="220" t="n">
        <x:v>9</x:v>
      </x:c>
      <x:c r="AC95" s="226" t="n">
        <x:f>IF(W95="EUR",AA95,IF(W95="GBP",AB95,1))</x:f>
        <x:v>7.8</x:v>
      </x:c>
      <x:c r="AD95" s="226" t="n">
        <x:f>R95*X95</x:f>
        <x:v>6863.18881248</x:v>
      </x:c>
      <x:c r="AE95" s="226" t="n">
        <x:f>IF(Y95="PERCENTAGE_OF_BASE_FREIGHT",AD95*Z95,IF(Y95="PER_CHARGEABLE_KG",R95*Z95,P95*Z95))</x:f>
        <x:v>652.0029371856</x:v>
      </x:c>
      <x:c r="AF95" s="226" t="n">
        <x:f>AD95*AC95</x:f>
        <x:v>53532.872737344</x:v>
      </x:c>
      <x:c r="AG95" s="226" t="n">
        <x:f>AE95*AC95</x:f>
        <x:v>5085.622910047679</x:v>
      </x:c>
      <x:c r="AH95" s="226" t="str">
        <x:v>EUR</x:v>
      </x:c>
      <x:c r="AI95" s="226" t="n">
        <x:v>1.18</x:v>
      </x:c>
      <x:c r="AJ95" s="226" t="n">
        <x:f>IF(AH95="EUR",AA95,IF(AH95="GBP",AB95,1))</x:f>
        <x:v>7.8</x:v>
      </x:c>
      <x:c r="AK95" s="226" t="n">
        <x:f>N95*AI95</x:f>
        <x:v>4450.2047999999995</x:v>
      </x:c>
      <x:c r="AL95" s="226" t="n">
        <x:f>AK95*AJ95</x:f>
        <x:v>34711.59744</x:v>
      </x:c>
      <x:c r="AM95" s="226" t="str">
        <x:v>EUR</x:v>
      </x:c>
      <x:c r="AN95" s="226" t="n">
        <x:v>0.42</x:v>
      </x:c>
      <x:c r="AO95" s="226" t="n">
        <x:f>IF(AM95="EUR",AA95,IF(AM95="GBP",AB95,1))</x:f>
        <x:v>7.8</x:v>
      </x:c>
      <x:c r="AP95" s="226" t="n">
        <x:f>P95*AN95</x:f>
        <x:v>1663.16976</x:v>
      </x:c>
      <x:c r="AQ95" s="226" t="n">
        <x:f>AP95*AO95</x:f>
        <x:v>12972.724128</x:v>
      </x:c>
      <x:c r="AR95" s="226" t="str">
        <x:v>EUR</x:v>
      </x:c>
      <x:c r="AS95" s="226" t="n">
        <x:v>3.2</x:v>
      </x:c>
      <x:c r="AT95" s="226" t="n">
        <x:f>IF(AR95="EUR",AA95,IF(AR95="GBP",AB95,1))</x:f>
        <x:v>7.8</x:v>
      </x:c>
      <x:c r="AU95" s="226" t="n">
        <x:f>T95*AS95</x:f>
        <x:v>603.4176</x:v>
      </x:c>
      <x:c r="AV95" s="226" t="n">
        <x:f>AU95*AT95</x:f>
        <x:v>4706.657279999999</x:v>
      </x:c>
      <x:c r="AW95" s="226" t="str">
        <x:v>EUR</x:v>
      </x:c>
      <x:c r="AX95" s="226" t="n">
        <x:v>2.3</x:v>
      </x:c>
      <x:c r="AY95" s="226" t="n">
        <x:f>IF(AW95="EUR",AA95,IF(AW95="GBP",AB95,1))</x:f>
        <x:v>7.8</x:v>
      </x:c>
      <x:c r="AZ95" s="226" t="n">
        <x:f>V95*AX95</x:f>
        <x:v>145.7253504</x:v>
      </x:c>
      <x:c r="BA95" s="226" t="n">
        <x:f>AZ95*AY95</x:f>
        <x:v>1136.6577331199999</x:v>
      </x:c>
      <x:c r="BB95" s="226" t="n">
        <x:f>AF95+AG95+AL95+AQ95+AV95+BA95</x:f>
        <x:v>112146.13222851166</x:v>
      </x:c>
      <x:c r="BC95" s="229" t="n">
        <x:v>0.965</x:v>
      </x:c>
      <x:c r="BD95" s="202"/>
      <x:c r="BE95" s="202"/>
      <x:c r="BF95" s="202"/>
      <x:c r="BG95" s="202" t="str">
        <x:v>UNVERIFIED_UNLIMITED_FOR_MVP</x:v>
      </x:c>
    </x:row>
    <x:row r="96">
      <x:c r="A96" s="187" t="str">
        <x:v>BUDGET_2026_V1</x:v>
      </x:c>
      <x:c r="B96" s="187" t="str">
        <x:v>BUDGET</x:v>
      </x:c>
      <x:c r="C96" s="187"/>
      <x:c r="D96" s="217" t="n">
        <x:v>46296</x:v>
      </x:c>
      <x:c r="E96" s="187" t="str">
        <x:v>R_DE_DE_B_ROAD</x:v>
      </x:c>
      <x:c r="F96" s="187" t="str">
        <x:v>DE</x:v>
      </x:c>
      <x:c r="G96" s="187" t="str">
        <x:v>DE_FC</x:v>
      </x:c>
      <x:c r="H96" s="187" t="str">
        <x:v>CARRIER_B</x:v>
      </x:c>
      <x:c r="I96" s="187" t="str">
        <x:v>ROAD</x:v>
      </x:c>
      <x:c r="J96" s="220" t="n">
        <x:v>18000</x:v>
      </x:c>
      <x:c r="K96" s="223" t="n">
        <x:v>0.36</x:v>
      </x:c>
      <x:c r="L96" s="223" t="n">
        <x:v>0.97</x:v>
      </x:c>
      <x:c r="M96" s="223" t="n">
        <x:v>0.4</x:v>
      </x:c>
      <x:c r="N96" s="226" t="n">
        <x:f>J96*K96*L96*M96</x:f>
        <x:v>2514.24</x:v>
      </x:c>
      <x:c r="O96" s="220" t="n">
        <x:v>1.05</x:v>
      </x:c>
      <x:c r="P96" s="226" t="n">
        <x:f>N96*O96</x:f>
        <x:v>2639.9519999999998</x:v>
      </x:c>
      <x:c r="Q96" s="220" t="n">
        <x:v>0.808</x:v>
      </x:c>
      <x:c r="R96" s="226" t="n">
        <x:f>P96*Q96</x:f>
        <x:v>2133.081216</x:v>
      </x:c>
      <x:c r="S96" s="220" t="n">
        <x:v>0.05</x:v>
      </x:c>
      <x:c r="T96" s="226" t="n">
        <x:f>N96*S96</x:f>
        <x:v>125.71199999999999</x:v>
      </x:c>
      <x:c r="U96" s="226" t="n">
        <x:v>0.013</x:v>
      </x:c>
      <x:c r="V96" s="226" t="n">
        <x:f>P96*U96</x:f>
        <x:v>34.319376</x:v>
      </x:c>
      <x:c r="W96" s="196" t="str">
        <x:v>EUR</x:v>
      </x:c>
      <x:c r="X96" s="220" t="n">
        <x:v>2.75</x:v>
      </x:c>
      <x:c r="Y96" s="196" t="str">
        <x:v>PER_CHARGEABLE_KG</x:v>
      </x:c>
      <x:c r="Z96" s="220" t="n">
        <x:v>0.21</x:v>
      </x:c>
      <x:c r="AA96" s="220" t="n">
        <x:v>7.8</x:v>
      </x:c>
      <x:c r="AB96" s="220" t="n">
        <x:v>9</x:v>
      </x:c>
      <x:c r="AC96" s="226" t="n">
        <x:f>IF(W96="EUR",AA96,IF(W96="GBP",AB96,1))</x:f>
        <x:v>7.8</x:v>
      </x:c>
      <x:c r="AD96" s="226" t="n">
        <x:f>R96*X96</x:f>
        <x:v>5865.973344</x:v>
      </x:c>
      <x:c r="AE96" s="226" t="n">
        <x:f>IF(Y96="PERCENTAGE_OF_BASE_FREIGHT",AD96*Z96,IF(Y96="PER_CHARGEABLE_KG",R96*Z96,P96*Z96))</x:f>
        <x:v>447.94705536</x:v>
      </x:c>
      <x:c r="AF96" s="226" t="n">
        <x:f>AD96*AC96</x:f>
        <x:v>45754.5920832</x:v>
      </x:c>
      <x:c r="AG96" s="226" t="n">
        <x:f>AE96*AC96</x:f>
        <x:v>3493.9870318079998</x:v>
      </x:c>
      <x:c r="AH96" s="226" t="str">
        <x:v>EUR</x:v>
      </x:c>
      <x:c r="AI96" s="226" t="n">
        <x:v>1.18</x:v>
      </x:c>
      <x:c r="AJ96" s="226" t="n">
        <x:f>IF(AH96="EUR",AA96,IF(AH96="GBP",AB96,1))</x:f>
        <x:v>7.8</x:v>
      </x:c>
      <x:c r="AK96" s="226" t="n">
        <x:f>N96*AI96</x:f>
        <x:v>2966.8031999999994</x:v>
      </x:c>
      <x:c r="AL96" s="226" t="n">
        <x:f>AK96*AJ96</x:f>
        <x:v>23141.064959999996</x:v>
      </x:c>
      <x:c r="AM96" s="226" t="str">
        <x:v>EUR</x:v>
      </x:c>
      <x:c r="AN96" s="226" t="n">
        <x:v>0.42</x:v>
      </x:c>
      <x:c r="AO96" s="226" t="n">
        <x:f>IF(AM96="EUR",AA96,IF(AM96="GBP",AB96,1))</x:f>
        <x:v>7.8</x:v>
      </x:c>
      <x:c r="AP96" s="226" t="n">
        <x:f>P96*AN96</x:f>
        <x:v>1108.77984</x:v>
      </x:c>
      <x:c r="AQ96" s="226" t="n">
        <x:f>AP96*AO96</x:f>
        <x:v>8648.482752</x:v>
      </x:c>
      <x:c r="AR96" s="226" t="str">
        <x:v>EUR</x:v>
      </x:c>
      <x:c r="AS96" s="226" t="n">
        <x:v>3.2</x:v>
      </x:c>
      <x:c r="AT96" s="226" t="n">
        <x:f>IF(AR96="EUR",AA96,IF(AR96="GBP",AB96,1))</x:f>
        <x:v>7.8</x:v>
      </x:c>
      <x:c r="AU96" s="226" t="n">
        <x:f>T96*AS96</x:f>
        <x:v>402.2784</x:v>
      </x:c>
      <x:c r="AV96" s="226" t="n">
        <x:f>AU96*AT96</x:f>
        <x:v>3137.77152</x:v>
      </x:c>
      <x:c r="AW96" s="226" t="str">
        <x:v>EUR</x:v>
      </x:c>
      <x:c r="AX96" s="226" t="n">
        <x:v>2.3</x:v>
      </x:c>
      <x:c r="AY96" s="226" t="n">
        <x:f>IF(AW96="EUR",AA96,IF(AW96="GBP",AB96,1))</x:f>
        <x:v>7.8</x:v>
      </x:c>
      <x:c r="AZ96" s="226" t="n">
        <x:f>V96*AX96</x:f>
        <x:v>78.93456479999999</x:v>
      </x:c>
      <x:c r="BA96" s="226" t="n">
        <x:f>AZ96*AY96</x:f>
        <x:v>615.6896054399999</x:v>
      </x:c>
      <x:c r="BB96" s="226" t="n">
        <x:f>AF96+AG96+AL96+AQ96+AV96+BA96</x:f>
        <x:v>84791.58795244798</x:v>
      </x:c>
      <x:c r="BC96" s="229" t="n">
        <x:v>0.976</x:v>
      </x:c>
      <x:c r="BD96" s="202"/>
      <x:c r="BE96" s="202"/>
      <x:c r="BF96" s="202"/>
      <x:c r="BG96" s="202" t="str">
        <x:v>UNVERIFIED_UNLIMITED_FOR_MVP</x:v>
      </x:c>
    </x:row>
    <x:row r="97">
      <x:c r="A97" s="187" t="str">
        <x:v>BUDGET_2026_V1</x:v>
      </x:c>
      <x:c r="B97" s="187" t="str">
        <x:v>BUDGET</x:v>
      </x:c>
      <x:c r="C97" s="187"/>
      <x:c r="D97" s="217" t="n">
        <x:v>46296</x:v>
      </x:c>
      <x:c r="E97" s="187" t="str">
        <x:v>R_DE_FR_B_ROAD</x:v>
      </x:c>
      <x:c r="F97" s="187" t="str">
        <x:v>DE</x:v>
      </x:c>
      <x:c r="G97" s="187" t="str">
        <x:v>FR_FC</x:v>
      </x:c>
      <x:c r="H97" s="187" t="str">
        <x:v>CARRIER_B</x:v>
      </x:c>
      <x:c r="I97" s="187" t="str">
        <x:v>ROAD</x:v>
      </x:c>
      <x:c r="J97" s="220" t="n">
        <x:v>18000</x:v>
      </x:c>
      <x:c r="K97" s="223" t="n">
        <x:v>0.36</x:v>
      </x:c>
      <x:c r="L97" s="223" t="n">
        <x:v>0.03</x:v>
      </x:c>
      <x:c r="M97" s="223" t="n">
        <x:v>1</x:v>
      </x:c>
      <x:c r="N97" s="226" t="n">
        <x:f>J97*K97*L97*M97</x:f>
        <x:v>194.4</x:v>
      </x:c>
      <x:c r="O97" s="220" t="n">
        <x:v>1.08</x:v>
      </x:c>
      <x:c r="P97" s="226" t="n">
        <x:f>N97*O97</x:f>
        <x:v>209.95200000000003</x:v>
      </x:c>
      <x:c r="Q97" s="220" t="n">
        <x:v>0.8686</x:v>
      </x:c>
      <x:c r="R97" s="226" t="n">
        <x:f>P97*Q97</x:f>
        <x:v>182.36430720000004</x:v>
      </x:c>
      <x:c r="S97" s="220" t="n">
        <x:v>0.05</x:v>
      </x:c>
      <x:c r="T97" s="226" t="n">
        <x:f>N97*S97</x:f>
        <x:v>9.72</x:v>
      </x:c>
      <x:c r="U97" s="226" t="n">
        <x:v>0.014</x:v>
      </x:c>
      <x:c r="V97" s="226" t="n">
        <x:f>P97*U97</x:f>
        <x:v>2.9393280000000006</x:v>
      </x:c>
      <x:c r="W97" s="196" t="str">
        <x:v>EUR</x:v>
      </x:c>
      <x:c r="X97" s="220" t="n">
        <x:v>3.3</x:v>
      </x:c>
      <x:c r="Y97" s="196" t="str">
        <x:v>PER_CHARGEABLE_KG</x:v>
      </x:c>
      <x:c r="Z97" s="220" t="n">
        <x:v>0.24</x:v>
      </x:c>
      <x:c r="AA97" s="220" t="n">
        <x:v>7.8</x:v>
      </x:c>
      <x:c r="AB97" s="220" t="n">
        <x:v>9</x:v>
      </x:c>
      <x:c r="AC97" s="226" t="n">
        <x:f>IF(W97="EUR",AA97,IF(W97="GBP",AB97,1))</x:f>
        <x:v>7.8</x:v>
      </x:c>
      <x:c r="AD97" s="226" t="n">
        <x:f>R97*X97</x:f>
        <x:v>601.8022137600001</x:v>
      </x:c>
      <x:c r="AE97" s="226" t="n">
        <x:f>IF(Y97="PERCENTAGE_OF_BASE_FREIGHT",AD97*Z97,IF(Y97="PER_CHARGEABLE_KG",R97*Z97,P97*Z97))</x:f>
        <x:v>43.76743372800001</x:v>
      </x:c>
      <x:c r="AF97" s="226" t="n">
        <x:f>AD97*AC97</x:f>
        <x:v>4694.057267328</x:v>
      </x:c>
      <x:c r="AG97" s="226" t="n">
        <x:f>AE97*AC97</x:f>
        <x:v>341.38598307840005</x:v>
      </x:c>
      <x:c r="AH97" s="226" t="str">
        <x:v>EUR</x:v>
      </x:c>
      <x:c r="AI97" s="226" t="n">
        <x:v>1.05</x:v>
      </x:c>
      <x:c r="AJ97" s="226" t="n">
        <x:f>IF(AH97="EUR",AA97,IF(AH97="GBP",AB97,1))</x:f>
        <x:v>7.8</x:v>
      </x:c>
      <x:c r="AK97" s="226" t="n">
        <x:f>N97*AI97</x:f>
        <x:v>204.12</x:v>
      </x:c>
      <x:c r="AL97" s="226" t="n">
        <x:f>AK97*AJ97</x:f>
        <x:v>1592.136</x:v>
      </x:c>
      <x:c r="AM97" s="226" t="str">
        <x:v>EUR</x:v>
      </x:c>
      <x:c r="AN97" s="226" t="n">
        <x:v>0.38</x:v>
      </x:c>
      <x:c r="AO97" s="226" t="n">
        <x:f>IF(AM97="EUR",AA97,IF(AM97="GBP",AB97,1))</x:f>
        <x:v>7.8</x:v>
      </x:c>
      <x:c r="AP97" s="226" t="n">
        <x:f>P97*AN97</x:f>
        <x:v>79.78176</x:v>
      </x:c>
      <x:c r="AQ97" s="226" t="n">
        <x:f>AP97*AO97</x:f>
        <x:v>622.297728</x:v>
      </x:c>
      <x:c r="AR97" s="226" t="str">
        <x:v>EUR</x:v>
      </x:c>
      <x:c r="AS97" s="226" t="n">
        <x:v>3.8</x:v>
      </x:c>
      <x:c r="AT97" s="226" t="n">
        <x:f>IF(AR97="EUR",AA97,IF(AR97="GBP",AB97,1))</x:f>
        <x:v>7.8</x:v>
      </x:c>
      <x:c r="AU97" s="226" t="n">
        <x:f>T97*AS97</x:f>
        <x:v>36.936</x:v>
      </x:c>
      <x:c r="AV97" s="226" t="n">
        <x:f>AU97*AT97</x:f>
        <x:v>288.1008</x:v>
      </x:c>
      <x:c r="AW97" s="226" t="str">
        <x:v>EUR</x:v>
      </x:c>
      <x:c r="AX97" s="226" t="n">
        <x:v>2.3</x:v>
      </x:c>
      <x:c r="AY97" s="226" t="n">
        <x:f>IF(AW97="EUR",AA97,IF(AW97="GBP",AB97,1))</x:f>
        <x:v>7.8</x:v>
      </x:c>
      <x:c r="AZ97" s="226" t="n">
        <x:f>V97*AX97</x:f>
        <x:v>6.760454400000001</x:v>
      </x:c>
      <x:c r="BA97" s="226" t="n">
        <x:f>AZ97*AY97</x:f>
        <x:v>52.73154432000001</x:v>
      </x:c>
      <x:c r="BB97" s="226" t="n">
        <x:f>AF97+AG97+AL97+AQ97+AV97+BA97</x:f>
        <x:v>7590.709322726401</x:v>
      </x:c>
      <x:c r="BC97" s="229" t="n">
        <x:v>0.968</x:v>
      </x:c>
      <x:c r="BD97" s="202"/>
      <x:c r="BE97" s="202"/>
      <x:c r="BF97" s="202"/>
      <x:c r="BG97" s="202" t="str">
        <x:v>UNVERIFIED_UNLIMITED_FOR_MVP</x:v>
      </x:c>
    </x:row>
    <x:row r="98">
      <x:c r="A98" s="187" t="str">
        <x:v>BUDGET_2026_V1</x:v>
      </x:c>
      <x:c r="B98" s="187" t="str">
        <x:v>BUDGET</x:v>
      </x:c>
      <x:c r="C98" s="187"/>
      <x:c r="D98" s="217" t="n">
        <x:v>46296</x:v>
      </x:c>
      <x:c r="E98" s="187" t="str">
        <x:v>R_FR_FR_A_ROAD</x:v>
      </x:c>
      <x:c r="F98" s="187" t="str">
        <x:v>FR</x:v>
      </x:c>
      <x:c r="G98" s="187" t="str">
        <x:v>FR_FC</x:v>
      </x:c>
      <x:c r="H98" s="187" t="str">
        <x:v>CARRIER_A</x:v>
      </x:c>
      <x:c r="I98" s="187" t="str">
        <x:v>ROAD</x:v>
      </x:c>
      <x:c r="J98" s="220" t="n">
        <x:v>18000</x:v>
      </x:c>
      <x:c r="K98" s="223" t="n">
        <x:v>0.31</x:v>
      </x:c>
      <x:c r="L98" s="223" t="n">
        <x:v>1</x:v>
      </x:c>
      <x:c r="M98" s="223" t="n">
        <x:v>0.35</x:v>
      </x:c>
      <x:c r="N98" s="226" t="n">
        <x:f>J98*K98*L98*M98</x:f>
        <x:v>1952.9999999999998</x:v>
      </x:c>
      <x:c r="O98" s="220" t="n">
        <x:v>1.06</x:v>
      </x:c>
      <x:c r="P98" s="226" t="n">
        <x:f>N98*O98</x:f>
        <x:v>2070.18</x:v>
      </x:c>
      <x:c r="Q98" s="220" t="n">
        <x:v>0.7676</x:v>
      </x:c>
      <x:c r="R98" s="226" t="n">
        <x:f>P98*Q98</x:f>
        <x:v>1589.0701679999997</x:v>
      </x:c>
      <x:c r="S98" s="220" t="n">
        <x:v>0.06</x:v>
      </x:c>
      <x:c r="T98" s="226" t="n">
        <x:f>N98*S98</x:f>
        <x:v>117.17999999999998</x:v>
      </x:c>
      <x:c r="U98" s="226" t="n">
        <x:v>0.017</x:v>
      </x:c>
      <x:c r="V98" s="226" t="n">
        <x:f>P98*U98</x:f>
        <x:v>35.19306</x:v>
      </x:c>
      <x:c r="W98" s="196" t="str">
        <x:v>EUR</x:v>
      </x:c>
      <x:c r="X98" s="220" t="n">
        <x:v>2.1</x:v>
      </x:c>
      <x:c r="Y98" s="196" t="str">
        <x:v>PERCENTAGE_OF_BASE_FREIGHT</x:v>
      </x:c>
      <x:c r="Z98" s="220" t="n">
        <x:v>0.09</x:v>
      </x:c>
      <x:c r="AA98" s="220" t="n">
        <x:v>7.8</x:v>
      </x:c>
      <x:c r="AB98" s="220" t="n">
        <x:v>9</x:v>
      </x:c>
      <x:c r="AC98" s="226" t="n">
        <x:f>IF(W98="EUR",AA98,IF(W98="GBP",AB98,1))</x:f>
        <x:v>7.8</x:v>
      </x:c>
      <x:c r="AD98" s="226" t="n">
        <x:f>R98*X98</x:f>
        <x:v>3337.0473527999998</x:v>
      </x:c>
      <x:c r="AE98" s="226" t="n">
        <x:f>IF(Y98="PERCENTAGE_OF_BASE_FREIGHT",AD98*Z98,IF(Y98="PER_CHARGEABLE_KG",R98*Z98,P98*Z98))</x:f>
        <x:v>300.334261752</x:v>
      </x:c>
      <x:c r="AF98" s="226" t="n">
        <x:f>AD98*AC98</x:f>
        <x:v>26028.969351839998</x:v>
      </x:c>
      <x:c r="AG98" s="226" t="n">
        <x:f>AE98*AC98</x:f>
        <x:v>2342.6072416655998</x:v>
      </x:c>
      <x:c r="AH98" s="226" t="str">
        <x:v>EUR</x:v>
      </x:c>
      <x:c r="AI98" s="226" t="n">
        <x:v>1.05</x:v>
      </x:c>
      <x:c r="AJ98" s="226" t="n">
        <x:f>IF(AH98="EUR",AA98,IF(AH98="GBP",AB98,1))</x:f>
        <x:v>7.8</x:v>
      </x:c>
      <x:c r="AK98" s="226" t="n">
        <x:f>N98*AI98</x:f>
        <x:v>2050.6499999999996</x:v>
      </x:c>
      <x:c r="AL98" s="226" t="n">
        <x:f>AK98*AJ98</x:f>
        <x:v>15995.069999999996</x:v>
      </x:c>
      <x:c r="AM98" s="226" t="str">
        <x:v>EUR</x:v>
      </x:c>
      <x:c r="AN98" s="226" t="n">
        <x:v>0.38</x:v>
      </x:c>
      <x:c r="AO98" s="226" t="n">
        <x:f>IF(AM98="EUR",AA98,IF(AM98="GBP",AB98,1))</x:f>
        <x:v>7.8</x:v>
      </x:c>
      <x:c r="AP98" s="226" t="n">
        <x:f>P98*AN98</x:f>
        <x:v>786.6683999999999</x:v>
      </x:c>
      <x:c r="AQ98" s="226" t="n">
        <x:f>AP98*AO98</x:f>
        <x:v>6136.0135199999995</x:v>
      </x:c>
      <x:c r="AR98" s="226" t="str">
        <x:v>EUR</x:v>
      </x:c>
      <x:c r="AS98" s="226" t="n">
        <x:v>3</x:v>
      </x:c>
      <x:c r="AT98" s="226" t="n">
        <x:f>IF(AR98="EUR",AA98,IF(AR98="GBP",AB98,1))</x:f>
        <x:v>7.8</x:v>
      </x:c>
      <x:c r="AU98" s="226" t="n">
        <x:f>T98*AS98</x:f>
        <x:v>351.53999999999996</x:v>
      </x:c>
      <x:c r="AV98" s="226" t="n">
        <x:f>AU98*AT98</x:f>
        <x:v>2742.0119999999997</x:v>
      </x:c>
      <x:c r="AW98" s="226" t="str">
        <x:v>EUR</x:v>
      </x:c>
      <x:c r="AX98" s="226" t="n">
        <x:v>2.3</x:v>
      </x:c>
      <x:c r="AY98" s="226" t="n">
        <x:f>IF(AW98="EUR",AA98,IF(AW98="GBP",AB98,1))</x:f>
        <x:v>7.8</x:v>
      </x:c>
      <x:c r="AZ98" s="226" t="n">
        <x:f>V98*AX98</x:f>
        <x:v>80.944038</x:v>
      </x:c>
      <x:c r="BA98" s="226" t="n">
        <x:f>AZ98*AY98</x:f>
        <x:v>631.3634964</x:v>
      </x:c>
      <x:c r="BB98" s="226" t="n">
        <x:f>AF98+AG98+AL98+AQ98+AV98+BA98</x:f>
        <x:v>53876.03560990559</x:v>
      </x:c>
      <x:c r="BC98" s="229" t="n">
        <x:v>0.961</x:v>
      </x:c>
      <x:c r="BD98" s="202"/>
      <x:c r="BE98" s="202"/>
      <x:c r="BF98" s="202"/>
      <x:c r="BG98" s="202" t="str">
        <x:v>UNVERIFIED_UNLIMITED_FOR_MVP</x:v>
      </x:c>
    </x:row>
    <x:row r="99">
      <x:c r="A99" s="187" t="str">
        <x:v>BUDGET_2026_V1</x:v>
      </x:c>
      <x:c r="B99" s="187" t="str">
        <x:v>BUDGET</x:v>
      </x:c>
      <x:c r="C99" s="187"/>
      <x:c r="D99" s="217" t="n">
        <x:v>46296</x:v>
      </x:c>
      <x:c r="E99" s="187" t="str">
        <x:v>R_FR_FR_B_ROAD</x:v>
      </x:c>
      <x:c r="F99" s="187" t="str">
        <x:v>FR</x:v>
      </x:c>
      <x:c r="G99" s="187" t="str">
        <x:v>FR_FC</x:v>
      </x:c>
      <x:c r="H99" s="187" t="str">
        <x:v>CARRIER_B</x:v>
      </x:c>
      <x:c r="I99" s="187" t="str">
        <x:v>ROAD</x:v>
      </x:c>
      <x:c r="J99" s="220" t="n">
        <x:v>18000</x:v>
      </x:c>
      <x:c r="K99" s="223" t="n">
        <x:v>0.31</x:v>
      </x:c>
      <x:c r="L99" s="223" t="n">
        <x:v>1</x:v>
      </x:c>
      <x:c r="M99" s="223" t="n">
        <x:v>0.65</x:v>
      </x:c>
      <x:c r="N99" s="226" t="n">
        <x:f>J99*K99*L99*M99</x:f>
        <x:v>3627</x:v>
      </x:c>
      <x:c r="O99" s="220" t="n">
        <x:v>1.06</x:v>
      </x:c>
      <x:c r="P99" s="226" t="n">
        <x:f>N99*O99</x:f>
        <x:v>3844.6200000000003</x:v>
      </x:c>
      <x:c r="Q99" s="220" t="n">
        <x:v>0.7979</x:v>
      </x:c>
      <x:c r="R99" s="226" t="n">
        <x:f>P99*Q99</x:f>
        <x:v>3067.6222980000007</x:v>
      </x:c>
      <x:c r="S99" s="220" t="n">
        <x:v>0.06</x:v>
      </x:c>
      <x:c r="T99" s="226" t="n">
        <x:f>N99*S99</x:f>
        <x:v>217.62</x:v>
      </x:c>
      <x:c r="U99" s="226" t="n">
        <x:v>0.014</x:v>
      </x:c>
      <x:c r="V99" s="226" t="n">
        <x:f>P99*U99</x:f>
        <x:v>53.82468000000001</x:v>
      </x:c>
      <x:c r="W99" s="196" t="str">
        <x:v>EUR</x:v>
      </x:c>
      <x:c r="X99" s="220" t="n">
        <x:v>2.6</x:v>
      </x:c>
      <x:c r="Y99" s="196" t="str">
        <x:v>PER_CHARGEABLE_KG</x:v>
      </x:c>
      <x:c r="Z99" s="220" t="n">
        <x:v>0.2</x:v>
      </x:c>
      <x:c r="AA99" s="220" t="n">
        <x:v>7.8</x:v>
      </x:c>
      <x:c r="AB99" s="220" t="n">
        <x:v>9</x:v>
      </x:c>
      <x:c r="AC99" s="226" t="n">
        <x:f>IF(W99="EUR",AA99,IF(W99="GBP",AB99,1))</x:f>
        <x:v>7.8</x:v>
      </x:c>
      <x:c r="AD99" s="226" t="n">
        <x:f>R99*X99</x:f>
        <x:v>7975.817974800002</x:v>
      </x:c>
      <x:c r="AE99" s="226" t="n">
        <x:f>IF(Y99="PERCENTAGE_OF_BASE_FREIGHT",AD99*Z99,IF(Y99="PER_CHARGEABLE_KG",R99*Z99,P99*Z99))</x:f>
        <x:v>613.5244596000001</x:v>
      </x:c>
      <x:c r="AF99" s="226" t="n">
        <x:f>AD99*AC99</x:f>
        <x:v>62211.380203440014</x:v>
      </x:c>
      <x:c r="AG99" s="226" t="n">
        <x:f>AE99*AC99</x:f>
        <x:v>4785.490784880001</x:v>
      </x:c>
      <x:c r="AH99" s="226" t="str">
        <x:v>EUR</x:v>
      </x:c>
      <x:c r="AI99" s="226" t="n">
        <x:v>1.05</x:v>
      </x:c>
      <x:c r="AJ99" s="226" t="n">
        <x:f>IF(AH99="EUR",AA99,IF(AH99="GBP",AB99,1))</x:f>
        <x:v>7.8</x:v>
      </x:c>
      <x:c r="AK99" s="226" t="n">
        <x:f>N99*AI99</x:f>
        <x:v>3808.3500000000004</x:v>
      </x:c>
      <x:c r="AL99" s="226" t="n">
        <x:f>AK99*AJ99</x:f>
        <x:v>29705.13</x:v>
      </x:c>
      <x:c r="AM99" s="226" t="str">
        <x:v>EUR</x:v>
      </x:c>
      <x:c r="AN99" s="226" t="n">
        <x:v>0.38</x:v>
      </x:c>
      <x:c r="AO99" s="226" t="n">
        <x:f>IF(AM99="EUR",AA99,IF(AM99="GBP",AB99,1))</x:f>
        <x:v>7.8</x:v>
      </x:c>
      <x:c r="AP99" s="226" t="n">
        <x:f>P99*AN99</x:f>
        <x:v>1460.9556000000002</x:v>
      </x:c>
      <x:c r="AQ99" s="226" t="n">
        <x:f>AP99*AO99</x:f>
        <x:v>11395.453680000002</x:v>
      </x:c>
      <x:c r="AR99" s="226" t="str">
        <x:v>EUR</x:v>
      </x:c>
      <x:c r="AS99" s="226" t="n">
        <x:v>3</x:v>
      </x:c>
      <x:c r="AT99" s="226" t="n">
        <x:f>IF(AR99="EUR",AA99,IF(AR99="GBP",AB99,1))</x:f>
        <x:v>7.8</x:v>
      </x:c>
      <x:c r="AU99" s="226" t="n">
        <x:f>T99*AS99</x:f>
        <x:v>652.86</x:v>
      </x:c>
      <x:c r="AV99" s="226" t="n">
        <x:f>AU99*AT99</x:f>
        <x:v>5092.308</x:v>
      </x:c>
      <x:c r="AW99" s="226" t="str">
        <x:v>EUR</x:v>
      </x:c>
      <x:c r="AX99" s="226" t="n">
        <x:v>2.3</x:v>
      </x:c>
      <x:c r="AY99" s="226" t="n">
        <x:f>IF(AW99="EUR",AA99,IF(AW99="GBP",AB99,1))</x:f>
        <x:v>7.8</x:v>
      </x:c>
      <x:c r="AZ99" s="226" t="n">
        <x:f>V99*AX99</x:f>
        <x:v>123.79676400000001</x:v>
      </x:c>
      <x:c r="BA99" s="226" t="n">
        <x:f>AZ99*AY99</x:f>
        <x:v>965.6147592000001</x:v>
      </x:c>
      <x:c r="BB99" s="226" t="n">
        <x:f>AF99+AG99+AL99+AQ99+AV99+BA99</x:f>
        <x:v>114155.37742752004</x:v>
      </x:c>
      <x:c r="BC99" s="229" t="n">
        <x:v>0.973</x:v>
      </x:c>
      <x:c r="BD99" s="202"/>
      <x:c r="BE99" s="202"/>
      <x:c r="BF99" s="202"/>
      <x:c r="BG99" s="202" t="str">
        <x:v>UNVERIFIED_UNLIMITED_FOR_MVP</x:v>
      </x:c>
    </x:row>
    <x:row r="100">
      <x:c r="A100" s="187" t="str">
        <x:v>BUDGET_2026_V1</x:v>
      </x:c>
      <x:c r="B100" s="187" t="str">
        <x:v>BUDGET</x:v>
      </x:c>
      <x:c r="C100" s="187"/>
      <x:c r="D100" s="217" t="n">
        <x:v>46296</x:v>
      </x:c>
      <x:c r="E100" s="187" t="str">
        <x:v>R_GB_DE_A_ROAD</x:v>
      </x:c>
      <x:c r="F100" s="187" t="str">
        <x:v>GB</x:v>
      </x:c>
      <x:c r="G100" s="187" t="str">
        <x:v>DE_FC</x:v>
      </x:c>
      <x:c r="H100" s="187" t="str">
        <x:v>CARRIER_A</x:v>
      </x:c>
      <x:c r="I100" s="187" t="str">
        <x:v>ROAD</x:v>
      </x:c>
      <x:c r="J100" s="220" t="n">
        <x:v>18000</x:v>
      </x:c>
      <x:c r="K100" s="223" t="n">
        <x:v>0.33</x:v>
      </x:c>
      <x:c r="L100" s="223" t="n">
        <x:v>0.96</x:v>
      </x:c>
      <x:c r="M100" s="223" t="n">
        <x:v>0.65</x:v>
      </x:c>
      <x:c r="N100" s="226" t="n">
        <x:f>J100*K100*L100*M100</x:f>
        <x:v>3706.56</x:v>
      </x:c>
      <x:c r="O100" s="220" t="n">
        <x:v>1.12</x:v>
      </x:c>
      <x:c r="P100" s="226" t="n">
        <x:f>N100*O100</x:f>
        <x:v>4151.3472</x:v>
      </x:c>
      <x:c r="Q100" s="220" t="n">
        <x:v>1.0302</x:v>
      </x:c>
      <x:c r="R100" s="226" t="n">
        <x:f>P100*Q100</x:f>
        <x:v>4276.71788544</x:v>
      </x:c>
      <x:c r="S100" s="220" t="n">
        <x:v>0.08</x:v>
      </x:c>
      <x:c r="T100" s="226" t="n">
        <x:f>N100*S100</x:f>
        <x:v>296.5248</x:v>
      </x:c>
      <x:c r="U100" s="226" t="n">
        <x:v>0.022</x:v>
      </x:c>
      <x:c r="V100" s="226" t="n">
        <x:f>P100*U100</x:f>
        <x:v>91.3296384</x:v>
      </x:c>
      <x:c r="W100" s="196" t="str">
        <x:v>GBP</x:v>
      </x:c>
      <x:c r="X100" s="220" t="n">
        <x:v>4</x:v>
      </x:c>
      <x:c r="Y100" s="196" t="str">
        <x:v>PERCENTAGE_OF_BASE_FREIGHT</x:v>
      </x:c>
      <x:c r="Z100" s="220" t="n">
        <x:v>0.1</x:v>
      </x:c>
      <x:c r="AA100" s="220" t="n">
        <x:v>7.8</x:v>
      </x:c>
      <x:c r="AB100" s="220" t="n">
        <x:v>9</x:v>
      </x:c>
      <x:c r="AC100" s="226" t="n">
        <x:f>IF(W100="EUR",AA100,IF(W100="GBP",AB100,1))</x:f>
        <x:v>9</x:v>
      </x:c>
      <x:c r="AD100" s="226" t="n">
        <x:f>R100*X100</x:f>
        <x:v>17106.87154176</x:v>
      </x:c>
      <x:c r="AE100" s="226" t="n">
        <x:f>IF(Y100="PERCENTAGE_OF_BASE_FREIGHT",AD100*Z100,IF(Y100="PER_CHARGEABLE_KG",R100*Z100,P100*Z100))</x:f>
        <x:v>1710.6871541760001</x:v>
      </x:c>
      <x:c r="AF100" s="226" t="n">
        <x:f>AD100*AC100</x:f>
        <x:v>153961.84387584</x:v>
      </x:c>
      <x:c r="AG100" s="226" t="n">
        <x:f>AE100*AC100</x:f>
        <x:v>15396.184387584002</x:v>
      </x:c>
      <x:c r="AH100" s="226" t="str">
        <x:v>EUR</x:v>
      </x:c>
      <x:c r="AI100" s="226" t="n">
        <x:v>1.18</x:v>
      </x:c>
      <x:c r="AJ100" s="226" t="n">
        <x:f>IF(AH100="EUR",AA100,IF(AH100="GBP",AB100,1))</x:f>
        <x:v>7.8</x:v>
      </x:c>
      <x:c r="AK100" s="226" t="n">
        <x:f>N100*AI100</x:f>
        <x:v>4373.7408</x:v>
      </x:c>
      <x:c r="AL100" s="226" t="n">
        <x:f>AK100*AJ100</x:f>
        <x:v>34115.178239999994</x:v>
      </x:c>
      <x:c r="AM100" s="226" t="str">
        <x:v>EUR</x:v>
      </x:c>
      <x:c r="AN100" s="226" t="n">
        <x:v>0.42</x:v>
      </x:c>
      <x:c r="AO100" s="226" t="n">
        <x:f>IF(AM100="EUR",AA100,IF(AM100="GBP",AB100,1))</x:f>
        <x:v>7.8</x:v>
      </x:c>
      <x:c r="AP100" s="226" t="n">
        <x:f>P100*AN100</x:f>
        <x:v>1743.565824</x:v>
      </x:c>
      <x:c r="AQ100" s="226" t="n">
        <x:f>AP100*AO100</x:f>
        <x:v>13599.8134272</x:v>
      </x:c>
      <x:c r="AR100" s="226" t="str">
        <x:v>GBP</x:v>
      </x:c>
      <x:c r="AS100" s="226" t="n">
        <x:v>4.8</x:v>
      </x:c>
      <x:c r="AT100" s="226" t="n">
        <x:f>IF(AR100="EUR",AA100,IF(AR100="GBP",AB100,1))</x:f>
        <x:v>9</x:v>
      </x:c>
      <x:c r="AU100" s="226" t="n">
        <x:f>T100*AS100</x:f>
        <x:v>1423.31904</x:v>
      </x:c>
      <x:c r="AV100" s="226" t="n">
        <x:f>AU100*AT100</x:f>
        <x:v>12809.871360000001</x:v>
      </x:c>
      <x:c r="AW100" s="226" t="str">
        <x:v>GBP</x:v>
      </x:c>
      <x:c r="AX100" s="226" t="n">
        <x:v>2.3</x:v>
      </x:c>
      <x:c r="AY100" s="226" t="n">
        <x:f>IF(AW100="EUR",AA100,IF(AW100="GBP",AB100,1))</x:f>
        <x:v>9</x:v>
      </x:c>
      <x:c r="AZ100" s="226" t="n">
        <x:f>V100*AX100</x:f>
        <x:v>210.05816831999996</x:v>
      </x:c>
      <x:c r="BA100" s="226" t="n">
        <x:f>AZ100*AY100</x:f>
        <x:v>1890.5235148799998</x:v>
      </x:c>
      <x:c r="BB100" s="226" t="n">
        <x:f>AF100+AG100+AL100+AQ100+AV100+BA100</x:f>
        <x:v>231773.41480550397</x:v>
      </x:c>
      <x:c r="BC100" s="229" t="n">
        <x:v>0.93</x:v>
      </x:c>
      <x:c r="BD100" s="202"/>
      <x:c r="BE100" s="202"/>
      <x:c r="BF100" s="202"/>
      <x:c r="BG100" s="202" t="str">
        <x:v>UNVERIFIED_UNLIMITED_FOR_MVP</x:v>
      </x:c>
    </x:row>
    <x:row r="101">
      <x:c r="A101" s="187" t="str">
        <x:v>BUDGET_2026_V1</x:v>
      </x:c>
      <x:c r="B101" s="187" t="str">
        <x:v>BUDGET</x:v>
      </x:c>
      <x:c r="C101" s="187"/>
      <x:c r="D101" s="217" t="n">
        <x:v>46296</x:v>
      </x:c>
      <x:c r="E101" s="187" t="str">
        <x:v>R_GB_DE_B_ROAD</x:v>
      </x:c>
      <x:c r="F101" s="187" t="str">
        <x:v>GB</x:v>
      </x:c>
      <x:c r="G101" s="187" t="str">
        <x:v>DE_FC</x:v>
      </x:c>
      <x:c r="H101" s="187" t="str">
        <x:v>CARRIER_B</x:v>
      </x:c>
      <x:c r="I101" s="187" t="str">
        <x:v>ROAD</x:v>
      </x:c>
      <x:c r="J101" s="220" t="n">
        <x:v>18000</x:v>
      </x:c>
      <x:c r="K101" s="223" t="n">
        <x:v>0.33</x:v>
      </x:c>
      <x:c r="L101" s="223" t="n">
        <x:v>0.96</x:v>
      </x:c>
      <x:c r="M101" s="223" t="n">
        <x:v>0.25</x:v>
      </x:c>
      <x:c r="N101" s="226" t="n">
        <x:f>J101*K101*L101*M101</x:f>
        <x:v>1425.6</x:v>
      </x:c>
      <x:c r="O101" s="220" t="n">
        <x:v>1.12</x:v>
      </x:c>
      <x:c r="P101" s="226" t="n">
        <x:f>N101*O101</x:f>
        <x:v>1596.672</x:v>
      </x:c>
      <x:c r="Q101" s="220" t="n">
        <x:v>1.01</x:v>
      </x:c>
      <x:c r="R101" s="226" t="n">
        <x:f>P101*Q101</x:f>
        <x:v>1612.6387200000001</x:v>
      </x:c>
      <x:c r="S101" s="220" t="n">
        <x:v>0.08</x:v>
      </x:c>
      <x:c r="T101" s="226" t="n">
        <x:f>N101*S101</x:f>
        <x:v>114.048</x:v>
      </x:c>
      <x:c r="U101" s="226" t="n">
        <x:v>0.017</x:v>
      </x:c>
      <x:c r="V101" s="226" t="n">
        <x:f>P101*U101</x:f>
        <x:v>27.143424000000003</x:v>
      </x:c>
      <x:c r="W101" s="196" t="str">
        <x:v>GBP</x:v>
      </x:c>
      <x:c r="X101" s="220" t="n">
        <x:v>4.7</x:v>
      </x:c>
      <x:c r="Y101" s="196" t="str">
        <x:v>PER_CHARGEABLE_KG</x:v>
      </x:c>
      <x:c r="Z101" s="220" t="n">
        <x:v>0.33</x:v>
      </x:c>
      <x:c r="AA101" s="220" t="n">
        <x:v>7.8</x:v>
      </x:c>
      <x:c r="AB101" s="220" t="n">
        <x:v>9</x:v>
      </x:c>
      <x:c r="AC101" s="226" t="n">
        <x:f>IF(W101="EUR",AA101,IF(W101="GBP",AB101,1))</x:f>
        <x:v>9</x:v>
      </x:c>
      <x:c r="AD101" s="226" t="n">
        <x:f>R101*X101</x:f>
        <x:v>7579.401984000001</x:v>
      </x:c>
      <x:c r="AE101" s="226" t="n">
        <x:f>IF(Y101="PERCENTAGE_OF_BASE_FREIGHT",AD101*Z101,IF(Y101="PER_CHARGEABLE_KG",R101*Z101,P101*Z101))</x:f>
        <x:v>532.1707776000001</x:v>
      </x:c>
      <x:c r="AF101" s="226" t="n">
        <x:f>AD101*AC101</x:f>
        <x:v>68214.61785600001</x:v>
      </x:c>
      <x:c r="AG101" s="226" t="n">
        <x:f>AE101*AC101</x:f>
        <x:v>4789.536998400001</x:v>
      </x:c>
      <x:c r="AH101" s="226" t="str">
        <x:v>EUR</x:v>
      </x:c>
      <x:c r="AI101" s="226" t="n">
        <x:v>1.18</x:v>
      </x:c>
      <x:c r="AJ101" s="226" t="n">
        <x:f>IF(AH101="EUR",AA101,IF(AH101="GBP",AB101,1))</x:f>
        <x:v>7.8</x:v>
      </x:c>
      <x:c r="AK101" s="226" t="n">
        <x:f>N101*AI101</x:f>
        <x:v>1682.2079999999999</x:v>
      </x:c>
      <x:c r="AL101" s="226" t="n">
        <x:f>AK101*AJ101</x:f>
        <x:v>13121.222399999999</x:v>
      </x:c>
      <x:c r="AM101" s="226" t="str">
        <x:v>EUR</x:v>
      </x:c>
      <x:c r="AN101" s="226" t="n">
        <x:v>0.42</x:v>
      </x:c>
      <x:c r="AO101" s="226" t="n">
        <x:f>IF(AM101="EUR",AA101,IF(AM101="GBP",AB101,1))</x:f>
        <x:v>7.8</x:v>
      </x:c>
      <x:c r="AP101" s="226" t="n">
        <x:f>P101*AN101</x:f>
        <x:v>670.6022399999999</x:v>
      </x:c>
      <x:c r="AQ101" s="226" t="n">
        <x:f>AP101*AO101</x:f>
        <x:v>5230.697472</x:v>
      </x:c>
      <x:c r="AR101" s="226" t="str">
        <x:v>GBP</x:v>
      </x:c>
      <x:c r="AS101" s="226" t="n">
        <x:v>4.8</x:v>
      </x:c>
      <x:c r="AT101" s="226" t="n">
        <x:f>IF(AR101="EUR",AA101,IF(AR101="GBP",AB101,1))</x:f>
        <x:v>9</x:v>
      </x:c>
      <x:c r="AU101" s="226" t="n">
        <x:f>T101*AS101</x:f>
        <x:v>547.4304</x:v>
      </x:c>
      <x:c r="AV101" s="226" t="n">
        <x:f>AU101*AT101</x:f>
        <x:v>4926.8736</x:v>
      </x:c>
      <x:c r="AW101" s="226" t="str">
        <x:v>GBP</x:v>
      </x:c>
      <x:c r="AX101" s="226" t="n">
        <x:v>2.3</x:v>
      </x:c>
      <x:c r="AY101" s="226" t="n">
        <x:f>IF(AW101="EUR",AA101,IF(AW101="GBP",AB101,1))</x:f>
        <x:v>9</x:v>
      </x:c>
      <x:c r="AZ101" s="226" t="n">
        <x:f>V101*AX101</x:f>
        <x:v>62.429875200000005</x:v>
      </x:c>
      <x:c r="BA101" s="226" t="n">
        <x:f>AZ101*AY101</x:f>
        <x:v>561.8688768000001</x:v>
      </x:c>
      <x:c r="BB101" s="226" t="n">
        <x:f>AF101+AG101+AL101+AQ101+AV101+BA101</x:f>
        <x:v>96844.81720320001</x:v>
      </x:c>
      <x:c r="BC101" s="229" t="n">
        <x:v>0.95</x:v>
      </x:c>
      <x:c r="BD101" s="202"/>
      <x:c r="BE101" s="202"/>
      <x:c r="BF101" s="202"/>
      <x:c r="BG101" s="202" t="str">
        <x:v>UNVERIFIED_UNLIMITED_FOR_MVP</x:v>
      </x:c>
    </x:row>
    <x:row r="102">
      <x:c r="A102" s="187" t="str">
        <x:v>BUDGET_2026_V1</x:v>
      </x:c>
      <x:c r="B102" s="187" t="str">
        <x:v>BUDGET</x:v>
      </x:c>
      <x:c r="C102" s="187"/>
      <x:c r="D102" s="217" t="n">
        <x:v>46296</x:v>
      </x:c>
      <x:c r="E102" s="187" t="str">
        <x:v>R_GB_DE_B_AIR</x:v>
      </x:c>
      <x:c r="F102" s="187" t="str">
        <x:v>GB</x:v>
      </x:c>
      <x:c r="G102" s="187" t="str">
        <x:v>DE_FC</x:v>
      </x:c>
      <x:c r="H102" s="187" t="str">
        <x:v>CARRIER_B</x:v>
      </x:c>
      <x:c r="I102" s="187" t="str">
        <x:v>AIR</x:v>
      </x:c>
      <x:c r="J102" s="220" t="n">
        <x:v>18000</x:v>
      </x:c>
      <x:c r="K102" s="223" t="n">
        <x:v>0.33</x:v>
      </x:c>
      <x:c r="L102" s="223" t="n">
        <x:v>0.96</x:v>
      </x:c>
      <x:c r="M102" s="223" t="n">
        <x:v>0.07</x:v>
      </x:c>
      <x:c r="N102" s="226" t="n">
        <x:f>J102*K102*L102*M102</x:f>
        <x:v>399.168</x:v>
      </x:c>
      <x:c r="O102" s="220" t="n">
        <x:v>1.12</x:v>
      </x:c>
      <x:c r="P102" s="226" t="n">
        <x:f>N102*O102</x:f>
        <x:v>447.06816000000003</x:v>
      </x:c>
      <x:c r="Q102" s="220" t="n">
        <x:v>0.9494</x:v>
      </x:c>
      <x:c r="R102" s="226" t="n">
        <x:f>P102*Q102</x:f>
        <x:v>424.446511104</x:v>
      </x:c>
      <x:c r="S102" s="220" t="n">
        <x:v>0.08</x:v>
      </x:c>
      <x:c r="T102" s="226" t="n">
        <x:f>N102*S102</x:f>
        <x:v>31.93344</x:v>
      </x:c>
      <x:c r="U102" s="226" t="n">
        <x:v>0.013</x:v>
      </x:c>
      <x:c r="V102" s="226" t="n">
        <x:f>P102*U102</x:f>
        <x:v>5.81188608</x:v>
      </x:c>
      <x:c r="W102" s="196" t="str">
        <x:v>GBP</x:v>
      </x:c>
      <x:c r="X102" s="220" t="n">
        <x:v>6.2</x:v>
      </x:c>
      <x:c r="Y102" s="196" t="str">
        <x:v>PERCENTAGE_OF_BASE_FREIGHT</x:v>
      </x:c>
      <x:c r="Z102" s="220" t="n">
        <x:v>0.115</x:v>
      </x:c>
      <x:c r="AA102" s="220" t="n">
        <x:v>7.8</x:v>
      </x:c>
      <x:c r="AB102" s="220" t="n">
        <x:v>9</x:v>
      </x:c>
      <x:c r="AC102" s="226" t="n">
        <x:f>IF(W102="EUR",AA102,IF(W102="GBP",AB102,1))</x:f>
        <x:v>9</x:v>
      </x:c>
      <x:c r="AD102" s="226" t="n">
        <x:f>R102*X102</x:f>
        <x:v>2631.5683688448003</x:v>
      </x:c>
      <x:c r="AE102" s="226" t="n">
        <x:f>IF(Y102="PERCENTAGE_OF_BASE_FREIGHT",AD102*Z102,IF(Y102="PER_CHARGEABLE_KG",R102*Z102,P102*Z102))</x:f>
        <x:v>302.63036241715207</x:v>
      </x:c>
      <x:c r="AF102" s="226" t="n">
        <x:f>AD102*AC102</x:f>
        <x:v>23684.115319603203</x:v>
      </x:c>
      <x:c r="AG102" s="226" t="n">
        <x:f>AE102*AC102</x:f>
        <x:v>2723.6732617543685</x:v>
      </x:c>
      <x:c r="AH102" s="226" t="str">
        <x:v>EUR</x:v>
      </x:c>
      <x:c r="AI102" s="226" t="n">
        <x:v>1.18</x:v>
      </x:c>
      <x:c r="AJ102" s="226" t="n">
        <x:f>IF(AH102="EUR",AA102,IF(AH102="GBP",AB102,1))</x:f>
        <x:v>7.8</x:v>
      </x:c>
      <x:c r="AK102" s="226" t="n">
        <x:f>N102*AI102</x:f>
        <x:v>471.01824</x:v>
      </x:c>
      <x:c r="AL102" s="226" t="n">
        <x:f>AK102*AJ102</x:f>
        <x:v>3673.942272</x:v>
      </x:c>
      <x:c r="AM102" s="226" t="str">
        <x:v>EUR</x:v>
      </x:c>
      <x:c r="AN102" s="226" t="n">
        <x:v>0.42</x:v>
      </x:c>
      <x:c r="AO102" s="226" t="n">
        <x:f>IF(AM102="EUR",AA102,IF(AM102="GBP",AB102,1))</x:f>
        <x:v>7.8</x:v>
      </x:c>
      <x:c r="AP102" s="226" t="n">
        <x:f>P102*AN102</x:f>
        <x:v>187.7686272</x:v>
      </x:c>
      <x:c r="AQ102" s="226" t="n">
        <x:f>AP102*AO102</x:f>
        <x:v>1464.5952921599999</x:v>
      </x:c>
      <x:c r="AR102" s="226" t="str">
        <x:v>GBP</x:v>
      </x:c>
      <x:c r="AS102" s="226" t="n">
        <x:v>4.8</x:v>
      </x:c>
      <x:c r="AT102" s="226" t="n">
        <x:f>IF(AR102="EUR",AA102,IF(AR102="GBP",AB102,1))</x:f>
        <x:v>9</x:v>
      </x:c>
      <x:c r="AU102" s="226" t="n">
        <x:f>T102*AS102</x:f>
        <x:v>153.280512</x:v>
      </x:c>
      <x:c r="AV102" s="226" t="n">
        <x:f>AU102*AT102</x:f>
        <x:v>1379.524608</x:v>
      </x:c>
      <x:c r="AW102" s="226" t="str">
        <x:v>GBP</x:v>
      </x:c>
      <x:c r="AX102" s="226" t="n">
        <x:v>2.8</x:v>
      </x:c>
      <x:c r="AY102" s="226" t="n">
        <x:f>IF(AW102="EUR",AA102,IF(AW102="GBP",AB102,1))</x:f>
        <x:v>9</x:v>
      </x:c>
      <x:c r="AZ102" s="226" t="n">
        <x:f>V102*AX102</x:f>
        <x:v>16.273281024</x:v>
      </x:c>
      <x:c r="BA102" s="226" t="n">
        <x:f>AZ102*AY102</x:f>
        <x:v>146.459529216</x:v>
      </x:c>
      <x:c r="BB102" s="226" t="n">
        <x:f>AF102+AG102+AL102+AQ102+AV102+BA102</x:f>
        <x:v>33072.310282733575</x:v>
      </x:c>
      <x:c r="BC102" s="229" t="n">
        <x:v>0.974</x:v>
      </x:c>
      <x:c r="BD102" s="202"/>
      <x:c r="BE102" s="202"/>
      <x:c r="BF102" s="202"/>
      <x:c r="BG102" s="202" t="str">
        <x:v>UNVERIFIED_UNLIMITED_FOR_MVP</x:v>
      </x:c>
    </x:row>
    <x:row r="103">
      <x:c r="A103" s="187" t="str">
        <x:v>BUDGET_2026_V1</x:v>
      </x:c>
      <x:c r="B103" s="187" t="str">
        <x:v>BUDGET</x:v>
      </x:c>
      <x:c r="C103" s="187"/>
      <x:c r="D103" s="217" t="n">
        <x:v>46296</x:v>
      </x:c>
      <x:c r="E103" s="187" t="str">
        <x:v>R_GB_DE_C_AIR</x:v>
      </x:c>
      <x:c r="F103" s="187" t="str">
        <x:v>GB</x:v>
      </x:c>
      <x:c r="G103" s="187" t="str">
        <x:v>DE_FC</x:v>
      </x:c>
      <x:c r="H103" s="187" t="str">
        <x:v>CARRIER_C</x:v>
      </x:c>
      <x:c r="I103" s="187" t="str">
        <x:v>AIR</x:v>
      </x:c>
      <x:c r="J103" s="220" t="n">
        <x:v>18000</x:v>
      </x:c>
      <x:c r="K103" s="223" t="n">
        <x:v>0.33</x:v>
      </x:c>
      <x:c r="L103" s="223" t="n">
        <x:v>0.96</x:v>
      </x:c>
      <x:c r="M103" s="223" t="n">
        <x:v>0.03</x:v>
      </x:c>
      <x:c r="N103" s="226" t="n">
        <x:f>J103*K103*L103*M103</x:f>
        <x:v>171.07199999999997</x:v>
      </x:c>
      <x:c r="O103" s="220" t="n">
        <x:v>1.12</x:v>
      </x:c>
      <x:c r="P103" s="226" t="n">
        <x:f>N103*O103</x:f>
        <x:v>191.60064</x:v>
      </x:c>
      <x:c r="Q103" s="220" t="n">
        <x:v>0.9292</x:v>
      </x:c>
      <x:c r="R103" s="226" t="n">
        <x:f>P103*Q103</x:f>
        <x:v>178.035314688</x:v>
      </x:c>
      <x:c r="S103" s="220" t="n">
        <x:v>0.08</x:v>
      </x:c>
      <x:c r="T103" s="226" t="n">
        <x:f>N103*S103</x:f>
        <x:v>13.685759999999998</x:v>
      </x:c>
      <x:c r="U103" s="226" t="n">
        <x:v>0.009</x:v>
      </x:c>
      <x:c r="V103" s="226" t="n">
        <x:f>P103*U103</x:f>
        <x:v>1.7244057599999998</x:v>
      </x:c>
      <x:c r="W103" s="196" t="str">
        <x:v>GBP</x:v>
      </x:c>
      <x:c r="X103" s="220" t="n">
        <x:v>7.5</x:v>
      </x:c>
      <x:c r="Y103" s="196" t="str">
        <x:v>PER_CHARGEABLE_KG</x:v>
      </x:c>
      <x:c r="Z103" s="220" t="n">
        <x:v>0.58</x:v>
      </x:c>
      <x:c r="AA103" s="220" t="n">
        <x:v>7.8</x:v>
      </x:c>
      <x:c r="AB103" s="220" t="n">
        <x:v>9</x:v>
      </x:c>
      <x:c r="AC103" s="226" t="n">
        <x:f>IF(W103="EUR",AA103,IF(W103="GBP",AB103,1))</x:f>
        <x:v>9</x:v>
      </x:c>
      <x:c r="AD103" s="226" t="n">
        <x:f>R103*X103</x:f>
        <x:v>1335.26486016</x:v>
      </x:c>
      <x:c r="AE103" s="226" t="n">
        <x:f>IF(Y103="PERCENTAGE_OF_BASE_FREIGHT",AD103*Z103,IF(Y103="PER_CHARGEABLE_KG",R103*Z103,P103*Z103))</x:f>
        <x:v>103.26048251904</x:v>
      </x:c>
      <x:c r="AF103" s="226" t="n">
        <x:f>AD103*AC103</x:f>
        <x:v>12017.383741439999</x:v>
      </x:c>
      <x:c r="AG103" s="226" t="n">
        <x:f>AE103*AC103</x:f>
        <x:v>929.34434267136</x:v>
      </x:c>
      <x:c r="AH103" s="226" t="str">
        <x:v>EUR</x:v>
      </x:c>
      <x:c r="AI103" s="226" t="n">
        <x:v>1.18</x:v>
      </x:c>
      <x:c r="AJ103" s="226" t="n">
        <x:f>IF(AH103="EUR",AA103,IF(AH103="GBP",AB103,1))</x:f>
        <x:v>7.8</x:v>
      </x:c>
      <x:c r="AK103" s="226" t="n">
        <x:f>N103*AI103</x:f>
        <x:v>201.86495999999997</x:v>
      </x:c>
      <x:c r="AL103" s="226" t="n">
        <x:f>AK103*AJ103</x:f>
        <x:v>1574.5466879999997</x:v>
      </x:c>
      <x:c r="AM103" s="226" t="str">
        <x:v>EUR</x:v>
      </x:c>
      <x:c r="AN103" s="226" t="n">
        <x:v>0.42</x:v>
      </x:c>
      <x:c r="AO103" s="226" t="n">
        <x:f>IF(AM103="EUR",AA103,IF(AM103="GBP",AB103,1))</x:f>
        <x:v>7.8</x:v>
      </x:c>
      <x:c r="AP103" s="226" t="n">
        <x:f>P103*AN103</x:f>
        <x:v>80.4722688</x:v>
      </x:c>
      <x:c r="AQ103" s="226" t="n">
        <x:f>AP103*AO103</x:f>
        <x:v>627.68369664</x:v>
      </x:c>
      <x:c r="AR103" s="226" t="str">
        <x:v>GBP</x:v>
      </x:c>
      <x:c r="AS103" s="226" t="n">
        <x:v>4.8</x:v>
      </x:c>
      <x:c r="AT103" s="226" t="n">
        <x:f>IF(AR103="EUR",AA103,IF(AR103="GBP",AB103,1))</x:f>
        <x:v>9</x:v>
      </x:c>
      <x:c r="AU103" s="226" t="n">
        <x:f>T103*AS103</x:f>
        <x:v>65.69164799999999</x:v>
      </x:c>
      <x:c r="AV103" s="226" t="n">
        <x:f>AU103*AT103</x:f>
        <x:v>591.2248319999999</x:v>
      </x:c>
      <x:c r="AW103" s="226" t="str">
        <x:v>GBP</x:v>
      </x:c>
      <x:c r="AX103" s="226" t="n">
        <x:v>3.6</x:v>
      </x:c>
      <x:c r="AY103" s="226" t="n">
        <x:f>IF(AW103="EUR",AA103,IF(AW103="GBP",AB103,1))</x:f>
        <x:v>9</x:v>
      </x:c>
      <x:c r="AZ103" s="226" t="n">
        <x:f>V103*AX103</x:f>
        <x:v>6.207860736</x:v>
      </x:c>
      <x:c r="BA103" s="226" t="n">
        <x:f>AZ103*AY103</x:f>
        <x:v>55.870746624</x:v>
      </x:c>
      <x:c r="BB103" s="226" t="n">
        <x:f>AF103+AG103+AL103+AQ103+AV103+BA103</x:f>
        <x:v>15796.054047375359</x:v>
      </x:c>
      <x:c r="BC103" s="229" t="n">
        <x:v>0.988</x:v>
      </x:c>
      <x:c r="BD103" s="202"/>
      <x:c r="BE103" s="202"/>
      <x:c r="BF103" s="202"/>
      <x:c r="BG103" s="202" t="str">
        <x:v>UNVERIFIED_UNLIMITED_FOR_MVP</x:v>
      </x:c>
    </x:row>
    <x:row r="104">
      <x:c r="A104" s="187" t="str">
        <x:v>BUDGET_2026_V1</x:v>
      </x:c>
      <x:c r="B104" s="187" t="str">
        <x:v>BUDGET</x:v>
      </x:c>
      <x:c r="C104" s="187"/>
      <x:c r="D104" s="217" t="n">
        <x:v>46296</x:v>
      </x:c>
      <x:c r="E104" s="187" t="str">
        <x:v>R_GB_FR_B_AIR</x:v>
      </x:c>
      <x:c r="F104" s="187" t="str">
        <x:v>GB</x:v>
      </x:c>
      <x:c r="G104" s="187" t="str">
        <x:v>FR_FC</x:v>
      </x:c>
      <x:c r="H104" s="187" t="str">
        <x:v>CARRIER_B</x:v>
      </x:c>
      <x:c r="I104" s="187" t="str">
        <x:v>AIR</x:v>
      </x:c>
      <x:c r="J104" s="220" t="n">
        <x:v>18000</x:v>
      </x:c>
      <x:c r="K104" s="223" t="n">
        <x:v>0.33</x:v>
      </x:c>
      <x:c r="L104" s="223" t="n">
        <x:v>0.04</x:v>
      </x:c>
      <x:c r="M104" s="223" t="n">
        <x:v>1</x:v>
      </x:c>
      <x:c r="N104" s="226" t="n">
        <x:f>J104*K104*L104*M104</x:f>
        <x:v>237.6</x:v>
      </x:c>
      <x:c r="O104" s="220" t="n">
        <x:v>1.15</x:v>
      </x:c>
      <x:c r="P104" s="226" t="n">
        <x:f>N104*O104</x:f>
        <x:v>273.23999999999995</x:v>
      </x:c>
      <x:c r="Q104" s="220" t="n">
        <x:v>0.909</x:v>
      </x:c>
      <x:c r="R104" s="226" t="n">
        <x:f>P104*Q104</x:f>
        <x:v>248.37515999999997</x:v>
      </x:c>
      <x:c r="S104" s="220" t="n">
        <x:v>0.08</x:v>
      </x:c>
      <x:c r="T104" s="226" t="n">
        <x:f>N104*S104</x:f>
        <x:v>19.008</x:v>
      </x:c>
      <x:c r="U104" s="226" t="n">
        <x:v>0.012</x:v>
      </x:c>
      <x:c r="V104" s="226" t="n">
        <x:f>P104*U104</x:f>
        <x:v>3.2788799999999996</x:v>
      </x:c>
      <x:c r="W104" s="196" t="str">
        <x:v>EUR</x:v>
      </x:c>
      <x:c r="X104" s="220" t="n">
        <x:v>6.7</x:v>
      </x:c>
      <x:c r="Y104" s="196" t="str">
        <x:v>PERCENTAGE_OF_BASE_FREIGHT</x:v>
      </x:c>
      <x:c r="Z104" s="220" t="n">
        <x:v>0.105</x:v>
      </x:c>
      <x:c r="AA104" s="220" t="n">
        <x:v>7.8</x:v>
      </x:c>
      <x:c r="AB104" s="220" t="n">
        <x:v>9</x:v>
      </x:c>
      <x:c r="AC104" s="226" t="n">
        <x:f>IF(W104="EUR",AA104,IF(W104="GBP",AB104,1))</x:f>
        <x:v>7.8</x:v>
      </x:c>
      <x:c r="AD104" s="226" t="n">
        <x:f>R104*X104</x:f>
        <x:v>1664.1135719999997</x:v>
      </x:c>
      <x:c r="AE104" s="226" t="n">
        <x:f>IF(Y104="PERCENTAGE_OF_BASE_FREIGHT",AD104*Z104,IF(Y104="PER_CHARGEABLE_KG",R104*Z104,P104*Z104))</x:f>
        <x:v>174.73192505999998</x:v>
      </x:c>
      <x:c r="AF104" s="226" t="n">
        <x:f>AD104*AC104</x:f>
        <x:v>12980.085861599997</x:v>
      </x:c>
      <x:c r="AG104" s="226" t="n">
        <x:f>AE104*AC104</x:f>
        <x:v>1362.9090154679998</x:v>
      </x:c>
      <x:c r="AH104" s="226" t="str">
        <x:v>EUR</x:v>
      </x:c>
      <x:c r="AI104" s="226" t="n">
        <x:v>1.05</x:v>
      </x:c>
      <x:c r="AJ104" s="226" t="n">
        <x:f>IF(AH104="EUR",AA104,IF(AH104="GBP",AB104,1))</x:f>
        <x:v>7.8</x:v>
      </x:c>
      <x:c r="AK104" s="226" t="n">
        <x:f>N104*AI104</x:f>
        <x:v>249.48000000000002</x:v>
      </x:c>
      <x:c r="AL104" s="226" t="n">
        <x:f>AK104*AJ104</x:f>
        <x:v>1945.9440000000002</x:v>
      </x:c>
      <x:c r="AM104" s="226" t="str">
        <x:v>EUR</x:v>
      </x:c>
      <x:c r="AN104" s="226" t="n">
        <x:v>0.38</x:v>
      </x:c>
      <x:c r="AO104" s="226" t="n">
        <x:f>IF(AM104="EUR",AA104,IF(AM104="GBP",AB104,1))</x:f>
        <x:v>7.8</x:v>
      </x:c>
      <x:c r="AP104" s="226" t="n">
        <x:f>P104*AN104</x:f>
        <x:v>103.83119999999998</x:v>
      </x:c>
      <x:c r="AQ104" s="226" t="n">
        <x:f>AP104*AO104</x:f>
        <x:v>809.8833599999998</x:v>
      </x:c>
      <x:c r="AR104" s="226" t="str">
        <x:v>EUR</x:v>
      </x:c>
      <x:c r="AS104" s="226" t="n">
        <x:v>5.2</x:v>
      </x:c>
      <x:c r="AT104" s="226" t="n">
        <x:f>IF(AR104="EUR",AA104,IF(AR104="GBP",AB104,1))</x:f>
        <x:v>7.8</x:v>
      </x:c>
      <x:c r="AU104" s="226" t="n">
        <x:f>T104*AS104</x:f>
        <x:v>98.8416</x:v>
      </x:c>
      <x:c r="AV104" s="226" t="n">
        <x:f>AU104*AT104</x:f>
        <x:v>770.96448</x:v>
      </x:c>
      <x:c r="AW104" s="226" t="str">
        <x:v>EUR</x:v>
      </x:c>
      <x:c r="AX104" s="226" t="n">
        <x:v>2.8</x:v>
      </x:c>
      <x:c r="AY104" s="226" t="n">
        <x:f>IF(AW104="EUR",AA104,IF(AW104="GBP",AB104,1))</x:f>
        <x:v>7.8</x:v>
      </x:c>
      <x:c r="AZ104" s="226" t="n">
        <x:f>V104*AX104</x:f>
        <x:v>9.180863999999998</x:v>
      </x:c>
      <x:c r="BA104" s="226" t="n">
        <x:f>AZ104*AY104</x:f>
        <x:v>71.61073919999998</x:v>
      </x:c>
      <x:c r="BB104" s="226" t="n">
        <x:f>AF104+AG104+AL104+AQ104+AV104+BA104</x:f>
        <x:v>17941.397456267994</x:v>
      </x:c>
      <x:c r="BC104" s="229" t="n">
        <x:v>0.971</x:v>
      </x:c>
      <x:c r="BD104" s="202"/>
      <x:c r="BE104" s="202"/>
      <x:c r="BF104" s="202"/>
      <x:c r="BG104" s="202" t="str">
        <x:v>UNVERIFIED_UNLIMITED_FOR_MVP</x:v>
      </x:c>
    </x:row>
    <x:row r="105">
      <x:c r="A105" s="187" t="str">
        <x:v>BUDGET_2026_V1</x:v>
      </x:c>
      <x:c r="B105" s="187" t="str">
        <x:v>BUDGET</x:v>
      </x:c>
      <x:c r="C105" s="187"/>
      <x:c r="D105" s="217" t="n">
        <x:v>46327</x:v>
      </x:c>
      <x:c r="E105" s="187" t="str">
        <x:v>R_DE_DE_A_ROAD</x:v>
      </x:c>
      <x:c r="F105" s="187" t="str">
        <x:v>DE</x:v>
      </x:c>
      <x:c r="G105" s="187" t="str">
        <x:v>DE_FC</x:v>
      </x:c>
      <x:c r="H105" s="187" t="str">
        <x:v>CARRIER_A</x:v>
      </x:c>
      <x:c r="I105" s="187" t="str">
        <x:v>ROAD</x:v>
      </x:c>
      <x:c r="J105" s="220" t="n">
        <x:v>22000</x:v>
      </x:c>
      <x:c r="K105" s="223" t="n">
        <x:v>0.34</x:v>
      </x:c>
      <x:c r="L105" s="223" t="n">
        <x:v>0.97</x:v>
      </x:c>
      <x:c r="M105" s="223" t="n">
        <x:v>0.6</x:v>
      </x:c>
      <x:c r="N105" s="226" t="n">
        <x:f>J105*K105*L105*M105</x:f>
        <x:v>4353.36</x:v>
      </x:c>
      <x:c r="O105" s="220" t="n">
        <x:v>1.05</x:v>
      </x:c>
      <x:c r="P105" s="226" t="n">
        <x:f>N105*O105</x:f>
        <x:v>4571.028</x:v>
      </x:c>
      <x:c r="Q105" s="220" t="n">
        <x:v>0.7878</x:v>
      </x:c>
      <x:c r="R105" s="226" t="n">
        <x:f>P105*Q105</x:f>
        <x:v>3601.0558584</x:v>
      </x:c>
      <x:c r="S105" s="220" t="n">
        <x:v>0.05</x:v>
      </x:c>
      <x:c r="T105" s="226" t="n">
        <x:f>N105*S105</x:f>
        <x:v>217.668</x:v>
      </x:c>
      <x:c r="U105" s="226" t="n">
        <x:v>0.016</x:v>
      </x:c>
      <x:c r="V105" s="226" t="n">
        <x:f>P105*U105</x:f>
        <x:v>73.136448</x:v>
      </x:c>
      <x:c r="W105" s="196" t="str">
        <x:v>EUR</x:v>
      </x:c>
      <x:c r="X105" s="220" t="n">
        <x:v>2.2</x:v>
      </x:c>
      <x:c r="Y105" s="196" t="str">
        <x:v>PERCENTAGE_OF_BASE_FREIGHT</x:v>
      </x:c>
      <x:c r="Z105" s="220" t="n">
        <x:v>0.095</x:v>
      </x:c>
      <x:c r="AA105" s="220" t="n">
        <x:v>7.8</x:v>
      </x:c>
      <x:c r="AB105" s="220" t="n">
        <x:v>9</x:v>
      </x:c>
      <x:c r="AC105" s="226" t="n">
        <x:f>IF(W105="EUR",AA105,IF(W105="GBP",AB105,1))</x:f>
        <x:v>7.8</x:v>
      </x:c>
      <x:c r="AD105" s="226" t="n">
        <x:f>R105*X105</x:f>
        <x:v>7922.322888480001</x:v>
      </x:c>
      <x:c r="AE105" s="226" t="n">
        <x:f>IF(Y105="PERCENTAGE_OF_BASE_FREIGHT",AD105*Z105,IF(Y105="PER_CHARGEABLE_KG",R105*Z105,P105*Z105))</x:f>
        <x:v>752.6206744056001</x:v>
      </x:c>
      <x:c r="AF105" s="226" t="n">
        <x:f>AD105*AC105</x:f>
        <x:v>61794.118530144005</x:v>
      </x:c>
      <x:c r="AG105" s="226" t="n">
        <x:f>AE105*AC105</x:f>
        <x:v>5870.44126036368</x:v>
      </x:c>
      <x:c r="AH105" s="226" t="str">
        <x:v>EUR</x:v>
      </x:c>
      <x:c r="AI105" s="226" t="n">
        <x:v>1.18</x:v>
      </x:c>
      <x:c r="AJ105" s="226" t="n">
        <x:f>IF(AH105="EUR",AA105,IF(AH105="GBP",AB105,1))</x:f>
        <x:v>7.8</x:v>
      </x:c>
      <x:c r="AK105" s="226" t="n">
        <x:f>N105*AI105</x:f>
        <x:v>5136.9648</x:v>
      </x:c>
      <x:c r="AL105" s="226" t="n">
        <x:f>AK105*AJ105</x:f>
        <x:v>40068.32544</x:v>
      </x:c>
      <x:c r="AM105" s="226" t="str">
        <x:v>EUR</x:v>
      </x:c>
      <x:c r="AN105" s="226" t="n">
        <x:v>0.42</x:v>
      </x:c>
      <x:c r="AO105" s="226" t="n">
        <x:f>IF(AM105="EUR",AA105,IF(AM105="GBP",AB105,1))</x:f>
        <x:v>7.8</x:v>
      </x:c>
      <x:c r="AP105" s="226" t="n">
        <x:f>P105*AN105</x:f>
        <x:v>1919.83176</x:v>
      </x:c>
      <x:c r="AQ105" s="226" t="n">
        <x:f>AP105*AO105</x:f>
        <x:v>14974.687728</x:v>
      </x:c>
      <x:c r="AR105" s="226" t="str">
        <x:v>EUR</x:v>
      </x:c>
      <x:c r="AS105" s="226" t="n">
        <x:v>3.2</x:v>
      </x:c>
      <x:c r="AT105" s="226" t="n">
        <x:f>IF(AR105="EUR",AA105,IF(AR105="GBP",AB105,1))</x:f>
        <x:v>7.8</x:v>
      </x:c>
      <x:c r="AU105" s="226" t="n">
        <x:f>T105*AS105</x:f>
        <x:v>696.5376000000001</x:v>
      </x:c>
      <x:c r="AV105" s="226" t="n">
        <x:f>AU105*AT105</x:f>
        <x:v>5432.993280000001</x:v>
      </x:c>
      <x:c r="AW105" s="226" t="str">
        <x:v>EUR</x:v>
      </x:c>
      <x:c r="AX105" s="226" t="n">
        <x:v>2.3</x:v>
      </x:c>
      <x:c r="AY105" s="226" t="n">
        <x:f>IF(AW105="EUR",AA105,IF(AW105="GBP",AB105,1))</x:f>
        <x:v>7.8</x:v>
      </x:c>
      <x:c r="AZ105" s="226" t="n">
        <x:f>V105*AX105</x:f>
        <x:v>168.21383039999998</x:v>
      </x:c>
      <x:c r="BA105" s="226" t="n">
        <x:f>AZ105*AY105</x:f>
        <x:v>1312.0678771199998</x:v>
      </x:c>
      <x:c r="BB105" s="226" t="n">
        <x:f>AF105+AG105+AL105+AQ105+AV105+BA105</x:f>
        <x:v>129452.63411562769</x:v>
      </x:c>
      <x:c r="BC105" s="229" t="n">
        <x:v>0.965</x:v>
      </x:c>
      <x:c r="BD105" s="202"/>
      <x:c r="BE105" s="202"/>
      <x:c r="BF105" s="202"/>
      <x:c r="BG105" s="202" t="str">
        <x:v>UNVERIFIED_UNLIMITED_FOR_MVP</x:v>
      </x:c>
    </x:row>
    <x:row r="106">
      <x:c r="A106" s="187" t="str">
        <x:v>BUDGET_2026_V1</x:v>
      </x:c>
      <x:c r="B106" s="187" t="str">
        <x:v>BUDGET</x:v>
      </x:c>
      <x:c r="C106" s="187"/>
      <x:c r="D106" s="217" t="n">
        <x:v>46327</x:v>
      </x:c>
      <x:c r="E106" s="187" t="str">
        <x:v>R_DE_DE_B_ROAD</x:v>
      </x:c>
      <x:c r="F106" s="187" t="str">
        <x:v>DE</x:v>
      </x:c>
      <x:c r="G106" s="187" t="str">
        <x:v>DE_FC</x:v>
      </x:c>
      <x:c r="H106" s="187" t="str">
        <x:v>CARRIER_B</x:v>
      </x:c>
      <x:c r="I106" s="187" t="str">
        <x:v>ROAD</x:v>
      </x:c>
      <x:c r="J106" s="220" t="n">
        <x:v>22000</x:v>
      </x:c>
      <x:c r="K106" s="223" t="n">
        <x:v>0.34</x:v>
      </x:c>
      <x:c r="L106" s="223" t="n">
        <x:v>0.97</x:v>
      </x:c>
      <x:c r="M106" s="223" t="n">
        <x:v>0.4</x:v>
      </x:c>
      <x:c r="N106" s="226" t="n">
        <x:f>J106*K106*L106*M106</x:f>
        <x:v>2902.2400000000002</x:v>
      </x:c>
      <x:c r="O106" s="220" t="n">
        <x:v>1.05</x:v>
      </x:c>
      <x:c r="P106" s="226" t="n">
        <x:f>N106*O106</x:f>
        <x:v>3047.3520000000003</x:v>
      </x:c>
      <x:c r="Q106" s="220" t="n">
        <x:v>0.808</x:v>
      </x:c>
      <x:c r="R106" s="226" t="n">
        <x:f>P106*Q106</x:f>
        <x:v>2462.2604160000005</x:v>
      </x:c>
      <x:c r="S106" s="220" t="n">
        <x:v>0.05</x:v>
      </x:c>
      <x:c r="T106" s="226" t="n">
        <x:f>N106*S106</x:f>
        <x:v>145.11200000000002</x:v>
      </x:c>
      <x:c r="U106" s="226" t="n">
        <x:v>0.013</x:v>
      </x:c>
      <x:c r="V106" s="226" t="n">
        <x:f>P106*U106</x:f>
        <x:v>39.615576000000004</x:v>
      </x:c>
      <x:c r="W106" s="196" t="str">
        <x:v>EUR</x:v>
      </x:c>
      <x:c r="X106" s="220" t="n">
        <x:v>2.75</x:v>
      </x:c>
      <x:c r="Y106" s="196" t="str">
        <x:v>PER_CHARGEABLE_KG</x:v>
      </x:c>
      <x:c r="Z106" s="220" t="n">
        <x:v>0.21</x:v>
      </x:c>
      <x:c r="AA106" s="220" t="n">
        <x:v>7.8</x:v>
      </x:c>
      <x:c r="AB106" s="220" t="n">
        <x:v>9</x:v>
      </x:c>
      <x:c r="AC106" s="226" t="n">
        <x:f>IF(W106="EUR",AA106,IF(W106="GBP",AB106,1))</x:f>
        <x:v>7.8</x:v>
      </x:c>
      <x:c r="AD106" s="226" t="n">
        <x:f>R106*X106</x:f>
        <x:v>6771.216144000002</x:v>
      </x:c>
      <x:c r="AE106" s="226" t="n">
        <x:f>IF(Y106="PERCENTAGE_OF_BASE_FREIGHT",AD106*Z106,IF(Y106="PER_CHARGEABLE_KG",R106*Z106,P106*Z106))</x:f>
        <x:v>517.0746873600001</x:v>
      </x:c>
      <x:c r="AF106" s="226" t="n">
        <x:f>AD106*AC106</x:f>
        <x:v>52815.485923200016</x:v>
      </x:c>
      <x:c r="AG106" s="226" t="n">
        <x:f>AE106*AC106</x:f>
        <x:v>4033.1825614080008</x:v>
      </x:c>
      <x:c r="AH106" s="226" t="str">
        <x:v>EUR</x:v>
      </x:c>
      <x:c r="AI106" s="226" t="n">
        <x:v>1.18</x:v>
      </x:c>
      <x:c r="AJ106" s="226" t="n">
        <x:f>IF(AH106="EUR",AA106,IF(AH106="GBP",AB106,1))</x:f>
        <x:v>7.8</x:v>
      </x:c>
      <x:c r="AK106" s="226" t="n">
        <x:f>N106*AI106</x:f>
        <x:v>3424.6432</x:v>
      </x:c>
      <x:c r="AL106" s="226" t="n">
        <x:f>AK106*AJ106</x:f>
        <x:v>26712.216959999998</x:v>
      </x:c>
      <x:c r="AM106" s="226" t="str">
        <x:v>EUR</x:v>
      </x:c>
      <x:c r="AN106" s="226" t="n">
        <x:v>0.42</x:v>
      </x:c>
      <x:c r="AO106" s="226" t="n">
        <x:f>IF(AM106="EUR",AA106,IF(AM106="GBP",AB106,1))</x:f>
        <x:v>7.8</x:v>
      </x:c>
      <x:c r="AP106" s="226" t="n">
        <x:f>P106*AN106</x:f>
        <x:v>1279.88784</x:v>
      </x:c>
      <x:c r="AQ106" s="226" t="n">
        <x:f>AP106*AO106</x:f>
        <x:v>9983.125152</x:v>
      </x:c>
      <x:c r="AR106" s="226" t="str">
        <x:v>EUR</x:v>
      </x:c>
      <x:c r="AS106" s="226" t="n">
        <x:v>3.2</x:v>
      </x:c>
      <x:c r="AT106" s="226" t="n">
        <x:f>IF(AR106="EUR",AA106,IF(AR106="GBP",AB106,1))</x:f>
        <x:v>7.8</x:v>
      </x:c>
      <x:c r="AU106" s="226" t="n">
        <x:f>T106*AS106</x:f>
        <x:v>464.3584000000001</x:v>
      </x:c>
      <x:c r="AV106" s="226" t="n">
        <x:f>AU106*AT106</x:f>
        <x:v>3621.9955200000004</x:v>
      </x:c>
      <x:c r="AW106" s="226" t="str">
        <x:v>EUR</x:v>
      </x:c>
      <x:c r="AX106" s="226" t="n">
        <x:v>2.3</x:v>
      </x:c>
      <x:c r="AY106" s="226" t="n">
        <x:f>IF(AW106="EUR",AA106,IF(AW106="GBP",AB106,1))</x:f>
        <x:v>7.8</x:v>
      </x:c>
      <x:c r="AZ106" s="226" t="n">
        <x:f>V106*AX106</x:f>
        <x:v>91.1158248</x:v>
      </x:c>
      <x:c r="BA106" s="226" t="n">
        <x:f>AZ106*AY106</x:f>
        <x:v>710.70343344</x:v>
      </x:c>
      <x:c r="BB106" s="226" t="n">
        <x:f>AF106+AG106+AL106+AQ106+AV106+BA106</x:f>
        <x:v>97876.709550048</x:v>
      </x:c>
      <x:c r="BC106" s="229" t="n">
        <x:v>0.976</x:v>
      </x:c>
      <x:c r="BD106" s="202"/>
      <x:c r="BE106" s="202"/>
      <x:c r="BF106" s="202"/>
      <x:c r="BG106" s="202" t="str">
        <x:v>UNVERIFIED_UNLIMITED_FOR_MVP</x:v>
      </x:c>
    </x:row>
    <x:row r="107">
      <x:c r="A107" s="187" t="str">
        <x:v>BUDGET_2026_V1</x:v>
      </x:c>
      <x:c r="B107" s="187" t="str">
        <x:v>BUDGET</x:v>
      </x:c>
      <x:c r="C107" s="187"/>
      <x:c r="D107" s="217" t="n">
        <x:v>46327</x:v>
      </x:c>
      <x:c r="E107" s="187" t="str">
        <x:v>R_DE_FR_B_ROAD</x:v>
      </x:c>
      <x:c r="F107" s="187" t="str">
        <x:v>DE</x:v>
      </x:c>
      <x:c r="G107" s="187" t="str">
        <x:v>FR_FC</x:v>
      </x:c>
      <x:c r="H107" s="187" t="str">
        <x:v>CARRIER_B</x:v>
      </x:c>
      <x:c r="I107" s="187" t="str">
        <x:v>ROAD</x:v>
      </x:c>
      <x:c r="J107" s="220" t="n">
        <x:v>22000</x:v>
      </x:c>
      <x:c r="K107" s="223" t="n">
        <x:v>0.34</x:v>
      </x:c>
      <x:c r="L107" s="223" t="n">
        <x:v>0.03</x:v>
      </x:c>
      <x:c r="M107" s="223" t="n">
        <x:v>1</x:v>
      </x:c>
      <x:c r="N107" s="226" t="n">
        <x:f>J107*K107*L107*M107</x:f>
        <x:v>224.4</x:v>
      </x:c>
      <x:c r="O107" s="220" t="n">
        <x:v>1.08</x:v>
      </x:c>
      <x:c r="P107" s="226" t="n">
        <x:f>N107*O107</x:f>
        <x:v>242.35200000000003</x:v>
      </x:c>
      <x:c r="Q107" s="220" t="n">
        <x:v>0.8686</x:v>
      </x:c>
      <x:c r="R107" s="226" t="n">
        <x:f>P107*Q107</x:f>
        <x:v>210.50694720000004</x:v>
      </x:c>
      <x:c r="S107" s="220" t="n">
        <x:v>0.05</x:v>
      </x:c>
      <x:c r="T107" s="226" t="n">
        <x:f>N107*S107</x:f>
        <x:v>11.22</x:v>
      </x:c>
      <x:c r="U107" s="226" t="n">
        <x:v>0.014</x:v>
      </x:c>
      <x:c r="V107" s="226" t="n">
        <x:f>P107*U107</x:f>
        <x:v>3.3929280000000004</x:v>
      </x:c>
      <x:c r="W107" s="196" t="str">
        <x:v>EUR</x:v>
      </x:c>
      <x:c r="X107" s="220" t="n">
        <x:v>3.3</x:v>
      </x:c>
      <x:c r="Y107" s="196" t="str">
        <x:v>PER_CHARGEABLE_KG</x:v>
      </x:c>
      <x:c r="Z107" s="220" t="n">
        <x:v>0.24</x:v>
      </x:c>
      <x:c r="AA107" s="220" t="n">
        <x:v>7.8</x:v>
      </x:c>
      <x:c r="AB107" s="220" t="n">
        <x:v>9</x:v>
      </x:c>
      <x:c r="AC107" s="226" t="n">
        <x:f>IF(W107="EUR",AA107,IF(W107="GBP",AB107,1))</x:f>
        <x:v>7.8</x:v>
      </x:c>
      <x:c r="AD107" s="226" t="n">
        <x:f>R107*X107</x:f>
        <x:v>694.6729257600001</x:v>
      </x:c>
      <x:c r="AE107" s="226" t="n">
        <x:f>IF(Y107="PERCENTAGE_OF_BASE_FREIGHT",AD107*Z107,IF(Y107="PER_CHARGEABLE_KG",R107*Z107,P107*Z107))</x:f>
        <x:v>50.52166732800001</x:v>
      </x:c>
      <x:c r="AF107" s="226" t="n">
        <x:f>AD107*AC107</x:f>
        <x:v>5418.448820928001</x:v>
      </x:c>
      <x:c r="AG107" s="226" t="n">
        <x:f>AE107*AC107</x:f>
        <x:v>394.06900515840005</x:v>
      </x:c>
      <x:c r="AH107" s="226" t="str">
        <x:v>EUR</x:v>
      </x:c>
      <x:c r="AI107" s="226" t="n">
        <x:v>1.05</x:v>
      </x:c>
      <x:c r="AJ107" s="226" t="n">
        <x:f>IF(AH107="EUR",AA107,IF(AH107="GBP",AB107,1))</x:f>
        <x:v>7.8</x:v>
      </x:c>
      <x:c r="AK107" s="226" t="n">
        <x:f>N107*AI107</x:f>
        <x:v>235.62</x:v>
      </x:c>
      <x:c r="AL107" s="226" t="n">
        <x:f>AK107*AJ107</x:f>
        <x:v>1837.836</x:v>
      </x:c>
      <x:c r="AM107" s="226" t="str">
        <x:v>EUR</x:v>
      </x:c>
      <x:c r="AN107" s="226" t="n">
        <x:v>0.38</x:v>
      </x:c>
      <x:c r="AO107" s="226" t="n">
        <x:f>IF(AM107="EUR",AA107,IF(AM107="GBP",AB107,1))</x:f>
        <x:v>7.8</x:v>
      </x:c>
      <x:c r="AP107" s="226" t="n">
        <x:f>P107*AN107</x:f>
        <x:v>92.09376000000002</x:v>
      </x:c>
      <x:c r="AQ107" s="226" t="n">
        <x:f>AP107*AO107</x:f>
        <x:v>718.3313280000001</x:v>
      </x:c>
      <x:c r="AR107" s="226" t="str">
        <x:v>EUR</x:v>
      </x:c>
      <x:c r="AS107" s="226" t="n">
        <x:v>3.8</x:v>
      </x:c>
      <x:c r="AT107" s="226" t="n">
        <x:f>IF(AR107="EUR",AA107,IF(AR107="GBP",AB107,1))</x:f>
        <x:v>7.8</x:v>
      </x:c>
      <x:c r="AU107" s="226" t="n">
        <x:f>T107*AS107</x:f>
        <x:v>42.636</x:v>
      </x:c>
      <x:c r="AV107" s="226" t="n">
        <x:f>AU107*AT107</x:f>
        <x:v>332.56080000000003</x:v>
      </x:c>
      <x:c r="AW107" s="226" t="str">
        <x:v>EUR</x:v>
      </x:c>
      <x:c r="AX107" s="226" t="n">
        <x:v>2.3</x:v>
      </x:c>
      <x:c r="AY107" s="226" t="n">
        <x:f>IF(AW107="EUR",AA107,IF(AW107="GBP",AB107,1))</x:f>
        <x:v>7.8</x:v>
      </x:c>
      <x:c r="AZ107" s="226" t="n">
        <x:f>V107*AX107</x:f>
        <x:v>7.803734400000001</x:v>
      </x:c>
      <x:c r="BA107" s="226" t="n">
        <x:f>AZ107*AY107</x:f>
        <x:v>60.86912832</x:v>
      </x:c>
      <x:c r="BB107" s="226" t="n">
        <x:f>AF107+AG107+AL107+AQ107+AV107+BA107</x:f>
        <x:v>8762.1150824064</x:v>
      </x:c>
      <x:c r="BC107" s="229" t="n">
        <x:v>0.968</x:v>
      </x:c>
      <x:c r="BD107" s="202"/>
      <x:c r="BE107" s="202"/>
      <x:c r="BF107" s="202"/>
      <x:c r="BG107" s="202" t="str">
        <x:v>UNVERIFIED_UNLIMITED_FOR_MVP</x:v>
      </x:c>
    </x:row>
    <x:row r="108">
      <x:c r="A108" s="187" t="str">
        <x:v>BUDGET_2026_V1</x:v>
      </x:c>
      <x:c r="B108" s="187" t="str">
        <x:v>BUDGET</x:v>
      </x:c>
      <x:c r="C108" s="187"/>
      <x:c r="D108" s="217" t="n">
        <x:v>46327</x:v>
      </x:c>
      <x:c r="E108" s="187" t="str">
        <x:v>R_FR_FR_A_ROAD</x:v>
      </x:c>
      <x:c r="F108" s="187" t="str">
        <x:v>FR</x:v>
      </x:c>
      <x:c r="G108" s="187" t="str">
        <x:v>FR_FC</x:v>
      </x:c>
      <x:c r="H108" s="187" t="str">
        <x:v>CARRIER_A</x:v>
      </x:c>
      <x:c r="I108" s="187" t="str">
        <x:v>ROAD</x:v>
      </x:c>
      <x:c r="J108" s="220" t="n">
        <x:v>22000</x:v>
      </x:c>
      <x:c r="K108" s="223" t="n">
        <x:v>0.3</x:v>
      </x:c>
      <x:c r="L108" s="223" t="n">
        <x:v>1</x:v>
      </x:c>
      <x:c r="M108" s="223" t="n">
        <x:v>0.35</x:v>
      </x:c>
      <x:c r="N108" s="226" t="n">
        <x:f>J108*K108*L108*M108</x:f>
        <x:v>2310</x:v>
      </x:c>
      <x:c r="O108" s="220" t="n">
        <x:v>1.06</x:v>
      </x:c>
      <x:c r="P108" s="226" t="n">
        <x:f>N108*O108</x:f>
        <x:v>2448.6</x:v>
      </x:c>
      <x:c r="Q108" s="220" t="n">
        <x:v>0.7676</x:v>
      </x:c>
      <x:c r="R108" s="226" t="n">
        <x:f>P108*Q108</x:f>
        <x:v>1879.5453599999998</x:v>
      </x:c>
      <x:c r="S108" s="220" t="n">
        <x:v>0.06</x:v>
      </x:c>
      <x:c r="T108" s="226" t="n">
        <x:f>N108*S108</x:f>
        <x:v>138.6</x:v>
      </x:c>
      <x:c r="U108" s="226" t="n">
        <x:v>0.017</x:v>
      </x:c>
      <x:c r="V108" s="226" t="n">
        <x:f>P108*U108</x:f>
        <x:v>41.626200000000004</x:v>
      </x:c>
      <x:c r="W108" s="196" t="str">
        <x:v>EUR</x:v>
      </x:c>
      <x:c r="X108" s="220" t="n">
        <x:v>2.1</x:v>
      </x:c>
      <x:c r="Y108" s="196" t="str">
        <x:v>PERCENTAGE_OF_BASE_FREIGHT</x:v>
      </x:c>
      <x:c r="Z108" s="220" t="n">
        <x:v>0.09</x:v>
      </x:c>
      <x:c r="AA108" s="220" t="n">
        <x:v>7.8</x:v>
      </x:c>
      <x:c r="AB108" s="220" t="n">
        <x:v>9</x:v>
      </x:c>
      <x:c r="AC108" s="226" t="n">
        <x:f>IF(W108="EUR",AA108,IF(W108="GBP",AB108,1))</x:f>
        <x:v>7.8</x:v>
      </x:c>
      <x:c r="AD108" s="226" t="n">
        <x:f>R108*X108</x:f>
        <x:v>3947.045256</x:v>
      </x:c>
      <x:c r="AE108" s="226" t="n">
        <x:f>IF(Y108="PERCENTAGE_OF_BASE_FREIGHT",AD108*Z108,IF(Y108="PER_CHARGEABLE_KG",R108*Z108,P108*Z108))</x:f>
        <x:v>355.23407304</x:v>
      </x:c>
      <x:c r="AF108" s="226" t="n">
        <x:f>AD108*AC108</x:f>
        <x:v>30786.9529968</x:v>
      </x:c>
      <x:c r="AG108" s="226" t="n">
        <x:f>AE108*AC108</x:f>
        <x:v>2770.825769712</x:v>
      </x:c>
      <x:c r="AH108" s="226" t="str">
        <x:v>EUR</x:v>
      </x:c>
      <x:c r="AI108" s="226" t="n">
        <x:v>1.05</x:v>
      </x:c>
      <x:c r="AJ108" s="226" t="n">
        <x:f>IF(AH108="EUR",AA108,IF(AH108="GBP",AB108,1))</x:f>
        <x:v>7.8</x:v>
      </x:c>
      <x:c r="AK108" s="226" t="n">
        <x:f>N108*AI108</x:f>
        <x:v>2425.5</x:v>
      </x:c>
      <x:c r="AL108" s="226" t="n">
        <x:f>AK108*AJ108</x:f>
        <x:v>18918.899999999998</x:v>
      </x:c>
      <x:c r="AM108" s="226" t="str">
        <x:v>EUR</x:v>
      </x:c>
      <x:c r="AN108" s="226" t="n">
        <x:v>0.38</x:v>
      </x:c>
      <x:c r="AO108" s="226" t="n">
        <x:f>IF(AM108="EUR",AA108,IF(AM108="GBP",AB108,1))</x:f>
        <x:v>7.8</x:v>
      </x:c>
      <x:c r="AP108" s="226" t="n">
        <x:f>P108*AN108</x:f>
        <x:v>930.468</x:v>
      </x:c>
      <x:c r="AQ108" s="226" t="n">
        <x:f>AP108*AO108</x:f>
        <x:v>7257.6503999999995</x:v>
      </x:c>
      <x:c r="AR108" s="226" t="str">
        <x:v>EUR</x:v>
      </x:c>
      <x:c r="AS108" s="226" t="n">
        <x:v>3</x:v>
      </x:c>
      <x:c r="AT108" s="226" t="n">
        <x:f>IF(AR108="EUR",AA108,IF(AR108="GBP",AB108,1))</x:f>
        <x:v>7.8</x:v>
      </x:c>
      <x:c r="AU108" s="226" t="n">
        <x:f>T108*AS108</x:f>
        <x:v>415.79999999999995</x:v>
      </x:c>
      <x:c r="AV108" s="226" t="n">
        <x:f>AU108*AT108</x:f>
        <x:v>3243.24</x:v>
      </x:c>
      <x:c r="AW108" s="226" t="str">
        <x:v>EUR</x:v>
      </x:c>
      <x:c r="AX108" s="226" t="n">
        <x:v>2.3</x:v>
      </x:c>
      <x:c r="AY108" s="226" t="n">
        <x:f>IF(AW108="EUR",AA108,IF(AW108="GBP",AB108,1))</x:f>
        <x:v>7.8</x:v>
      </x:c>
      <x:c r="AZ108" s="226" t="n">
        <x:f>V108*AX108</x:f>
        <x:v>95.74026</x:v>
      </x:c>
      <x:c r="BA108" s="226" t="n">
        <x:f>AZ108*AY108</x:f>
        <x:v>746.774028</x:v>
      </x:c>
      <x:c r="BB108" s="226" t="n">
        <x:f>AF108+AG108+AL108+AQ108+AV108+BA108</x:f>
        <x:v>63724.34319451199</x:v>
      </x:c>
      <x:c r="BC108" s="229" t="n">
        <x:v>0.961</x:v>
      </x:c>
      <x:c r="BD108" s="202"/>
      <x:c r="BE108" s="202"/>
      <x:c r="BF108" s="202"/>
      <x:c r="BG108" s="202" t="str">
        <x:v>UNVERIFIED_UNLIMITED_FOR_MVP</x:v>
      </x:c>
    </x:row>
    <x:row r="109">
      <x:c r="A109" s="187" t="str">
        <x:v>BUDGET_2026_V1</x:v>
      </x:c>
      <x:c r="B109" s="187" t="str">
        <x:v>BUDGET</x:v>
      </x:c>
      <x:c r="C109" s="187"/>
      <x:c r="D109" s="217" t="n">
        <x:v>46327</x:v>
      </x:c>
      <x:c r="E109" s="187" t="str">
        <x:v>R_FR_FR_B_ROAD</x:v>
      </x:c>
      <x:c r="F109" s="187" t="str">
        <x:v>FR</x:v>
      </x:c>
      <x:c r="G109" s="187" t="str">
        <x:v>FR_FC</x:v>
      </x:c>
      <x:c r="H109" s="187" t="str">
        <x:v>CARRIER_B</x:v>
      </x:c>
      <x:c r="I109" s="187" t="str">
        <x:v>ROAD</x:v>
      </x:c>
      <x:c r="J109" s="220" t="n">
        <x:v>22000</x:v>
      </x:c>
      <x:c r="K109" s="223" t="n">
        <x:v>0.3</x:v>
      </x:c>
      <x:c r="L109" s="223" t="n">
        <x:v>1</x:v>
      </x:c>
      <x:c r="M109" s="223" t="n">
        <x:v>0.65</x:v>
      </x:c>
      <x:c r="N109" s="226" t="n">
        <x:f>J109*K109*L109*M109</x:f>
        <x:v>4290</x:v>
      </x:c>
      <x:c r="O109" s="220" t="n">
        <x:v>1.06</x:v>
      </x:c>
      <x:c r="P109" s="226" t="n">
        <x:f>N109*O109</x:f>
        <x:v>4547.400000000001</x:v>
      </x:c>
      <x:c r="Q109" s="220" t="n">
        <x:v>0.7979</x:v>
      </x:c>
      <x:c r="R109" s="226" t="n">
        <x:f>P109*Q109</x:f>
        <x:v>3628.3704600000005</x:v>
      </x:c>
      <x:c r="S109" s="220" t="n">
        <x:v>0.06</x:v>
      </x:c>
      <x:c r="T109" s="226" t="n">
        <x:f>N109*S109</x:f>
        <x:v>257.4</x:v>
      </x:c>
      <x:c r="U109" s="226" t="n">
        <x:v>0.014</x:v>
      </x:c>
      <x:c r="V109" s="226" t="n">
        <x:f>P109*U109</x:f>
        <x:v>63.66360000000001</x:v>
      </x:c>
      <x:c r="W109" s="196" t="str">
        <x:v>EUR</x:v>
      </x:c>
      <x:c r="X109" s="220" t="n">
        <x:v>2.6</x:v>
      </x:c>
      <x:c r="Y109" s="196" t="str">
        <x:v>PER_CHARGEABLE_KG</x:v>
      </x:c>
      <x:c r="Z109" s="220" t="n">
        <x:v>0.2</x:v>
      </x:c>
      <x:c r="AA109" s="220" t="n">
        <x:v>7.8</x:v>
      </x:c>
      <x:c r="AB109" s="220" t="n">
        <x:v>9</x:v>
      </x:c>
      <x:c r="AC109" s="226" t="n">
        <x:f>IF(W109="EUR",AA109,IF(W109="GBP",AB109,1))</x:f>
        <x:v>7.8</x:v>
      </x:c>
      <x:c r="AD109" s="226" t="n">
        <x:f>R109*X109</x:f>
        <x:v>9433.763196000002</x:v>
      </x:c>
      <x:c r="AE109" s="226" t="n">
        <x:f>IF(Y109="PERCENTAGE_OF_BASE_FREIGHT",AD109*Z109,IF(Y109="PER_CHARGEABLE_KG",R109*Z109,P109*Z109))</x:f>
        <x:v>725.6740920000002</x:v>
      </x:c>
      <x:c r="AF109" s="226" t="n">
        <x:f>AD109*AC109</x:f>
        <x:v>73583.35292880001</x:v>
      </x:c>
      <x:c r="AG109" s="226" t="n">
        <x:f>AE109*AC109</x:f>
        <x:v>5660.257917600002</x:v>
      </x:c>
      <x:c r="AH109" s="226" t="str">
        <x:v>EUR</x:v>
      </x:c>
      <x:c r="AI109" s="226" t="n">
        <x:v>1.05</x:v>
      </x:c>
      <x:c r="AJ109" s="226" t="n">
        <x:f>IF(AH109="EUR",AA109,IF(AH109="GBP",AB109,1))</x:f>
        <x:v>7.8</x:v>
      </x:c>
      <x:c r="AK109" s="226" t="n">
        <x:f>N109*AI109</x:f>
        <x:v>4504.5</x:v>
      </x:c>
      <x:c r="AL109" s="226" t="n">
        <x:f>AK109*AJ109</x:f>
        <x:v>35135.1</x:v>
      </x:c>
      <x:c r="AM109" s="226" t="str">
        <x:v>EUR</x:v>
      </x:c>
      <x:c r="AN109" s="226" t="n">
        <x:v>0.38</x:v>
      </x:c>
      <x:c r="AO109" s="226" t="n">
        <x:f>IF(AM109="EUR",AA109,IF(AM109="GBP",AB109,1))</x:f>
        <x:v>7.8</x:v>
      </x:c>
      <x:c r="AP109" s="226" t="n">
        <x:f>P109*AN109</x:f>
        <x:v>1728.0120000000002</x:v>
      </x:c>
      <x:c r="AQ109" s="226" t="n">
        <x:f>AP109*AO109</x:f>
        <x:v>13478.493600000002</x:v>
      </x:c>
      <x:c r="AR109" s="226" t="str">
        <x:v>EUR</x:v>
      </x:c>
      <x:c r="AS109" s="226" t="n">
        <x:v>3</x:v>
      </x:c>
      <x:c r="AT109" s="226" t="n">
        <x:f>IF(AR109="EUR",AA109,IF(AR109="GBP",AB109,1))</x:f>
        <x:v>7.8</x:v>
      </x:c>
      <x:c r="AU109" s="226" t="n">
        <x:f>T109*AS109</x:f>
        <x:v>772.1999999999999</x:v>
      </x:c>
      <x:c r="AV109" s="226" t="n">
        <x:f>AU109*AT109</x:f>
        <x:v>6023.159999999999</x:v>
      </x:c>
      <x:c r="AW109" s="226" t="str">
        <x:v>EUR</x:v>
      </x:c>
      <x:c r="AX109" s="226" t="n">
        <x:v>2.3</x:v>
      </x:c>
      <x:c r="AY109" s="226" t="n">
        <x:f>IF(AW109="EUR",AA109,IF(AW109="GBP",AB109,1))</x:f>
        <x:v>7.8</x:v>
      </x:c>
      <x:c r="AZ109" s="226" t="n">
        <x:f>V109*AX109</x:f>
        <x:v>146.42628000000002</x:v>
      </x:c>
      <x:c r="BA109" s="226" t="n">
        <x:f>AZ109*AY109</x:f>
        <x:v>1142.124984</x:v>
      </x:c>
      <x:c r="BB109" s="226" t="n">
        <x:f>AF109+AG109+AL109+AQ109+AV109+BA109</x:f>
        <x:v>135022.4894304</x:v>
      </x:c>
      <x:c r="BC109" s="229" t="n">
        <x:v>0.973</x:v>
      </x:c>
      <x:c r="BD109" s="202"/>
      <x:c r="BE109" s="202"/>
      <x:c r="BF109" s="202"/>
      <x:c r="BG109" s="202" t="str">
        <x:v>UNVERIFIED_UNLIMITED_FOR_MVP</x:v>
      </x:c>
    </x:row>
    <x:row r="110">
      <x:c r="A110" s="187" t="str">
        <x:v>BUDGET_2026_V1</x:v>
      </x:c>
      <x:c r="B110" s="187" t="str">
        <x:v>BUDGET</x:v>
      </x:c>
      <x:c r="C110" s="187"/>
      <x:c r="D110" s="217" t="n">
        <x:v>46327</x:v>
      </x:c>
      <x:c r="E110" s="187" t="str">
        <x:v>R_GB_DE_A_ROAD</x:v>
      </x:c>
      <x:c r="F110" s="187" t="str">
        <x:v>GB</x:v>
      </x:c>
      <x:c r="G110" s="187" t="str">
        <x:v>DE_FC</x:v>
      </x:c>
      <x:c r="H110" s="187" t="str">
        <x:v>CARRIER_A</x:v>
      </x:c>
      <x:c r="I110" s="187" t="str">
        <x:v>ROAD</x:v>
      </x:c>
      <x:c r="J110" s="220" t="n">
        <x:v>22000</x:v>
      </x:c>
      <x:c r="K110" s="223" t="n">
        <x:v>0.36</x:v>
      </x:c>
      <x:c r="L110" s="223" t="n">
        <x:v>0.96</x:v>
      </x:c>
      <x:c r="M110" s="223" t="n">
        <x:v>0.65</x:v>
      </x:c>
      <x:c r="N110" s="226" t="n">
        <x:f>J110*K110*L110*M110</x:f>
        <x:v>4942.08</x:v>
      </x:c>
      <x:c r="O110" s="220" t="n">
        <x:v>1.12</x:v>
      </x:c>
      <x:c r="P110" s="226" t="n">
        <x:f>N110*O110</x:f>
        <x:v>5535.1296</x:v>
      </x:c>
      <x:c r="Q110" s="220" t="n">
        <x:v>1.0302</x:v>
      </x:c>
      <x:c r="R110" s="226" t="n">
        <x:f>P110*Q110</x:f>
        <x:v>5702.29051392</x:v>
      </x:c>
      <x:c r="S110" s="220" t="n">
        <x:v>0.08</x:v>
      </x:c>
      <x:c r="T110" s="226" t="n">
        <x:f>N110*S110</x:f>
        <x:v>395.3664</x:v>
      </x:c>
      <x:c r="U110" s="226" t="n">
        <x:v>0.022</x:v>
      </x:c>
      <x:c r="V110" s="226" t="n">
        <x:f>P110*U110</x:f>
        <x:v>121.77285119999999</x:v>
      </x:c>
      <x:c r="W110" s="196" t="str">
        <x:v>GBP</x:v>
      </x:c>
      <x:c r="X110" s="220" t="n">
        <x:v>4</x:v>
      </x:c>
      <x:c r="Y110" s="196" t="str">
        <x:v>PERCENTAGE_OF_BASE_FREIGHT</x:v>
      </x:c>
      <x:c r="Z110" s="220" t="n">
        <x:v>0.1</x:v>
      </x:c>
      <x:c r="AA110" s="220" t="n">
        <x:v>7.8</x:v>
      </x:c>
      <x:c r="AB110" s="220" t="n">
        <x:v>9</x:v>
      </x:c>
      <x:c r="AC110" s="226" t="n">
        <x:f>IF(W110="EUR",AA110,IF(W110="GBP",AB110,1))</x:f>
        <x:v>9</x:v>
      </x:c>
      <x:c r="AD110" s="226" t="n">
        <x:f>R110*X110</x:f>
        <x:v>22809.16205568</x:v>
      </x:c>
      <x:c r="AE110" s="226" t="n">
        <x:f>IF(Y110="PERCENTAGE_OF_BASE_FREIGHT",AD110*Z110,IF(Y110="PER_CHARGEABLE_KG",R110*Z110,P110*Z110))</x:f>
        <x:v>2280.9162055680004</x:v>
      </x:c>
      <x:c r="AF110" s="226" t="n">
        <x:f>AD110*AC110</x:f>
        <x:v>205282.45850112</x:v>
      </x:c>
      <x:c r="AG110" s="226" t="n">
        <x:f>AE110*AC110</x:f>
        <x:v>20528.245850112</x:v>
      </x:c>
      <x:c r="AH110" s="226" t="str">
        <x:v>EUR</x:v>
      </x:c>
      <x:c r="AI110" s="226" t="n">
        <x:v>1.18</x:v>
      </x:c>
      <x:c r="AJ110" s="226" t="n">
        <x:f>IF(AH110="EUR",AA110,IF(AH110="GBP",AB110,1))</x:f>
        <x:v>7.8</x:v>
      </x:c>
      <x:c r="AK110" s="226" t="n">
        <x:f>N110*AI110</x:f>
        <x:v>5831.654399999999</x:v>
      </x:c>
      <x:c r="AL110" s="226" t="n">
        <x:f>AK110*AJ110</x:f>
        <x:v>45486.904319999994</x:v>
      </x:c>
      <x:c r="AM110" s="226" t="str">
        <x:v>EUR</x:v>
      </x:c>
      <x:c r="AN110" s="226" t="n">
        <x:v>0.42</x:v>
      </x:c>
      <x:c r="AO110" s="226" t="n">
        <x:f>IF(AM110="EUR",AA110,IF(AM110="GBP",AB110,1))</x:f>
        <x:v>7.8</x:v>
      </x:c>
      <x:c r="AP110" s="226" t="n">
        <x:f>P110*AN110</x:f>
        <x:v>2324.754432</x:v>
      </x:c>
      <x:c r="AQ110" s="226" t="n">
        <x:f>AP110*AO110</x:f>
        <x:v>18133.0845696</x:v>
      </x:c>
      <x:c r="AR110" s="226" t="str">
        <x:v>GBP</x:v>
      </x:c>
      <x:c r="AS110" s="226" t="n">
        <x:v>4.8</x:v>
      </x:c>
      <x:c r="AT110" s="226" t="n">
        <x:f>IF(AR110="EUR",AA110,IF(AR110="GBP",AB110,1))</x:f>
        <x:v>9</x:v>
      </x:c>
      <x:c r="AU110" s="226" t="n">
        <x:f>T110*AS110</x:f>
        <x:v>1897.7587199999998</x:v>
      </x:c>
      <x:c r="AV110" s="226" t="n">
        <x:f>AU110*AT110</x:f>
        <x:v>17079.828479999996</x:v>
      </x:c>
      <x:c r="AW110" s="226" t="str">
        <x:v>GBP</x:v>
      </x:c>
      <x:c r="AX110" s="226" t="n">
        <x:v>2.3</x:v>
      </x:c>
      <x:c r="AY110" s="226" t="n">
        <x:f>IF(AW110="EUR",AA110,IF(AW110="GBP",AB110,1))</x:f>
        <x:v>9</x:v>
      </x:c>
      <x:c r="AZ110" s="226" t="n">
        <x:f>V110*AX110</x:f>
        <x:v>280.07755775999993</x:v>
      </x:c>
      <x:c r="BA110" s="226" t="n">
        <x:f>AZ110*AY110</x:f>
        <x:v>2520.6980198399992</x:v>
      </x:c>
      <x:c r="BB110" s="226" t="n">
        <x:f>AF110+AG110+AL110+AQ110+AV110+BA110</x:f>
        <x:v>309031.219740672</x:v>
      </x:c>
      <x:c r="BC110" s="229" t="n">
        <x:v>0.93</x:v>
      </x:c>
      <x:c r="BD110" s="202"/>
      <x:c r="BE110" s="202"/>
      <x:c r="BF110" s="202"/>
      <x:c r="BG110" s="202" t="str">
        <x:v>UNVERIFIED_UNLIMITED_FOR_MVP</x:v>
      </x:c>
    </x:row>
    <x:row r="111">
      <x:c r="A111" s="187" t="str">
        <x:v>BUDGET_2026_V1</x:v>
      </x:c>
      <x:c r="B111" s="187" t="str">
        <x:v>BUDGET</x:v>
      </x:c>
      <x:c r="C111" s="187"/>
      <x:c r="D111" s="217" t="n">
        <x:v>46327</x:v>
      </x:c>
      <x:c r="E111" s="187" t="str">
        <x:v>R_GB_DE_B_ROAD</x:v>
      </x:c>
      <x:c r="F111" s="187" t="str">
        <x:v>GB</x:v>
      </x:c>
      <x:c r="G111" s="187" t="str">
        <x:v>DE_FC</x:v>
      </x:c>
      <x:c r="H111" s="187" t="str">
        <x:v>CARRIER_B</x:v>
      </x:c>
      <x:c r="I111" s="187" t="str">
        <x:v>ROAD</x:v>
      </x:c>
      <x:c r="J111" s="220" t="n">
        <x:v>22000</x:v>
      </x:c>
      <x:c r="K111" s="223" t="n">
        <x:v>0.36</x:v>
      </x:c>
      <x:c r="L111" s="223" t="n">
        <x:v>0.96</x:v>
      </x:c>
      <x:c r="M111" s="223" t="n">
        <x:v>0.25</x:v>
      </x:c>
      <x:c r="N111" s="226" t="n">
        <x:f>J111*K111*L111*M111</x:f>
        <x:v>1900.8</x:v>
      </x:c>
      <x:c r="O111" s="220" t="n">
        <x:v>1.12</x:v>
      </x:c>
      <x:c r="P111" s="226" t="n">
        <x:f>N111*O111</x:f>
        <x:v>2128.896</x:v>
      </x:c>
      <x:c r="Q111" s="220" t="n">
        <x:v>1.01</x:v>
      </x:c>
      <x:c r="R111" s="226" t="n">
        <x:f>P111*Q111</x:f>
        <x:v>2150.18496</x:v>
      </x:c>
      <x:c r="S111" s="220" t="n">
        <x:v>0.08</x:v>
      </x:c>
      <x:c r="T111" s="226" t="n">
        <x:f>N111*S111</x:f>
        <x:v>152.064</x:v>
      </x:c>
      <x:c r="U111" s="226" t="n">
        <x:v>0.017</x:v>
      </x:c>
      <x:c r="V111" s="226" t="n">
        <x:f>P111*U111</x:f>
        <x:v>36.19123200000001</x:v>
      </x:c>
      <x:c r="W111" s="196" t="str">
        <x:v>GBP</x:v>
      </x:c>
      <x:c r="X111" s="220" t="n">
        <x:v>4.7</x:v>
      </x:c>
      <x:c r="Y111" s="196" t="str">
        <x:v>PER_CHARGEABLE_KG</x:v>
      </x:c>
      <x:c r="Z111" s="220" t="n">
        <x:v>0.33</x:v>
      </x:c>
      <x:c r="AA111" s="220" t="n">
        <x:v>7.8</x:v>
      </x:c>
      <x:c r="AB111" s="220" t="n">
        <x:v>9</x:v>
      </x:c>
      <x:c r="AC111" s="226" t="n">
        <x:f>IF(W111="EUR",AA111,IF(W111="GBP",AB111,1))</x:f>
        <x:v>9</x:v>
      </x:c>
      <x:c r="AD111" s="226" t="n">
        <x:f>R111*X111</x:f>
        <x:v>10105.869312</x:v>
      </x:c>
      <x:c r="AE111" s="226" t="n">
        <x:f>IF(Y111="PERCENTAGE_OF_BASE_FREIGHT",AD111*Z111,IF(Y111="PER_CHARGEABLE_KG",R111*Z111,P111*Z111))</x:f>
        <x:v>709.5610368</x:v>
      </x:c>
      <x:c r="AF111" s="226" t="n">
        <x:f>AD111*AC111</x:f>
        <x:v>90952.823808</x:v>
      </x:c>
      <x:c r="AG111" s="226" t="n">
        <x:f>AE111*AC111</x:f>
        <x:v>6386.0493312</x:v>
      </x:c>
      <x:c r="AH111" s="226" t="str">
        <x:v>EUR</x:v>
      </x:c>
      <x:c r="AI111" s="226" t="n">
        <x:v>1.18</x:v>
      </x:c>
      <x:c r="AJ111" s="226" t="n">
        <x:f>IF(AH111="EUR",AA111,IF(AH111="GBP",AB111,1))</x:f>
        <x:v>7.8</x:v>
      </x:c>
      <x:c r="AK111" s="226" t="n">
        <x:f>N111*AI111</x:f>
        <x:v>2242.944</x:v>
      </x:c>
      <x:c r="AL111" s="226" t="n">
        <x:f>AK111*AJ111</x:f>
        <x:v>17494.9632</x:v>
      </x:c>
      <x:c r="AM111" s="226" t="str">
        <x:v>EUR</x:v>
      </x:c>
      <x:c r="AN111" s="226" t="n">
        <x:v>0.42</x:v>
      </x:c>
      <x:c r="AO111" s="226" t="n">
        <x:f>IF(AM111="EUR",AA111,IF(AM111="GBP",AB111,1))</x:f>
        <x:v>7.8</x:v>
      </x:c>
      <x:c r="AP111" s="226" t="n">
        <x:f>P111*AN111</x:f>
        <x:v>894.1363200000001</x:v>
      </x:c>
      <x:c r="AQ111" s="226" t="n">
        <x:f>AP111*AO111</x:f>
        <x:v>6974.263296</x:v>
      </x:c>
      <x:c r="AR111" s="226" t="str">
        <x:v>GBP</x:v>
      </x:c>
      <x:c r="AS111" s="226" t="n">
        <x:v>4.8</x:v>
      </x:c>
      <x:c r="AT111" s="226" t="n">
        <x:f>IF(AR111="EUR",AA111,IF(AR111="GBP",AB111,1))</x:f>
        <x:v>9</x:v>
      </x:c>
      <x:c r="AU111" s="226" t="n">
        <x:f>T111*AS111</x:f>
        <x:v>729.9072</x:v>
      </x:c>
      <x:c r="AV111" s="226" t="n">
        <x:f>AU111*AT111</x:f>
        <x:v>6569.1648</x:v>
      </x:c>
      <x:c r="AW111" s="226" t="str">
        <x:v>GBP</x:v>
      </x:c>
      <x:c r="AX111" s="226" t="n">
        <x:v>2.3</x:v>
      </x:c>
      <x:c r="AY111" s="226" t="n">
        <x:f>IF(AW111="EUR",AA111,IF(AW111="GBP",AB111,1))</x:f>
        <x:v>9</x:v>
      </x:c>
      <x:c r="AZ111" s="226" t="n">
        <x:f>V111*AX111</x:f>
        <x:v>83.23983360000001</x:v>
      </x:c>
      <x:c r="BA111" s="226" t="n">
        <x:f>AZ111*AY111</x:f>
        <x:v>749.1585024000001</x:v>
      </x:c>
      <x:c r="BB111" s="226" t="n">
        <x:f>AF111+AG111+AL111+AQ111+AV111+BA111</x:f>
        <x:v>129126.4229376</x:v>
      </x:c>
      <x:c r="BC111" s="229" t="n">
        <x:v>0.95</x:v>
      </x:c>
      <x:c r="BD111" s="202"/>
      <x:c r="BE111" s="202"/>
      <x:c r="BF111" s="202"/>
      <x:c r="BG111" s="202" t="str">
        <x:v>UNVERIFIED_UNLIMITED_FOR_MVP</x:v>
      </x:c>
    </x:row>
    <x:row r="112">
      <x:c r="A112" s="187" t="str">
        <x:v>BUDGET_2026_V1</x:v>
      </x:c>
      <x:c r="B112" s="187" t="str">
        <x:v>BUDGET</x:v>
      </x:c>
      <x:c r="C112" s="187"/>
      <x:c r="D112" s="217" t="n">
        <x:v>46327</x:v>
      </x:c>
      <x:c r="E112" s="187" t="str">
        <x:v>R_GB_DE_B_AIR</x:v>
      </x:c>
      <x:c r="F112" s="187" t="str">
        <x:v>GB</x:v>
      </x:c>
      <x:c r="G112" s="187" t="str">
        <x:v>DE_FC</x:v>
      </x:c>
      <x:c r="H112" s="187" t="str">
        <x:v>CARRIER_B</x:v>
      </x:c>
      <x:c r="I112" s="187" t="str">
        <x:v>AIR</x:v>
      </x:c>
      <x:c r="J112" s="220" t="n">
        <x:v>22000</x:v>
      </x:c>
      <x:c r="K112" s="223" t="n">
        <x:v>0.36</x:v>
      </x:c>
      <x:c r="L112" s="223" t="n">
        <x:v>0.96</x:v>
      </x:c>
      <x:c r="M112" s="223" t="n">
        <x:v>0.07</x:v>
      </x:c>
      <x:c r="N112" s="226" t="n">
        <x:f>J112*K112*L112*M112</x:f>
        <x:v>532.224</x:v>
      </x:c>
      <x:c r="O112" s="220" t="n">
        <x:v>1.12</x:v>
      </x:c>
      <x:c r="P112" s="226" t="n">
        <x:f>N112*O112</x:f>
        <x:v>596.0908800000001</x:v>
      </x:c>
      <x:c r="Q112" s="220" t="n">
        <x:v>0.9494</x:v>
      </x:c>
      <x:c r="R112" s="226" t="n">
        <x:f>P112*Q112</x:f>
        <x:v>565.9286814720001</x:v>
      </x:c>
      <x:c r="S112" s="220" t="n">
        <x:v>0.08</x:v>
      </x:c>
      <x:c r="T112" s="226" t="n">
        <x:f>N112*S112</x:f>
        <x:v>42.577920000000006</x:v>
      </x:c>
      <x:c r="U112" s="226" t="n">
        <x:v>0.013</x:v>
      </x:c>
      <x:c r="V112" s="226" t="n">
        <x:f>P112*U112</x:f>
        <x:v>7.749181440000001</x:v>
      </x:c>
      <x:c r="W112" s="196" t="str">
        <x:v>GBP</x:v>
      </x:c>
      <x:c r="X112" s="220" t="n">
        <x:v>6.2</x:v>
      </x:c>
      <x:c r="Y112" s="196" t="str">
        <x:v>PERCENTAGE_OF_BASE_FREIGHT</x:v>
      </x:c>
      <x:c r="Z112" s="220" t="n">
        <x:v>0.115</x:v>
      </x:c>
      <x:c r="AA112" s="220" t="n">
        <x:v>7.8</x:v>
      </x:c>
      <x:c r="AB112" s="220" t="n">
        <x:v>9</x:v>
      </x:c>
      <x:c r="AC112" s="226" t="n">
        <x:f>IF(W112="EUR",AA112,IF(W112="GBP",AB112,1))</x:f>
        <x:v>9</x:v>
      </x:c>
      <x:c r="AD112" s="226" t="n">
        <x:f>R112*X112</x:f>
        <x:v>3508.757825126401</x:v>
      </x:c>
      <x:c r="AE112" s="226" t="n">
        <x:f>IF(Y112="PERCENTAGE_OF_BASE_FREIGHT",AD112*Z112,IF(Y112="PER_CHARGEABLE_KG",R112*Z112,P112*Z112))</x:f>
        <x:v>403.5071498895361</x:v>
      </x:c>
      <x:c r="AF112" s="226" t="n">
        <x:f>AD112*AC112</x:f>
        <x:v>31578.82042613761</x:v>
      </x:c>
      <x:c r="AG112" s="226" t="n">
        <x:f>AE112*AC112</x:f>
        <x:v>3631.5643490058246</x:v>
      </x:c>
      <x:c r="AH112" s="226" t="str">
        <x:v>EUR</x:v>
      </x:c>
      <x:c r="AI112" s="226" t="n">
        <x:v>1.18</x:v>
      </x:c>
      <x:c r="AJ112" s="226" t="n">
        <x:f>IF(AH112="EUR",AA112,IF(AH112="GBP",AB112,1))</x:f>
        <x:v>7.8</x:v>
      </x:c>
      <x:c r="AK112" s="226" t="n">
        <x:f>N112*AI112</x:f>
        <x:v>628.02432</x:v>
      </x:c>
      <x:c r="AL112" s="226" t="n">
        <x:f>AK112*AJ112</x:f>
        <x:v>4898.589696</x:v>
      </x:c>
      <x:c r="AM112" s="226" t="str">
        <x:v>EUR</x:v>
      </x:c>
      <x:c r="AN112" s="226" t="n">
        <x:v>0.42</x:v>
      </x:c>
      <x:c r="AO112" s="226" t="n">
        <x:f>IF(AM112="EUR",AA112,IF(AM112="GBP",AB112,1))</x:f>
        <x:v>7.8</x:v>
      </x:c>
      <x:c r="AP112" s="226" t="n">
        <x:f>P112*AN112</x:f>
        <x:v>250.35816960000002</x:v>
      </x:c>
      <x:c r="AQ112" s="226" t="n">
        <x:f>AP112*AO112</x:f>
        <x:v>1952.7937228800001</x:v>
      </x:c>
      <x:c r="AR112" s="226" t="str">
        <x:v>GBP</x:v>
      </x:c>
      <x:c r="AS112" s="226" t="n">
        <x:v>4.8</x:v>
      </x:c>
      <x:c r="AT112" s="226" t="n">
        <x:f>IF(AR112="EUR",AA112,IF(AR112="GBP",AB112,1))</x:f>
        <x:v>9</x:v>
      </x:c>
      <x:c r="AU112" s="226" t="n">
        <x:f>T112*AS112</x:f>
        <x:v>204.374016</x:v>
      </x:c>
      <x:c r="AV112" s="226" t="n">
        <x:f>AU112*AT112</x:f>
        <x:v>1839.366144</x:v>
      </x:c>
      <x:c r="AW112" s="226" t="str">
        <x:v>GBP</x:v>
      </x:c>
      <x:c r="AX112" s="226" t="n">
        <x:v>2.8</x:v>
      </x:c>
      <x:c r="AY112" s="226" t="n">
        <x:f>IF(AW112="EUR",AA112,IF(AW112="GBP",AB112,1))</x:f>
        <x:v>9</x:v>
      </x:c>
      <x:c r="AZ112" s="226" t="n">
        <x:f>V112*AX112</x:f>
        <x:v>21.697708032</x:v>
      </x:c>
      <x:c r="BA112" s="226" t="n">
        <x:f>AZ112*AY112</x:f>
        <x:v>195.27937228800002</x:v>
      </x:c>
      <x:c r="BB112" s="226" t="n">
        <x:f>AF112+AG112+AL112+AQ112+AV112+BA112</x:f>
        <x:v>44096.41371031144</x:v>
      </x:c>
      <x:c r="BC112" s="229" t="n">
        <x:v>0.974</x:v>
      </x:c>
      <x:c r="BD112" s="202"/>
      <x:c r="BE112" s="202"/>
      <x:c r="BF112" s="202"/>
      <x:c r="BG112" s="202" t="str">
        <x:v>UNVERIFIED_UNLIMITED_FOR_MVP</x:v>
      </x:c>
    </x:row>
    <x:row r="113">
      <x:c r="A113" s="187" t="str">
        <x:v>BUDGET_2026_V1</x:v>
      </x:c>
      <x:c r="B113" s="187" t="str">
        <x:v>BUDGET</x:v>
      </x:c>
      <x:c r="C113" s="187"/>
      <x:c r="D113" s="217" t="n">
        <x:v>46327</x:v>
      </x:c>
      <x:c r="E113" s="187" t="str">
        <x:v>R_GB_DE_C_AIR</x:v>
      </x:c>
      <x:c r="F113" s="187" t="str">
        <x:v>GB</x:v>
      </x:c>
      <x:c r="G113" s="187" t="str">
        <x:v>DE_FC</x:v>
      </x:c>
      <x:c r="H113" s="187" t="str">
        <x:v>CARRIER_C</x:v>
      </x:c>
      <x:c r="I113" s="187" t="str">
        <x:v>AIR</x:v>
      </x:c>
      <x:c r="J113" s="220" t="n">
        <x:v>22000</x:v>
      </x:c>
      <x:c r="K113" s="223" t="n">
        <x:v>0.36</x:v>
      </x:c>
      <x:c r="L113" s="223" t="n">
        <x:v>0.96</x:v>
      </x:c>
      <x:c r="M113" s="223" t="n">
        <x:v>0.03</x:v>
      </x:c>
      <x:c r="N113" s="226" t="n">
        <x:f>J113*K113*L113*M113</x:f>
        <x:v>228.09599999999998</x:v>
      </x:c>
      <x:c r="O113" s="220" t="n">
        <x:v>1.12</x:v>
      </x:c>
      <x:c r="P113" s="226" t="n">
        <x:f>N113*O113</x:f>
        <x:v>255.46752</x:v>
      </x:c>
      <x:c r="Q113" s="220" t="n">
        <x:v>0.9292</x:v>
      </x:c>
      <x:c r="R113" s="226" t="n">
        <x:f>P113*Q113</x:f>
        <x:v>237.380419584</x:v>
      </x:c>
      <x:c r="S113" s="220" t="n">
        <x:v>0.08</x:v>
      </x:c>
      <x:c r="T113" s="226" t="n">
        <x:f>N113*S113</x:f>
        <x:v>18.24768</x:v>
      </x:c>
      <x:c r="U113" s="226" t="n">
        <x:v>0.009</x:v>
      </x:c>
      <x:c r="V113" s="226" t="n">
        <x:f>P113*U113</x:f>
        <x:v>2.29920768</x:v>
      </x:c>
      <x:c r="W113" s="196" t="str">
        <x:v>GBP</x:v>
      </x:c>
      <x:c r="X113" s="220" t="n">
        <x:v>7.5</x:v>
      </x:c>
      <x:c r="Y113" s="196" t="str">
        <x:v>PER_CHARGEABLE_KG</x:v>
      </x:c>
      <x:c r="Z113" s="220" t="n">
        <x:v>0.58</x:v>
      </x:c>
      <x:c r="AA113" s="220" t="n">
        <x:v>7.8</x:v>
      </x:c>
      <x:c r="AB113" s="220" t="n">
        <x:v>9</x:v>
      </x:c>
      <x:c r="AC113" s="226" t="n">
        <x:f>IF(W113="EUR",AA113,IF(W113="GBP",AB113,1))</x:f>
        <x:v>9</x:v>
      </x:c>
      <x:c r="AD113" s="226" t="n">
        <x:f>R113*X113</x:f>
        <x:v>1780.3531468800002</x:v>
      </x:c>
      <x:c r="AE113" s="226" t="n">
        <x:f>IF(Y113="PERCENTAGE_OF_BASE_FREIGHT",AD113*Z113,IF(Y113="PER_CHARGEABLE_KG",R113*Z113,P113*Z113))</x:f>
        <x:v>137.68064335872</x:v>
      </x:c>
      <x:c r="AF113" s="226" t="n">
        <x:f>AD113*AC113</x:f>
        <x:v>16023.17832192</x:v>
      </x:c>
      <x:c r="AG113" s="226" t="n">
        <x:f>AE113*AC113</x:f>
        <x:v>1239.1257902284801</x:v>
      </x:c>
      <x:c r="AH113" s="226" t="str">
        <x:v>EUR</x:v>
      </x:c>
      <x:c r="AI113" s="226" t="n">
        <x:v>1.18</x:v>
      </x:c>
      <x:c r="AJ113" s="226" t="n">
        <x:f>IF(AH113="EUR",AA113,IF(AH113="GBP",AB113,1))</x:f>
        <x:v>7.8</x:v>
      </x:c>
      <x:c r="AK113" s="226" t="n">
        <x:f>N113*AI113</x:f>
        <x:v>269.15327999999994</x:v>
      </x:c>
      <x:c r="AL113" s="226" t="n">
        <x:f>AK113*AJ113</x:f>
        <x:v>2099.3955839999994</x:v>
      </x:c>
      <x:c r="AM113" s="226" t="str">
        <x:v>EUR</x:v>
      </x:c>
      <x:c r="AN113" s="226" t="n">
        <x:v>0.42</x:v>
      </x:c>
      <x:c r="AO113" s="226" t="n">
        <x:f>IF(AM113="EUR",AA113,IF(AM113="GBP",AB113,1))</x:f>
        <x:v>7.8</x:v>
      </x:c>
      <x:c r="AP113" s="226" t="n">
        <x:f>P113*AN113</x:f>
        <x:v>107.2963584</x:v>
      </x:c>
      <x:c r="AQ113" s="226" t="n">
        <x:f>AP113*AO113</x:f>
        <x:v>836.91159552</x:v>
      </x:c>
      <x:c r="AR113" s="226" t="str">
        <x:v>GBP</x:v>
      </x:c>
      <x:c r="AS113" s="226" t="n">
        <x:v>4.8</x:v>
      </x:c>
      <x:c r="AT113" s="226" t="n">
        <x:f>IF(AR113="EUR",AA113,IF(AR113="GBP",AB113,1))</x:f>
        <x:v>9</x:v>
      </x:c>
      <x:c r="AU113" s="226" t="n">
        <x:f>T113*AS113</x:f>
        <x:v>87.58886399999999</x:v>
      </x:c>
      <x:c r="AV113" s="226" t="n">
        <x:f>AU113*AT113</x:f>
        <x:v>788.2997759999998</x:v>
      </x:c>
      <x:c r="AW113" s="226" t="str">
        <x:v>GBP</x:v>
      </x:c>
      <x:c r="AX113" s="226" t="n">
        <x:v>3.6</x:v>
      </x:c>
      <x:c r="AY113" s="226" t="n">
        <x:f>IF(AW113="EUR",AA113,IF(AW113="GBP",AB113,1))</x:f>
        <x:v>9</x:v>
      </x:c>
      <x:c r="AZ113" s="226" t="n">
        <x:f>V113*AX113</x:f>
        <x:v>8.277147648</x:v>
      </x:c>
      <x:c r="BA113" s="226" t="n">
        <x:f>AZ113*AY113</x:f>
        <x:v>74.494328832</x:v>
      </x:c>
      <x:c r="BB113" s="226" t="n">
        <x:f>AF113+AG113+AL113+AQ113+AV113+BA113</x:f>
        <x:v>21061.40539650048</x:v>
      </x:c>
      <x:c r="BC113" s="229" t="n">
        <x:v>0.988</x:v>
      </x:c>
      <x:c r="BD113" s="202"/>
      <x:c r="BE113" s="202"/>
      <x:c r="BF113" s="202"/>
      <x:c r="BG113" s="202" t="str">
        <x:v>UNVERIFIED_UNLIMITED_FOR_MVP</x:v>
      </x:c>
    </x:row>
    <x:row r="114">
      <x:c r="A114" s="187" t="str">
        <x:v>BUDGET_2026_V1</x:v>
      </x:c>
      <x:c r="B114" s="187" t="str">
        <x:v>BUDGET</x:v>
      </x:c>
      <x:c r="C114" s="187"/>
      <x:c r="D114" s="217" t="n">
        <x:v>46327</x:v>
      </x:c>
      <x:c r="E114" s="187" t="str">
        <x:v>R_GB_FR_B_AIR</x:v>
      </x:c>
      <x:c r="F114" s="187" t="str">
        <x:v>GB</x:v>
      </x:c>
      <x:c r="G114" s="187" t="str">
        <x:v>FR_FC</x:v>
      </x:c>
      <x:c r="H114" s="187" t="str">
        <x:v>CARRIER_B</x:v>
      </x:c>
      <x:c r="I114" s="187" t="str">
        <x:v>AIR</x:v>
      </x:c>
      <x:c r="J114" s="220" t="n">
        <x:v>22000</x:v>
      </x:c>
      <x:c r="K114" s="223" t="n">
        <x:v>0.36</x:v>
      </x:c>
      <x:c r="L114" s="223" t="n">
        <x:v>0.04</x:v>
      </x:c>
      <x:c r="M114" s="223" t="n">
        <x:v>1</x:v>
      </x:c>
      <x:c r="N114" s="226" t="n">
        <x:f>J114*K114*L114*M114</x:f>
        <x:v>316.8</x:v>
      </x:c>
      <x:c r="O114" s="220" t="n">
        <x:v>1.15</x:v>
      </x:c>
      <x:c r="P114" s="226" t="n">
        <x:f>N114*O114</x:f>
        <x:v>364.32</x:v>
      </x:c>
      <x:c r="Q114" s="220" t="n">
        <x:v>0.909</x:v>
      </x:c>
      <x:c r="R114" s="226" t="n">
        <x:f>P114*Q114</x:f>
        <x:v>331.16688</x:v>
      </x:c>
      <x:c r="S114" s="220" t="n">
        <x:v>0.08</x:v>
      </x:c>
      <x:c r="T114" s="226" t="n">
        <x:f>N114*S114</x:f>
        <x:v>25.344</x:v>
      </x:c>
      <x:c r="U114" s="226" t="n">
        <x:v>0.012</x:v>
      </x:c>
      <x:c r="V114" s="226" t="n">
        <x:f>P114*U114</x:f>
        <x:v>4.37184</x:v>
      </x:c>
      <x:c r="W114" s="196" t="str">
        <x:v>EUR</x:v>
      </x:c>
      <x:c r="X114" s="220" t="n">
        <x:v>6.7</x:v>
      </x:c>
      <x:c r="Y114" s="196" t="str">
        <x:v>PERCENTAGE_OF_BASE_FREIGHT</x:v>
      </x:c>
      <x:c r="Z114" s="220" t="n">
        <x:v>0.105</x:v>
      </x:c>
      <x:c r="AA114" s="220" t="n">
        <x:v>7.8</x:v>
      </x:c>
      <x:c r="AB114" s="220" t="n">
        <x:v>9</x:v>
      </x:c>
      <x:c r="AC114" s="226" t="n">
        <x:f>IF(W114="EUR",AA114,IF(W114="GBP",AB114,1))</x:f>
        <x:v>7.8</x:v>
      </x:c>
      <x:c r="AD114" s="226" t="n">
        <x:f>R114*X114</x:f>
        <x:v>2218.818096</x:v>
      </x:c>
      <x:c r="AE114" s="226" t="n">
        <x:f>IF(Y114="PERCENTAGE_OF_BASE_FREIGHT",AD114*Z114,IF(Y114="PER_CHARGEABLE_KG",R114*Z114,P114*Z114))</x:f>
        <x:v>232.97590007999997</x:v>
      </x:c>
      <x:c r="AF114" s="226" t="n">
        <x:f>AD114*AC114</x:f>
        <x:v>17306.7811488</x:v>
      </x:c>
      <x:c r="AG114" s="226" t="n">
        <x:f>AE114*AC114</x:f>
        <x:v>1817.2120206239997</x:v>
      </x:c>
      <x:c r="AH114" s="226" t="str">
        <x:v>EUR</x:v>
      </x:c>
      <x:c r="AI114" s="226" t="n">
        <x:v>1.05</x:v>
      </x:c>
      <x:c r="AJ114" s="226" t="n">
        <x:f>IF(AH114="EUR",AA114,IF(AH114="GBP",AB114,1))</x:f>
        <x:v>7.8</x:v>
      </x:c>
      <x:c r="AK114" s="226" t="n">
        <x:f>N114*AI114</x:f>
        <x:v>332.64000000000004</x:v>
      </x:c>
      <x:c r="AL114" s="226" t="n">
        <x:f>AK114*AJ114</x:f>
        <x:v>2594.592</x:v>
      </x:c>
      <x:c r="AM114" s="226" t="str">
        <x:v>EUR</x:v>
      </x:c>
      <x:c r="AN114" s="226" t="n">
        <x:v>0.38</x:v>
      </x:c>
      <x:c r="AO114" s="226" t="n">
        <x:f>IF(AM114="EUR",AA114,IF(AM114="GBP",AB114,1))</x:f>
        <x:v>7.8</x:v>
      </x:c>
      <x:c r="AP114" s="226" t="n">
        <x:f>P114*AN114</x:f>
        <x:v>138.4416</x:v>
      </x:c>
      <x:c r="AQ114" s="226" t="n">
        <x:f>AP114*AO114</x:f>
        <x:v>1079.84448</x:v>
      </x:c>
      <x:c r="AR114" s="226" t="str">
        <x:v>EUR</x:v>
      </x:c>
      <x:c r="AS114" s="226" t="n">
        <x:v>5.2</x:v>
      </x:c>
      <x:c r="AT114" s="226" t="n">
        <x:f>IF(AR114="EUR",AA114,IF(AR114="GBP",AB114,1))</x:f>
        <x:v>7.8</x:v>
      </x:c>
      <x:c r="AU114" s="226" t="n">
        <x:f>T114*AS114</x:f>
        <x:v>131.7888</x:v>
      </x:c>
      <x:c r="AV114" s="226" t="n">
        <x:f>AU114*AT114</x:f>
        <x:v>1027.95264</x:v>
      </x:c>
      <x:c r="AW114" s="226" t="str">
        <x:v>EUR</x:v>
      </x:c>
      <x:c r="AX114" s="226" t="n">
        <x:v>2.8</x:v>
      </x:c>
      <x:c r="AY114" s="226" t="n">
        <x:f>IF(AW114="EUR",AA114,IF(AW114="GBP",AB114,1))</x:f>
        <x:v>7.8</x:v>
      </x:c>
      <x:c r="AZ114" s="226" t="n">
        <x:f>V114*AX114</x:f>
        <x:v>12.241151999999998</x:v>
      </x:c>
      <x:c r="BA114" s="226" t="n">
        <x:f>AZ114*AY114</x:f>
        <x:v>95.48098559999998</x:v>
      </x:c>
      <x:c r="BB114" s="226" t="n">
        <x:f>AF114+AG114+AL114+AQ114+AV114+BA114</x:f>
        <x:v>23921.863275024</x:v>
      </x:c>
      <x:c r="BC114" s="229" t="n">
        <x:v>0.971</x:v>
      </x:c>
      <x:c r="BD114" s="202"/>
      <x:c r="BE114" s="202"/>
      <x:c r="BF114" s="202"/>
      <x:c r="BG114" s="202" t="str">
        <x:v>UNVERIFIED_UNLIMITED_FOR_MVP</x:v>
      </x:c>
    </x:row>
    <x:row r="115">
      <x:c r="A115" s="187" t="str">
        <x:v>BUDGET_2026_V1</x:v>
      </x:c>
      <x:c r="B115" s="187" t="str">
        <x:v>BUDGET</x:v>
      </x:c>
      <x:c r="C115" s="187"/>
      <x:c r="D115" s="217" t="n">
        <x:v>46357</x:v>
      </x:c>
      <x:c r="E115" s="187" t="str">
        <x:v>R_DE_DE_A_ROAD</x:v>
      </x:c>
      <x:c r="F115" s="187" t="str">
        <x:v>DE</x:v>
      </x:c>
      <x:c r="G115" s="187" t="str">
        <x:v>DE_FC</x:v>
      </x:c>
      <x:c r="H115" s="187" t="str">
        <x:v>CARRIER_A</x:v>
      </x:c>
      <x:c r="I115" s="187" t="str">
        <x:v>ROAD</x:v>
      </x:c>
      <x:c r="J115" s="220" t="n">
        <x:v>26000</x:v>
      </x:c>
      <x:c r="K115" s="223" t="n">
        <x:v>0.34</x:v>
      </x:c>
      <x:c r="L115" s="223" t="n">
        <x:v>0.97</x:v>
      </x:c>
      <x:c r="M115" s="223" t="n">
        <x:v>0.6</x:v>
      </x:c>
      <x:c r="N115" s="226" t="n">
        <x:f>J115*K115*L115*M115</x:f>
        <x:v>5144.879999999999</x:v>
      </x:c>
      <x:c r="O115" s="220" t="n">
        <x:v>1.05</x:v>
      </x:c>
      <x:c r="P115" s="226" t="n">
        <x:f>N115*O115</x:f>
        <x:v>5402.124</x:v>
      </x:c>
      <x:c r="Q115" s="220" t="n">
        <x:v>0.7878</x:v>
      </x:c>
      <x:c r="R115" s="226" t="n">
        <x:f>P115*Q115</x:f>
        <x:v>4255.793287199999</x:v>
      </x:c>
      <x:c r="S115" s="220" t="n">
        <x:v>0.05</x:v>
      </x:c>
      <x:c r="T115" s="226" t="n">
        <x:f>N115*S115</x:f>
        <x:v>257.24399999999997</x:v>
      </x:c>
      <x:c r="U115" s="226" t="n">
        <x:v>0.016</x:v>
      </x:c>
      <x:c r="V115" s="226" t="n">
        <x:f>P115*U115</x:f>
        <x:v>86.433984</x:v>
      </x:c>
      <x:c r="W115" s="196" t="str">
        <x:v>EUR</x:v>
      </x:c>
      <x:c r="X115" s="220" t="n">
        <x:v>2.2</x:v>
      </x:c>
      <x:c r="Y115" s="196" t="str">
        <x:v>PERCENTAGE_OF_BASE_FREIGHT</x:v>
      </x:c>
      <x:c r="Z115" s="220" t="n">
        <x:v>0.095</x:v>
      </x:c>
      <x:c r="AA115" s="220" t="n">
        <x:v>7.8</x:v>
      </x:c>
      <x:c r="AB115" s="220" t="n">
        <x:v>9</x:v>
      </x:c>
      <x:c r="AC115" s="226" t="n">
        <x:f>IF(W115="EUR",AA115,IF(W115="GBP",AB115,1))</x:f>
        <x:v>7.8</x:v>
      </x:c>
      <x:c r="AD115" s="226" t="n">
        <x:f>R115*X115</x:f>
        <x:v>9362.74523184</x:v>
      </x:c>
      <x:c r="AE115" s="226" t="n">
        <x:f>IF(Y115="PERCENTAGE_OF_BASE_FREIGHT",AD115*Z115,IF(Y115="PER_CHARGEABLE_KG",R115*Z115,P115*Z115))</x:f>
        <x:v>889.4607970248</x:v>
      </x:c>
      <x:c r="AF115" s="226" t="n">
        <x:f>AD115*AC115</x:f>
        <x:v>73029.41280835199</x:v>
      </x:c>
      <x:c r="AG115" s="226" t="n">
        <x:f>AE115*AC115</x:f>
        <x:v>6937.79421679344</x:v>
      </x:c>
      <x:c r="AH115" s="226" t="str">
        <x:v>EUR</x:v>
      </x:c>
      <x:c r="AI115" s="226" t="n">
        <x:v>1.18</x:v>
      </x:c>
      <x:c r="AJ115" s="226" t="n">
        <x:f>IF(AH115="EUR",AA115,IF(AH115="GBP",AB115,1))</x:f>
        <x:v>7.8</x:v>
      </x:c>
      <x:c r="AK115" s="226" t="n">
        <x:f>N115*AI115</x:f>
        <x:v>6070.958399999999</x:v>
      </x:c>
      <x:c r="AL115" s="226" t="n">
        <x:f>AK115*AJ115</x:f>
        <x:v>47353.475519999985</x:v>
      </x:c>
      <x:c r="AM115" s="226" t="str">
        <x:v>EUR</x:v>
      </x:c>
      <x:c r="AN115" s="226" t="n">
        <x:v>0.42</x:v>
      </x:c>
      <x:c r="AO115" s="226" t="n">
        <x:f>IF(AM115="EUR",AA115,IF(AM115="GBP",AB115,1))</x:f>
        <x:v>7.8</x:v>
      </x:c>
      <x:c r="AP115" s="226" t="n">
        <x:f>P115*AN115</x:f>
        <x:v>2268.8920799999996</x:v>
      </x:c>
      <x:c r="AQ115" s="226" t="n">
        <x:f>AP115*AO115</x:f>
        <x:v>17697.358223999996</x:v>
      </x:c>
      <x:c r="AR115" s="226" t="str">
        <x:v>EUR</x:v>
      </x:c>
      <x:c r="AS115" s="226" t="n">
        <x:v>3.2</x:v>
      </x:c>
      <x:c r="AT115" s="226" t="n">
        <x:f>IF(AR115="EUR",AA115,IF(AR115="GBP",AB115,1))</x:f>
        <x:v>7.8</x:v>
      </x:c>
      <x:c r="AU115" s="226" t="n">
        <x:f>T115*AS115</x:f>
        <x:v>823.1808</x:v>
      </x:c>
      <x:c r="AV115" s="226" t="n">
        <x:f>AU115*AT115</x:f>
        <x:v>6420.81024</x:v>
      </x:c>
      <x:c r="AW115" s="226" t="str">
        <x:v>EUR</x:v>
      </x:c>
      <x:c r="AX115" s="226" t="n">
        <x:v>2.3</x:v>
      </x:c>
      <x:c r="AY115" s="226" t="n">
        <x:f>IF(AW115="EUR",AA115,IF(AW115="GBP",AB115,1))</x:f>
        <x:v>7.8</x:v>
      </x:c>
      <x:c r="AZ115" s="226" t="n">
        <x:f>V115*AX115</x:f>
        <x:v>198.79816319999998</x:v>
      </x:c>
      <x:c r="BA115" s="226" t="n">
        <x:f>AZ115*AY115</x:f>
        <x:v>1550.6256729599997</x:v>
      </x:c>
      <x:c r="BB115" s="226" t="n">
        <x:f>AF115+AG115+AL115+AQ115+AV115+BA115</x:f>
        <x:v>152989.47668210542</x:v>
      </x:c>
      <x:c r="BC115" s="229" t="n">
        <x:v>0.965</x:v>
      </x:c>
      <x:c r="BD115" s="202"/>
      <x:c r="BE115" s="202"/>
      <x:c r="BF115" s="202"/>
      <x:c r="BG115" s="202" t="str">
        <x:v>UNVERIFIED_UNLIMITED_FOR_MVP</x:v>
      </x:c>
    </x:row>
    <x:row r="116">
      <x:c r="A116" s="187" t="str">
        <x:v>BUDGET_2026_V1</x:v>
      </x:c>
      <x:c r="B116" s="187" t="str">
        <x:v>BUDGET</x:v>
      </x:c>
      <x:c r="C116" s="187"/>
      <x:c r="D116" s="217" t="n">
        <x:v>46357</x:v>
      </x:c>
      <x:c r="E116" s="187" t="str">
        <x:v>R_DE_DE_B_ROAD</x:v>
      </x:c>
      <x:c r="F116" s="187" t="str">
        <x:v>DE</x:v>
      </x:c>
      <x:c r="G116" s="187" t="str">
        <x:v>DE_FC</x:v>
      </x:c>
      <x:c r="H116" s="187" t="str">
        <x:v>CARRIER_B</x:v>
      </x:c>
      <x:c r="I116" s="187" t="str">
        <x:v>ROAD</x:v>
      </x:c>
      <x:c r="J116" s="220" t="n">
        <x:v>26000</x:v>
      </x:c>
      <x:c r="K116" s="223" t="n">
        <x:v>0.34</x:v>
      </x:c>
      <x:c r="L116" s="223" t="n">
        <x:v>0.97</x:v>
      </x:c>
      <x:c r="M116" s="223" t="n">
        <x:v>0.4</x:v>
      </x:c>
      <x:c r="N116" s="226" t="n">
        <x:f>J116*K116*L116*M116</x:f>
        <x:v>3429.92</x:v>
      </x:c>
      <x:c r="O116" s="220" t="n">
        <x:v>1.05</x:v>
      </x:c>
      <x:c r="P116" s="226" t="n">
        <x:f>N116*O116</x:f>
        <x:v>3601.416</x:v>
      </x:c>
      <x:c r="Q116" s="220" t="n">
        <x:v>0.808</x:v>
      </x:c>
      <x:c r="R116" s="226" t="n">
        <x:f>P116*Q116</x:f>
        <x:v>2909.9441280000005</x:v>
      </x:c>
      <x:c r="S116" s="220" t="n">
        <x:v>0.05</x:v>
      </x:c>
      <x:c r="T116" s="226" t="n">
        <x:f>N116*S116</x:f>
        <x:v>171.496</x:v>
      </x:c>
      <x:c r="U116" s="226" t="n">
        <x:v>0.013</x:v>
      </x:c>
      <x:c r="V116" s="226" t="n">
        <x:f>P116*U116</x:f>
        <x:v>46.818408</x:v>
      </x:c>
      <x:c r="W116" s="196" t="str">
        <x:v>EUR</x:v>
      </x:c>
      <x:c r="X116" s="220" t="n">
        <x:v>2.75</x:v>
      </x:c>
      <x:c r="Y116" s="196" t="str">
        <x:v>PER_CHARGEABLE_KG</x:v>
      </x:c>
      <x:c r="Z116" s="220" t="n">
        <x:v>0.21</x:v>
      </x:c>
      <x:c r="AA116" s="220" t="n">
        <x:v>7.8</x:v>
      </x:c>
      <x:c r="AB116" s="220" t="n">
        <x:v>9</x:v>
      </x:c>
      <x:c r="AC116" s="226" t="n">
        <x:f>IF(W116="EUR",AA116,IF(W116="GBP",AB116,1))</x:f>
        <x:v>7.8</x:v>
      </x:c>
      <x:c r="AD116" s="226" t="n">
        <x:f>R116*X116</x:f>
        <x:v>8002.346352000001</x:v>
      </x:c>
      <x:c r="AE116" s="226" t="n">
        <x:f>IF(Y116="PERCENTAGE_OF_BASE_FREIGHT",AD116*Z116,IF(Y116="PER_CHARGEABLE_KG",R116*Z116,P116*Z116))</x:f>
        <x:v>611.0882668800001</x:v>
      </x:c>
      <x:c r="AF116" s="226" t="n">
        <x:f>AD116*AC116</x:f>
        <x:v>62418.30154560001</x:v>
      </x:c>
      <x:c r="AG116" s="226" t="n">
        <x:f>AE116*AC116</x:f>
        <x:v>4766.488481664001</x:v>
      </x:c>
      <x:c r="AH116" s="226" t="str">
        <x:v>EUR</x:v>
      </x:c>
      <x:c r="AI116" s="226" t="n">
        <x:v>1.18</x:v>
      </x:c>
      <x:c r="AJ116" s="226" t="n">
        <x:f>IF(AH116="EUR",AA116,IF(AH116="GBP",AB116,1))</x:f>
        <x:v>7.8</x:v>
      </x:c>
      <x:c r="AK116" s="226" t="n">
        <x:f>N116*AI116</x:f>
        <x:v>4047.3055999999997</x:v>
      </x:c>
      <x:c r="AL116" s="226" t="n">
        <x:f>AK116*AJ116</x:f>
        <x:v>31568.983679999998</x:v>
      </x:c>
      <x:c r="AM116" s="226" t="str">
        <x:v>EUR</x:v>
      </x:c>
      <x:c r="AN116" s="226" t="n">
        <x:v>0.42</x:v>
      </x:c>
      <x:c r="AO116" s="226" t="n">
        <x:f>IF(AM116="EUR",AA116,IF(AM116="GBP",AB116,1))</x:f>
        <x:v>7.8</x:v>
      </x:c>
      <x:c r="AP116" s="226" t="n">
        <x:f>P116*AN116</x:f>
        <x:v>1512.59472</x:v>
      </x:c>
      <x:c r="AQ116" s="226" t="n">
        <x:f>AP116*AO116</x:f>
        <x:v>11798.238816000001</x:v>
      </x:c>
      <x:c r="AR116" s="226" t="str">
        <x:v>EUR</x:v>
      </x:c>
      <x:c r="AS116" s="226" t="n">
        <x:v>3.2</x:v>
      </x:c>
      <x:c r="AT116" s="226" t="n">
        <x:f>IF(AR116="EUR",AA116,IF(AR116="GBP",AB116,1))</x:f>
        <x:v>7.8</x:v>
      </x:c>
      <x:c r="AU116" s="226" t="n">
        <x:f>T116*AS116</x:f>
        <x:v>548.7872000000001</x:v>
      </x:c>
      <x:c r="AV116" s="226" t="n">
        <x:f>AU116*AT116</x:f>
        <x:v>4280.5401600000005</x:v>
      </x:c>
      <x:c r="AW116" s="226" t="str">
        <x:v>EUR</x:v>
      </x:c>
      <x:c r="AX116" s="226" t="n">
        <x:v>2.3</x:v>
      </x:c>
      <x:c r="AY116" s="226" t="n">
        <x:f>IF(AW116="EUR",AA116,IF(AW116="GBP",AB116,1))</x:f>
        <x:v>7.8</x:v>
      </x:c>
      <x:c r="AZ116" s="226" t="n">
        <x:f>V116*AX116</x:f>
        <x:v>107.68233839999999</x:v>
      </x:c>
      <x:c r="BA116" s="226" t="n">
        <x:f>AZ116*AY116</x:f>
        <x:v>839.92223952</x:v>
      </x:c>
      <x:c r="BB116" s="226" t="n">
        <x:f>AF116+AG116+AL116+AQ116+AV116+BA116</x:f>
        <x:v>115672.47492278402</x:v>
      </x:c>
      <x:c r="BC116" s="229" t="n">
        <x:v>0.976</x:v>
      </x:c>
      <x:c r="BD116" s="202"/>
      <x:c r="BE116" s="202"/>
      <x:c r="BF116" s="202"/>
      <x:c r="BG116" s="202" t="str">
        <x:v>UNVERIFIED_UNLIMITED_FOR_MVP</x:v>
      </x:c>
    </x:row>
    <x:row r="117">
      <x:c r="A117" s="187" t="str">
        <x:v>BUDGET_2026_V1</x:v>
      </x:c>
      <x:c r="B117" s="187" t="str">
        <x:v>BUDGET</x:v>
      </x:c>
      <x:c r="C117" s="187"/>
      <x:c r="D117" s="217" t="n">
        <x:v>46357</x:v>
      </x:c>
      <x:c r="E117" s="187" t="str">
        <x:v>R_DE_FR_B_ROAD</x:v>
      </x:c>
      <x:c r="F117" s="187" t="str">
        <x:v>DE</x:v>
      </x:c>
      <x:c r="G117" s="187" t="str">
        <x:v>FR_FC</x:v>
      </x:c>
      <x:c r="H117" s="187" t="str">
        <x:v>CARRIER_B</x:v>
      </x:c>
      <x:c r="I117" s="187" t="str">
        <x:v>ROAD</x:v>
      </x:c>
      <x:c r="J117" s="220" t="n">
        <x:v>26000</x:v>
      </x:c>
      <x:c r="K117" s="223" t="n">
        <x:v>0.34</x:v>
      </x:c>
      <x:c r="L117" s="223" t="n">
        <x:v>0.03</x:v>
      </x:c>
      <x:c r="M117" s="223" t="n">
        <x:v>1</x:v>
      </x:c>
      <x:c r="N117" s="226" t="n">
        <x:f>J117*K117*L117*M117</x:f>
        <x:v>265.2</x:v>
      </x:c>
      <x:c r="O117" s="220" t="n">
        <x:v>1.08</x:v>
      </x:c>
      <x:c r="P117" s="226" t="n">
        <x:f>N117*O117</x:f>
        <x:v>286.416</x:v>
      </x:c>
      <x:c r="Q117" s="220" t="n">
        <x:v>0.8686</x:v>
      </x:c>
      <x:c r="R117" s="226" t="n">
        <x:f>P117*Q117</x:f>
        <x:v>248.78093760000002</x:v>
      </x:c>
      <x:c r="S117" s="220" t="n">
        <x:v>0.05</x:v>
      </x:c>
      <x:c r="T117" s="226" t="n">
        <x:f>N117*S117</x:f>
        <x:v>13.26</x:v>
      </x:c>
      <x:c r="U117" s="226" t="n">
        <x:v>0.014</x:v>
      </x:c>
      <x:c r="V117" s="226" t="n">
        <x:f>P117*U117</x:f>
        <x:v>4.009824</x:v>
      </x:c>
      <x:c r="W117" s="196" t="str">
        <x:v>EUR</x:v>
      </x:c>
      <x:c r="X117" s="220" t="n">
        <x:v>3.3</x:v>
      </x:c>
      <x:c r="Y117" s="196" t="str">
        <x:v>PER_CHARGEABLE_KG</x:v>
      </x:c>
      <x:c r="Z117" s="220" t="n">
        <x:v>0.24</x:v>
      </x:c>
      <x:c r="AA117" s="220" t="n">
        <x:v>7.8</x:v>
      </x:c>
      <x:c r="AB117" s="220" t="n">
        <x:v>9</x:v>
      </x:c>
      <x:c r="AC117" s="226" t="n">
        <x:f>IF(W117="EUR",AA117,IF(W117="GBP",AB117,1))</x:f>
        <x:v>7.8</x:v>
      </x:c>
      <x:c r="AD117" s="226" t="n">
        <x:f>R117*X117</x:f>
        <x:v>820.97709408</x:v>
      </x:c>
      <x:c r="AE117" s="226" t="n">
        <x:f>IF(Y117="PERCENTAGE_OF_BASE_FREIGHT",AD117*Z117,IF(Y117="PER_CHARGEABLE_KG",R117*Z117,P117*Z117))</x:f>
        <x:v>59.707425024</x:v>
      </x:c>
      <x:c r="AF117" s="226" t="n">
        <x:f>AD117*AC117</x:f>
        <x:v>6403.621333824</x:v>
      </x:c>
      <x:c r="AG117" s="226" t="n">
        <x:f>AE117*AC117</x:f>
        <x:v>465.7179151872</x:v>
      </x:c>
      <x:c r="AH117" s="226" t="str">
        <x:v>EUR</x:v>
      </x:c>
      <x:c r="AI117" s="226" t="n">
        <x:v>1.05</x:v>
      </x:c>
      <x:c r="AJ117" s="226" t="n">
        <x:f>IF(AH117="EUR",AA117,IF(AH117="GBP",AB117,1))</x:f>
        <x:v>7.8</x:v>
      </x:c>
      <x:c r="AK117" s="226" t="n">
        <x:f>N117*AI117</x:f>
        <x:v>278.46</x:v>
      </x:c>
      <x:c r="AL117" s="226" t="n">
        <x:f>AK117*AJ117</x:f>
        <x:v>2171.988</x:v>
      </x:c>
      <x:c r="AM117" s="226" t="str">
        <x:v>EUR</x:v>
      </x:c>
      <x:c r="AN117" s="226" t="n">
        <x:v>0.38</x:v>
      </x:c>
      <x:c r="AO117" s="226" t="n">
        <x:f>IF(AM117="EUR",AA117,IF(AM117="GBP",AB117,1))</x:f>
        <x:v>7.8</x:v>
      </x:c>
      <x:c r="AP117" s="226" t="n">
        <x:f>P117*AN117</x:f>
        <x:v>108.83808</x:v>
      </x:c>
      <x:c r="AQ117" s="226" t="n">
        <x:f>AP117*AO117</x:f>
        <x:v>848.9370240000001</x:v>
      </x:c>
      <x:c r="AR117" s="226" t="str">
        <x:v>EUR</x:v>
      </x:c>
      <x:c r="AS117" s="226" t="n">
        <x:v>3.8</x:v>
      </x:c>
      <x:c r="AT117" s="226" t="n">
        <x:f>IF(AR117="EUR",AA117,IF(AR117="GBP",AB117,1))</x:f>
        <x:v>7.8</x:v>
      </x:c>
      <x:c r="AU117" s="226" t="n">
        <x:f>T117*AS117</x:f>
        <x:v>50.388</x:v>
      </x:c>
      <x:c r="AV117" s="226" t="n">
        <x:f>AU117*AT117</x:f>
        <x:v>393.02639999999997</x:v>
      </x:c>
      <x:c r="AW117" s="226" t="str">
        <x:v>EUR</x:v>
      </x:c>
      <x:c r="AX117" s="226" t="n">
        <x:v>2.3</x:v>
      </x:c>
      <x:c r="AY117" s="226" t="n">
        <x:f>IF(AW117="EUR",AA117,IF(AW117="GBP",AB117,1))</x:f>
        <x:v>7.8</x:v>
      </x:c>
      <x:c r="AZ117" s="226" t="n">
        <x:f>V117*AX117</x:f>
        <x:v>9.222595199999999</x:v>
      </x:c>
      <x:c r="BA117" s="226" t="n">
        <x:f>AZ117*AY117</x:f>
        <x:v>71.93624256</x:v>
      </x:c>
      <x:c r="BB117" s="226" t="n">
        <x:f>AF117+AG117+AL117+AQ117+AV117+BA117</x:f>
        <x:v>10355.2269155712</x:v>
      </x:c>
      <x:c r="BC117" s="229" t="n">
        <x:v>0.968</x:v>
      </x:c>
      <x:c r="BD117" s="202"/>
      <x:c r="BE117" s="202"/>
      <x:c r="BF117" s="202"/>
      <x:c r="BG117" s="202" t="str">
        <x:v>UNVERIFIED_UNLIMITED_FOR_MVP</x:v>
      </x:c>
    </x:row>
    <x:row r="118">
      <x:c r="A118" s="187" t="str">
        <x:v>BUDGET_2026_V1</x:v>
      </x:c>
      <x:c r="B118" s="187" t="str">
        <x:v>BUDGET</x:v>
      </x:c>
      <x:c r="C118" s="187"/>
      <x:c r="D118" s="217" t="n">
        <x:v>46357</x:v>
      </x:c>
      <x:c r="E118" s="187" t="str">
        <x:v>R_FR_FR_A_ROAD</x:v>
      </x:c>
      <x:c r="F118" s="187" t="str">
        <x:v>FR</x:v>
      </x:c>
      <x:c r="G118" s="187" t="str">
        <x:v>FR_FC</x:v>
      </x:c>
      <x:c r="H118" s="187" t="str">
        <x:v>CARRIER_A</x:v>
      </x:c>
      <x:c r="I118" s="187" t="str">
        <x:v>ROAD</x:v>
      </x:c>
      <x:c r="J118" s="220" t="n">
        <x:v>26000</x:v>
      </x:c>
      <x:c r="K118" s="223" t="n">
        <x:v>0.29</x:v>
      </x:c>
      <x:c r="L118" s="223" t="n">
        <x:v>1</x:v>
      </x:c>
      <x:c r="M118" s="223" t="n">
        <x:v>0.35</x:v>
      </x:c>
      <x:c r="N118" s="226" t="n">
        <x:f>J118*K118*L118*M118</x:f>
        <x:v>2638.9999999999995</x:v>
      </x:c>
      <x:c r="O118" s="220" t="n">
        <x:v>1.06</x:v>
      </x:c>
      <x:c r="P118" s="226" t="n">
        <x:f>N118*O118</x:f>
        <x:v>2797.3399999999997</x:v>
      </x:c>
      <x:c r="Q118" s="220" t="n">
        <x:v>0.7676</x:v>
      </x:c>
      <x:c r="R118" s="226" t="n">
        <x:f>P118*Q118</x:f>
        <x:v>2147.238184</x:v>
      </x:c>
      <x:c r="S118" s="220" t="n">
        <x:v>0.06</x:v>
      </x:c>
      <x:c r="T118" s="226" t="n">
        <x:f>N118*S118</x:f>
        <x:v>158.33999999999997</x:v>
      </x:c>
      <x:c r="U118" s="226" t="n">
        <x:v>0.017</x:v>
      </x:c>
      <x:c r="V118" s="226" t="n">
        <x:f>P118*U118</x:f>
        <x:v>47.55478</x:v>
      </x:c>
      <x:c r="W118" s="196" t="str">
        <x:v>EUR</x:v>
      </x:c>
      <x:c r="X118" s="220" t="n">
        <x:v>2.1</x:v>
      </x:c>
      <x:c r="Y118" s="196" t="str">
        <x:v>PERCENTAGE_OF_BASE_FREIGHT</x:v>
      </x:c>
      <x:c r="Z118" s="220" t="n">
        <x:v>0.09</x:v>
      </x:c>
      <x:c r="AA118" s="220" t="n">
        <x:v>7.8</x:v>
      </x:c>
      <x:c r="AB118" s="220" t="n">
        <x:v>9</x:v>
      </x:c>
      <x:c r="AC118" s="226" t="n">
        <x:f>IF(W118="EUR",AA118,IF(W118="GBP",AB118,1))</x:f>
        <x:v>7.8</x:v>
      </x:c>
      <x:c r="AD118" s="226" t="n">
        <x:f>R118*X118</x:f>
        <x:v>4509.200186399999</x:v>
      </x:c>
      <x:c r="AE118" s="226" t="n">
        <x:f>IF(Y118="PERCENTAGE_OF_BASE_FREIGHT",AD118*Z118,IF(Y118="PER_CHARGEABLE_KG",R118*Z118,P118*Z118))</x:f>
        <x:v>405.8280167759999</x:v>
      </x:c>
      <x:c r="AF118" s="226" t="n">
        <x:f>AD118*AC118</x:f>
        <x:v>35171.76145391999</x:v>
      </x:c>
      <x:c r="AG118" s="226" t="n">
        <x:f>AE118*AC118</x:f>
        <x:v>3165.4585308527994</x:v>
      </x:c>
      <x:c r="AH118" s="226" t="str">
        <x:v>EUR</x:v>
      </x:c>
      <x:c r="AI118" s="226" t="n">
        <x:v>1.05</x:v>
      </x:c>
      <x:c r="AJ118" s="226" t="n">
        <x:f>IF(AH118="EUR",AA118,IF(AH118="GBP",AB118,1))</x:f>
        <x:v>7.8</x:v>
      </x:c>
      <x:c r="AK118" s="226" t="n">
        <x:f>N118*AI118</x:f>
        <x:v>2770.95</x:v>
      </x:c>
      <x:c r="AL118" s="226" t="n">
        <x:f>AK118*AJ118</x:f>
        <x:v>21613.41</x:v>
      </x:c>
      <x:c r="AM118" s="226" t="str">
        <x:v>EUR</x:v>
      </x:c>
      <x:c r="AN118" s="226" t="n">
        <x:v>0.38</x:v>
      </x:c>
      <x:c r="AO118" s="226" t="n">
        <x:f>IF(AM118="EUR",AA118,IF(AM118="GBP",AB118,1))</x:f>
        <x:v>7.8</x:v>
      </x:c>
      <x:c r="AP118" s="226" t="n">
        <x:f>P118*AN118</x:f>
        <x:v>1062.9892</x:v>
      </x:c>
      <x:c r="AQ118" s="226" t="n">
        <x:f>AP118*AO118</x:f>
        <x:v>8291.31576</x:v>
      </x:c>
      <x:c r="AR118" s="226" t="str">
        <x:v>EUR</x:v>
      </x:c>
      <x:c r="AS118" s="226" t="n">
        <x:v>3</x:v>
      </x:c>
      <x:c r="AT118" s="226" t="n">
        <x:f>IF(AR118="EUR",AA118,IF(AR118="GBP",AB118,1))</x:f>
        <x:v>7.8</x:v>
      </x:c>
      <x:c r="AU118" s="226" t="n">
        <x:f>T118*AS118</x:f>
        <x:v>475.0199999999999</x:v>
      </x:c>
      <x:c r="AV118" s="226" t="n">
        <x:f>AU118*AT118</x:f>
        <x:v>3705.1559999999995</x:v>
      </x:c>
      <x:c r="AW118" s="226" t="str">
        <x:v>EUR</x:v>
      </x:c>
      <x:c r="AX118" s="226" t="n">
        <x:v>2.3</x:v>
      </x:c>
      <x:c r="AY118" s="226" t="n">
        <x:f>IF(AW118="EUR",AA118,IF(AW118="GBP",AB118,1))</x:f>
        <x:v>7.8</x:v>
      </x:c>
      <x:c r="AZ118" s="226" t="n">
        <x:f>V118*AX118</x:f>
        <x:v>109.37599399999999</x:v>
      </x:c>
      <x:c r="BA118" s="226" t="n">
        <x:f>AZ118*AY118</x:f>
        <x:v>853.1327531999999</x:v>
      </x:c>
      <x:c r="BB118" s="226" t="n">
        <x:f>AF118+AG118+AL118+AQ118+AV118+BA118</x:f>
        <x:v>72800.2344979728</x:v>
      </x:c>
      <x:c r="BC118" s="229" t="n">
        <x:v>0.961</x:v>
      </x:c>
      <x:c r="BD118" s="202"/>
      <x:c r="BE118" s="202"/>
      <x:c r="BF118" s="202"/>
      <x:c r="BG118" s="202" t="str">
        <x:v>UNVERIFIED_UNLIMITED_FOR_MVP</x:v>
      </x:c>
    </x:row>
    <x:row r="119">
      <x:c r="A119" s="187" t="str">
        <x:v>BUDGET_2026_V1</x:v>
      </x:c>
      <x:c r="B119" s="187" t="str">
        <x:v>BUDGET</x:v>
      </x:c>
      <x:c r="C119" s="187"/>
      <x:c r="D119" s="217" t="n">
        <x:v>46357</x:v>
      </x:c>
      <x:c r="E119" s="187" t="str">
        <x:v>R_FR_FR_B_ROAD</x:v>
      </x:c>
      <x:c r="F119" s="187" t="str">
        <x:v>FR</x:v>
      </x:c>
      <x:c r="G119" s="187" t="str">
        <x:v>FR_FC</x:v>
      </x:c>
      <x:c r="H119" s="187" t="str">
        <x:v>CARRIER_B</x:v>
      </x:c>
      <x:c r="I119" s="187" t="str">
        <x:v>ROAD</x:v>
      </x:c>
      <x:c r="J119" s="220" t="n">
        <x:v>26000</x:v>
      </x:c>
      <x:c r="K119" s="223" t="n">
        <x:v>0.29</x:v>
      </x:c>
      <x:c r="L119" s="223" t="n">
        <x:v>1</x:v>
      </x:c>
      <x:c r="M119" s="223" t="n">
        <x:v>0.65</x:v>
      </x:c>
      <x:c r="N119" s="226" t="n">
        <x:f>J119*K119*L119*M119</x:f>
        <x:v>4901</x:v>
      </x:c>
      <x:c r="O119" s="220" t="n">
        <x:v>1.06</x:v>
      </x:c>
      <x:c r="P119" s="226" t="n">
        <x:f>N119*O119</x:f>
        <x:v>5195.06</x:v>
      </x:c>
      <x:c r="Q119" s="220" t="n">
        <x:v>0.7979</x:v>
      </x:c>
      <x:c r="R119" s="226" t="n">
        <x:f>P119*Q119</x:f>
        <x:v>4145.138374000001</x:v>
      </x:c>
      <x:c r="S119" s="220" t="n">
        <x:v>0.06</x:v>
      </x:c>
      <x:c r="T119" s="226" t="n">
        <x:f>N119*S119</x:f>
        <x:v>294.06</x:v>
      </x:c>
      <x:c r="U119" s="226" t="n">
        <x:v>0.014</x:v>
      </x:c>
      <x:c r="V119" s="226" t="n">
        <x:f>P119*U119</x:f>
        <x:v>72.73084</x:v>
      </x:c>
      <x:c r="W119" s="196" t="str">
        <x:v>EUR</x:v>
      </x:c>
      <x:c r="X119" s="220" t="n">
        <x:v>2.6</x:v>
      </x:c>
      <x:c r="Y119" s="196" t="str">
        <x:v>PER_CHARGEABLE_KG</x:v>
      </x:c>
      <x:c r="Z119" s="220" t="n">
        <x:v>0.2</x:v>
      </x:c>
      <x:c r="AA119" s="220" t="n">
        <x:v>7.8</x:v>
      </x:c>
      <x:c r="AB119" s="220" t="n">
        <x:v>9</x:v>
      </x:c>
      <x:c r="AC119" s="226" t="n">
        <x:f>IF(W119="EUR",AA119,IF(W119="GBP",AB119,1))</x:f>
        <x:v>7.8</x:v>
      </x:c>
      <x:c r="AD119" s="226" t="n">
        <x:f>R119*X119</x:f>
        <x:v>10777.359772400003</x:v>
      </x:c>
      <x:c r="AE119" s="226" t="n">
        <x:f>IF(Y119="PERCENTAGE_OF_BASE_FREIGHT",AD119*Z119,IF(Y119="PER_CHARGEABLE_KG",R119*Z119,P119*Z119))</x:f>
        <x:v>829.0276748000002</x:v>
      </x:c>
      <x:c r="AF119" s="226" t="n">
        <x:f>AD119*AC119</x:f>
        <x:v>84063.40622472002</x:v>
      </x:c>
      <x:c r="AG119" s="226" t="n">
        <x:f>AE119*AC119</x:f>
        <x:v>6466.415863440002</x:v>
      </x:c>
      <x:c r="AH119" s="226" t="str">
        <x:v>EUR</x:v>
      </x:c>
      <x:c r="AI119" s="226" t="n">
        <x:v>1.05</x:v>
      </x:c>
      <x:c r="AJ119" s="226" t="n">
        <x:f>IF(AH119="EUR",AA119,IF(AH119="GBP",AB119,1))</x:f>
        <x:v>7.8</x:v>
      </x:c>
      <x:c r="AK119" s="226" t="n">
        <x:f>N119*AI119</x:f>
        <x:v>5146.05</x:v>
      </x:c>
      <x:c r="AL119" s="226" t="n">
        <x:f>AK119*AJ119</x:f>
        <x:v>40139.19</x:v>
      </x:c>
      <x:c r="AM119" s="226" t="str">
        <x:v>EUR</x:v>
      </x:c>
      <x:c r="AN119" s="226" t="n">
        <x:v>0.38</x:v>
      </x:c>
      <x:c r="AO119" s="226" t="n">
        <x:f>IF(AM119="EUR",AA119,IF(AM119="GBP",AB119,1))</x:f>
        <x:v>7.8</x:v>
      </x:c>
      <x:c r="AP119" s="226" t="n">
        <x:f>P119*AN119</x:f>
        <x:v>1974.1228</x:v>
      </x:c>
      <x:c r="AQ119" s="226" t="n">
        <x:f>AP119*AO119</x:f>
        <x:v>15398.15784</x:v>
      </x:c>
      <x:c r="AR119" s="226" t="str">
        <x:v>EUR</x:v>
      </x:c>
      <x:c r="AS119" s="226" t="n">
        <x:v>3</x:v>
      </x:c>
      <x:c r="AT119" s="226" t="n">
        <x:f>IF(AR119="EUR",AA119,IF(AR119="GBP",AB119,1))</x:f>
        <x:v>7.8</x:v>
      </x:c>
      <x:c r="AU119" s="226" t="n">
        <x:f>T119*AS119</x:f>
        <x:v>882.1800000000001</x:v>
      </x:c>
      <x:c r="AV119" s="226" t="n">
        <x:f>AU119*AT119</x:f>
        <x:v>6881.004</x:v>
      </x:c>
      <x:c r="AW119" s="226" t="str">
        <x:v>EUR</x:v>
      </x:c>
      <x:c r="AX119" s="226" t="n">
        <x:v>2.3</x:v>
      </x:c>
      <x:c r="AY119" s="226" t="n">
        <x:f>IF(AW119="EUR",AA119,IF(AW119="GBP",AB119,1))</x:f>
        <x:v>7.8</x:v>
      </x:c>
      <x:c r="AZ119" s="226" t="n">
        <x:f>V119*AX119</x:f>
        <x:v>167.28093199999998</x:v>
      </x:c>
      <x:c r="BA119" s="226" t="n">
        <x:f>AZ119*AY119</x:f>
        <x:v>1304.7912695999999</x:v>
      </x:c>
      <x:c r="BB119" s="226" t="n">
        <x:f>AF119+AG119+AL119+AQ119+AV119+BA119</x:f>
        <x:v>154252.96519776003</x:v>
      </x:c>
      <x:c r="BC119" s="229" t="n">
        <x:v>0.973</x:v>
      </x:c>
      <x:c r="BD119" s="202"/>
      <x:c r="BE119" s="202"/>
      <x:c r="BF119" s="202"/>
      <x:c r="BG119" s="202" t="str">
        <x:v>UNVERIFIED_UNLIMITED_FOR_MVP</x:v>
      </x:c>
    </x:row>
    <x:row r="120">
      <x:c r="A120" s="187" t="str">
        <x:v>BUDGET_2026_V1</x:v>
      </x:c>
      <x:c r="B120" s="187" t="str">
        <x:v>BUDGET</x:v>
      </x:c>
      <x:c r="C120" s="187"/>
      <x:c r="D120" s="217" t="n">
        <x:v>46357</x:v>
      </x:c>
      <x:c r="E120" s="187" t="str">
        <x:v>R_GB_DE_A_ROAD</x:v>
      </x:c>
      <x:c r="F120" s="187" t="str">
        <x:v>GB</x:v>
      </x:c>
      <x:c r="G120" s="187" t="str">
        <x:v>DE_FC</x:v>
      </x:c>
      <x:c r="H120" s="187" t="str">
        <x:v>CARRIER_A</x:v>
      </x:c>
      <x:c r="I120" s="187" t="str">
        <x:v>ROAD</x:v>
      </x:c>
      <x:c r="J120" s="220" t="n">
        <x:v>26000</x:v>
      </x:c>
      <x:c r="K120" s="223" t="n">
        <x:v>0.37</x:v>
      </x:c>
      <x:c r="L120" s="223" t="n">
        <x:v>0.96</x:v>
      </x:c>
      <x:c r="M120" s="223" t="n">
        <x:v>0.65</x:v>
      </x:c>
      <x:c r="N120" s="226" t="n">
        <x:f>J120*K120*L120*M120</x:f>
        <x:v>6002.879999999999</x:v>
      </x:c>
      <x:c r="O120" s="220" t="n">
        <x:v>1.12</x:v>
      </x:c>
      <x:c r="P120" s="226" t="n">
        <x:f>N120*O120</x:f>
        <x:v>6723.2256</x:v>
      </x:c>
      <x:c r="Q120" s="220" t="n">
        <x:v>1.0302</x:v>
      </x:c>
      <x:c r="R120" s="226" t="n">
        <x:f>P120*Q120</x:f>
        <x:v>6926.26701312</x:v>
      </x:c>
      <x:c r="S120" s="220" t="n">
        <x:v>0.08</x:v>
      </x:c>
      <x:c r="T120" s="226" t="n">
        <x:f>N120*S120</x:f>
        <x:v>480.2303999999999</x:v>
      </x:c>
      <x:c r="U120" s="226" t="n">
        <x:v>0.022</x:v>
      </x:c>
      <x:c r="V120" s="226" t="n">
        <x:f>P120*U120</x:f>
        <x:v>147.9109632</x:v>
      </x:c>
      <x:c r="W120" s="196" t="str">
        <x:v>GBP</x:v>
      </x:c>
      <x:c r="X120" s="220" t="n">
        <x:v>4</x:v>
      </x:c>
      <x:c r="Y120" s="196" t="str">
        <x:v>PERCENTAGE_OF_BASE_FREIGHT</x:v>
      </x:c>
      <x:c r="Z120" s="220" t="n">
        <x:v>0.1</x:v>
      </x:c>
      <x:c r="AA120" s="220" t="n">
        <x:v>7.8</x:v>
      </x:c>
      <x:c r="AB120" s="220" t="n">
        <x:v>9</x:v>
      </x:c>
      <x:c r="AC120" s="226" t="n">
        <x:f>IF(W120="EUR",AA120,IF(W120="GBP",AB120,1))</x:f>
        <x:v>9</x:v>
      </x:c>
      <x:c r="AD120" s="226" t="n">
        <x:f>R120*X120</x:f>
        <x:v>27705.06805248</x:v>
      </x:c>
      <x:c r="AE120" s="226" t="n">
        <x:f>IF(Y120="PERCENTAGE_OF_BASE_FREIGHT",AD120*Z120,IF(Y120="PER_CHARGEABLE_KG",R120*Z120,P120*Z120))</x:f>
        <x:v>2770.506805248</x:v>
      </x:c>
      <x:c r="AF120" s="226" t="n">
        <x:f>AD120*AC120</x:f>
        <x:v>249345.61247232</x:v>
      </x:c>
      <x:c r="AG120" s="226" t="n">
        <x:f>AE120*AC120</x:f>
        <x:v>24934.561247232</x:v>
      </x:c>
      <x:c r="AH120" s="226" t="str">
        <x:v>EUR</x:v>
      </x:c>
      <x:c r="AI120" s="226" t="n">
        <x:v>1.18</x:v>
      </x:c>
      <x:c r="AJ120" s="226" t="n">
        <x:f>IF(AH120="EUR",AA120,IF(AH120="GBP",AB120,1))</x:f>
        <x:v>7.8</x:v>
      </x:c>
      <x:c r="AK120" s="226" t="n">
        <x:f>N120*AI120</x:f>
        <x:v>7083.398399999999</x:v>
      </x:c>
      <x:c r="AL120" s="226" t="n">
        <x:f>AK120*AJ120</x:f>
        <x:v>55250.50751999999</x:v>
      </x:c>
      <x:c r="AM120" s="226" t="str">
        <x:v>EUR</x:v>
      </x:c>
      <x:c r="AN120" s="226" t="n">
        <x:v>0.42</x:v>
      </x:c>
      <x:c r="AO120" s="226" t="n">
        <x:f>IF(AM120="EUR",AA120,IF(AM120="GBP",AB120,1))</x:f>
        <x:v>7.8</x:v>
      </x:c>
      <x:c r="AP120" s="226" t="n">
        <x:f>P120*AN120</x:f>
        <x:v>2823.754752</x:v>
      </x:c>
      <x:c r="AQ120" s="226" t="n">
        <x:f>AP120*AO120</x:f>
        <x:v>22025.287065599998</x:v>
      </x:c>
      <x:c r="AR120" s="226" t="str">
        <x:v>GBP</x:v>
      </x:c>
      <x:c r="AS120" s="226" t="n">
        <x:v>4.8</x:v>
      </x:c>
      <x:c r="AT120" s="226" t="n">
        <x:f>IF(AR120="EUR",AA120,IF(AR120="GBP",AB120,1))</x:f>
        <x:v>9</x:v>
      </x:c>
      <x:c r="AU120" s="226" t="n">
        <x:f>T120*AS120</x:f>
        <x:v>2305.1059199999995</x:v>
      </x:c>
      <x:c r="AV120" s="226" t="n">
        <x:f>AU120*AT120</x:f>
        <x:v>20745.953279999994</x:v>
      </x:c>
      <x:c r="AW120" s="226" t="str">
        <x:v>GBP</x:v>
      </x:c>
      <x:c r="AX120" s="226" t="n">
        <x:v>2.3</x:v>
      </x:c>
      <x:c r="AY120" s="226" t="n">
        <x:f>IF(AW120="EUR",AA120,IF(AW120="GBP",AB120,1))</x:f>
        <x:v>9</x:v>
      </x:c>
      <x:c r="AZ120" s="226" t="n">
        <x:f>V120*AX120</x:f>
        <x:v>340.19521535999996</x:v>
      </x:c>
      <x:c r="BA120" s="226" t="n">
        <x:f>AZ120*AY120</x:f>
        <x:v>3061.7569382399997</x:v>
      </x:c>
      <x:c r="BB120" s="226" t="n">
        <x:f>AF120+AG120+AL120+AQ120+AV120+BA120</x:f>
        <x:v>375363.678523392</x:v>
      </x:c>
      <x:c r="BC120" s="229" t="n">
        <x:v>0.93</x:v>
      </x:c>
      <x:c r="BD120" s="202"/>
      <x:c r="BE120" s="202"/>
      <x:c r="BF120" s="202"/>
      <x:c r="BG120" s="202" t="str">
        <x:v>UNVERIFIED_UNLIMITED_FOR_MVP</x:v>
      </x:c>
    </x:row>
    <x:row r="121">
      <x:c r="A121" s="187" t="str">
        <x:v>BUDGET_2026_V1</x:v>
      </x:c>
      <x:c r="B121" s="187" t="str">
        <x:v>BUDGET</x:v>
      </x:c>
      <x:c r="C121" s="187"/>
      <x:c r="D121" s="217" t="n">
        <x:v>46357</x:v>
      </x:c>
      <x:c r="E121" s="187" t="str">
        <x:v>R_GB_DE_B_ROAD</x:v>
      </x:c>
      <x:c r="F121" s="187" t="str">
        <x:v>GB</x:v>
      </x:c>
      <x:c r="G121" s="187" t="str">
        <x:v>DE_FC</x:v>
      </x:c>
      <x:c r="H121" s="187" t="str">
        <x:v>CARRIER_B</x:v>
      </x:c>
      <x:c r="I121" s="187" t="str">
        <x:v>ROAD</x:v>
      </x:c>
      <x:c r="J121" s="220" t="n">
        <x:v>26000</x:v>
      </x:c>
      <x:c r="K121" s="223" t="n">
        <x:v>0.37</x:v>
      </x:c>
      <x:c r="L121" s="223" t="n">
        <x:v>0.96</x:v>
      </x:c>
      <x:c r="M121" s="223" t="n">
        <x:v>0.25</x:v>
      </x:c>
      <x:c r="N121" s="226" t="n">
        <x:f>J121*K121*L121*M121</x:f>
        <x:v>2308.7999999999997</x:v>
      </x:c>
      <x:c r="O121" s="220" t="n">
        <x:v>1.12</x:v>
      </x:c>
      <x:c r="P121" s="226" t="n">
        <x:f>N121*O121</x:f>
        <x:v>2585.8559999999998</x:v>
      </x:c>
      <x:c r="Q121" s="220" t="n">
        <x:v>1.01</x:v>
      </x:c>
      <x:c r="R121" s="226" t="n">
        <x:f>P121*Q121</x:f>
        <x:v>2611.71456</x:v>
      </x:c>
      <x:c r="S121" s="220" t="n">
        <x:v>0.08</x:v>
      </x:c>
      <x:c r="T121" s="226" t="n">
        <x:f>N121*S121</x:f>
        <x:v>184.70399999999998</x:v>
      </x:c>
      <x:c r="U121" s="226" t="n">
        <x:v>0.017</x:v>
      </x:c>
      <x:c r="V121" s="226" t="n">
        <x:f>P121*U121</x:f>
        <x:v>43.959552</x:v>
      </x:c>
      <x:c r="W121" s="196" t="str">
        <x:v>GBP</x:v>
      </x:c>
      <x:c r="X121" s="220" t="n">
        <x:v>4.7</x:v>
      </x:c>
      <x:c r="Y121" s="196" t="str">
        <x:v>PER_CHARGEABLE_KG</x:v>
      </x:c>
      <x:c r="Z121" s="220" t="n">
        <x:v>0.33</x:v>
      </x:c>
      <x:c r="AA121" s="220" t="n">
        <x:v>7.8</x:v>
      </x:c>
      <x:c r="AB121" s="220" t="n">
        <x:v>9</x:v>
      </x:c>
      <x:c r="AC121" s="226" t="n">
        <x:f>IF(W121="EUR",AA121,IF(W121="GBP",AB121,1))</x:f>
        <x:v>9</x:v>
      </x:c>
      <x:c r="AD121" s="226" t="n">
        <x:f>R121*X121</x:f>
        <x:v>12275.058432</x:v>
      </x:c>
      <x:c r="AE121" s="226" t="n">
        <x:f>IF(Y121="PERCENTAGE_OF_BASE_FREIGHT",AD121*Z121,IF(Y121="PER_CHARGEABLE_KG",R121*Z121,P121*Z121))</x:f>
        <x:v>861.8658048</x:v>
      </x:c>
      <x:c r="AF121" s="226" t="n">
        <x:f>AD121*AC121</x:f>
        <x:v>110475.525888</x:v>
      </x:c>
      <x:c r="AG121" s="226" t="n">
        <x:f>AE121*AC121</x:f>
        <x:v>7756.7922432</x:v>
      </x:c>
      <x:c r="AH121" s="226" t="str">
        <x:v>EUR</x:v>
      </x:c>
      <x:c r="AI121" s="226" t="n">
        <x:v>1.18</x:v>
      </x:c>
      <x:c r="AJ121" s="226" t="n">
        <x:f>IF(AH121="EUR",AA121,IF(AH121="GBP",AB121,1))</x:f>
        <x:v>7.8</x:v>
      </x:c>
      <x:c r="AK121" s="226" t="n">
        <x:f>N121*AI121</x:f>
        <x:v>2724.3839999999996</x:v>
      </x:c>
      <x:c r="AL121" s="226" t="n">
        <x:f>AK121*AJ121</x:f>
        <x:v>21250.195199999995</x:v>
      </x:c>
      <x:c r="AM121" s="226" t="str">
        <x:v>EUR</x:v>
      </x:c>
      <x:c r="AN121" s="226" t="n">
        <x:v>0.42</x:v>
      </x:c>
      <x:c r="AO121" s="226" t="n">
        <x:f>IF(AM121="EUR",AA121,IF(AM121="GBP",AB121,1))</x:f>
        <x:v>7.8</x:v>
      </x:c>
      <x:c r="AP121" s="226" t="n">
        <x:f>P121*AN121</x:f>
        <x:v>1086.0595199999998</x:v>
      </x:c>
      <x:c r="AQ121" s="226" t="n">
        <x:f>AP121*AO121</x:f>
        <x:v>8471.264255999999</x:v>
      </x:c>
      <x:c r="AR121" s="226" t="str">
        <x:v>GBP</x:v>
      </x:c>
      <x:c r="AS121" s="226" t="n">
        <x:v>4.8</x:v>
      </x:c>
      <x:c r="AT121" s="226" t="n">
        <x:f>IF(AR121="EUR",AA121,IF(AR121="GBP",AB121,1))</x:f>
        <x:v>9</x:v>
      </x:c>
      <x:c r="AU121" s="226" t="n">
        <x:f>T121*AS121</x:f>
        <x:v>886.5791999999999</x:v>
      </x:c>
      <x:c r="AV121" s="226" t="n">
        <x:f>AU121*AT121</x:f>
        <x:v>7979.212799999999</x:v>
      </x:c>
      <x:c r="AW121" s="226" t="str">
        <x:v>GBP</x:v>
      </x:c>
      <x:c r="AX121" s="226" t="n">
        <x:v>2.3</x:v>
      </x:c>
      <x:c r="AY121" s="226" t="n">
        <x:f>IF(AW121="EUR",AA121,IF(AW121="GBP",AB121,1))</x:f>
        <x:v>9</x:v>
      </x:c>
      <x:c r="AZ121" s="226" t="n">
        <x:f>V121*AX121</x:f>
        <x:v>101.1069696</x:v>
      </x:c>
      <x:c r="BA121" s="226" t="n">
        <x:f>AZ121*AY121</x:f>
        <x:v>909.9627264</x:v>
      </x:c>
      <x:c r="BB121" s="226" t="n">
        <x:f>AF121+AG121+AL121+AQ121+AV121+BA121</x:f>
        <x:v>156842.9531136</x:v>
      </x:c>
      <x:c r="BC121" s="229" t="n">
        <x:v>0.95</x:v>
      </x:c>
      <x:c r="BD121" s="202"/>
      <x:c r="BE121" s="202"/>
      <x:c r="BF121" s="202"/>
      <x:c r="BG121" s="202" t="str">
        <x:v>UNVERIFIED_UNLIMITED_FOR_MVP</x:v>
      </x:c>
    </x:row>
    <x:row r="122">
      <x:c r="A122" s="187" t="str">
        <x:v>BUDGET_2026_V1</x:v>
      </x:c>
      <x:c r="B122" s="187" t="str">
        <x:v>BUDGET</x:v>
      </x:c>
      <x:c r="C122" s="187"/>
      <x:c r="D122" s="217" t="n">
        <x:v>46357</x:v>
      </x:c>
      <x:c r="E122" s="187" t="str">
        <x:v>R_GB_DE_B_AIR</x:v>
      </x:c>
      <x:c r="F122" s="187" t="str">
        <x:v>GB</x:v>
      </x:c>
      <x:c r="G122" s="187" t="str">
        <x:v>DE_FC</x:v>
      </x:c>
      <x:c r="H122" s="187" t="str">
        <x:v>CARRIER_B</x:v>
      </x:c>
      <x:c r="I122" s="187" t="str">
        <x:v>AIR</x:v>
      </x:c>
      <x:c r="J122" s="220" t="n">
        <x:v>26000</x:v>
      </x:c>
      <x:c r="K122" s="223" t="n">
        <x:v>0.37</x:v>
      </x:c>
      <x:c r="L122" s="223" t="n">
        <x:v>0.96</x:v>
      </x:c>
      <x:c r="M122" s="223" t="n">
        <x:v>0.07</x:v>
      </x:c>
      <x:c r="N122" s="226" t="n">
        <x:f>J122*K122*L122*M122</x:f>
        <x:v>646.4639999999999</x:v>
      </x:c>
      <x:c r="O122" s="220" t="n">
        <x:v>1.12</x:v>
      </x:c>
      <x:c r="P122" s="226" t="n">
        <x:f>N122*O122</x:f>
        <x:v>724.03968</x:v>
      </x:c>
      <x:c r="Q122" s="220" t="n">
        <x:v>0.9494</x:v>
      </x:c>
      <x:c r="R122" s="226" t="n">
        <x:f>P122*Q122</x:f>
        <x:v>687.403272192</x:v>
      </x:c>
      <x:c r="S122" s="220" t="n">
        <x:v>0.08</x:v>
      </x:c>
      <x:c r="T122" s="226" t="n">
        <x:f>N122*S122</x:f>
        <x:v>51.717119999999994</x:v>
      </x:c>
      <x:c r="U122" s="226" t="n">
        <x:v>0.013</x:v>
      </x:c>
      <x:c r="V122" s="226" t="n">
        <x:f>P122*U122</x:f>
        <x:v>9.41251584</x:v>
      </x:c>
      <x:c r="W122" s="196" t="str">
        <x:v>GBP</x:v>
      </x:c>
      <x:c r="X122" s="220" t="n">
        <x:v>6.2</x:v>
      </x:c>
      <x:c r="Y122" s="196" t="str">
        <x:v>PERCENTAGE_OF_BASE_FREIGHT</x:v>
      </x:c>
      <x:c r="Z122" s="220" t="n">
        <x:v>0.115</x:v>
      </x:c>
      <x:c r="AA122" s="220" t="n">
        <x:v>7.8</x:v>
      </x:c>
      <x:c r="AB122" s="220" t="n">
        <x:v>9</x:v>
      </x:c>
      <x:c r="AC122" s="226" t="n">
        <x:f>IF(W122="EUR",AA122,IF(W122="GBP",AB122,1))</x:f>
        <x:v>9</x:v>
      </x:c>
      <x:c r="AD122" s="226" t="n">
        <x:f>R122*X122</x:f>
        <x:v>4261.900287590401</x:v>
      </x:c>
      <x:c r="AE122" s="226" t="n">
        <x:f>IF(Y122="PERCENTAGE_OF_BASE_FREIGHT",AD122*Z122,IF(Y122="PER_CHARGEABLE_KG",R122*Z122,P122*Z122))</x:f>
        <x:v>490.1185330728961</x:v>
      </x:c>
      <x:c r="AF122" s="226" t="n">
        <x:f>AD122*AC122</x:f>
        <x:v>38357.1025883136</x:v>
      </x:c>
      <x:c r="AG122" s="226" t="n">
        <x:f>AE122*AC122</x:f>
        <x:v>4411.066797656065</x:v>
      </x:c>
      <x:c r="AH122" s="226" t="str">
        <x:v>EUR</x:v>
      </x:c>
      <x:c r="AI122" s="226" t="n">
        <x:v>1.18</x:v>
      </x:c>
      <x:c r="AJ122" s="226" t="n">
        <x:f>IF(AH122="EUR",AA122,IF(AH122="GBP",AB122,1))</x:f>
        <x:v>7.8</x:v>
      </x:c>
      <x:c r="AK122" s="226" t="n">
        <x:f>N122*AI122</x:f>
        <x:v>762.8275199999999</x:v>
      </x:c>
      <x:c r="AL122" s="226" t="n">
        <x:f>AK122*AJ122</x:f>
        <x:v>5950.054655999999</x:v>
      </x:c>
      <x:c r="AM122" s="226" t="str">
        <x:v>EUR</x:v>
      </x:c>
      <x:c r="AN122" s="226" t="n">
        <x:v>0.42</x:v>
      </x:c>
      <x:c r="AO122" s="226" t="n">
        <x:f>IF(AM122="EUR",AA122,IF(AM122="GBP",AB122,1))</x:f>
        <x:v>7.8</x:v>
      </x:c>
      <x:c r="AP122" s="226" t="n">
        <x:f>P122*AN122</x:f>
        <x:v>304.0966656</x:v>
      </x:c>
      <x:c r="AQ122" s="226" t="n">
        <x:f>AP122*AO122</x:f>
        <x:v>2371.95399168</x:v>
      </x:c>
      <x:c r="AR122" s="226" t="str">
        <x:v>GBP</x:v>
      </x:c>
      <x:c r="AS122" s="226" t="n">
        <x:v>4.8</x:v>
      </x:c>
      <x:c r="AT122" s="226" t="n">
        <x:f>IF(AR122="EUR",AA122,IF(AR122="GBP",AB122,1))</x:f>
        <x:v>9</x:v>
      </x:c>
      <x:c r="AU122" s="226" t="n">
        <x:f>T122*AS122</x:f>
        <x:v>248.24217599999997</x:v>
      </x:c>
      <x:c r="AV122" s="226" t="n">
        <x:f>AU122*AT122</x:f>
        <x:v>2234.1795839999995</x:v>
      </x:c>
      <x:c r="AW122" s="226" t="str">
        <x:v>GBP</x:v>
      </x:c>
      <x:c r="AX122" s="226" t="n">
        <x:v>2.8</x:v>
      </x:c>
      <x:c r="AY122" s="226" t="n">
        <x:f>IF(AW122="EUR",AA122,IF(AW122="GBP",AB122,1))</x:f>
        <x:v>9</x:v>
      </x:c>
      <x:c r="AZ122" s="226" t="n">
        <x:f>V122*AX122</x:f>
        <x:v>26.355044351999997</x:v>
      </x:c>
      <x:c r="BA122" s="226" t="n">
        <x:f>AZ122*AY122</x:f>
        <x:v>237.19539916799997</x:v>
      </x:c>
      <x:c r="BB122" s="226" t="n">
        <x:f>AF122+AG122+AL122+AQ122+AV122+BA122</x:f>
        <x:v>53561.55301681766</x:v>
      </x:c>
      <x:c r="BC122" s="229" t="n">
        <x:v>0.974</x:v>
      </x:c>
      <x:c r="BD122" s="202"/>
      <x:c r="BE122" s="202"/>
      <x:c r="BF122" s="202"/>
      <x:c r="BG122" s="202" t="str">
        <x:v>UNVERIFIED_UNLIMITED_FOR_MVP</x:v>
      </x:c>
    </x:row>
    <x:row r="123">
      <x:c r="A123" s="187" t="str">
        <x:v>BUDGET_2026_V1</x:v>
      </x:c>
      <x:c r="B123" s="187" t="str">
        <x:v>BUDGET</x:v>
      </x:c>
      <x:c r="C123" s="187"/>
      <x:c r="D123" s="217" t="n">
        <x:v>46357</x:v>
      </x:c>
      <x:c r="E123" s="187" t="str">
        <x:v>R_GB_DE_C_AIR</x:v>
      </x:c>
      <x:c r="F123" s="187" t="str">
        <x:v>GB</x:v>
      </x:c>
      <x:c r="G123" s="187" t="str">
        <x:v>DE_FC</x:v>
      </x:c>
      <x:c r="H123" s="187" t="str">
        <x:v>CARRIER_C</x:v>
      </x:c>
      <x:c r="I123" s="187" t="str">
        <x:v>AIR</x:v>
      </x:c>
      <x:c r="J123" s="220" t="n">
        <x:v>26000</x:v>
      </x:c>
      <x:c r="K123" s="223" t="n">
        <x:v>0.37</x:v>
      </x:c>
      <x:c r="L123" s="223" t="n">
        <x:v>0.96</x:v>
      </x:c>
      <x:c r="M123" s="223" t="n">
        <x:v>0.03</x:v>
      </x:c>
      <x:c r="N123" s="226" t="n">
        <x:f>J123*K123*L123*M123</x:f>
        <x:v>277.056</x:v>
      </x:c>
      <x:c r="O123" s="220" t="n">
        <x:v>1.12</x:v>
      </x:c>
      <x:c r="P123" s="226" t="n">
        <x:f>N123*O123</x:f>
        <x:v>310.30272</x:v>
      </x:c>
      <x:c r="Q123" s="220" t="n">
        <x:v>0.9292</x:v>
      </x:c>
      <x:c r="R123" s="226" t="n">
        <x:f>P123*Q123</x:f>
        <x:v>288.33328742400005</x:v>
      </x:c>
      <x:c r="S123" s="220" t="n">
        <x:v>0.08</x:v>
      </x:c>
      <x:c r="T123" s="226" t="n">
        <x:f>N123*S123</x:f>
        <x:v>22.164479999999998</x:v>
      </x:c>
      <x:c r="U123" s="226" t="n">
        <x:v>0.009</x:v>
      </x:c>
      <x:c r="V123" s="226" t="n">
        <x:f>P123*U123</x:f>
        <x:v>2.79272448</x:v>
      </x:c>
      <x:c r="W123" s="196" t="str">
        <x:v>GBP</x:v>
      </x:c>
      <x:c r="X123" s="220" t="n">
        <x:v>7.5</x:v>
      </x:c>
      <x:c r="Y123" s="196" t="str">
        <x:v>PER_CHARGEABLE_KG</x:v>
      </x:c>
      <x:c r="Z123" s="220" t="n">
        <x:v>0.58</x:v>
      </x:c>
      <x:c r="AA123" s="220" t="n">
        <x:v>7.8</x:v>
      </x:c>
      <x:c r="AB123" s="220" t="n">
        <x:v>9</x:v>
      </x:c>
      <x:c r="AC123" s="226" t="n">
        <x:f>IF(W123="EUR",AA123,IF(W123="GBP",AB123,1))</x:f>
        <x:v>9</x:v>
      </x:c>
      <x:c r="AD123" s="226" t="n">
        <x:f>R123*X123</x:f>
        <x:v>2162.49965568</x:v>
      </x:c>
      <x:c r="AE123" s="226" t="n">
        <x:f>IF(Y123="PERCENTAGE_OF_BASE_FREIGHT",AD123*Z123,IF(Y123="PER_CHARGEABLE_KG",R123*Z123,P123*Z123))</x:f>
        <x:v>167.23330670592003</x:v>
      </x:c>
      <x:c r="AF123" s="226" t="n">
        <x:f>AD123*AC123</x:f>
        <x:v>19462.49690112</x:v>
      </x:c>
      <x:c r="AG123" s="226" t="n">
        <x:f>AE123*AC123</x:f>
        <x:v>1505.0997603532803</x:v>
      </x:c>
      <x:c r="AH123" s="226" t="str">
        <x:v>EUR</x:v>
      </x:c>
      <x:c r="AI123" s="226" t="n">
        <x:v>1.18</x:v>
      </x:c>
      <x:c r="AJ123" s="226" t="n">
        <x:f>IF(AH123="EUR",AA123,IF(AH123="GBP",AB123,1))</x:f>
        <x:v>7.8</x:v>
      </x:c>
      <x:c r="AK123" s="226" t="n">
        <x:f>N123*AI123</x:f>
        <x:v>326.92607999999996</x:v>
      </x:c>
      <x:c r="AL123" s="226" t="n">
        <x:f>AK123*AJ123</x:f>
        <x:v>2550.0234239999995</x:v>
      </x:c>
      <x:c r="AM123" s="226" t="str">
        <x:v>EUR</x:v>
      </x:c>
      <x:c r="AN123" s="226" t="n">
        <x:v>0.42</x:v>
      </x:c>
      <x:c r="AO123" s="226" t="n">
        <x:f>IF(AM123="EUR",AA123,IF(AM123="GBP",AB123,1))</x:f>
        <x:v>7.8</x:v>
      </x:c>
      <x:c r="AP123" s="226" t="n">
        <x:f>P123*AN123</x:f>
        <x:v>130.3271424</x:v>
      </x:c>
      <x:c r="AQ123" s="226" t="n">
        <x:f>AP123*AO123</x:f>
        <x:v>1016.5517107200001</x:v>
      </x:c>
      <x:c r="AR123" s="226" t="str">
        <x:v>GBP</x:v>
      </x:c>
      <x:c r="AS123" s="226" t="n">
        <x:v>4.8</x:v>
      </x:c>
      <x:c r="AT123" s="226" t="n">
        <x:f>IF(AR123="EUR",AA123,IF(AR123="GBP",AB123,1))</x:f>
        <x:v>9</x:v>
      </x:c>
      <x:c r="AU123" s="226" t="n">
        <x:f>T123*AS123</x:f>
        <x:v>106.38950399999999</x:v>
      </x:c>
      <x:c r="AV123" s="226" t="n">
        <x:f>AU123*AT123</x:f>
        <x:v>957.5055359999999</x:v>
      </x:c>
      <x:c r="AW123" s="226" t="str">
        <x:v>GBP</x:v>
      </x:c>
      <x:c r="AX123" s="226" t="n">
        <x:v>3.6</x:v>
      </x:c>
      <x:c r="AY123" s="226" t="n">
        <x:f>IF(AW123="EUR",AA123,IF(AW123="GBP",AB123,1))</x:f>
        <x:v>9</x:v>
      </x:c>
      <x:c r="AZ123" s="226" t="n">
        <x:f>V123*AX123</x:f>
        <x:v>10.053808128</x:v>
      </x:c>
      <x:c r="BA123" s="226" t="n">
        <x:f>AZ123*AY123</x:f>
        <x:v>90.484273152</x:v>
      </x:c>
      <x:c r="BB123" s="226" t="n">
        <x:f>AF123+AG123+AL123+AQ123+AV123+BA123</x:f>
        <x:v>25582.16160534528</x:v>
      </x:c>
      <x:c r="BC123" s="229" t="n">
        <x:v>0.988</x:v>
      </x:c>
      <x:c r="BD123" s="202"/>
      <x:c r="BE123" s="202"/>
      <x:c r="BF123" s="202"/>
      <x:c r="BG123" s="202" t="str">
        <x:v>UNVERIFIED_UNLIMITED_FOR_MVP</x:v>
      </x:c>
    </x:row>
    <x:row r="124">
      <x:c r="A124" s="187" t="str">
        <x:v>BUDGET_2026_V1</x:v>
      </x:c>
      <x:c r="B124" s="187" t="str">
        <x:v>BUDGET</x:v>
      </x:c>
      <x:c r="C124" s="187"/>
      <x:c r="D124" s="217" t="n">
        <x:v>46357</x:v>
      </x:c>
      <x:c r="E124" s="187" t="str">
        <x:v>R_GB_FR_B_AIR</x:v>
      </x:c>
      <x:c r="F124" s="187" t="str">
        <x:v>GB</x:v>
      </x:c>
      <x:c r="G124" s="187" t="str">
        <x:v>FR_FC</x:v>
      </x:c>
      <x:c r="H124" s="187" t="str">
        <x:v>CARRIER_B</x:v>
      </x:c>
      <x:c r="I124" s="187" t="str">
        <x:v>AIR</x:v>
      </x:c>
      <x:c r="J124" s="220" t="n">
        <x:v>26000</x:v>
      </x:c>
      <x:c r="K124" s="223" t="n">
        <x:v>0.37</x:v>
      </x:c>
      <x:c r="L124" s="223" t="n">
        <x:v>0.04</x:v>
      </x:c>
      <x:c r="M124" s="223" t="n">
        <x:v>1</x:v>
      </x:c>
      <x:c r="N124" s="226" t="n">
        <x:f>J124*K124*L124*M124</x:f>
        <x:v>384.8</x:v>
      </x:c>
      <x:c r="O124" s="220" t="n">
        <x:v>1.15</x:v>
      </x:c>
      <x:c r="P124" s="226" t="n">
        <x:f>N124*O124</x:f>
        <x:v>442.52</x:v>
      </x:c>
      <x:c r="Q124" s="220" t="n">
        <x:v>0.909</x:v>
      </x:c>
      <x:c r="R124" s="226" t="n">
        <x:f>P124*Q124</x:f>
        <x:v>402.25068</x:v>
      </x:c>
      <x:c r="S124" s="220" t="n">
        <x:v>0.08</x:v>
      </x:c>
      <x:c r="T124" s="226" t="n">
        <x:f>N124*S124</x:f>
        <x:v>30.784000000000002</x:v>
      </x:c>
      <x:c r="U124" s="226" t="n">
        <x:v>0.012</x:v>
      </x:c>
      <x:c r="V124" s="226" t="n">
        <x:f>P124*U124</x:f>
        <x:v>5.31024</x:v>
      </x:c>
      <x:c r="W124" s="196" t="str">
        <x:v>EUR</x:v>
      </x:c>
      <x:c r="X124" s="220" t="n">
        <x:v>6.7</x:v>
      </x:c>
      <x:c r="Y124" s="196" t="str">
        <x:v>PERCENTAGE_OF_BASE_FREIGHT</x:v>
      </x:c>
      <x:c r="Z124" s="220" t="n">
        <x:v>0.105</x:v>
      </x:c>
      <x:c r="AA124" s="220" t="n">
        <x:v>7.8</x:v>
      </x:c>
      <x:c r="AB124" s="220" t="n">
        <x:v>9</x:v>
      </x:c>
      <x:c r="AC124" s="226" t="n">
        <x:f>IF(W124="EUR",AA124,IF(W124="GBP",AB124,1))</x:f>
        <x:v>7.8</x:v>
      </x:c>
      <x:c r="AD124" s="226" t="n">
        <x:f>R124*X124</x:f>
        <x:v>2695.079556</x:v>
      </x:c>
      <x:c r="AE124" s="226" t="n">
        <x:f>IF(Y124="PERCENTAGE_OF_BASE_FREIGHT",AD124*Z124,IF(Y124="PER_CHARGEABLE_KG",R124*Z124,P124*Z124))</x:f>
        <x:v>282.98335338</x:v>
      </x:c>
      <x:c r="AF124" s="226" t="n">
        <x:f>AD124*AC124</x:f>
        <x:v>21021.6205368</x:v>
      </x:c>
      <x:c r="AG124" s="226" t="n">
        <x:f>AE124*AC124</x:f>
        <x:v>2207.270156364</x:v>
      </x:c>
      <x:c r="AH124" s="226" t="str">
        <x:v>EUR</x:v>
      </x:c>
      <x:c r="AI124" s="226" t="n">
        <x:v>1.05</x:v>
      </x:c>
      <x:c r="AJ124" s="226" t="n">
        <x:f>IF(AH124="EUR",AA124,IF(AH124="GBP",AB124,1))</x:f>
        <x:v>7.8</x:v>
      </x:c>
      <x:c r="AK124" s="226" t="n">
        <x:f>N124*AI124</x:f>
        <x:v>404.04</x:v>
      </x:c>
      <x:c r="AL124" s="226" t="n">
        <x:f>AK124*AJ124</x:f>
        <x:v>3151.512</x:v>
      </x:c>
      <x:c r="AM124" s="226" t="str">
        <x:v>EUR</x:v>
      </x:c>
      <x:c r="AN124" s="226" t="n">
        <x:v>0.38</x:v>
      </x:c>
      <x:c r="AO124" s="226" t="n">
        <x:f>IF(AM124="EUR",AA124,IF(AM124="GBP",AB124,1))</x:f>
        <x:v>7.8</x:v>
      </x:c>
      <x:c r="AP124" s="226" t="n">
        <x:f>P124*AN124</x:f>
        <x:v>168.1576</x:v>
      </x:c>
      <x:c r="AQ124" s="226" t="n">
        <x:f>AP124*AO124</x:f>
        <x:v>1311.6292799999999</x:v>
      </x:c>
      <x:c r="AR124" s="226" t="str">
        <x:v>EUR</x:v>
      </x:c>
      <x:c r="AS124" s="226" t="n">
        <x:v>5.2</x:v>
      </x:c>
      <x:c r="AT124" s="226" t="n">
        <x:f>IF(AR124="EUR",AA124,IF(AR124="GBP",AB124,1))</x:f>
        <x:v>7.8</x:v>
      </x:c>
      <x:c r="AU124" s="226" t="n">
        <x:f>T124*AS124</x:f>
        <x:v>160.07680000000002</x:v>
      </x:c>
      <x:c r="AV124" s="226" t="n">
        <x:f>AU124*AT124</x:f>
        <x:v>1248.59904</x:v>
      </x:c>
      <x:c r="AW124" s="226" t="str">
        <x:v>EUR</x:v>
      </x:c>
      <x:c r="AX124" s="226" t="n">
        <x:v>2.8</x:v>
      </x:c>
      <x:c r="AY124" s="226" t="n">
        <x:f>IF(AW124="EUR",AA124,IF(AW124="GBP",AB124,1))</x:f>
        <x:v>7.8</x:v>
      </x:c>
      <x:c r="AZ124" s="226" t="n">
        <x:f>V124*AX124</x:f>
        <x:v>14.868672</x:v>
      </x:c>
      <x:c r="BA124" s="226" t="n">
        <x:f>AZ124*AY124</x:f>
        <x:v>115.9756416</x:v>
      </x:c>
      <x:c r="BB124" s="226" t="n">
        <x:f>AF124+AG124+AL124+AQ124+AV124+BA124</x:f>
        <x:v>29056.606654764</x:v>
      </x:c>
      <x:c r="BC124" s="229" t="n">
        <x:v>0.971</x:v>
      </x:c>
      <x:c r="BD124" s="202"/>
      <x:c r="BE124" s="202"/>
      <x:c r="BF124" s="202"/>
      <x:c r="BG124" s="202" t="str">
        <x:v>UNVERIFIED_UNLIMITED_FOR_MVP</x:v>
      </x:c>
    </x:row>
    <x:row r="125">
      <x:c r="A125" s="187" t="str">
        <x:v>ACTUAL_2026_08_CLOSE_V1</x:v>
      </x:c>
      <x:c r="B125" s="187" t="str">
        <x:v>ACTUAL</x:v>
      </x:c>
      <x:c r="C125" s="187"/>
      <x:c r="D125" s="217" t="n">
        <x:v>46023</x:v>
      </x:c>
      <x:c r="E125" s="187" t="str">
        <x:v>R_DE_DE_A_ROAD</x:v>
      </x:c>
      <x:c r="F125" s="187" t="str">
        <x:v>DE</x:v>
      </x:c>
      <x:c r="G125" s="187" t="str">
        <x:v>DE_FC</x:v>
      </x:c>
      <x:c r="H125" s="187" t="str">
        <x:v>CARRIER_A</x:v>
      </x:c>
      <x:c r="I125" s="187" t="str">
        <x:v>ROAD</x:v>
      </x:c>
      <x:c r="J125" s="220" t="n">
        <x:v>13850</x:v>
      </x:c>
      <x:c r="K125" s="223" t="n">
        <x:v>0.421</x:v>
      </x:c>
      <x:c r="L125" s="223" t="n">
        <x:v>0.97</x:v>
      </x:c>
      <x:c r="M125" s="223" t="n">
        <x:v>0.6</x:v>
      </x:c>
      <x:c r="N125" s="226" t="n">
        <x:f>J125*K125*L125*M125</x:f>
        <x:v>3393.5546999999992</x:v>
      </x:c>
      <x:c r="O125" s="220" t="n">
        <x:v>1.05</x:v>
      </x:c>
      <x:c r="P125" s="226" t="n">
        <x:f>N125*O125</x:f>
        <x:v>3563.2324349999994</x:v>
      </x:c>
      <x:c r="Q125" s="220" t="n">
        <x:v>0.7839</x:v>
      </x:c>
      <x:c r="R125" s="226" t="n">
        <x:f>P125*Q125</x:f>
        <x:v>2793.2179057964995</x:v>
      </x:c>
      <x:c r="S125" s="220" t="n">
        <x:v>0.05</x:v>
      </x:c>
      <x:c r="T125" s="226" t="n">
        <x:f>N125*S125</x:f>
        <x:v>169.67773499999998</x:v>
      </x:c>
      <x:c r="U125" s="226" t="n">
        <x:v>0.01632</x:v>
      </x:c>
      <x:c r="V125" s="226" t="n">
        <x:f>P125*U125</x:f>
        <x:v>58.1519533392</x:v>
      </x:c>
      <x:c r="W125" s="196" t="str">
        <x:v>EUR</x:v>
      </x:c>
      <x:c r="X125" s="220" t="n">
        <x:v>2.2044</x:v>
      </x:c>
      <x:c r="Y125" s="196" t="str">
        <x:v>PERCENTAGE_OF_BASE_FREIGHT</x:v>
      </x:c>
      <x:c r="Z125" s="220" t="n">
        <x:v>0.09519</x:v>
      </x:c>
      <x:c r="AA125" s="220" t="n">
        <x:v>7.78</x:v>
      </x:c>
      <x:c r="AB125" s="220" t="n">
        <x:v>9.05</x:v>
      </x:c>
      <x:c r="AC125" s="226" t="n">
        <x:f>IF(W125="EUR",AA125,IF(W125="GBP",AB125,1))</x:f>
        <x:v>7.78</x:v>
      </x:c>
      <x:c r="AD125" s="226" t="n">
        <x:f>R125*X125</x:f>
        <x:v>6157.369551537804</x:v>
      </x:c>
      <x:c r="AE125" s="226" t="n">
        <x:f>IF(Y125="PERCENTAGE_OF_BASE_FREIGHT",AD125*Z125,IF(Y125="PER_CHARGEABLE_KG",R125*Z125,P125*Z125))</x:f>
        <x:v>586.1200076108836</x:v>
      </x:c>
      <x:c r="AF125" s="226" t="n">
        <x:f>AD125*AC125</x:f>
        <x:v>47904.335110964115</x:v>
      </x:c>
      <x:c r="AG125" s="226" t="n">
        <x:f>AE125*AC125</x:f>
        <x:v>4560.013659212675</x:v>
      </x:c>
      <x:c r="AH125" s="226" t="str">
        <x:v>EUR</x:v>
      </x:c>
      <x:c r="AI125" s="226" t="n">
        <x:v>1.18236</x:v>
      </x:c>
      <x:c r="AJ125" s="226" t="n">
        <x:f>IF(AH125="EUR",AA125,IF(AH125="GBP",AB125,1))</x:f>
        <x:v>7.78</x:v>
      </x:c>
      <x:c r="AK125" s="226" t="n">
        <x:f>N125*AI125</x:f>
        <x:v>4012.4033350919995</x:v>
      </x:c>
      <x:c r="AL125" s="226" t="n">
        <x:f>AK125*AJ125</x:f>
        <x:v>31216.497947015756</x:v>
      </x:c>
      <x:c r="AM125" s="226" t="str">
        <x:v>EUR</x:v>
      </x:c>
      <x:c r="AN125" s="226" t="n">
        <x:v>0.42084</x:v>
      </x:c>
      <x:c r="AO125" s="226" t="n">
        <x:f>IF(AM125="EUR",AA125,IF(AM125="GBP",AB125,1))</x:f>
        <x:v>7.78</x:v>
      </x:c>
      <x:c r="AP125" s="226" t="n">
        <x:f>P125*AN125</x:f>
        <x:v>1499.5507379453998</x:v>
      </x:c>
      <x:c r="AQ125" s="226" t="n">
        <x:f>AP125*AO125</x:f>
        <x:v>11666.50474121521</x:v>
      </x:c>
      <x:c r="AR125" s="226" t="str">
        <x:v>EUR</x:v>
      </x:c>
      <x:c r="AS125" s="226" t="n">
        <x:v>3.2064</x:v>
      </x:c>
      <x:c r="AT125" s="226" t="n">
        <x:f>IF(AR125="EUR",AA125,IF(AR125="GBP",AB125,1))</x:f>
        <x:v>7.78</x:v>
      </x:c>
      <x:c r="AU125" s="226" t="n">
        <x:f>T125*AS125</x:f>
        <x:v>544.054689504</x:v>
      </x:c>
      <x:c r="AV125" s="226" t="n">
        <x:f>AU125*AT125</x:f>
        <x:v>4232.74548434112</x:v>
      </x:c>
      <x:c r="AW125" s="226" t="str">
        <x:v>EUR</x:v>
      </x:c>
      <x:c r="AX125" s="226" t="n">
        <x:v>2.3046</x:v>
      </x:c>
      <x:c r="AY125" s="226" t="n">
        <x:f>IF(AW125="EUR",AA125,IF(AW125="GBP",AB125,1))</x:f>
        <x:v>7.78</x:v>
      </x:c>
      <x:c r="AZ125" s="226" t="n">
        <x:f>V125*AX125</x:f>
        <x:v>134.01699166552032</x:v>
      </x:c>
      <x:c r="BA125" s="226" t="n">
        <x:f>AZ125*AY125</x:f>
        <x:v>1042.652195157748</x:v>
      </x:c>
      <x:c r="BB125" s="226" t="n">
        <x:f>AF125+AG125+AL125+AQ125+AV125+BA125</x:f>
        <x:v>100622.74913790662</x:v>
      </x:c>
      <x:c r="BC125" s="229" t="n">
        <x:v>0.966</x:v>
      </x:c>
      <x:c r="BD125" s="202"/>
      <x:c r="BE125" s="202"/>
      <x:c r="BF125" s="202"/>
      <x:c r="BG125" s="202" t="str">
        <x:v>UNVERIFIED_UNLIMITED_FOR_MVP</x:v>
      </x:c>
    </x:row>
    <x:row r="126">
      <x:c r="A126" s="187" t="str">
        <x:v>ACTUAL_2026_08_CLOSE_V1</x:v>
      </x:c>
      <x:c r="B126" s="187" t="str">
        <x:v>ACTUAL</x:v>
      </x:c>
      <x:c r="C126" s="187"/>
      <x:c r="D126" s="217" t="n">
        <x:v>46023</x:v>
      </x:c>
      <x:c r="E126" s="187" t="str">
        <x:v>R_DE_DE_B_ROAD</x:v>
      </x:c>
      <x:c r="F126" s="187" t="str">
        <x:v>DE</x:v>
      </x:c>
      <x:c r="G126" s="187" t="str">
        <x:v>DE_FC</x:v>
      </x:c>
      <x:c r="H126" s="187" t="str">
        <x:v>CARRIER_B</x:v>
      </x:c>
      <x:c r="I126" s="187" t="str">
        <x:v>ROAD</x:v>
      </x:c>
      <x:c r="J126" s="220" t="n">
        <x:v>13850</x:v>
      </x:c>
      <x:c r="K126" s="223" t="n">
        <x:v>0.421</x:v>
      </x:c>
      <x:c r="L126" s="223" t="n">
        <x:v>0.97</x:v>
      </x:c>
      <x:c r="M126" s="223" t="n">
        <x:v>0.4</x:v>
      </x:c>
      <x:c r="N126" s="226" t="n">
        <x:f>J126*K126*L126*M126</x:f>
        <x:v>2262.3698</x:v>
      </x:c>
      <x:c r="O126" s="220" t="n">
        <x:v>1.05</x:v>
      </x:c>
      <x:c r="P126" s="226" t="n">
        <x:f>N126*O126</x:f>
        <x:v>2375.4882900000002</x:v>
      </x:c>
      <x:c r="Q126" s="220" t="n">
        <x:v>0.804</x:v>
      </x:c>
      <x:c r="R126" s="226" t="n">
        <x:f>P126*Q126</x:f>
        <x:v>1909.8925851600004</x:v>
      </x:c>
      <x:c r="S126" s="220" t="n">
        <x:v>0.05</x:v>
      </x:c>
      <x:c r="T126" s="226" t="n">
        <x:f>N126*S126</x:f>
        <x:v>113.11849000000001</x:v>
      </x:c>
      <x:c r="U126" s="226" t="n">
        <x:v>0.01326</x:v>
      </x:c>
      <x:c r="V126" s="226" t="n">
        <x:f>P126*U126</x:f>
        <x:v>31.4989747254</x:v>
      </x:c>
      <x:c r="W126" s="196" t="str">
        <x:v>EUR</x:v>
      </x:c>
      <x:c r="X126" s="220" t="n">
        <x:v>2.7555</x:v>
      </x:c>
      <x:c r="Y126" s="196" t="str">
        <x:v>PER_CHARGEABLE_KG</x:v>
      </x:c>
      <x:c r="Z126" s="220" t="n">
        <x:v>0.21042</x:v>
      </x:c>
      <x:c r="AA126" s="220" t="n">
        <x:v>7.78</x:v>
      </x:c>
      <x:c r="AB126" s="220" t="n">
        <x:v>9.05</x:v>
      </x:c>
      <x:c r="AC126" s="226" t="n">
        <x:f>IF(W126="EUR",AA126,IF(W126="GBP",AB126,1))</x:f>
        <x:v>7.78</x:v>
      </x:c>
      <x:c r="AD126" s="226" t="n">
        <x:f>R126*X126</x:f>
        <x:v>5262.709018408381</x:v>
      </x:c>
      <x:c r="AE126" s="226" t="n">
        <x:f>IF(Y126="PERCENTAGE_OF_BASE_FREIGHT",AD126*Z126,IF(Y126="PER_CHARGEABLE_KG",R126*Z126,P126*Z126))</x:f>
        <x:v>401.87959776936725</x:v>
      </x:c>
      <x:c r="AF126" s="226" t="n">
        <x:f>AD126*AC126</x:f>
        <x:v>40943.8761632172</x:v>
      </x:c>
      <x:c r="AG126" s="226" t="n">
        <x:f>AE126*AC126</x:f>
        <x:v>3126.623270645677</x:v>
      </x:c>
      <x:c r="AH126" s="226" t="str">
        <x:v>EUR</x:v>
      </x:c>
      <x:c r="AI126" s="226" t="n">
        <x:v>1.18236</x:v>
      </x:c>
      <x:c r="AJ126" s="226" t="n">
        <x:f>IF(AH126="EUR",AA126,IF(AH126="GBP",AB126,1))</x:f>
        <x:v>7.78</x:v>
      </x:c>
      <x:c r="AK126" s="226" t="n">
        <x:f>N126*AI126</x:f>
        <x:v>2674.935556728</x:v>
      </x:c>
      <x:c r="AL126" s="226" t="n">
        <x:f>AK126*AJ126</x:f>
        <x:v>20810.99863134384</x:v>
      </x:c>
      <x:c r="AM126" s="226" t="str">
        <x:v>EUR</x:v>
      </x:c>
      <x:c r="AN126" s="226" t="n">
        <x:v>0.42084</x:v>
      </x:c>
      <x:c r="AO126" s="226" t="n">
        <x:f>IF(AM126="EUR",AA126,IF(AM126="GBP",AB126,1))</x:f>
        <x:v>7.78</x:v>
      </x:c>
      <x:c r="AP126" s="226" t="n">
        <x:f>P126*AN126</x:f>
        <x:v>999.7004919636</x:v>
      </x:c>
      <x:c r="AQ126" s="226" t="n">
        <x:f>AP126*AO126</x:f>
        <x:v>7777.669827476809</x:v>
      </x:c>
      <x:c r="AR126" s="226" t="str">
        <x:v>EUR</x:v>
      </x:c>
      <x:c r="AS126" s="226" t="n">
        <x:v>3.2064</x:v>
      </x:c>
      <x:c r="AT126" s="226" t="n">
        <x:f>IF(AR126="EUR",AA126,IF(AR126="GBP",AB126,1))</x:f>
        <x:v>7.78</x:v>
      </x:c>
      <x:c r="AU126" s="226" t="n">
        <x:f>T126*AS126</x:f>
        <x:v>362.703126336</x:v>
      </x:c>
      <x:c r="AV126" s="226" t="n">
        <x:f>AU126*AT126</x:f>
        <x:v>2821.8303228940804</x:v>
      </x:c>
      <x:c r="AW126" s="226" t="str">
        <x:v>EUR</x:v>
      </x:c>
      <x:c r="AX126" s="226" t="n">
        <x:v>2.3046</x:v>
      </x:c>
      <x:c r="AY126" s="226" t="n">
        <x:f>IF(AW126="EUR",AA126,IF(AW126="GBP",AB126,1))</x:f>
        <x:v>7.78</x:v>
      </x:c>
      <x:c r="AZ126" s="226" t="n">
        <x:f>V126*AX126</x:f>
        <x:v>72.59253715215685</x:v>
      </x:c>
      <x:c r="BA126" s="226" t="n">
        <x:f>AZ126*AY126</x:f>
        <x:v>564.7699390437804</x:v>
      </x:c>
      <x:c r="BB126" s="226" t="n">
        <x:f>AF126+AG126+AL126+AQ126+AV126+BA126</x:f>
        <x:v>76045.76815462139</x:v>
      </x:c>
      <x:c r="BC126" s="229" t="n">
        <x:v>0.977</x:v>
      </x:c>
      <x:c r="BD126" s="202"/>
      <x:c r="BE126" s="202"/>
      <x:c r="BF126" s="202"/>
      <x:c r="BG126" s="202" t="str">
        <x:v>UNVERIFIED_UNLIMITED_FOR_MVP</x:v>
      </x:c>
    </x:row>
    <x:row r="127">
      <x:c r="A127" s="187" t="str">
        <x:v>ACTUAL_2026_08_CLOSE_V1</x:v>
      </x:c>
      <x:c r="B127" s="187" t="str">
        <x:v>ACTUAL</x:v>
      </x:c>
      <x:c r="C127" s="187"/>
      <x:c r="D127" s="217" t="n">
        <x:v>46023</x:v>
      </x:c>
      <x:c r="E127" s="187" t="str">
        <x:v>R_DE_FR_B_ROAD</x:v>
      </x:c>
      <x:c r="F127" s="187" t="str">
        <x:v>DE</x:v>
      </x:c>
      <x:c r="G127" s="187" t="str">
        <x:v>FR_FC</x:v>
      </x:c>
      <x:c r="H127" s="187" t="str">
        <x:v>CARRIER_B</x:v>
      </x:c>
      <x:c r="I127" s="187" t="str">
        <x:v>ROAD</x:v>
      </x:c>
      <x:c r="J127" s="220" t="n">
        <x:v>13850</x:v>
      </x:c>
      <x:c r="K127" s="223" t="n">
        <x:v>0.421</x:v>
      </x:c>
      <x:c r="L127" s="223" t="n">
        <x:v>0.03</x:v>
      </x:c>
      <x:c r="M127" s="223" t="n">
        <x:v>1</x:v>
      </x:c>
      <x:c r="N127" s="226" t="n">
        <x:f>J127*K127*L127*M127</x:f>
        <x:v>174.92549999999997</x:v>
      </x:c>
      <x:c r="O127" s="220" t="n">
        <x:v>1.08</x:v>
      </x:c>
      <x:c r="P127" s="226" t="n">
        <x:f>N127*O127</x:f>
        <x:v>188.91953999999998</x:v>
      </x:c>
      <x:c r="Q127" s="220" t="n">
        <x:v>0.8643</x:v>
      </x:c>
      <x:c r="R127" s="226" t="n">
        <x:f>P127*Q127</x:f>
        <x:v>163.28315842199999</x:v>
      </x:c>
      <x:c r="S127" s="220" t="n">
        <x:v>0.05</x:v>
      </x:c>
      <x:c r="T127" s="226" t="n">
        <x:f>N127*S127</x:f>
        <x:v>8.746274999999999</x:v>
      </x:c>
      <x:c r="U127" s="226" t="n">
        <x:v>0.01428</x:v>
      </x:c>
      <x:c r="V127" s="226" t="n">
        <x:f>P127*U127</x:f>
        <x:v>2.6977710312</x:v>
      </x:c>
      <x:c r="W127" s="196" t="str">
        <x:v>EUR</x:v>
      </x:c>
      <x:c r="X127" s="220" t="n">
        <x:v>3.3066</x:v>
      </x:c>
      <x:c r="Y127" s="196" t="str">
        <x:v>PER_CHARGEABLE_KG</x:v>
      </x:c>
      <x:c r="Z127" s="220" t="n">
        <x:v>0.24048</x:v>
      </x:c>
      <x:c r="AA127" s="220" t="n">
        <x:v>7.78</x:v>
      </x:c>
      <x:c r="AB127" s="220" t="n">
        <x:v>9.05</x:v>
      </x:c>
      <x:c r="AC127" s="226" t="n">
        <x:f>IF(W127="EUR",AA127,IF(W127="GBP",AB127,1))</x:f>
        <x:v>7.78</x:v>
      </x:c>
      <x:c r="AD127" s="226" t="n">
        <x:f>R127*X127</x:f>
        <x:v>539.9120916381852</x:v>
      </x:c>
      <x:c r="AE127" s="226" t="n">
        <x:f>IF(Y127="PERCENTAGE_OF_BASE_FREIGHT",AD127*Z127,IF(Y127="PER_CHARGEABLE_KG",R127*Z127,P127*Z127))</x:f>
        <x:v>39.26633393732256</x:v>
      </x:c>
      <x:c r="AF127" s="226" t="n">
        <x:f>AD127*AC127</x:f>
        <x:v>4200.516072945081</x:v>
      </x:c>
      <x:c r="AG127" s="226" t="n">
        <x:f>AE127*AC127</x:f>
        <x:v>305.4920780323695</x:v>
      </x:c>
      <x:c r="AH127" s="226" t="str">
        <x:v>EUR</x:v>
      </x:c>
      <x:c r="AI127" s="226" t="n">
        <x:v>1.0521</x:v>
      </x:c>
      <x:c r="AJ127" s="226" t="n">
        <x:f>IF(AH127="EUR",AA127,IF(AH127="GBP",AB127,1))</x:f>
        <x:v>7.78</x:v>
      </x:c>
      <x:c r="AK127" s="226" t="n">
        <x:f>N127*AI127</x:f>
        <x:v>184.03911854999998</x:v>
      </x:c>
      <x:c r="AL127" s="226" t="n">
        <x:f>AK127*AJ127</x:f>
        <x:v>1431.824342319</x:v>
      </x:c>
      <x:c r="AM127" s="226" t="str">
        <x:v>EUR</x:v>
      </x:c>
      <x:c r="AN127" s="226" t="n">
        <x:v>0.38076</x:v>
      </x:c>
      <x:c r="AO127" s="226" t="n">
        <x:f>IF(AM127="EUR",AA127,IF(AM127="GBP",AB127,1))</x:f>
        <x:v>7.78</x:v>
      </x:c>
      <x:c r="AP127" s="226" t="n">
        <x:f>P127*AN127</x:f>
        <x:v>71.93300405039999</x:v>
      </x:c>
      <x:c r="AQ127" s="226" t="n">
        <x:f>AP127*AO127</x:f>
        <x:v>559.6387715121119</x:v>
      </x:c>
      <x:c r="AR127" s="226" t="str">
        <x:v>EUR</x:v>
      </x:c>
      <x:c r="AS127" s="226" t="n">
        <x:v>3.8076</x:v>
      </x:c>
      <x:c r="AT127" s="226" t="n">
        <x:f>IF(AR127="EUR",AA127,IF(AR127="GBP",AB127,1))</x:f>
        <x:v>7.78</x:v>
      </x:c>
      <x:c r="AU127" s="226" t="n">
        <x:f>T127*AS127</x:f>
        <x:v>33.30231669</x:v>
      </x:c>
      <x:c r="AV127" s="226" t="n">
        <x:f>AU127*AT127</x:f>
        <x:v>259.0920238482</x:v>
      </x:c>
      <x:c r="AW127" s="226" t="str">
        <x:v>EUR</x:v>
      </x:c>
      <x:c r="AX127" s="226" t="n">
        <x:v>2.3046</x:v>
      </x:c>
      <x:c r="AY127" s="226" t="n">
        <x:f>IF(AW127="EUR",AA127,IF(AW127="GBP",AB127,1))</x:f>
        <x:v>7.78</x:v>
      </x:c>
      <x:c r="AZ127" s="226" t="n">
        <x:f>V127*AX127</x:f>
        <x:v>6.21728311850352</x:v>
      </x:c>
      <x:c r="BA127" s="226" t="n">
        <x:f>AZ127*AY127</x:f>
        <x:v>48.37046266195739</x:v>
      </x:c>
      <x:c r="BB127" s="226" t="n">
        <x:f>AF127+AG127+AL127+AQ127+AV127+BA127</x:f>
        <x:v>6804.933751318719</x:v>
      </x:c>
      <x:c r="BC127" s="229" t="n">
        <x:v>0.969</x:v>
      </x:c>
      <x:c r="BD127" s="202"/>
      <x:c r="BE127" s="202"/>
      <x:c r="BF127" s="202"/>
      <x:c r="BG127" s="202" t="str">
        <x:v>UNVERIFIED_UNLIMITED_FOR_MVP</x:v>
      </x:c>
    </x:row>
    <x:row r="128">
      <x:c r="A128" s="187" t="str">
        <x:v>ACTUAL_2026_08_CLOSE_V1</x:v>
      </x:c>
      <x:c r="B128" s="187" t="str">
        <x:v>ACTUAL</x:v>
      </x:c>
      <x:c r="C128" s="187"/>
      <x:c r="D128" s="217" t="n">
        <x:v>46023</x:v>
      </x:c>
      <x:c r="E128" s="187" t="str">
        <x:v>R_FR_FR_A_ROAD</x:v>
      </x:c>
      <x:c r="F128" s="187" t="str">
        <x:v>FR</x:v>
      </x:c>
      <x:c r="G128" s="187" t="str">
        <x:v>FR_FC</x:v>
      </x:c>
      <x:c r="H128" s="187" t="str">
        <x:v>CARRIER_A</x:v>
      </x:c>
      <x:c r="I128" s="187" t="str">
        <x:v>ROAD</x:v>
      </x:c>
      <x:c r="J128" s="220" t="n">
        <x:v>13850</x:v>
      </x:c>
      <x:c r="K128" s="223" t="n">
        <x:v>0.319</x:v>
      </x:c>
      <x:c r="L128" s="223" t="n">
        <x:v>1</x:v>
      </x:c>
      <x:c r="M128" s="223" t="n">
        <x:v>0.35</x:v>
      </x:c>
      <x:c r="N128" s="226" t="n">
        <x:f>J128*K128*L128*M128</x:f>
        <x:v>1546.3524999999997</x:v>
      </x:c>
      <x:c r="O128" s="220" t="n">
        <x:v>1.06</x:v>
      </x:c>
      <x:c r="P128" s="226" t="n">
        <x:f>N128*O128</x:f>
        <x:v>1639.1336499999998</x:v>
      </x:c>
      <x:c r="Q128" s="220" t="n">
        <x:v>0.7638</x:v>
      </x:c>
      <x:c r="R128" s="226" t="n">
        <x:f>P128*Q128</x:f>
        <x:v>1251.9702818699998</x:v>
      </x:c>
      <x:c r="S128" s="220" t="n">
        <x:v>0.06</x:v>
      </x:c>
      <x:c r="T128" s="226" t="n">
        <x:f>N128*S128</x:f>
        <x:v>92.78114999999998</x:v>
      </x:c>
      <x:c r="U128" s="226" t="n">
        <x:v>0.01734</x:v>
      </x:c>
      <x:c r="V128" s="226" t="n">
        <x:f>P128*U128</x:f>
        <x:v>28.422577491</x:v>
      </x:c>
      <x:c r="W128" s="196" t="str">
        <x:v>EUR</x:v>
      </x:c>
      <x:c r="X128" s="220" t="n">
        <x:v>2.1042</x:v>
      </x:c>
      <x:c r="Y128" s="196" t="str">
        <x:v>PERCENTAGE_OF_BASE_FREIGHT</x:v>
      </x:c>
      <x:c r="Z128" s="220" t="n">
        <x:v>0.09018</x:v>
      </x:c>
      <x:c r="AA128" s="220" t="n">
        <x:v>7.78</x:v>
      </x:c>
      <x:c r="AB128" s="220" t="n">
        <x:v>9.05</x:v>
      </x:c>
      <x:c r="AC128" s="226" t="n">
        <x:f>IF(W128="EUR",AA128,IF(W128="GBP",AB128,1))</x:f>
        <x:v>7.78</x:v>
      </x:c>
      <x:c r="AD128" s="226" t="n">
        <x:f>R128*X128</x:f>
        <x:v>2634.3958671108535</x:v>
      </x:c>
      <x:c r="AE128" s="226" t="n">
        <x:f>IF(Y128="PERCENTAGE_OF_BASE_FREIGHT",AD128*Z128,IF(Y128="PER_CHARGEABLE_KG",R128*Z128,P128*Z128))</x:f>
        <x:v>237.56981929605675</x:v>
      </x:c>
      <x:c r="AF128" s="226" t="n">
        <x:f>AD128*AC128</x:f>
        <x:v>20495.59984612244</x:v>
      </x:c>
      <x:c r="AG128" s="226" t="n">
        <x:f>AE128*AC128</x:f>
        <x:v>1848.2931941233217</x:v>
      </x:c>
      <x:c r="AH128" s="226" t="str">
        <x:v>EUR</x:v>
      </x:c>
      <x:c r="AI128" s="226" t="n">
        <x:v>1.0521</x:v>
      </x:c>
      <x:c r="AJ128" s="226" t="n">
        <x:f>IF(AH128="EUR",AA128,IF(AH128="GBP",AB128,1))</x:f>
        <x:v>7.78</x:v>
      </x:c>
      <x:c r="AK128" s="226" t="n">
        <x:f>N128*AI128</x:f>
        <x:v>1626.9174652499999</x:v>
      </x:c>
      <x:c r="AL128" s="226" t="n">
        <x:f>AK128*AJ128</x:f>
        <x:v>12657.417879645</x:v>
      </x:c>
      <x:c r="AM128" s="226" t="str">
        <x:v>EUR</x:v>
      </x:c>
      <x:c r="AN128" s="226" t="n">
        <x:v>0.38076</x:v>
      </x:c>
      <x:c r="AO128" s="226" t="n">
        <x:f>IF(AM128="EUR",AA128,IF(AM128="GBP",AB128,1))</x:f>
        <x:v>7.78</x:v>
      </x:c>
      <x:c r="AP128" s="226" t="n">
        <x:f>P128*AN128</x:f>
        <x:v>624.1165285739999</x:v>
      </x:c>
      <x:c r="AQ128" s="226" t="n">
        <x:f>AP128*AO128</x:f>
        <x:v>4855.626592305719</x:v>
      </x:c>
      <x:c r="AR128" s="226" t="str">
        <x:v>EUR</x:v>
      </x:c>
      <x:c r="AS128" s="226" t="n">
        <x:v>3.006</x:v>
      </x:c>
      <x:c r="AT128" s="226" t="n">
        <x:f>IF(AR128="EUR",AA128,IF(AR128="GBP",AB128,1))</x:f>
        <x:v>7.78</x:v>
      </x:c>
      <x:c r="AU128" s="226" t="n">
        <x:f>T128*AS128</x:f>
        <x:v>278.90013689999995</x:v>
      </x:c>
      <x:c r="AV128" s="226" t="n">
        <x:f>AU128*AT128</x:f>
        <x:v>2169.8430650819996</x:v>
      </x:c>
      <x:c r="AW128" s="226" t="str">
        <x:v>EUR</x:v>
      </x:c>
      <x:c r="AX128" s="226" t="n">
        <x:v>2.3046</x:v>
      </x:c>
      <x:c r="AY128" s="226" t="n">
        <x:f>IF(AW128="EUR",AA128,IF(AW128="GBP",AB128,1))</x:f>
        <x:v>7.78</x:v>
      </x:c>
      <x:c r="AZ128" s="226" t="n">
        <x:f>V128*AX128</x:f>
        <x:v>65.5026720857586</x:v>
      </x:c>
      <x:c r="BA128" s="226" t="n">
        <x:f>AZ128*AY128</x:f>
        <x:v>509.61078882720193</x:v>
      </x:c>
      <x:c r="BB128" s="226" t="n">
        <x:f>AF128+AG128+AL128+AQ128+AV128+BA128</x:f>
        <x:v>42536.39136610569</x:v>
      </x:c>
      <x:c r="BC128" s="229" t="n">
        <x:v>0.962</x:v>
      </x:c>
      <x:c r="BD128" s="202"/>
      <x:c r="BE128" s="202"/>
      <x:c r="BF128" s="202"/>
      <x:c r="BG128" s="202" t="str">
        <x:v>UNVERIFIED_UNLIMITED_FOR_MVP</x:v>
      </x:c>
    </x:row>
    <x:row r="129">
      <x:c r="A129" s="187" t="str">
        <x:v>ACTUAL_2026_08_CLOSE_V1</x:v>
      </x:c>
      <x:c r="B129" s="187" t="str">
        <x:v>ACTUAL</x:v>
      </x:c>
      <x:c r="C129" s="187"/>
      <x:c r="D129" s="217" t="n">
        <x:v>46023</x:v>
      </x:c>
      <x:c r="E129" s="187" t="str">
        <x:v>R_FR_FR_B_ROAD</x:v>
      </x:c>
      <x:c r="F129" s="187" t="str">
        <x:v>FR</x:v>
      </x:c>
      <x:c r="G129" s="187" t="str">
        <x:v>FR_FC</x:v>
      </x:c>
      <x:c r="H129" s="187" t="str">
        <x:v>CARRIER_B</x:v>
      </x:c>
      <x:c r="I129" s="187" t="str">
        <x:v>ROAD</x:v>
      </x:c>
      <x:c r="J129" s="220" t="n">
        <x:v>13850</x:v>
      </x:c>
      <x:c r="K129" s="223" t="n">
        <x:v>0.319</x:v>
      </x:c>
      <x:c r="L129" s="223" t="n">
        <x:v>1</x:v>
      </x:c>
      <x:c r="M129" s="223" t="n">
        <x:v>0.65</x:v>
      </x:c>
      <x:c r="N129" s="226" t="n">
        <x:f>J129*K129*L129*M129</x:f>
        <x:v>2871.7974999999997</x:v>
      </x:c>
      <x:c r="O129" s="220" t="n">
        <x:v>1.06</x:v>
      </x:c>
      <x:c r="P129" s="226" t="n">
        <x:f>N129*O129</x:f>
        <x:v>3044.10535</x:v>
      </x:c>
      <x:c r="Q129" s="220" t="n">
        <x:v>0.79395</x:v>
      </x:c>
      <x:c r="R129" s="226" t="n">
        <x:f>P129*Q129</x:f>
        <x:v>2416.8674426325</x:v>
      </x:c>
      <x:c r="S129" s="220" t="n">
        <x:v>0.06</x:v>
      </x:c>
      <x:c r="T129" s="226" t="n">
        <x:f>N129*S129</x:f>
        <x:v>172.30784999999997</x:v>
      </x:c>
      <x:c r="U129" s="226" t="n">
        <x:v>0.01428</x:v>
      </x:c>
      <x:c r="V129" s="226" t="n">
        <x:f>P129*U129</x:f>
        <x:v>43.46982439799999</x:v>
      </x:c>
      <x:c r="W129" s="196" t="str">
        <x:v>EUR</x:v>
      </x:c>
      <x:c r="X129" s="220" t="n">
        <x:v>2.6052</x:v>
      </x:c>
      <x:c r="Y129" s="196" t="str">
        <x:v>PER_CHARGEABLE_KG</x:v>
      </x:c>
      <x:c r="Z129" s="220" t="n">
        <x:v>0.2004</x:v>
      </x:c>
      <x:c r="AA129" s="220" t="n">
        <x:v>7.78</x:v>
      </x:c>
      <x:c r="AB129" s="220" t="n">
        <x:v>9.05</x:v>
      </x:c>
      <x:c r="AC129" s="226" t="n">
        <x:f>IF(W129="EUR",AA129,IF(W129="GBP",AB129,1))</x:f>
        <x:v>7.78</x:v>
      </x:c>
      <x:c r="AD129" s="226" t="n">
        <x:f>R129*X129</x:f>
        <x:v>6296.423061546189</x:v>
      </x:c>
      <x:c r="AE129" s="226" t="n">
        <x:f>IF(Y129="PERCENTAGE_OF_BASE_FREIGHT",AD129*Z129,IF(Y129="PER_CHARGEABLE_KG",R129*Z129,P129*Z129))</x:f>
        <x:v>484.340235503553</x:v>
      </x:c>
      <x:c r="AF129" s="226" t="n">
        <x:f>AD129*AC129</x:f>
        <x:v>48986.171418829355</x:v>
      </x:c>
      <x:c r="AG129" s="226" t="n">
        <x:f>AE129*AC129</x:f>
        <x:v>3768.1670322176424</x:v>
      </x:c>
      <x:c r="AH129" s="226" t="str">
        <x:v>EUR</x:v>
      </x:c>
      <x:c r="AI129" s="226" t="n">
        <x:v>1.0521</x:v>
      </x:c>
      <x:c r="AJ129" s="226" t="n">
        <x:f>IF(AH129="EUR",AA129,IF(AH129="GBP",AB129,1))</x:f>
        <x:v>7.78</x:v>
      </x:c>
      <x:c r="AK129" s="226" t="n">
        <x:f>N129*AI129</x:f>
        <x:v>3021.41814975</x:v>
      </x:c>
      <x:c r="AL129" s="226" t="n">
        <x:f>AK129*AJ129</x:f>
        <x:v>23506.633205055</x:v>
      </x:c>
      <x:c r="AM129" s="226" t="str">
        <x:v>EUR</x:v>
      </x:c>
      <x:c r="AN129" s="226" t="n">
        <x:v>0.38076</x:v>
      </x:c>
      <x:c r="AO129" s="226" t="n">
        <x:f>IF(AM129="EUR",AA129,IF(AM129="GBP",AB129,1))</x:f>
        <x:v>7.78</x:v>
      </x:c>
      <x:c r="AP129" s="226" t="n">
        <x:f>P129*AN129</x:f>
        <x:v>1159.073553066</x:v>
      </x:c>
      <x:c r="AQ129" s="226" t="n">
        <x:f>AP129*AO129</x:f>
        <x:v>9017.59224285348</x:v>
      </x:c>
      <x:c r="AR129" s="226" t="str">
        <x:v>EUR</x:v>
      </x:c>
      <x:c r="AS129" s="226" t="n">
        <x:v>3.006</x:v>
      </x:c>
      <x:c r="AT129" s="226" t="n">
        <x:f>IF(AR129="EUR",AA129,IF(AR129="GBP",AB129,1))</x:f>
        <x:v>7.78</x:v>
      </x:c>
      <x:c r="AU129" s="226" t="n">
        <x:f>T129*AS129</x:f>
        <x:v>517.9573970999999</x:v>
      </x:c>
      <x:c r="AV129" s="226" t="n">
        <x:f>AU129*AT129</x:f>
        <x:v>4029.708549437999</x:v>
      </x:c>
      <x:c r="AW129" s="226" t="str">
        <x:v>EUR</x:v>
      </x:c>
      <x:c r="AX129" s="226" t="n">
        <x:v>2.3046</x:v>
      </x:c>
      <x:c r="AY129" s="226" t="n">
        <x:f>IF(AW129="EUR",AA129,IF(AW129="GBP",AB129,1))</x:f>
        <x:v>7.78</x:v>
      </x:c>
      <x:c r="AZ129" s="226" t="n">
        <x:f>V129*AX129</x:f>
        <x:v>100.18055730763079</x:v>
      </x:c>
      <x:c r="BA129" s="226" t="n">
        <x:f>AZ129*AY129</x:f>
        <x:v>779.4047358533676</x:v>
      </x:c>
      <x:c r="BB129" s="226" t="n">
        <x:f>AF129+AG129+AL129+AQ129+AV129+BA129</x:f>
        <x:v>90087.67718424686</x:v>
      </x:c>
      <x:c r="BC129" s="229" t="n">
        <x:v>0.974</x:v>
      </x:c>
      <x:c r="BD129" s="202"/>
      <x:c r="BE129" s="202"/>
      <x:c r="BF129" s="202"/>
      <x:c r="BG129" s="202" t="str">
        <x:v>UNVERIFIED_UNLIMITED_FOR_MVP</x:v>
      </x:c>
    </x:row>
    <x:row r="130">
      <x:c r="A130" s="187" t="str">
        <x:v>ACTUAL_2026_08_CLOSE_V1</x:v>
      </x:c>
      <x:c r="B130" s="187" t="str">
        <x:v>ACTUAL</x:v>
      </x:c>
      <x:c r="C130" s="187"/>
      <x:c r="D130" s="217" t="n">
        <x:v>46023</x:v>
      </x:c>
      <x:c r="E130" s="187" t="str">
        <x:v>R_GB_DE_A_ROAD</x:v>
      </x:c>
      <x:c r="F130" s="187" t="str">
        <x:v>GB</x:v>
      </x:c>
      <x:c r="G130" s="187" t="str">
        <x:v>DE_FC</x:v>
      </x:c>
      <x:c r="H130" s="187" t="str">
        <x:v>CARRIER_A</x:v>
      </x:c>
      <x:c r="I130" s="187" t="str">
        <x:v>ROAD</x:v>
      </x:c>
      <x:c r="J130" s="220" t="n">
        <x:v>13850</x:v>
      </x:c>
      <x:c r="K130" s="223" t="n">
        <x:v>0.26</x:v>
      </x:c>
      <x:c r="L130" s="223" t="n">
        <x:v>0.96</x:v>
      </x:c>
      <x:c r="M130" s="223" t="n">
        <x:v>0.62</x:v>
      </x:c>
      <x:c r="N130" s="226" t="n">
        <x:f>J130*K130*L130*M130</x:f>
        <x:v>2143.3152</x:v>
      </x:c>
      <x:c r="O130" s="220" t="n">
        <x:v>1.12</x:v>
      </x:c>
      <x:c r="P130" s="226" t="n">
        <x:f>N130*O130</x:f>
        <x:v>2400.5130240000003</x:v>
      </x:c>
      <x:c r="Q130" s="220" t="n">
        <x:v>1.0251</x:v>
      </x:c>
      <x:c r="R130" s="226" t="n">
        <x:f>P130*Q130</x:f>
        <x:v>2460.7659009024</x:v>
      </x:c>
      <x:c r="S130" s="220" t="n">
        <x:v>0.08</x:v>
      </x:c>
      <x:c r="T130" s="226" t="n">
        <x:f>N130*S130</x:f>
        <x:v>171.465216</x:v>
      </x:c>
      <x:c r="U130" s="226" t="n">
        <x:v>0.02244</x:v>
      </x:c>
      <x:c r="V130" s="226" t="n">
        <x:f>P130*U130</x:f>
        <x:v>53.86751225856001</x:v>
      </x:c>
      <x:c r="W130" s="196" t="str">
        <x:v>GBP</x:v>
      </x:c>
      <x:c r="X130" s="220" t="n">
        <x:v>4.008</x:v>
      </x:c>
      <x:c r="Y130" s="196" t="str">
        <x:v>PERCENTAGE_OF_BASE_FREIGHT</x:v>
      </x:c>
      <x:c r="Z130" s="220" t="n">
        <x:v>0.1002</x:v>
      </x:c>
      <x:c r="AA130" s="220" t="n">
        <x:v>7.78</x:v>
      </x:c>
      <x:c r="AB130" s="220" t="n">
        <x:v>9.05</x:v>
      </x:c>
      <x:c r="AC130" s="226" t="n">
        <x:f>IF(W130="EUR",AA130,IF(W130="GBP",AB130,1))</x:f>
        <x:v>9.05</x:v>
      </x:c>
      <x:c r="AD130" s="226" t="n">
        <x:f>R130*X130</x:f>
        <x:v>9862.74973081682</x:v>
      </x:c>
      <x:c r="AE130" s="226" t="n">
        <x:f>IF(Y130="PERCENTAGE_OF_BASE_FREIGHT",AD130*Z130,IF(Y130="PER_CHARGEABLE_KG",R130*Z130,P130*Z130))</x:f>
        <x:v>988.2475230278454</x:v>
      </x:c>
      <x:c r="AF130" s="226" t="n">
        <x:f>AD130*AC130</x:f>
        <x:v>89257.88506389223</x:v>
      </x:c>
      <x:c r="AG130" s="226" t="n">
        <x:f>AE130*AC130</x:f>
        <x:v>8943.640083402002</x:v>
      </x:c>
      <x:c r="AH130" s="226" t="str">
        <x:v>EUR</x:v>
      </x:c>
      <x:c r="AI130" s="226" t="n">
        <x:v>1.18236</x:v>
      </x:c>
      <x:c r="AJ130" s="226" t="n">
        <x:f>IF(AH130="EUR",AA130,IF(AH130="GBP",AB130,1))</x:f>
        <x:v>7.78</x:v>
      </x:c>
      <x:c r="AK130" s="226" t="n">
        <x:f>N130*AI130</x:f>
        <x:v>2534.170159872</x:v>
      </x:c>
      <x:c r="AL130" s="226" t="n">
        <x:f>AK130*AJ130</x:f>
        <x:v>19715.843843804163</x:v>
      </x:c>
      <x:c r="AM130" s="226" t="str">
        <x:v>EUR</x:v>
      </x:c>
      <x:c r="AN130" s="226" t="n">
        <x:v>0.42084</x:v>
      </x:c>
      <x:c r="AO130" s="226" t="n">
        <x:f>IF(AM130="EUR",AA130,IF(AM130="GBP",AB130,1))</x:f>
        <x:v>7.78</x:v>
      </x:c>
      <x:c r="AP130" s="226" t="n">
        <x:f>P130*AN130</x:f>
        <x:v>1010.2319010201601</x:v>
      </x:c>
      <x:c r="AQ130" s="226" t="n">
        <x:f>AP130*AO130</x:f>
        <x:v>7859.604189936846</x:v>
      </x:c>
      <x:c r="AR130" s="226" t="str">
        <x:v>GBP</x:v>
      </x:c>
      <x:c r="AS130" s="226" t="n">
        <x:v>4.8096</x:v>
      </x:c>
      <x:c r="AT130" s="226" t="n">
        <x:f>IF(AR130="EUR",AA130,IF(AR130="GBP",AB130,1))</x:f>
        <x:v>9.05</x:v>
      </x:c>
      <x:c r="AU130" s="226" t="n">
        <x:f>T130*AS130</x:f>
        <x:v>824.6791028736</x:v>
      </x:c>
      <x:c r="AV130" s="226" t="n">
        <x:f>AU130*AT130</x:f>
        <x:v>7463.34588100608</x:v>
      </x:c>
      <x:c r="AW130" s="226" t="str">
        <x:v>GBP</x:v>
      </x:c>
      <x:c r="AX130" s="226" t="n">
        <x:v>2.3046</x:v>
      </x:c>
      <x:c r="AY130" s="226" t="n">
        <x:f>IF(AW130="EUR",AA130,IF(AW130="GBP",AB130,1))</x:f>
        <x:v>9.05</x:v>
      </x:c>
      <x:c r="AZ130" s="226" t="n">
        <x:f>V130*AX130</x:f>
        <x:v>124.14306875107742</x:v>
      </x:c>
      <x:c r="BA130" s="226" t="n">
        <x:f>AZ130*AY130</x:f>
        <x:v>1123.4947721972508</x:v>
      </x:c>
      <x:c r="BB130" s="226" t="n">
        <x:f>AF130+AG130+AL130+AQ130+AV130+BA130</x:f>
        <x:v>134363.81383423856</x:v>
      </x:c>
      <x:c r="BC130" s="229" t="n">
        <x:v>0.931</x:v>
      </x:c>
      <x:c r="BD130" s="202"/>
      <x:c r="BE130" s="202"/>
      <x:c r="BF130" s="202"/>
      <x:c r="BG130" s="202" t="str">
        <x:v>UNVERIFIED_UNLIMITED_FOR_MVP</x:v>
      </x:c>
    </x:row>
    <x:row r="131">
      <x:c r="A131" s="187" t="str">
        <x:v>ACTUAL_2026_08_CLOSE_V1</x:v>
      </x:c>
      <x:c r="B131" s="187" t="str">
        <x:v>ACTUAL</x:v>
      </x:c>
      <x:c r="C131" s="187"/>
      <x:c r="D131" s="217" t="n">
        <x:v>46023</x:v>
      </x:c>
      <x:c r="E131" s="187" t="str">
        <x:v>R_GB_DE_B_ROAD</x:v>
      </x:c>
      <x:c r="F131" s="187" t="str">
        <x:v>GB</x:v>
      </x:c>
      <x:c r="G131" s="187" t="str">
        <x:v>DE_FC</x:v>
      </x:c>
      <x:c r="H131" s="187" t="str">
        <x:v>CARRIER_B</x:v>
      </x:c>
      <x:c r="I131" s="187" t="str">
        <x:v>ROAD</x:v>
      </x:c>
      <x:c r="J131" s="220" t="n">
        <x:v>13850</x:v>
      </x:c>
      <x:c r="K131" s="223" t="n">
        <x:v>0.26</x:v>
      </x:c>
      <x:c r="L131" s="223" t="n">
        <x:v>0.96</x:v>
      </x:c>
      <x:c r="M131" s="223" t="n">
        <x:v>0.25</x:v>
      </x:c>
      <x:c r="N131" s="226" t="n">
        <x:f>J131*K131*L131*M131</x:f>
        <x:v>864.24</x:v>
      </x:c>
      <x:c r="O131" s="220" t="n">
        <x:v>1.12</x:v>
      </x:c>
      <x:c r="P131" s="226" t="n">
        <x:f>N131*O131</x:f>
        <x:v>967.9488000000001</x:v>
      </x:c>
      <x:c r="Q131" s="220" t="n">
        <x:v>1.005</x:v>
      </x:c>
      <x:c r="R131" s="226" t="n">
        <x:f>P131*Q131</x:f>
        <x:v>972.788544</x:v>
      </x:c>
      <x:c r="S131" s="220" t="n">
        <x:v>0.08</x:v>
      </x:c>
      <x:c r="T131" s="226" t="n">
        <x:f>N131*S131</x:f>
        <x:v>69.1392</x:v>
      </x:c>
      <x:c r="U131" s="226" t="n">
        <x:v>0.01734</x:v>
      </x:c>
      <x:c r="V131" s="226" t="n">
        <x:f>P131*U131</x:f>
        <x:v>16.784232192000005</x:v>
      </x:c>
      <x:c r="W131" s="196" t="str">
        <x:v>GBP</x:v>
      </x:c>
      <x:c r="X131" s="220" t="n">
        <x:v>4.7094</x:v>
      </x:c>
      <x:c r="Y131" s="196" t="str">
        <x:v>PER_CHARGEABLE_KG</x:v>
      </x:c>
      <x:c r="Z131" s="220" t="n">
        <x:v>0.33066</x:v>
      </x:c>
      <x:c r="AA131" s="220" t="n">
        <x:v>7.78</x:v>
      </x:c>
      <x:c r="AB131" s="220" t="n">
        <x:v>9.05</x:v>
      </x:c>
      <x:c r="AC131" s="226" t="n">
        <x:f>IF(W131="EUR",AA131,IF(W131="GBP",AB131,1))</x:f>
        <x:v>9.05</x:v>
      </x:c>
      <x:c r="AD131" s="226" t="n">
        <x:f>R131*X131</x:f>
        <x:v>4581.2503691136</x:v>
      </x:c>
      <x:c r="AE131" s="226" t="n">
        <x:f>IF(Y131="PERCENTAGE_OF_BASE_FREIGHT",AD131*Z131,IF(Y131="PER_CHARGEABLE_KG",R131*Z131,P131*Z131))</x:f>
        <x:v>321.66225995904</x:v>
      </x:c>
      <x:c r="AF131" s="226" t="n">
        <x:f>AD131*AC131</x:f>
        <x:v>41460.315840478084</x:v>
      </x:c>
      <x:c r="AG131" s="226" t="n">
        <x:f>AE131*AC131</x:f>
        <x:v>2911.043452629312</x:v>
      </x:c>
      <x:c r="AH131" s="226" t="str">
        <x:v>EUR</x:v>
      </x:c>
      <x:c r="AI131" s="226" t="n">
        <x:v>1.18236</x:v>
      </x:c>
      <x:c r="AJ131" s="226" t="n">
        <x:f>IF(AH131="EUR",AA131,IF(AH131="GBP",AB131,1))</x:f>
        <x:v>7.78</x:v>
      </x:c>
      <x:c r="AK131" s="226" t="n">
        <x:f>N131*AI131</x:f>
        <x:v>1021.8428064000001</x:v>
      </x:c>
      <x:c r="AL131" s="226" t="n">
        <x:f>AK131*AJ131</x:f>
        <x:v>7949.937033792001</x:v>
      </x:c>
      <x:c r="AM131" s="226" t="str">
        <x:v>EUR</x:v>
      </x:c>
      <x:c r="AN131" s="226" t="n">
        <x:v>0.42084</x:v>
      </x:c>
      <x:c r="AO131" s="226" t="n">
        <x:f>IF(AM131="EUR",AA131,IF(AM131="GBP",AB131,1))</x:f>
        <x:v>7.78</x:v>
      </x:c>
      <x:c r="AP131" s="226" t="n">
        <x:f>P131*AN131</x:f>
        <x:v>407.35157299200006</x:v>
      </x:c>
      <x:c r="AQ131" s="226" t="n">
        <x:f>AP131*AO131</x:f>
        <x:v>3169.1952378777605</x:v>
      </x:c>
      <x:c r="AR131" s="226" t="str">
        <x:v>GBP</x:v>
      </x:c>
      <x:c r="AS131" s="226" t="n">
        <x:v>4.8096</x:v>
      </x:c>
      <x:c r="AT131" s="226" t="n">
        <x:f>IF(AR131="EUR",AA131,IF(AR131="GBP",AB131,1))</x:f>
        <x:v>9.05</x:v>
      </x:c>
      <x:c r="AU131" s="226" t="n">
        <x:f>T131*AS131</x:f>
        <x:v>332.53189632</x:v>
      </x:c>
      <x:c r="AV131" s="226" t="n">
        <x:f>AU131*AT131</x:f>
        <x:v>3009.413661696</x:v>
      </x:c>
      <x:c r="AW131" s="226" t="str">
        <x:v>GBP</x:v>
      </x:c>
      <x:c r="AX131" s="226" t="n">
        <x:v>2.3046</x:v>
      </x:c>
      <x:c r="AY131" s="226" t="n">
        <x:f>IF(AW131="EUR",AA131,IF(AW131="GBP",AB131,1))</x:f>
        <x:v>9.05</x:v>
      </x:c>
      <x:c r="AZ131" s="226" t="n">
        <x:f>V131*AX131</x:f>
        <x:v>38.680941509683215</x:v>
      </x:c>
      <x:c r="BA131" s="226" t="n">
        <x:f>AZ131*AY131</x:f>
        <x:v>350.0625206626331</x:v>
      </x:c>
      <x:c r="BB131" s="226" t="n">
        <x:f>AF131+AG131+AL131+AQ131+AV131+BA131</x:f>
        <x:v>58849.96774713579</x:v>
      </x:c>
      <x:c r="BC131" s="229" t="n">
        <x:v>0.951</x:v>
      </x:c>
      <x:c r="BD131" s="202"/>
      <x:c r="BE131" s="202"/>
      <x:c r="BF131" s="202"/>
      <x:c r="BG131" s="202" t="str">
        <x:v>UNVERIFIED_UNLIMITED_FOR_MVP</x:v>
      </x:c>
    </x:row>
    <x:row r="132">
      <x:c r="A132" s="187" t="str">
        <x:v>ACTUAL_2026_08_CLOSE_V1</x:v>
      </x:c>
      <x:c r="B132" s="187" t="str">
        <x:v>ACTUAL</x:v>
      </x:c>
      <x:c r="C132" s="187"/>
      <x:c r="D132" s="217" t="n">
        <x:v>46023</x:v>
      </x:c>
      <x:c r="E132" s="187" t="str">
        <x:v>R_GB_DE_B_AIR</x:v>
      </x:c>
      <x:c r="F132" s="187" t="str">
        <x:v>GB</x:v>
      </x:c>
      <x:c r="G132" s="187" t="str">
        <x:v>DE_FC</x:v>
      </x:c>
      <x:c r="H132" s="187" t="str">
        <x:v>CARRIER_B</x:v>
      </x:c>
      <x:c r="I132" s="187" t="str">
        <x:v>AIR</x:v>
      </x:c>
      <x:c r="J132" s="220" t="n">
        <x:v>13850</x:v>
      </x:c>
      <x:c r="K132" s="223" t="n">
        <x:v>0.26</x:v>
      </x:c>
      <x:c r="L132" s="223" t="n">
        <x:v>0.96</x:v>
      </x:c>
      <x:c r="M132" s="223" t="n">
        <x:v>0.09</x:v>
      </x:c>
      <x:c r="N132" s="226" t="n">
        <x:f>J132*K132*L132*M132</x:f>
        <x:v>311.1264</x:v>
      </x:c>
      <x:c r="O132" s="220" t="n">
        <x:v>1.12</x:v>
      </x:c>
      <x:c r="P132" s="226" t="n">
        <x:f>N132*O132</x:f>
        <x:v>348.461568</x:v>
      </x:c>
      <x:c r="Q132" s="220" t="n">
        <x:v>0.9447</x:v>
      </x:c>
      <x:c r="R132" s="226" t="n">
        <x:f>P132*Q132</x:f>
        <x:v>329.1916432896</x:v>
      </x:c>
      <x:c r="S132" s="220" t="n">
        <x:v>0.08</x:v>
      </x:c>
      <x:c r="T132" s="226" t="n">
        <x:f>N132*S132</x:f>
        <x:v>24.890112</x:v>
      </x:c>
      <x:c r="U132" s="226" t="n">
        <x:v>0.01326</x:v>
      </x:c>
      <x:c r="V132" s="226" t="n">
        <x:f>P132*U132</x:f>
        <x:v>4.62060039168</x:v>
      </x:c>
      <x:c r="W132" s="196" t="str">
        <x:v>GBP</x:v>
      </x:c>
      <x:c r="X132" s="220" t="n">
        <x:v>6.2124</x:v>
      </x:c>
      <x:c r="Y132" s="196" t="str">
        <x:v>PERCENTAGE_OF_BASE_FREIGHT</x:v>
      </x:c>
      <x:c r="Z132" s="220" t="n">
        <x:v>0.11523</x:v>
      </x:c>
      <x:c r="AA132" s="220" t="n">
        <x:v>7.78</x:v>
      </x:c>
      <x:c r="AB132" s="220" t="n">
        <x:v>9.05</x:v>
      </x:c>
      <x:c r="AC132" s="226" t="n">
        <x:f>IF(W132="EUR",AA132,IF(W132="GBP",AB132,1))</x:f>
        <x:v>9.05</x:v>
      </x:c>
      <x:c r="AD132" s="226" t="n">
        <x:f>R132*X132</x:f>
        <x:v>2045.0701647723108</x:v>
      </x:c>
      <x:c r="AE132" s="226" t="n">
        <x:f>IF(Y132="PERCENTAGE_OF_BASE_FREIGHT",AD132*Z132,IF(Y132="PER_CHARGEABLE_KG",R132*Z132,P132*Z132))</x:f>
        <x:v>235.6534350867134</x:v>
      </x:c>
      <x:c r="AF132" s="226" t="n">
        <x:f>AD132*AC132</x:f>
        <x:v>18507.884991189414</x:v>
      </x:c>
      <x:c r="AG132" s="226" t="n">
        <x:f>AE132*AC132</x:f>
        <x:v>2132.6635875347565</x:v>
      </x:c>
      <x:c r="AH132" s="226" t="str">
        <x:v>EUR</x:v>
      </x:c>
      <x:c r="AI132" s="226" t="n">
        <x:v>1.18236</x:v>
      </x:c>
      <x:c r="AJ132" s="226" t="n">
        <x:f>IF(AH132="EUR",AA132,IF(AH132="GBP",AB132,1))</x:f>
        <x:v>7.78</x:v>
      </x:c>
      <x:c r="AK132" s="226" t="n">
        <x:f>N132*AI132</x:f>
        <x:v>367.863410304</x:v>
      </x:c>
      <x:c r="AL132" s="226" t="n">
        <x:f>AK132*AJ132</x:f>
        <x:v>2861.97733216512</x:v>
      </x:c>
      <x:c r="AM132" s="226" t="str">
        <x:v>EUR</x:v>
      </x:c>
      <x:c r="AN132" s="226" t="n">
        <x:v>0.42084</x:v>
      </x:c>
      <x:c r="AO132" s="226" t="n">
        <x:f>IF(AM132="EUR",AA132,IF(AM132="GBP",AB132,1))</x:f>
        <x:v>7.78</x:v>
      </x:c>
      <x:c r="AP132" s="226" t="n">
        <x:f>P132*AN132</x:f>
        <x:v>146.64656627712</x:v>
      </x:c>
      <x:c r="AQ132" s="226" t="n">
        <x:f>AP132*AO132</x:f>
        <x:v>1140.9102856359937</x:v>
      </x:c>
      <x:c r="AR132" s="226" t="str">
        <x:v>GBP</x:v>
      </x:c>
      <x:c r="AS132" s="226" t="n">
        <x:v>4.8096</x:v>
      </x:c>
      <x:c r="AT132" s="226" t="n">
        <x:f>IF(AR132="EUR",AA132,IF(AR132="GBP",AB132,1))</x:f>
        <x:v>9.05</x:v>
      </x:c>
      <x:c r="AU132" s="226" t="n">
        <x:f>T132*AS132</x:f>
        <x:v>119.71148267519999</x:v>
      </x:c>
      <x:c r="AV132" s="226" t="n">
        <x:f>AU132*AT132</x:f>
        <x:v>1083.38891821056</x:v>
      </x:c>
      <x:c r="AW132" s="226" t="str">
        <x:v>GBP</x:v>
      </x:c>
      <x:c r="AX132" s="226" t="n">
        <x:v>2.8056</x:v>
      </x:c>
      <x:c r="AY132" s="226" t="n">
        <x:f>IF(AW132="EUR",AA132,IF(AW132="GBP",AB132,1))</x:f>
        <x:v>9.05</x:v>
      </x:c>
      <x:c r="AZ132" s="226" t="n">
        <x:f>V132*AX132</x:f>
        <x:v>12.963556458897408</x:v>
      </x:c>
      <x:c r="BA132" s="226" t="n">
        <x:f>AZ132*AY132</x:f>
        <x:v>117.32018595302155</x:v>
      </x:c>
      <x:c r="BB132" s="226" t="n">
        <x:f>AF132+AG132+AL132+AQ132+AV132+BA132</x:f>
        <x:v>25844.145300688862</x:v>
      </x:c>
      <x:c r="BC132" s="229" t="n">
        <x:v>0.975</x:v>
      </x:c>
      <x:c r="BD132" s="202"/>
      <x:c r="BE132" s="202"/>
      <x:c r="BF132" s="202"/>
      <x:c r="BG132" s="202" t="str">
        <x:v>UNVERIFIED_UNLIMITED_FOR_MVP</x:v>
      </x:c>
    </x:row>
    <x:row r="133">
      <x:c r="A133" s="187" t="str">
        <x:v>ACTUAL_2026_08_CLOSE_V1</x:v>
      </x:c>
      <x:c r="B133" s="187" t="str">
        <x:v>ACTUAL</x:v>
      </x:c>
      <x:c r="C133" s="187"/>
      <x:c r="D133" s="217" t="n">
        <x:v>46023</x:v>
      </x:c>
      <x:c r="E133" s="187" t="str">
        <x:v>R_GB_DE_C_AIR</x:v>
      </x:c>
      <x:c r="F133" s="187" t="str">
        <x:v>GB</x:v>
      </x:c>
      <x:c r="G133" s="187" t="str">
        <x:v>DE_FC</x:v>
      </x:c>
      <x:c r="H133" s="187" t="str">
        <x:v>CARRIER_C</x:v>
      </x:c>
      <x:c r="I133" s="187" t="str">
        <x:v>AIR</x:v>
      </x:c>
      <x:c r="J133" s="220" t="n">
        <x:v>13850</x:v>
      </x:c>
      <x:c r="K133" s="223" t="n">
        <x:v>0.26</x:v>
      </x:c>
      <x:c r="L133" s="223" t="n">
        <x:v>0.96</x:v>
      </x:c>
      <x:c r="M133" s="223" t="n">
        <x:v>0.04</x:v>
      </x:c>
      <x:c r="N133" s="226" t="n">
        <x:f>J133*K133*L133*M133</x:f>
        <x:v>138.2784</x:v>
      </x:c>
      <x:c r="O133" s="220" t="n">
        <x:v>1.12</x:v>
      </x:c>
      <x:c r="P133" s="226" t="n">
        <x:f>N133*O133</x:f>
        <x:v>154.87180800000002</x:v>
      </x:c>
      <x:c r="Q133" s="220" t="n">
        <x:v>0.9246</x:v>
      </x:c>
      <x:c r="R133" s="226" t="n">
        <x:f>P133*Q133</x:f>
        <x:v>143.19447367680002</x:v>
      </x:c>
      <x:c r="S133" s="220" t="n">
        <x:v>0.08</x:v>
      </x:c>
      <x:c r="T133" s="226" t="n">
        <x:f>N133*S133</x:f>
        <x:v>11.062272</x:v>
      </x:c>
      <x:c r="U133" s="226" t="n">
        <x:v>0.00918</x:v>
      </x:c>
      <x:c r="V133" s="226" t="n">
        <x:f>P133*U133</x:f>
        <x:v>1.4217231974400002</x:v>
      </x:c>
      <x:c r="W133" s="196" t="str">
        <x:v>GBP</x:v>
      </x:c>
      <x:c r="X133" s="220" t="n">
        <x:v>7.515</x:v>
      </x:c>
      <x:c r="Y133" s="196" t="str">
        <x:v>PER_CHARGEABLE_KG</x:v>
      </x:c>
      <x:c r="Z133" s="220" t="n">
        <x:v>0.58116</x:v>
      </x:c>
      <x:c r="AA133" s="220" t="n">
        <x:v>7.78</x:v>
      </x:c>
      <x:c r="AB133" s="220" t="n">
        <x:v>9.05</x:v>
      </x:c>
      <x:c r="AC133" s="226" t="n">
        <x:f>IF(W133="EUR",AA133,IF(W133="GBP",AB133,1))</x:f>
        <x:v>9.05</x:v>
      </x:c>
      <x:c r="AD133" s="226" t="n">
        <x:f>R133*X133</x:f>
        <x:v>1076.106469681152</x:v>
      </x:c>
      <x:c r="AE133" s="226" t="n">
        <x:f>IF(Y133="PERCENTAGE_OF_BASE_FREIGHT",AD133*Z133,IF(Y133="PER_CHARGEABLE_KG",R133*Z133,P133*Z133))</x:f>
        <x:v>83.2189003220091</x:v>
      </x:c>
      <x:c r="AF133" s="226" t="n">
        <x:f>AD133*AC133</x:f>
        <x:v>9738.763550614427</x:v>
      </x:c>
      <x:c r="AG133" s="226" t="n">
        <x:f>AE133*AC133</x:f>
        <x:v>753.1310479141824</x:v>
      </x:c>
      <x:c r="AH133" s="226" t="str">
        <x:v>EUR</x:v>
      </x:c>
      <x:c r="AI133" s="226" t="n">
        <x:v>1.18236</x:v>
      </x:c>
      <x:c r="AJ133" s="226" t="n">
        <x:f>IF(AH133="EUR",AA133,IF(AH133="GBP",AB133,1))</x:f>
        <x:v>7.78</x:v>
      </x:c>
      <x:c r="AK133" s="226" t="n">
        <x:f>N133*AI133</x:f>
        <x:v>163.49484902400002</x:v>
      </x:c>
      <x:c r="AL133" s="226" t="n">
        <x:f>AK133*AJ133</x:f>
        <x:v>1271.9899254067202</x:v>
      </x:c>
      <x:c r="AM133" s="226" t="str">
        <x:v>EUR</x:v>
      </x:c>
      <x:c r="AN133" s="226" t="n">
        <x:v>0.42084</x:v>
      </x:c>
      <x:c r="AO133" s="226" t="n">
        <x:f>IF(AM133="EUR",AA133,IF(AM133="GBP",AB133,1))</x:f>
        <x:v>7.78</x:v>
      </x:c>
      <x:c r="AP133" s="226" t="n">
        <x:f>P133*AN133</x:f>
        <x:v>65.17625167872</x:v>
      </x:c>
      <x:c r="AQ133" s="226" t="n">
        <x:f>AP133*AO133</x:f>
        <x:v>507.07123806044166</x:v>
      </x:c>
      <x:c r="AR133" s="226" t="str">
        <x:v>GBP</x:v>
      </x:c>
      <x:c r="AS133" s="226" t="n">
        <x:v>4.8096</x:v>
      </x:c>
      <x:c r="AT133" s="226" t="n">
        <x:f>IF(AR133="EUR",AA133,IF(AR133="GBP",AB133,1))</x:f>
        <x:v>9.05</x:v>
      </x:c>
      <x:c r="AU133" s="226" t="n">
        <x:f>T133*AS133</x:f>
        <x:v>53.2051034112</x:v>
      </x:c>
      <x:c r="AV133" s="226" t="n">
        <x:f>AU133*AT133</x:f>
        <x:v>481.50618587136006</x:v>
      </x:c>
      <x:c r="AW133" s="226" t="str">
        <x:v>GBP</x:v>
      </x:c>
      <x:c r="AX133" s="226" t="n">
        <x:v>3.6072</x:v>
      </x:c>
      <x:c r="AY133" s="226" t="n">
        <x:f>IF(AW133="EUR",AA133,IF(AW133="GBP",AB133,1))</x:f>
        <x:v>9.05</x:v>
      </x:c>
      <x:c r="AZ133" s="226" t="n">
        <x:f>V133*AX133</x:f>
        <x:v>5.128439917805569</x:v>
      </x:c>
      <x:c r="BA133" s="226" t="n">
        <x:f>AZ133*AY133</x:f>
        <x:v>46.4123812561404</x:v>
      </x:c>
      <x:c r="BB133" s="226" t="n">
        <x:f>AF133+AG133+AL133+AQ133+AV133+BA133</x:f>
        <x:v>12798.874329123273</x:v>
      </x:c>
      <x:c r="BC133" s="229" t="n">
        <x:v>0.989</x:v>
      </x:c>
      <x:c r="BD133" s="202"/>
      <x:c r="BE133" s="202"/>
      <x:c r="BF133" s="202"/>
      <x:c r="BG133" s="202" t="str">
        <x:v>UNVERIFIED_UNLIMITED_FOR_MVP</x:v>
      </x:c>
    </x:row>
    <x:row r="134">
      <x:c r="A134" s="187" t="str">
        <x:v>ACTUAL_2026_08_CLOSE_V1</x:v>
      </x:c>
      <x:c r="B134" s="187" t="str">
        <x:v>ACTUAL</x:v>
      </x:c>
      <x:c r="C134" s="187"/>
      <x:c r="D134" s="217" t="n">
        <x:v>46023</x:v>
      </x:c>
      <x:c r="E134" s="187" t="str">
        <x:v>R_GB_FR_B_AIR</x:v>
      </x:c>
      <x:c r="F134" s="187" t="str">
        <x:v>GB</x:v>
      </x:c>
      <x:c r="G134" s="187" t="str">
        <x:v>FR_FC</x:v>
      </x:c>
      <x:c r="H134" s="187" t="str">
        <x:v>CARRIER_B</x:v>
      </x:c>
      <x:c r="I134" s="187" t="str">
        <x:v>AIR</x:v>
      </x:c>
      <x:c r="J134" s="220" t="n">
        <x:v>13850</x:v>
      </x:c>
      <x:c r="K134" s="223" t="n">
        <x:v>0.26</x:v>
      </x:c>
      <x:c r="L134" s="223" t="n">
        <x:v>0.04</x:v>
      </x:c>
      <x:c r="M134" s="223" t="n">
        <x:v>1</x:v>
      </x:c>
      <x:c r="N134" s="226" t="n">
        <x:f>J134*K134*L134*M134</x:f>
        <x:v>144.04</x:v>
      </x:c>
      <x:c r="O134" s="220" t="n">
        <x:v>1.15</x:v>
      </x:c>
      <x:c r="P134" s="226" t="n">
        <x:f>N134*O134</x:f>
        <x:v>165.646</x:v>
      </x:c>
      <x:c r="Q134" s="220" t="n">
        <x:v>0.9045</x:v>
      </x:c>
      <x:c r="R134" s="226" t="n">
        <x:f>P134*Q134</x:f>
        <x:v>149.82680699999997</x:v>
      </x:c>
      <x:c r="S134" s="220" t="n">
        <x:v>0.08</x:v>
      </x:c>
      <x:c r="T134" s="226" t="n">
        <x:f>N134*S134</x:f>
        <x:v>11.5232</x:v>
      </x:c>
      <x:c r="U134" s="226" t="n">
        <x:v>0.01224</x:v>
      </x:c>
      <x:c r="V134" s="226" t="n">
        <x:f>P134*U134</x:f>
        <x:v>2.0275070399999997</x:v>
      </x:c>
      <x:c r="W134" s="196" t="str">
        <x:v>EUR</x:v>
      </x:c>
      <x:c r="X134" s="220" t="n">
        <x:v>6.7134</x:v>
      </x:c>
      <x:c r="Y134" s="196" t="str">
        <x:v>PERCENTAGE_OF_BASE_FREIGHT</x:v>
      </x:c>
      <x:c r="Z134" s="220" t="n">
        <x:v>0.10521</x:v>
      </x:c>
      <x:c r="AA134" s="220" t="n">
        <x:v>7.78</x:v>
      </x:c>
      <x:c r="AB134" s="220" t="n">
        <x:v>9.05</x:v>
      </x:c>
      <x:c r="AC134" s="226" t="n">
        <x:f>IF(W134="EUR",AA134,IF(W134="GBP",AB134,1))</x:f>
        <x:v>7.78</x:v>
      </x:c>
      <x:c r="AD134" s="226" t="n">
        <x:f>R134*X134</x:f>
        <x:v>1005.8472861137998</x:v>
      </x:c>
      <x:c r="AE134" s="226" t="n">
        <x:f>IF(Y134="PERCENTAGE_OF_BASE_FREIGHT",AD134*Z134,IF(Y134="PER_CHARGEABLE_KG",R134*Z134,P134*Z134))</x:f>
        <x:v>105.82519297203287</x:v>
      </x:c>
      <x:c r="AF134" s="226" t="n">
        <x:f>AD134*AC134</x:f>
        <x:v>7825.491885965363</x:v>
      </x:c>
      <x:c r="AG134" s="226" t="n">
        <x:f>AE134*AC134</x:f>
        <x:v>823.3200013224157</x:v>
      </x:c>
      <x:c r="AH134" s="226" t="str">
        <x:v>EUR</x:v>
      </x:c>
      <x:c r="AI134" s="226" t="n">
        <x:v>1.0521</x:v>
      </x:c>
      <x:c r="AJ134" s="226" t="n">
        <x:f>IF(AH134="EUR",AA134,IF(AH134="GBP",AB134,1))</x:f>
        <x:v>7.78</x:v>
      </x:c>
      <x:c r="AK134" s="226" t="n">
        <x:f>N134*AI134</x:f>
        <x:v>151.54448399999998</x:v>
      </x:c>
      <x:c r="AL134" s="226" t="n">
        <x:f>AK134*AJ134</x:f>
        <x:v>1179.01608552</x:v>
      </x:c>
      <x:c r="AM134" s="226" t="str">
        <x:v>EUR</x:v>
      </x:c>
      <x:c r="AN134" s="226" t="n">
        <x:v>0.38076</x:v>
      </x:c>
      <x:c r="AO134" s="226" t="n">
        <x:f>IF(AM134="EUR",AA134,IF(AM134="GBP",AB134,1))</x:f>
        <x:v>7.78</x:v>
      </x:c>
      <x:c r="AP134" s="226" t="n">
        <x:f>P134*AN134</x:f>
        <x:v>63.071370959999996</x:v>
      </x:c>
      <x:c r="AQ134" s="226" t="n">
        <x:f>AP134*AO134</x:f>
        <x:v>490.6952660688</x:v>
      </x:c>
      <x:c r="AR134" s="226" t="str">
        <x:v>EUR</x:v>
      </x:c>
      <x:c r="AS134" s="226" t="n">
        <x:v>5.2104</x:v>
      </x:c>
      <x:c r="AT134" s="226" t="n">
        <x:f>IF(AR134="EUR",AA134,IF(AR134="GBP",AB134,1))</x:f>
        <x:v>7.78</x:v>
      </x:c>
      <x:c r="AU134" s="226" t="n">
        <x:f>T134*AS134</x:f>
        <x:v>60.040481279999995</x:v>
      </x:c>
      <x:c r="AV134" s="226" t="n">
        <x:f>AU134*AT134</x:f>
        <x:v>467.11494435839995</x:v>
      </x:c>
      <x:c r="AW134" s="226" t="str">
        <x:v>EUR</x:v>
      </x:c>
      <x:c r="AX134" s="226" t="n">
        <x:v>2.8056</x:v>
      </x:c>
      <x:c r="AY134" s="226" t="n">
        <x:f>IF(AW134="EUR",AA134,IF(AW134="GBP",AB134,1))</x:f>
        <x:v>7.78</x:v>
      </x:c>
      <x:c r="AZ134" s="226" t="n">
        <x:f>V134*AX134</x:f>
        <x:v>5.688373751423999</x:v>
      </x:c>
      <x:c r="BA134" s="226" t="n">
        <x:f>AZ134*AY134</x:f>
        <x:v>44.255547786078715</x:v>
      </x:c>
      <x:c r="BB134" s="226" t="n">
        <x:f>AF134+AG134+AL134+AQ134+AV134+BA134</x:f>
        <x:v>10829.893731021057</x:v>
      </x:c>
      <x:c r="BC134" s="229" t="n">
        <x:v>0.972</x:v>
      </x:c>
      <x:c r="BD134" s="202"/>
      <x:c r="BE134" s="202"/>
      <x:c r="BF134" s="202"/>
      <x:c r="BG134" s="202" t="str">
        <x:v>UNVERIFIED_UNLIMITED_FOR_MVP</x:v>
      </x:c>
    </x:row>
    <x:row r="135">
      <x:c r="A135" s="187" t="str">
        <x:v>ACTUAL_2026_08_CLOSE_V1</x:v>
      </x:c>
      <x:c r="B135" s="187" t="str">
        <x:v>ACTUAL</x:v>
      </x:c>
      <x:c r="C135" s="187"/>
      <x:c r="D135" s="217" t="n">
        <x:v>46054</x:v>
      </x:c>
      <x:c r="E135" s="187" t="str">
        <x:v>R_DE_DE_A_ROAD</x:v>
      </x:c>
      <x:c r="F135" s="187" t="str">
        <x:v>DE</x:v>
      </x:c>
      <x:c r="G135" s="187" t="str">
        <x:v>DE_FC</x:v>
      </x:c>
      <x:c r="H135" s="187" t="str">
        <x:v>CARRIER_A</x:v>
      </x:c>
      <x:c r="I135" s="187" t="str">
        <x:v>ROAD</x:v>
      </x:c>
      <x:c r="J135" s="220" t="n">
        <x:v>13680</x:v>
      </x:c>
      <x:c r="K135" s="223" t="n">
        <x:v>0.414</x:v>
      </x:c>
      <x:c r="L135" s="223" t="n">
        <x:v>0.97</x:v>
      </x:c>
      <x:c r="M135" s="223" t="n">
        <x:v>0.6</x:v>
      </x:c>
      <x:c r="N135" s="226" t="n">
        <x:f>J135*K135*L135*M135</x:f>
        <x:v>3296.1686399999994</x:v>
      </x:c>
      <x:c r="O135" s="220" t="n">
        <x:v>1.05105</x:v>
      </x:c>
      <x:c r="P135" s="226" t="n">
        <x:f>N135*O135</x:f>
        <x:v>3464.4380490719996</x:v>
      </x:c>
      <x:c r="Q135" s="220" t="n">
        <x:v>0.7839</x:v>
      </x:c>
      <x:c r="R135" s="226" t="n">
        <x:f>P135*Q135</x:f>
        <x:v>2715.7729866675404</x:v>
      </x:c>
      <x:c r="S135" s="220" t="n">
        <x:v>0.05</x:v>
      </x:c>
      <x:c r="T135" s="226" t="n">
        <x:f>N135*S135</x:f>
        <x:v>164.80843199999998</x:v>
      </x:c>
      <x:c r="U135" s="226" t="n">
        <x:v>0.01632</x:v>
      </x:c>
      <x:c r="V135" s="226" t="n">
        <x:f>P135*U135</x:f>
        <x:v>56.53962896085503</x:v>
      </x:c>
      <x:c r="W135" s="196" t="str">
        <x:v>EUR</x:v>
      </x:c>
      <x:c r="X135" s="220" t="n">
        <x:v>2.2088</x:v>
      </x:c>
      <x:c r="Y135" s="196" t="str">
        <x:v>PERCENTAGE_OF_BASE_FREIGHT</x:v>
      </x:c>
      <x:c r="Z135" s="220" t="n">
        <x:v>0.09538</x:v>
      </x:c>
      <x:c r="AA135" s="220" t="n">
        <x:v>7.76</x:v>
      </x:c>
      <x:c r="AB135" s="220" t="n">
        <x:v>9.02</x:v>
      </x:c>
      <x:c r="AC135" s="226" t="n">
        <x:f>IF(W135="EUR",AA135,IF(W135="GBP",AB135,1))</x:f>
        <x:v>7.76</x:v>
      </x:c>
      <x:c r="AD135" s="226" t="n">
        <x:f>R135*X135</x:f>
        <x:v>5998.599372951264</x:v>
      </x:c>
      <x:c r="AE135" s="226" t="n">
        <x:f>IF(Y135="PERCENTAGE_OF_BASE_FREIGHT",AD135*Z135,IF(Y135="PER_CHARGEABLE_KG",R135*Z135,P135*Z135))</x:f>
        <x:v>572.1464081920916</x:v>
      </x:c>
      <x:c r="AF135" s="226" t="n">
        <x:f>AD135*AC135</x:f>
        <x:v>46549.13113410181</x:v>
      </x:c>
      <x:c r="AG135" s="226" t="n">
        <x:f>AE135*AC135</x:f>
        <x:v>4439.856127570631</x:v>
      </x:c>
      <x:c r="AH135" s="226" t="str">
        <x:v>EUR</x:v>
      </x:c>
      <x:c r="AI135" s="226" t="n">
        <x:v>1.18472</x:v>
      </x:c>
      <x:c r="AJ135" s="226" t="n">
        <x:f>IF(AH135="EUR",AA135,IF(AH135="GBP",AB135,1))</x:f>
        <x:v>7.76</x:v>
      </x:c>
      <x:c r="AK135" s="226" t="n">
        <x:f>N135*AI135</x:f>
        <x:v>3905.0369111807995</x:v>
      </x:c>
      <x:c r="AL135" s="226" t="n">
        <x:f>AK135*AJ135</x:f>
        <x:v>30303.086430763004</x:v>
      </x:c>
      <x:c r="AM135" s="226" t="str">
        <x:v>EUR</x:v>
      </x:c>
      <x:c r="AN135" s="226" t="n">
        <x:v>0.42168</x:v>
      </x:c>
      <x:c r="AO135" s="226" t="n">
        <x:f>IF(AM135="EUR",AA135,IF(AM135="GBP",AB135,1))</x:f>
        <x:v>7.76</x:v>
      </x:c>
      <x:c r="AP135" s="226" t="n">
        <x:f>P135*AN135</x:f>
        <x:v>1460.8842365326807</x:v>
      </x:c>
      <x:c r="AQ135" s="226" t="n">
        <x:f>AP135*AO135</x:f>
        <x:v>11336.461675493601</x:v>
      </x:c>
      <x:c r="AR135" s="226" t="str">
        <x:v>EUR</x:v>
      </x:c>
      <x:c r="AS135" s="226" t="n">
        <x:v>3.2128</x:v>
      </x:c>
      <x:c r="AT135" s="226" t="n">
        <x:f>IF(AR135="EUR",AA135,IF(AR135="GBP",AB135,1))</x:f>
        <x:v>7.76</x:v>
      </x:c>
      <x:c r="AU135" s="226" t="n">
        <x:f>T135*AS135</x:f>
        <x:v>529.4965303296</x:v>
      </x:c>
      <x:c r="AV135" s="226" t="n">
        <x:f>AU135*AT135</x:f>
        <x:v>4108.893075357696</x:v>
      </x:c>
      <x:c r="AW135" s="226" t="str">
        <x:v>EUR</x:v>
      </x:c>
      <x:c r="AX135" s="226" t="n">
        <x:v>2.3092</x:v>
      </x:c>
      <x:c r="AY135" s="226" t="n">
        <x:f>IF(AW135="EUR",AA135,IF(AW135="GBP",AB135,1))</x:f>
        <x:v>7.76</x:v>
      </x:c>
      <x:c r="AZ135" s="226" t="n">
        <x:f>V135*AX135</x:f>
        <x:v>130.56131119640645</x:v>
      </x:c>
      <x:c r="BA135" s="226" t="n">
        <x:f>AZ135*AY135</x:f>
        <x:v>1013.1557748841141</x:v>
      </x:c>
      <x:c r="BB135" s="226" t="n">
        <x:f>AF135+AG135+AL135+AQ135+AV135+BA135</x:f>
        <x:v>97750.58421817086</x:v>
      </x:c>
      <x:c r="BC135" s="229" t="n">
        <x:v>0.966</x:v>
      </x:c>
      <x:c r="BD135" s="202"/>
      <x:c r="BE135" s="202"/>
      <x:c r="BF135" s="202"/>
      <x:c r="BG135" s="202" t="str">
        <x:v>UNVERIFIED_UNLIMITED_FOR_MVP</x:v>
      </x:c>
    </x:row>
    <x:row r="136">
      <x:c r="A136" s="187" t="str">
        <x:v>ACTUAL_2026_08_CLOSE_V1</x:v>
      </x:c>
      <x:c r="B136" s="187" t="str">
        <x:v>ACTUAL</x:v>
      </x:c>
      <x:c r="C136" s="187"/>
      <x:c r="D136" s="217" t="n">
        <x:v>46054</x:v>
      </x:c>
      <x:c r="E136" s="187" t="str">
        <x:v>R_DE_DE_B_ROAD</x:v>
      </x:c>
      <x:c r="F136" s="187" t="str">
        <x:v>DE</x:v>
      </x:c>
      <x:c r="G136" s="187" t="str">
        <x:v>DE_FC</x:v>
      </x:c>
      <x:c r="H136" s="187" t="str">
        <x:v>CARRIER_B</x:v>
      </x:c>
      <x:c r="I136" s="187" t="str">
        <x:v>ROAD</x:v>
      </x:c>
      <x:c r="J136" s="220" t="n">
        <x:v>13680</x:v>
      </x:c>
      <x:c r="K136" s="223" t="n">
        <x:v>0.414</x:v>
      </x:c>
      <x:c r="L136" s="223" t="n">
        <x:v>0.97</x:v>
      </x:c>
      <x:c r="M136" s="223" t="n">
        <x:v>0.4</x:v>
      </x:c>
      <x:c r="N136" s="226" t="n">
        <x:f>J136*K136*L136*M136</x:f>
        <x:v>2197.44576</x:v>
      </x:c>
      <x:c r="O136" s="220" t="n">
        <x:v>1.05105</x:v>
      </x:c>
      <x:c r="P136" s="226" t="n">
        <x:f>N136*O136</x:f>
        <x:v>2309.625366048</x:v>
      </x:c>
      <x:c r="Q136" s="220" t="n">
        <x:v>0.804</x:v>
      </x:c>
      <x:c r="R136" s="226" t="n">
        <x:f>P136*Q136</x:f>
        <x:v>1856.9387943025922</x:v>
      </x:c>
      <x:c r="S136" s="220" t="n">
        <x:v>0.05</x:v>
      </x:c>
      <x:c r="T136" s="226" t="n">
        <x:f>N136*S136</x:f>
        <x:v>109.87228800000001</x:v>
      </x:c>
      <x:c r="U136" s="226" t="n">
        <x:v>0.01326</x:v>
      </x:c>
      <x:c r="V136" s="226" t="n">
        <x:f>P136*U136</x:f>
        <x:v>30.62563235379648</x:v>
      </x:c>
      <x:c r="W136" s="196" t="str">
        <x:v>EUR</x:v>
      </x:c>
      <x:c r="X136" s="220" t="n">
        <x:v>2.761</x:v>
      </x:c>
      <x:c r="Y136" s="196" t="str">
        <x:v>PER_CHARGEABLE_KG</x:v>
      </x:c>
      <x:c r="Z136" s="220" t="n">
        <x:v>0.21084</x:v>
      </x:c>
      <x:c r="AA136" s="220" t="n">
        <x:v>7.76</x:v>
      </x:c>
      <x:c r="AB136" s="220" t="n">
        <x:v>9.02</x:v>
      </x:c>
      <x:c r="AC136" s="226" t="n">
        <x:f>IF(W136="EUR",AA136,IF(W136="GBP",AB136,1))</x:f>
        <x:v>7.76</x:v>
      </x:c>
      <x:c r="AD136" s="226" t="n">
        <x:f>R136*X136</x:f>
        <x:v>5127.008011069457</x:v>
      </x:c>
      <x:c r="AE136" s="226" t="n">
        <x:f>IF(Y136="PERCENTAGE_OF_BASE_FREIGHT",AD136*Z136,IF(Y136="PER_CHARGEABLE_KG",R136*Z136,P136*Z136))</x:f>
        <x:v>391.51697539075855</x:v>
      </x:c>
      <x:c r="AF136" s="226" t="n">
        <x:f>AD136*AC136</x:f>
        <x:v>39785.58216589899</x:v>
      </x:c>
      <x:c r="AG136" s="226" t="n">
        <x:f>AE136*AC136</x:f>
        <x:v>3038.1717290322863</x:v>
      </x:c>
      <x:c r="AH136" s="226" t="str">
        <x:v>EUR</x:v>
      </x:c>
      <x:c r="AI136" s="226" t="n">
        <x:v>1.18472</x:v>
      </x:c>
      <x:c r="AJ136" s="226" t="n">
        <x:f>IF(AH136="EUR",AA136,IF(AH136="GBP",AB136,1))</x:f>
        <x:v>7.76</x:v>
      </x:c>
      <x:c r="AK136" s="226" t="n">
        <x:f>N136*AI136</x:f>
        <x:v>2603.3579407872003</x:v>
      </x:c>
      <x:c r="AL136" s="226" t="n">
        <x:f>AK136*AJ136</x:f>
        <x:v>20202.057620508673</x:v>
      </x:c>
      <x:c r="AM136" s="226" t="str">
        <x:v>EUR</x:v>
      </x:c>
      <x:c r="AN136" s="226" t="n">
        <x:v>0.42168</x:v>
      </x:c>
      <x:c r="AO136" s="226" t="n">
        <x:f>IF(AM136="EUR",AA136,IF(AM136="GBP",AB136,1))</x:f>
        <x:v>7.76</x:v>
      </x:c>
      <x:c r="AP136" s="226" t="n">
        <x:f>P136*AN136</x:f>
        <x:v>973.9228243551207</x:v>
      </x:c>
      <x:c r="AQ136" s="226" t="n">
        <x:f>AP136*AO136</x:f>
        <x:v>7557.641116995736</x:v>
      </x:c>
      <x:c r="AR136" s="226" t="str">
        <x:v>EUR</x:v>
      </x:c>
      <x:c r="AS136" s="226" t="n">
        <x:v>3.2128</x:v>
      </x:c>
      <x:c r="AT136" s="226" t="n">
        <x:f>IF(AR136="EUR",AA136,IF(AR136="GBP",AB136,1))</x:f>
        <x:v>7.76</x:v>
      </x:c>
      <x:c r="AU136" s="226" t="n">
        <x:f>T136*AS136</x:f>
        <x:v>352.99768688640006</x:v>
      </x:c>
      <x:c r="AV136" s="226" t="n">
        <x:f>AU136*AT136</x:f>
        <x:v>2739.2620502384643</x:v>
      </x:c>
      <x:c r="AW136" s="226" t="str">
        <x:v>EUR</x:v>
      </x:c>
      <x:c r="AX136" s="226" t="n">
        <x:v>2.3092</x:v>
      </x:c>
      <x:c r="AY136" s="226" t="n">
        <x:f>IF(AW136="EUR",AA136,IF(AW136="GBP",AB136,1))</x:f>
        <x:v>7.76</x:v>
      </x:c>
      <x:c r="AZ136" s="226" t="n">
        <x:f>V136*AX136</x:f>
        <x:v>70.72071023138683</x:v>
      </x:c>
      <x:c r="BA136" s="226" t="n">
        <x:f>AZ136*AY136</x:f>
        <x:v>548.7927113955618</x:v>
      </x:c>
      <x:c r="BB136" s="226" t="n">
        <x:f>AF136+AG136+AL136+AQ136+AV136+BA136</x:f>
        <x:v>73871.50739406972</x:v>
      </x:c>
      <x:c r="BC136" s="229" t="n">
        <x:v>0.977</x:v>
      </x:c>
      <x:c r="BD136" s="202"/>
      <x:c r="BE136" s="202"/>
      <x:c r="BF136" s="202"/>
      <x:c r="BG136" s="202" t="str">
        <x:v>UNVERIFIED_UNLIMITED_FOR_MVP</x:v>
      </x:c>
    </x:row>
    <x:row r="137">
      <x:c r="A137" s="187" t="str">
        <x:v>ACTUAL_2026_08_CLOSE_V1</x:v>
      </x:c>
      <x:c r="B137" s="187" t="str">
        <x:v>ACTUAL</x:v>
      </x:c>
      <x:c r="C137" s="187"/>
      <x:c r="D137" s="217" t="n">
        <x:v>46054</x:v>
      </x:c>
      <x:c r="E137" s="187" t="str">
        <x:v>R_DE_FR_B_ROAD</x:v>
      </x:c>
      <x:c r="F137" s="187" t="str">
        <x:v>DE</x:v>
      </x:c>
      <x:c r="G137" s="187" t="str">
        <x:v>FR_FC</x:v>
      </x:c>
      <x:c r="H137" s="187" t="str">
        <x:v>CARRIER_B</x:v>
      </x:c>
      <x:c r="I137" s="187" t="str">
        <x:v>ROAD</x:v>
      </x:c>
      <x:c r="J137" s="220" t="n">
        <x:v>13680</x:v>
      </x:c>
      <x:c r="K137" s="223" t="n">
        <x:v>0.414</x:v>
      </x:c>
      <x:c r="L137" s="223" t="n">
        <x:v>0.03</x:v>
      </x:c>
      <x:c r="M137" s="223" t="n">
        <x:v>1</x:v>
      </x:c>
      <x:c r="N137" s="226" t="n">
        <x:f>J137*K137*L137*M137</x:f>
        <x:v>169.9056</x:v>
      </x:c>
      <x:c r="O137" s="220" t="n">
        <x:v>1.08108</x:v>
      </x:c>
      <x:c r="P137" s="226" t="n">
        <x:f>N137*O137</x:f>
        <x:v>183.681546048</x:v>
      </x:c>
      <x:c r="Q137" s="220" t="n">
        <x:v>0.8643</x:v>
      </x:c>
      <x:c r="R137" s="226" t="n">
        <x:f>P137*Q137</x:f>
        <x:v>158.7559602492864</x:v>
      </x:c>
      <x:c r="S137" s="220" t="n">
        <x:v>0.05</x:v>
      </x:c>
      <x:c r="T137" s="226" t="n">
        <x:f>N137*S137</x:f>
        <x:v>8.49528</x:v>
      </x:c>
      <x:c r="U137" s="226" t="n">
        <x:v>0.01428</x:v>
      </x:c>
      <x:c r="V137" s="226" t="n">
        <x:f>P137*U137</x:f>
        <x:v>2.62297247756544</x:v>
      </x:c>
      <x:c r="W137" s="196" t="str">
        <x:v>EUR</x:v>
      </x:c>
      <x:c r="X137" s="220" t="n">
        <x:v>3.3132</x:v>
      </x:c>
      <x:c r="Y137" s="196" t="str">
        <x:v>PER_CHARGEABLE_KG</x:v>
      </x:c>
      <x:c r="Z137" s="220" t="n">
        <x:v>0.24096</x:v>
      </x:c>
      <x:c r="AA137" s="220" t="n">
        <x:v>7.76</x:v>
      </x:c>
      <x:c r="AB137" s="220" t="n">
        <x:v>9.02</x:v>
      </x:c>
      <x:c r="AC137" s="226" t="n">
        <x:f>IF(W137="EUR",AA137,IF(W137="GBP",AB137,1))</x:f>
        <x:v>7.76</x:v>
      </x:c>
      <x:c r="AD137" s="226" t="n">
        <x:f>R137*X137</x:f>
        <x:v>525.9902474979357</x:v>
      </x:c>
      <x:c r="AE137" s="226" t="n">
        <x:f>IF(Y137="PERCENTAGE_OF_BASE_FREIGHT",AD137*Z137,IF(Y137="PER_CHARGEABLE_KG",R137*Z137,P137*Z137))</x:f>
        <x:v>38.253836181668056</x:v>
      </x:c>
      <x:c r="AF137" s="226" t="n">
        <x:f>AD137*AC137</x:f>
        <x:v>4081.684320583981</x:v>
      </x:c>
      <x:c r="AG137" s="226" t="n">
        <x:f>AE137*AC137</x:f>
        <x:v>296.8497687697441</x:v>
      </x:c>
      <x:c r="AH137" s="226" t="str">
        <x:v>EUR</x:v>
      </x:c>
      <x:c r="AI137" s="226" t="n">
        <x:v>1.0542</x:v>
      </x:c>
      <x:c r="AJ137" s="226" t="n">
        <x:f>IF(AH137="EUR",AA137,IF(AH137="GBP",AB137,1))</x:f>
        <x:v>7.76</x:v>
      </x:c>
      <x:c r="AK137" s="226" t="n">
        <x:f>N137*AI137</x:f>
        <x:v>179.11448352</x:v>
      </x:c>
      <x:c r="AL137" s="226" t="n">
        <x:f>AK137*AJ137</x:f>
        <x:v>1389.9283921151998</x:v>
      </x:c>
      <x:c r="AM137" s="226" t="str">
        <x:v>EUR</x:v>
      </x:c>
      <x:c r="AN137" s="226" t="n">
        <x:v>0.38152</x:v>
      </x:c>
      <x:c r="AO137" s="226" t="n">
        <x:f>IF(AM137="EUR",AA137,IF(AM137="GBP",AB137,1))</x:f>
        <x:v>7.76</x:v>
      </x:c>
      <x:c r="AP137" s="226" t="n">
        <x:f>P137*AN137</x:f>
        <x:v>70.07818344823296</x:v>
      </x:c>
      <x:c r="AQ137" s="226" t="n">
        <x:f>AP137*AO137</x:f>
        <x:v>543.8067035582877</x:v>
      </x:c>
      <x:c r="AR137" s="226" t="str">
        <x:v>EUR</x:v>
      </x:c>
      <x:c r="AS137" s="226" t="n">
        <x:v>3.8152</x:v>
      </x:c>
      <x:c r="AT137" s="226" t="n">
        <x:f>IF(AR137="EUR",AA137,IF(AR137="GBP",AB137,1))</x:f>
        <x:v>7.76</x:v>
      </x:c>
      <x:c r="AU137" s="226" t="n">
        <x:f>T137*AS137</x:f>
        <x:v>32.411192256</x:v>
      </x:c>
      <x:c r="AV137" s="226" t="n">
        <x:f>AU137*AT137</x:f>
        <x:v>251.51085190656</x:v>
      </x:c>
      <x:c r="AW137" s="226" t="str">
        <x:v>EUR</x:v>
      </x:c>
      <x:c r="AX137" s="226" t="n">
        <x:v>2.3092</x:v>
      </x:c>
      <x:c r="AY137" s="226" t="n">
        <x:f>IF(AW137="EUR",AA137,IF(AW137="GBP",AB137,1))</x:f>
        <x:v>7.76</x:v>
      </x:c>
      <x:c r="AZ137" s="226" t="n">
        <x:f>V137*AX137</x:f>
        <x:v>6.056968045194115</x:v>
      </x:c>
      <x:c r="BA137" s="226" t="n">
        <x:f>AZ137*AY137</x:f>
        <x:v>47.00207203070633</x:v>
      </x:c>
      <x:c r="BB137" s="226" t="n">
        <x:f>AF137+AG137+AL137+AQ137+AV137+BA137</x:f>
        <x:v>6610.782108964479</x:v>
      </x:c>
      <x:c r="BC137" s="229" t="n">
        <x:v>0.969</x:v>
      </x:c>
      <x:c r="BD137" s="202"/>
      <x:c r="BE137" s="202"/>
      <x:c r="BF137" s="202"/>
      <x:c r="BG137" s="202" t="str">
        <x:v>UNVERIFIED_UNLIMITED_FOR_MVP</x:v>
      </x:c>
    </x:row>
    <x:row r="138">
      <x:c r="A138" s="187" t="str">
        <x:v>ACTUAL_2026_08_CLOSE_V1</x:v>
      </x:c>
      <x:c r="B138" s="187" t="str">
        <x:v>ACTUAL</x:v>
      </x:c>
      <x:c r="C138" s="187"/>
      <x:c r="D138" s="217" t="n">
        <x:v>46054</x:v>
      </x:c>
      <x:c r="E138" s="187" t="str">
        <x:v>R_FR_FR_A_ROAD</x:v>
      </x:c>
      <x:c r="F138" s="187" t="str">
        <x:v>FR</x:v>
      </x:c>
      <x:c r="G138" s="187" t="str">
        <x:v>FR_FC</x:v>
      </x:c>
      <x:c r="H138" s="187" t="str">
        <x:v>CARRIER_A</x:v>
      </x:c>
      <x:c r="I138" s="187" t="str">
        <x:v>ROAD</x:v>
      </x:c>
      <x:c r="J138" s="220" t="n">
        <x:v>13680</x:v>
      </x:c>
      <x:c r="K138" s="223" t="n">
        <x:v>0.323</x:v>
      </x:c>
      <x:c r="L138" s="223" t="n">
        <x:v>1</x:v>
      </x:c>
      <x:c r="M138" s="223" t="n">
        <x:v>0.35</x:v>
      </x:c>
      <x:c r="N138" s="226" t="n">
        <x:f>J138*K138*L138*M138</x:f>
        <x:v>1546.5240000000001</x:v>
      </x:c>
      <x:c r="O138" s="220" t="n">
        <x:v>1.06106</x:v>
      </x:c>
      <x:c r="P138" s="226" t="n">
        <x:f>N138*O138</x:f>
        <x:v>1640.9547554399999</x:v>
      </x:c>
      <x:c r="Q138" s="220" t="n">
        <x:v>0.7638</x:v>
      </x:c>
      <x:c r="R138" s="226" t="n">
        <x:f>P138*Q138</x:f>
        <x:v>1253.361242205072</x:v>
      </x:c>
      <x:c r="S138" s="220" t="n">
        <x:v>0.06</x:v>
      </x:c>
      <x:c r="T138" s="226" t="n">
        <x:f>N138*S138</x:f>
        <x:v>92.79144000000001</x:v>
      </x:c>
      <x:c r="U138" s="226" t="n">
        <x:v>0.01734</x:v>
      </x:c>
      <x:c r="V138" s="226" t="n">
        <x:f>P138*U138</x:f>
        <x:v>28.4541554593296</x:v>
      </x:c>
      <x:c r="W138" s="196" t="str">
        <x:v>EUR</x:v>
      </x:c>
      <x:c r="X138" s="220" t="n">
        <x:v>2.1084</x:v>
      </x:c>
      <x:c r="Y138" s="196" t="str">
        <x:v>PERCENTAGE_OF_BASE_FREIGHT</x:v>
      </x:c>
      <x:c r="Z138" s="220" t="n">
        <x:v>0.09036</x:v>
      </x:c>
      <x:c r="AA138" s="220" t="n">
        <x:v>7.76</x:v>
      </x:c>
      <x:c r="AB138" s="220" t="n">
        <x:v>9.02</x:v>
      </x:c>
      <x:c r="AC138" s="226" t="n">
        <x:f>IF(W138="EUR",AA138,IF(W138="GBP",AB138,1))</x:f>
        <x:v>7.76</x:v>
      </x:c>
      <x:c r="AD138" s="226" t="n">
        <x:f>R138*X138</x:f>
        <x:v>2642.5868430651735</x:v>
      </x:c>
      <x:c r="AE138" s="226" t="n">
        <x:f>IF(Y138="PERCENTAGE_OF_BASE_FREIGHT",AD138*Z138,IF(Y138="PER_CHARGEABLE_KG",R138*Z138,P138*Z138))</x:f>
        <x:v>238.78414713936908</x:v>
      </x:c>
      <x:c r="AF138" s="226" t="n">
        <x:f>AD138*AC138</x:f>
        <x:v>20506.473902185746</x:v>
      </x:c>
      <x:c r="AG138" s="226" t="n">
        <x:f>AE138*AC138</x:f>
        <x:v>1852.964981801504</x:v>
      </x:c>
      <x:c r="AH138" s="226" t="str">
        <x:v>EUR</x:v>
      </x:c>
      <x:c r="AI138" s="226" t="n">
        <x:v>1.0542</x:v>
      </x:c>
      <x:c r="AJ138" s="226" t="n">
        <x:f>IF(AH138="EUR",AA138,IF(AH138="GBP",AB138,1))</x:f>
        <x:v>7.76</x:v>
      </x:c>
      <x:c r="AK138" s="226" t="n">
        <x:f>N138*AI138</x:f>
        <x:v>1630.3456008</x:v>
      </x:c>
      <x:c r="AL138" s="226" t="n">
        <x:f>AK138*AJ138</x:f>
        <x:v>12651.481862208</x:v>
      </x:c>
      <x:c r="AM138" s="226" t="str">
        <x:v>EUR</x:v>
      </x:c>
      <x:c r="AN138" s="226" t="n">
        <x:v>0.38152</x:v>
      </x:c>
      <x:c r="AO138" s="226" t="n">
        <x:f>IF(AM138="EUR",AA138,IF(AM138="GBP",AB138,1))</x:f>
        <x:v>7.76</x:v>
      </x:c>
      <x:c r="AP138" s="226" t="n">
        <x:f>P138*AN138</x:f>
        <x:v>626.0570582954688</x:v>
      </x:c>
      <x:c r="AQ138" s="226" t="n">
        <x:f>AP138*AO138</x:f>
        <x:v>4858.202772372838</x:v>
      </x:c>
      <x:c r="AR138" s="226" t="str">
        <x:v>EUR</x:v>
      </x:c>
      <x:c r="AS138" s="226" t="n">
        <x:v>3.012</x:v>
      </x:c>
      <x:c r="AT138" s="226" t="n">
        <x:f>IF(AR138="EUR",AA138,IF(AR138="GBP",AB138,1))</x:f>
        <x:v>7.76</x:v>
      </x:c>
      <x:c r="AU138" s="226" t="n">
        <x:f>T138*AS138</x:f>
        <x:v>279.48781728</x:v>
      </x:c>
      <x:c r="AV138" s="226" t="n">
        <x:f>AU138*AT138</x:f>
        <x:v>2168.8254620928</x:v>
      </x:c>
      <x:c r="AW138" s="226" t="str">
        <x:v>EUR</x:v>
      </x:c>
      <x:c r="AX138" s="226" t="n">
        <x:v>2.3092</x:v>
      </x:c>
      <x:c r="AY138" s="226" t="n">
        <x:f>IF(AW138="EUR",AA138,IF(AW138="GBP",AB138,1))</x:f>
        <x:v>7.76</x:v>
      </x:c>
      <x:c r="AZ138" s="226" t="n">
        <x:f>V138*AX138</x:f>
        <x:v>65.70633578668391</x:v>
      </x:c>
      <x:c r="BA138" s="226" t="n">
        <x:f>AZ138*AY138</x:f>
        <x:v>509.8811657046671</x:v>
      </x:c>
      <x:c r="BB138" s="226" t="n">
        <x:f>AF138+AG138+AL138+AQ138+AV138+BA138</x:f>
        <x:v>42547.83014636555</x:v>
      </x:c>
      <x:c r="BC138" s="229" t="n">
        <x:v>0.962</x:v>
      </x:c>
      <x:c r="BD138" s="202"/>
      <x:c r="BE138" s="202"/>
      <x:c r="BF138" s="202"/>
      <x:c r="BG138" s="202" t="str">
        <x:v>UNVERIFIED_UNLIMITED_FOR_MVP</x:v>
      </x:c>
    </x:row>
    <x:row r="139">
      <x:c r="A139" s="187" t="str">
        <x:v>ACTUAL_2026_08_CLOSE_V1</x:v>
      </x:c>
      <x:c r="B139" s="187" t="str">
        <x:v>ACTUAL</x:v>
      </x:c>
      <x:c r="C139" s="187"/>
      <x:c r="D139" s="217" t="n">
        <x:v>46054</x:v>
      </x:c>
      <x:c r="E139" s="187" t="str">
        <x:v>R_FR_FR_B_ROAD</x:v>
      </x:c>
      <x:c r="F139" s="187" t="str">
        <x:v>FR</x:v>
      </x:c>
      <x:c r="G139" s="187" t="str">
        <x:v>FR_FC</x:v>
      </x:c>
      <x:c r="H139" s="187" t="str">
        <x:v>CARRIER_B</x:v>
      </x:c>
      <x:c r="I139" s="187" t="str">
        <x:v>ROAD</x:v>
      </x:c>
      <x:c r="J139" s="220" t="n">
        <x:v>13680</x:v>
      </x:c>
      <x:c r="K139" s="223" t="n">
        <x:v>0.323</x:v>
      </x:c>
      <x:c r="L139" s="223" t="n">
        <x:v>1</x:v>
      </x:c>
      <x:c r="M139" s="223" t="n">
        <x:v>0.65</x:v>
      </x:c>
      <x:c r="N139" s="226" t="n">
        <x:f>J139*K139*L139*M139</x:f>
        <x:v>2872.1160000000004</x:v>
      </x:c>
      <x:c r="O139" s="220" t="n">
        <x:v>1.06106</x:v>
      </x:c>
      <x:c r="P139" s="226" t="n">
        <x:f>N139*O139</x:f>
        <x:v>3047.48740296</x:v>
      </x:c>
      <x:c r="Q139" s="220" t="n">
        <x:v>0.79395</x:v>
      </x:c>
      <x:c r="R139" s="226" t="n">
        <x:f>P139*Q139</x:f>
        <x:v>2419.552623580092</x:v>
      </x:c>
      <x:c r="S139" s="220" t="n">
        <x:v>0.06</x:v>
      </x:c>
      <x:c r="T139" s="226" t="n">
        <x:f>N139*S139</x:f>
        <x:v>172.32696</x:v>
      </x:c>
      <x:c r="U139" s="226" t="n">
        <x:v>0.01428</x:v>
      </x:c>
      <x:c r="V139" s="226" t="n">
        <x:f>P139*U139</x:f>
        <x:v>43.5181201142688</x:v>
      </x:c>
      <x:c r="W139" s="196" t="str">
        <x:v>EUR</x:v>
      </x:c>
      <x:c r="X139" s="220" t="n">
        <x:v>2.6104</x:v>
      </x:c>
      <x:c r="Y139" s="196" t="str">
        <x:v>PER_CHARGEABLE_KG</x:v>
      </x:c>
      <x:c r="Z139" s="220" t="n">
        <x:v>0.2008</x:v>
      </x:c>
      <x:c r="AA139" s="220" t="n">
        <x:v>7.76</x:v>
      </x:c>
      <x:c r="AB139" s="220" t="n">
        <x:v>9.02</x:v>
      </x:c>
      <x:c r="AC139" s="226" t="n">
        <x:f>IF(W139="EUR",AA139,IF(W139="GBP",AB139,1))</x:f>
        <x:v>7.76</x:v>
      </x:c>
      <x:c r="AD139" s="226" t="n">
        <x:f>R139*X139</x:f>
        <x:v>6316.000168593472</x:v>
      </x:c>
      <x:c r="AE139" s="226" t="n">
        <x:f>IF(Y139="PERCENTAGE_OF_BASE_FREIGHT",AD139*Z139,IF(Y139="PER_CHARGEABLE_KG",R139*Z139,P139*Z139))</x:f>
        <x:v>485.8461668148825</x:v>
      </x:c>
      <x:c r="AF139" s="226" t="n">
        <x:f>AD139*AC139</x:f>
        <x:v>49012.161308285344</x:v>
      </x:c>
      <x:c r="AG139" s="226" t="n">
        <x:f>AE139*AC139</x:f>
        <x:v>3770.166254483488</x:v>
      </x:c>
      <x:c r="AH139" s="226" t="str">
        <x:v>EUR</x:v>
      </x:c>
      <x:c r="AI139" s="226" t="n">
        <x:v>1.0542</x:v>
      </x:c>
      <x:c r="AJ139" s="226" t="n">
        <x:f>IF(AH139="EUR",AA139,IF(AH139="GBP",AB139,1))</x:f>
        <x:v>7.76</x:v>
      </x:c>
      <x:c r="AK139" s="226" t="n">
        <x:f>N139*AI139</x:f>
        <x:v>3027.7846872000005</x:v>
      </x:c>
      <x:c r="AL139" s="226" t="n">
        <x:f>AK139*AJ139</x:f>
        <x:v>23495.609172672004</x:v>
      </x:c>
      <x:c r="AM139" s="226" t="str">
        <x:v>EUR</x:v>
      </x:c>
      <x:c r="AN139" s="226" t="n">
        <x:v>0.38152</x:v>
      </x:c>
      <x:c r="AO139" s="226" t="n">
        <x:f>IF(AM139="EUR",AA139,IF(AM139="GBP",AB139,1))</x:f>
        <x:v>7.76</x:v>
      </x:c>
      <x:c r="AP139" s="226" t="n">
        <x:f>P139*AN139</x:f>
        <x:v>1162.6773939772993</x:v>
      </x:c>
      <x:c r="AQ139" s="226" t="n">
        <x:f>AP139*AO139</x:f>
        <x:v>9022.376577263842</x:v>
      </x:c>
      <x:c r="AR139" s="226" t="str">
        <x:v>EUR</x:v>
      </x:c>
      <x:c r="AS139" s="226" t="n">
        <x:v>3.012</x:v>
      </x:c>
      <x:c r="AT139" s="226" t="n">
        <x:f>IF(AR139="EUR",AA139,IF(AR139="GBP",AB139,1))</x:f>
        <x:v>7.76</x:v>
      </x:c>
      <x:c r="AU139" s="226" t="n">
        <x:f>T139*AS139</x:f>
        <x:v>519.0488035200001</x:v>
      </x:c>
      <x:c r="AV139" s="226" t="n">
        <x:f>AU139*AT139</x:f>
        <x:v>4027.8187153152007</x:v>
      </x:c>
      <x:c r="AW139" s="226" t="str">
        <x:v>EUR</x:v>
      </x:c>
      <x:c r="AX139" s="226" t="n">
        <x:v>2.3092</x:v>
      </x:c>
      <x:c r="AY139" s="226" t="n">
        <x:f>IF(AW139="EUR",AA139,IF(AW139="GBP",AB139,1))</x:f>
        <x:v>7.76</x:v>
      </x:c>
      <x:c r="AZ139" s="226" t="n">
        <x:f>V139*AX139</x:f>
        <x:v>100.49204296786951</x:v>
      </x:c>
      <x:c r="BA139" s="226" t="n">
        <x:f>AZ139*AY139</x:f>
        <x:v>779.8182534306674</x:v>
      </x:c>
      <x:c r="BB139" s="226" t="n">
        <x:f>AF139+AG139+AL139+AQ139+AV139+BA139</x:f>
        <x:v>90107.95028145054</x:v>
      </x:c>
      <x:c r="BC139" s="229" t="n">
        <x:v>0.974</x:v>
      </x:c>
      <x:c r="BD139" s="202"/>
      <x:c r="BE139" s="202"/>
      <x:c r="BF139" s="202"/>
      <x:c r="BG139" s="202" t="str">
        <x:v>UNVERIFIED_UNLIMITED_FOR_MVP</x:v>
      </x:c>
    </x:row>
    <x:row r="140">
      <x:c r="A140" s="187" t="str">
        <x:v>ACTUAL_2026_08_CLOSE_V1</x:v>
      </x:c>
      <x:c r="B140" s="187" t="str">
        <x:v>ACTUAL</x:v>
      </x:c>
      <x:c r="C140" s="187"/>
      <x:c r="D140" s="217" t="n">
        <x:v>46054</x:v>
      </x:c>
      <x:c r="E140" s="187" t="str">
        <x:v>R_GB_DE_A_ROAD</x:v>
      </x:c>
      <x:c r="F140" s="187" t="str">
        <x:v>GB</x:v>
      </x:c>
      <x:c r="G140" s="187" t="str">
        <x:v>DE_FC</x:v>
      </x:c>
      <x:c r="H140" s="187" t="str">
        <x:v>CARRIER_A</x:v>
      </x:c>
      <x:c r="I140" s="187" t="str">
        <x:v>ROAD</x:v>
      </x:c>
      <x:c r="J140" s="220" t="n">
        <x:v>13680</x:v>
      </x:c>
      <x:c r="K140" s="223" t="n">
        <x:v>0.263</x:v>
      </x:c>
      <x:c r="L140" s="223" t="n">
        <x:v>0.96</x:v>
      </x:c>
      <x:c r="M140" s="223" t="n">
        <x:v>0.62</x:v>
      </x:c>
      <x:c r="N140" s="226" t="n">
        <x:f>J140*K140*L140*M140</x:f>
        <x:v>2141.4343679999997</x:v>
      </x:c>
      <x:c r="O140" s="220" t="n">
        <x:v>1.12112</x:v>
      </x:c>
      <x:c r="P140" s="226" t="n">
        <x:f>N140*O140</x:f>
        <x:v>2400.8048986521594</x:v>
      </x:c>
      <x:c r="Q140" s="220" t="n">
        <x:v>1.0251</x:v>
      </x:c>
      <x:c r="R140" s="226" t="n">
        <x:f>P140*Q140</x:f>
        <x:v>2461.0651016083284</x:v>
      </x:c>
      <x:c r="S140" s="220" t="n">
        <x:v>0.08</x:v>
      </x:c>
      <x:c r="T140" s="226" t="n">
        <x:f>N140*S140</x:f>
        <x:v>171.31474943999999</x:v>
      </x:c>
      <x:c r="U140" s="226" t="n">
        <x:v>0.02244</x:v>
      </x:c>
      <x:c r="V140" s="226" t="n">
        <x:f>P140*U140</x:f>
        <x:v>53.87406192575446</x:v>
      </x:c>
      <x:c r="W140" s="196" t="str">
        <x:v>GBP</x:v>
      </x:c>
      <x:c r="X140" s="220" t="n">
        <x:v>4.016</x:v>
      </x:c>
      <x:c r="Y140" s="196" t="str">
        <x:v>PERCENTAGE_OF_BASE_FREIGHT</x:v>
      </x:c>
      <x:c r="Z140" s="220" t="n">
        <x:v>0.1004</x:v>
      </x:c>
      <x:c r="AA140" s="220" t="n">
        <x:v>7.76</x:v>
      </x:c>
      <x:c r="AB140" s="220" t="n">
        <x:v>9.02</x:v>
      </x:c>
      <x:c r="AC140" s="226" t="n">
        <x:f>IF(W140="EUR",AA140,IF(W140="GBP",AB140,1))</x:f>
        <x:v>9.02</x:v>
      </x:c>
      <x:c r="AD140" s="226" t="n">
        <x:f>R140*X140</x:f>
        <x:v>9883.637448059048</x:v>
      </x:c>
      <x:c r="AE140" s="226" t="n">
        <x:f>IF(Y140="PERCENTAGE_OF_BASE_FREIGHT",AD140*Z140,IF(Y140="PER_CHARGEABLE_KG",R140*Z140,P140*Z140))</x:f>
        <x:v>992.3171997851284</x:v>
      </x:c>
      <x:c r="AF140" s="226" t="n">
        <x:f>AD140*AC140</x:f>
        <x:v>89150.4097814926</x:v>
      </x:c>
      <x:c r="AG140" s="226" t="n">
        <x:f>AE140*AC140</x:f>
        <x:v>8950.701142061858</x:v>
      </x:c>
      <x:c r="AH140" s="226" t="str">
        <x:v>EUR</x:v>
      </x:c>
      <x:c r="AI140" s="226" t="n">
        <x:v>1.18472</x:v>
      </x:c>
      <x:c r="AJ140" s="226" t="n">
        <x:f>IF(AH140="EUR",AA140,IF(AH140="GBP",AB140,1))</x:f>
        <x:v>7.76</x:v>
      </x:c>
      <x:c r="AK140" s="226" t="n">
        <x:f>N140*AI140</x:f>
        <x:v>2537.00012445696</x:v>
      </x:c>
      <x:c r="AL140" s="226" t="n">
        <x:f>AK140*AJ140</x:f>
        <x:v>19687.12096578601</x:v>
      </x:c>
      <x:c r="AM140" s="226" t="str">
        <x:v>EUR</x:v>
      </x:c>
      <x:c r="AN140" s="226" t="n">
        <x:v>0.42168</x:v>
      </x:c>
      <x:c r="AO140" s="226" t="n">
        <x:f>IF(AM140="EUR",AA140,IF(AM140="GBP",AB140,1))</x:f>
        <x:v>7.76</x:v>
      </x:c>
      <x:c r="AP140" s="226" t="n">
        <x:f>P140*AN140</x:f>
        <x:v>1012.3714096636426</x:v>
      </x:c>
      <x:c r="AQ140" s="226" t="n">
        <x:f>AP140*AO140</x:f>
        <x:v>7856.002138989866</x:v>
      </x:c>
      <x:c r="AR140" s="226" t="str">
        <x:v>GBP</x:v>
      </x:c>
      <x:c r="AS140" s="226" t="n">
        <x:v>4.8192</x:v>
      </x:c>
      <x:c r="AT140" s="226" t="n">
        <x:f>IF(AR140="EUR",AA140,IF(AR140="GBP",AB140,1))</x:f>
        <x:v>9.02</x:v>
      </x:c>
      <x:c r="AU140" s="226" t="n">
        <x:f>T140*AS140</x:f>
        <x:v>825.600040501248</x:v>
      </x:c>
      <x:c r="AV140" s="226" t="n">
        <x:f>AU140*AT140</x:f>
        <x:v>7446.912365321257</x:v>
      </x:c>
      <x:c r="AW140" s="226" t="str">
        <x:v>GBP</x:v>
      </x:c>
      <x:c r="AX140" s="226" t="n">
        <x:v>2.3092</x:v>
      </x:c>
      <x:c r="AY140" s="226" t="n">
        <x:f>IF(AW140="EUR",AA140,IF(AW140="GBP",AB140,1))</x:f>
        <x:v>9.02</x:v>
      </x:c>
      <x:c r="AZ140" s="226" t="n">
        <x:f>V140*AX140</x:f>
        <x:v>124.4059837989522</x:v>
      </x:c>
      <x:c r="BA140" s="226" t="n">
        <x:f>AZ140*AY140</x:f>
        <x:v>1122.1419738665488</x:v>
      </x:c>
      <x:c r="BB140" s="226" t="n">
        <x:f>AF140+AG140+AL140+AQ140+AV140+BA140</x:f>
        <x:v>134213.28836751814</x:v>
      </x:c>
      <x:c r="BC140" s="229" t="n">
        <x:v>0.931</x:v>
      </x:c>
      <x:c r="BD140" s="202"/>
      <x:c r="BE140" s="202"/>
      <x:c r="BF140" s="202"/>
      <x:c r="BG140" s="202" t="str">
        <x:v>UNVERIFIED_UNLIMITED_FOR_MVP</x:v>
      </x:c>
    </x:row>
    <x:row r="141">
      <x:c r="A141" s="187" t="str">
        <x:v>ACTUAL_2026_08_CLOSE_V1</x:v>
      </x:c>
      <x:c r="B141" s="187" t="str">
        <x:v>ACTUAL</x:v>
      </x:c>
      <x:c r="C141" s="187"/>
      <x:c r="D141" s="217" t="n">
        <x:v>46054</x:v>
      </x:c>
      <x:c r="E141" s="187" t="str">
        <x:v>R_GB_DE_B_ROAD</x:v>
      </x:c>
      <x:c r="F141" s="187" t="str">
        <x:v>GB</x:v>
      </x:c>
      <x:c r="G141" s="187" t="str">
        <x:v>DE_FC</x:v>
      </x:c>
      <x:c r="H141" s="187" t="str">
        <x:v>CARRIER_B</x:v>
      </x:c>
      <x:c r="I141" s="187" t="str">
        <x:v>ROAD</x:v>
      </x:c>
      <x:c r="J141" s="220" t="n">
        <x:v>13680</x:v>
      </x:c>
      <x:c r="K141" s="223" t="n">
        <x:v>0.263</x:v>
      </x:c>
      <x:c r="L141" s="223" t="n">
        <x:v>0.96</x:v>
      </x:c>
      <x:c r="M141" s="223" t="n">
        <x:v>0.25</x:v>
      </x:c>
      <x:c r="N141" s="226" t="n">
        <x:f>J141*K141*L141*M141</x:f>
        <x:v>863.4816</x:v>
      </x:c>
      <x:c r="O141" s="220" t="n">
        <x:v>1.12112</x:v>
      </x:c>
      <x:c r="P141" s="226" t="n">
        <x:f>N141*O141</x:f>
        <x:v>968.0664913919999</x:v>
      </x:c>
      <x:c r="Q141" s="220" t="n">
        <x:v>1.005</x:v>
      </x:c>
      <x:c r="R141" s="226" t="n">
        <x:f>P141*Q141</x:f>
        <x:v>972.9068238489598</x:v>
      </x:c>
      <x:c r="S141" s="220" t="n">
        <x:v>0.08</x:v>
      </x:c>
      <x:c r="T141" s="226" t="n">
        <x:f>N141*S141</x:f>
        <x:v>69.07852799999999</x:v>
      </x:c>
      <x:c r="U141" s="226" t="n">
        <x:v>0.01734</x:v>
      </x:c>
      <x:c r="V141" s="226" t="n">
        <x:f>P141*U141</x:f>
        <x:v>16.78627296073728</x:v>
      </x:c>
      <x:c r="W141" s="196" t="str">
        <x:v>GBP</x:v>
      </x:c>
      <x:c r="X141" s="220" t="n">
        <x:v>4.7188</x:v>
      </x:c>
      <x:c r="Y141" s="196" t="str">
        <x:v>PER_CHARGEABLE_KG</x:v>
      </x:c>
      <x:c r="Z141" s="220" t="n">
        <x:v>0.33132</x:v>
      </x:c>
      <x:c r="AA141" s="220" t="n">
        <x:v>7.76</x:v>
      </x:c>
      <x:c r="AB141" s="220" t="n">
        <x:v>9.02</x:v>
      </x:c>
      <x:c r="AC141" s="226" t="n">
        <x:f>IF(W141="EUR",AA141,IF(W141="GBP",AB141,1))</x:f>
        <x:v>9.02</x:v>
      </x:c>
      <x:c r="AD141" s="226" t="n">
        <x:f>R141*X141</x:f>
        <x:v>4590.952720378471</x:v>
      </x:c>
      <x:c r="AE141" s="226" t="n">
        <x:f>IF(Y141="PERCENTAGE_OF_BASE_FREIGHT",AD141*Z141,IF(Y141="PER_CHARGEABLE_KG",R141*Z141,P141*Z141))</x:f>
        <x:v>322.34348887763736</x:v>
      </x:c>
      <x:c r="AF141" s="226" t="n">
        <x:f>AD141*AC141</x:f>
        <x:v>41410.393537813805</x:v>
      </x:c>
      <x:c r="AG141" s="226" t="n">
        <x:f>AE141*AC141</x:f>
        <x:v>2907.538269676289</x:v>
      </x:c>
      <x:c r="AH141" s="226" t="str">
        <x:v>EUR</x:v>
      </x:c>
      <x:c r="AI141" s="226" t="n">
        <x:v>1.18472</x:v>
      </x:c>
      <x:c r="AJ141" s="226" t="n">
        <x:f>IF(AH141="EUR",AA141,IF(AH141="GBP",AB141,1))</x:f>
        <x:v>7.76</x:v>
      </x:c>
      <x:c r="AK141" s="226" t="n">
        <x:f>N141*AI141</x:f>
        <x:v>1022.983921152</x:v>
      </x:c>
      <x:c r="AL141" s="226" t="n">
        <x:f>AK141*AJ141</x:f>
        <x:v>7938.35522813952</x:v>
      </x:c>
      <x:c r="AM141" s="226" t="str">
        <x:v>EUR</x:v>
      </x:c>
      <x:c r="AN141" s="226" t="n">
        <x:v>0.42168</x:v>
      </x:c>
      <x:c r="AO141" s="226" t="n">
        <x:f>IF(AM141="EUR",AA141,IF(AM141="GBP",AB141,1))</x:f>
        <x:v>7.76</x:v>
      </x:c>
      <x:c r="AP141" s="226" t="n">
        <x:f>P141*AN141</x:f>
        <x:v>408.2142780901785</x:v>
      </x:c>
      <x:c r="AQ141" s="226" t="n">
        <x:f>AP141*AO141</x:f>
        <x:v>3167.742797979785</x:v>
      </x:c>
      <x:c r="AR141" s="226" t="str">
        <x:v>GBP</x:v>
      </x:c>
      <x:c r="AS141" s="226" t="n">
        <x:v>4.8192</x:v>
      </x:c>
      <x:c r="AT141" s="226" t="n">
        <x:f>IF(AR141="EUR",AA141,IF(AR141="GBP",AB141,1))</x:f>
        <x:v>9.02</x:v>
      </x:c>
      <x:c r="AU141" s="226" t="n">
        <x:f>T141*AS141</x:f>
        <x:v>332.9032421376</x:v>
      </x:c>
      <x:c r="AV141" s="226" t="n">
        <x:f>AU141*AT141</x:f>
        <x:v>3002.7872440811516</x:v>
      </x:c>
      <x:c r="AW141" s="226" t="str">
        <x:v>GBP</x:v>
      </x:c>
      <x:c r="AX141" s="226" t="n">
        <x:v>2.3092</x:v>
      </x:c>
      <x:c r="AY141" s="226" t="n">
        <x:f>IF(AW141="EUR",AA141,IF(AW141="GBP",AB141,1))</x:f>
        <x:v>9.02</x:v>
      </x:c>
      <x:c r="AZ141" s="226" t="n">
        <x:f>V141*AX141</x:f>
        <x:v>38.76286152093453</x:v>
      </x:c>
      <x:c r="BA141" s="226" t="n">
        <x:f>AZ141*AY141</x:f>
        <x:v>349.6410109188294</x:v>
      </x:c>
      <x:c r="BB141" s="226" t="n">
        <x:f>AF141+AG141+AL141+AQ141+AV141+BA141</x:f>
        <x:v>58776.458088609375</x:v>
      </x:c>
      <x:c r="BC141" s="229" t="n">
        <x:v>0.951</x:v>
      </x:c>
      <x:c r="BD141" s="202"/>
      <x:c r="BE141" s="202"/>
      <x:c r="BF141" s="202"/>
      <x:c r="BG141" s="202" t="str">
        <x:v>UNVERIFIED_UNLIMITED_FOR_MVP</x:v>
      </x:c>
    </x:row>
    <x:row r="142">
      <x:c r="A142" s="187" t="str">
        <x:v>ACTUAL_2026_08_CLOSE_V1</x:v>
      </x:c>
      <x:c r="B142" s="187" t="str">
        <x:v>ACTUAL</x:v>
      </x:c>
      <x:c r="C142" s="187"/>
      <x:c r="D142" s="217" t="n">
        <x:v>46054</x:v>
      </x:c>
      <x:c r="E142" s="187" t="str">
        <x:v>R_GB_DE_B_AIR</x:v>
      </x:c>
      <x:c r="F142" s="187" t="str">
        <x:v>GB</x:v>
      </x:c>
      <x:c r="G142" s="187" t="str">
        <x:v>DE_FC</x:v>
      </x:c>
      <x:c r="H142" s="187" t="str">
        <x:v>CARRIER_B</x:v>
      </x:c>
      <x:c r="I142" s="187" t="str">
        <x:v>AIR</x:v>
      </x:c>
      <x:c r="J142" s="220" t="n">
        <x:v>13680</x:v>
      </x:c>
      <x:c r="K142" s="223" t="n">
        <x:v>0.263</x:v>
      </x:c>
      <x:c r="L142" s="223" t="n">
        <x:v>0.96</x:v>
      </x:c>
      <x:c r="M142" s="223" t="n">
        <x:v>0.09</x:v>
      </x:c>
      <x:c r="N142" s="226" t="n">
        <x:f>J142*K142*L142*M142</x:f>
        <x:v>310.85337599999997</x:v>
      </x:c>
      <x:c r="O142" s="220" t="n">
        <x:v>1.12112</x:v>
      </x:c>
      <x:c r="P142" s="226" t="n">
        <x:f>N142*O142</x:f>
        <x:v>348.5039369011199</x:v>
      </x:c>
      <x:c r="Q142" s="220" t="n">
        <x:v>0.9447</x:v>
      </x:c>
      <x:c r="R142" s="226" t="n">
        <x:f>P142*Q142</x:f>
        <x:v>329.231669190488</x:v>
      </x:c>
      <x:c r="S142" s="220" t="n">
        <x:v>0.08</x:v>
      </x:c>
      <x:c r="T142" s="226" t="n">
        <x:f>N142*S142</x:f>
        <x:v>24.86827008</x:v>
      </x:c>
      <x:c r="U142" s="226" t="n">
        <x:v>0.01326</x:v>
      </x:c>
      <x:c r="V142" s="226" t="n">
        <x:f>P142*U142</x:f>
        <x:v>4.62116220330885</x:v>
      </x:c>
      <x:c r="W142" s="196" t="str">
        <x:v>GBP</x:v>
      </x:c>
      <x:c r="X142" s="220" t="n">
        <x:v>6.2248</x:v>
      </x:c>
      <x:c r="Y142" s="196" t="str">
        <x:v>PERCENTAGE_OF_BASE_FREIGHT</x:v>
      </x:c>
      <x:c r="Z142" s="220" t="n">
        <x:v>0.11546</x:v>
      </x:c>
      <x:c r="AA142" s="220" t="n">
        <x:v>7.76</x:v>
      </x:c>
      <x:c r="AB142" s="220" t="n">
        <x:v>9.02</x:v>
      </x:c>
      <x:c r="AC142" s="226" t="n">
        <x:f>IF(W142="EUR",AA142,IF(W142="GBP",AB142,1))</x:f>
        <x:v>9.02</x:v>
      </x:c>
      <x:c r="AD142" s="226" t="n">
        <x:f>R142*X142</x:f>
        <x:v>2049.40129437695</x:v>
      </x:c>
      <x:c r="AE142" s="226" t="n">
        <x:f>IF(Y142="PERCENTAGE_OF_BASE_FREIGHT",AD142*Z142,IF(Y142="PER_CHARGEABLE_KG",R142*Z142,P142*Z142))</x:f>
        <x:v>236.62387344876262</x:v>
      </x:c>
      <x:c r="AF142" s="226" t="n">
        <x:f>AD142*AC142</x:f>
        <x:v>18485.599675280086</x:v>
      </x:c>
      <x:c r="AG142" s="226" t="n">
        <x:f>AE142*AC142</x:f>
        <x:v>2134.3473385078387</x:v>
      </x:c>
      <x:c r="AH142" s="226" t="str">
        <x:v>EUR</x:v>
      </x:c>
      <x:c r="AI142" s="226" t="n">
        <x:v>1.18472</x:v>
      </x:c>
      <x:c r="AJ142" s="226" t="n">
        <x:f>IF(AH142="EUR",AA142,IF(AH142="GBP",AB142,1))</x:f>
        <x:v>7.76</x:v>
      </x:c>
      <x:c r="AK142" s="226" t="n">
        <x:f>N142*AI142</x:f>
        <x:v>368.27421161471995</x:v>
      </x:c>
      <x:c r="AL142" s="226" t="n">
        <x:f>AK142*AJ142</x:f>
        <x:v>2857.8078821302265</x:v>
      </x:c>
      <x:c r="AM142" s="226" t="str">
        <x:v>EUR</x:v>
      </x:c>
      <x:c r="AN142" s="226" t="n">
        <x:v>0.42168</x:v>
      </x:c>
      <x:c r="AO142" s="226" t="n">
        <x:f>IF(AM142="EUR",AA142,IF(AM142="GBP",AB142,1))</x:f>
        <x:v>7.76</x:v>
      </x:c>
      <x:c r="AP142" s="226" t="n">
        <x:f>P142*AN142</x:f>
        <x:v>146.95714011246426</x:v>
      </x:c>
      <x:c r="AQ142" s="226" t="n">
        <x:f>AP142*AO142</x:f>
        <x:v>1140.3874072727226</x:v>
      </x:c>
      <x:c r="AR142" s="226" t="str">
        <x:v>GBP</x:v>
      </x:c>
      <x:c r="AS142" s="226" t="n">
        <x:v>4.8192</x:v>
      </x:c>
      <x:c r="AT142" s="226" t="n">
        <x:f>IF(AR142="EUR",AA142,IF(AR142="GBP",AB142,1))</x:f>
        <x:v>9.02</x:v>
      </x:c>
      <x:c r="AU142" s="226" t="n">
        <x:f>T142*AS142</x:f>
        <x:v>119.845167169536</x:v>
      </x:c>
      <x:c r="AV142" s="226" t="n">
        <x:f>AU142*AT142</x:f>
        <x:v>1081.0034078692147</x:v>
      </x:c>
      <x:c r="AW142" s="226" t="str">
        <x:v>GBP</x:v>
      </x:c>
      <x:c r="AX142" s="226" t="n">
        <x:v>2.8112</x:v>
      </x:c>
      <x:c r="AY142" s="226" t="n">
        <x:f>IF(AW142="EUR",AA142,IF(AW142="GBP",AB142,1))</x:f>
        <x:v>9.02</x:v>
      </x:c>
      <x:c r="AZ142" s="226" t="n">
        <x:f>V142*AX142</x:f>
        <x:v>12.991011185941838</x:v>
      </x:c>
      <x:c r="BA142" s="226" t="n">
        <x:f>AZ142*AY142</x:f>
        <x:v>117.17892089719537</x:v>
      </x:c>
      <x:c r="BB142" s="226" t="n">
        <x:f>AF142+AG142+AL142+AQ142+AV142+BA142</x:f>
        <x:v>25816.324631957286</x:v>
      </x:c>
      <x:c r="BC142" s="229" t="n">
        <x:v>0.975</x:v>
      </x:c>
      <x:c r="BD142" s="202"/>
      <x:c r="BE142" s="202"/>
      <x:c r="BF142" s="202"/>
      <x:c r="BG142" s="202" t="str">
        <x:v>UNVERIFIED_UNLIMITED_FOR_MVP</x:v>
      </x:c>
    </x:row>
    <x:row r="143">
      <x:c r="A143" s="187" t="str">
        <x:v>ACTUAL_2026_08_CLOSE_V1</x:v>
      </x:c>
      <x:c r="B143" s="187" t="str">
        <x:v>ACTUAL</x:v>
      </x:c>
      <x:c r="C143" s="187"/>
      <x:c r="D143" s="217" t="n">
        <x:v>46054</x:v>
      </x:c>
      <x:c r="E143" s="187" t="str">
        <x:v>R_GB_DE_C_AIR</x:v>
      </x:c>
      <x:c r="F143" s="187" t="str">
        <x:v>GB</x:v>
      </x:c>
      <x:c r="G143" s="187" t="str">
        <x:v>DE_FC</x:v>
      </x:c>
      <x:c r="H143" s="187" t="str">
        <x:v>CARRIER_C</x:v>
      </x:c>
      <x:c r="I143" s="187" t="str">
        <x:v>AIR</x:v>
      </x:c>
      <x:c r="J143" s="220" t="n">
        <x:v>13680</x:v>
      </x:c>
      <x:c r="K143" s="223" t="n">
        <x:v>0.263</x:v>
      </x:c>
      <x:c r="L143" s="223" t="n">
        <x:v>0.96</x:v>
      </x:c>
      <x:c r="M143" s="223" t="n">
        <x:v>0.04</x:v>
      </x:c>
      <x:c r="N143" s="226" t="n">
        <x:f>J143*K143*L143*M143</x:f>
        <x:v>138.15705599999998</x:v>
      </x:c>
      <x:c r="O143" s="220" t="n">
        <x:v>1.12112</x:v>
      </x:c>
      <x:c r="P143" s="226" t="n">
        <x:f>N143*O143</x:f>
        <x:v>154.89063862271996</x:v>
      </x:c>
      <x:c r="Q143" s="220" t="n">
        <x:v>0.9246</x:v>
      </x:c>
      <x:c r="R143" s="226" t="n">
        <x:f>P143*Q143</x:f>
        <x:v>143.21188447056687</x:v>
      </x:c>
      <x:c r="S143" s="220" t="n">
        <x:v>0.08</x:v>
      </x:c>
      <x:c r="T143" s="226" t="n">
        <x:f>N143*S143</x:f>
        <x:v>11.05256448</x:v>
      </x:c>
      <x:c r="U143" s="226" t="n">
        <x:v>0.00918</x:v>
      </x:c>
      <x:c r="V143" s="226" t="n">
        <x:f>P143*U143</x:f>
        <x:v>1.4218960625565693</x:v>
      </x:c>
      <x:c r="W143" s="196" t="str">
        <x:v>GBP</x:v>
      </x:c>
      <x:c r="X143" s="220" t="n">
        <x:v>7.53</x:v>
      </x:c>
      <x:c r="Y143" s="196" t="str">
        <x:v>PER_CHARGEABLE_KG</x:v>
      </x:c>
      <x:c r="Z143" s="220" t="n">
        <x:v>0.58232</x:v>
      </x:c>
      <x:c r="AA143" s="220" t="n">
        <x:v>7.76</x:v>
      </x:c>
      <x:c r="AB143" s="220" t="n">
        <x:v>9.02</x:v>
      </x:c>
      <x:c r="AC143" s="226" t="n">
        <x:f>IF(W143="EUR",AA143,IF(W143="GBP",AB143,1))</x:f>
        <x:v>9.02</x:v>
      </x:c>
      <x:c r="AD143" s="226" t="n">
        <x:f>R143*X143</x:f>
        <x:v>1078.3854900633685</x:v>
      </x:c>
      <x:c r="AE143" s="226" t="n">
        <x:f>IF(Y143="PERCENTAGE_OF_BASE_FREIGHT",AD143*Z143,IF(Y143="PER_CHARGEABLE_KG",R143*Z143,P143*Z143))</x:f>
        <x:v>83.39514456490049</x:v>
      </x:c>
      <x:c r="AF143" s="226" t="n">
        <x:f>AD143*AC143</x:f>
        <x:v>9727.037120371584</x:v>
      </x:c>
      <x:c r="AG143" s="226" t="n">
        <x:f>AE143*AC143</x:f>
        <x:v>752.2242039754024</x:v>
      </x:c>
      <x:c r="AH143" s="226" t="str">
        <x:v>EUR</x:v>
      </x:c>
      <x:c r="AI143" s="226" t="n">
        <x:v>1.18472</x:v>
      </x:c>
      <x:c r="AJ143" s="226" t="n">
        <x:f>IF(AH143="EUR",AA143,IF(AH143="GBP",AB143,1))</x:f>
        <x:v>7.76</x:v>
      </x:c>
      <x:c r="AK143" s="226" t="n">
        <x:f>N143*AI143</x:f>
        <x:v>163.67742738431997</x:v>
      </x:c>
      <x:c r="AL143" s="226" t="n">
        <x:f>AK143*AJ143</x:f>
        <x:v>1270.136836502323</x:v>
      </x:c>
      <x:c r="AM143" s="226" t="str">
        <x:v>EUR</x:v>
      </x:c>
      <x:c r="AN143" s="226" t="n">
        <x:v>0.42168</x:v>
      </x:c>
      <x:c r="AO143" s="226" t="n">
        <x:f>IF(AM143="EUR",AA143,IF(AM143="GBP",AB143,1))</x:f>
        <x:v>7.76</x:v>
      </x:c>
      <x:c r="AP143" s="226" t="n">
        <x:f>P143*AN143</x:f>
        <x:v>65.31428449442855</x:v>
      </x:c>
      <x:c r="AQ143" s="226" t="n">
        <x:f>AP143*AO143</x:f>
        <x:v>506.8388476767655</x:v>
      </x:c>
      <x:c r="AR143" s="226" t="str">
        <x:v>GBP</x:v>
      </x:c>
      <x:c r="AS143" s="226" t="n">
        <x:v>4.8192</x:v>
      </x:c>
      <x:c r="AT143" s="226" t="n">
        <x:f>IF(AR143="EUR",AA143,IF(AR143="GBP",AB143,1))</x:f>
        <x:v>9.02</x:v>
      </x:c>
      <x:c r="AU143" s="226" t="n">
        <x:f>T143*AS143</x:f>
        <x:v>53.264518742016</x:v>
      </x:c>
      <x:c r="AV143" s="226" t="n">
        <x:f>AU143*AT143</x:f>
        <x:v>480.44595905298434</x:v>
      </x:c>
      <x:c r="AW143" s="226" t="str">
        <x:v>GBP</x:v>
      </x:c>
      <x:c r="AX143" s="226" t="n">
        <x:v>3.6144</x:v>
      </x:c>
      <x:c r="AY143" s="226" t="n">
        <x:f>IF(AW143="EUR",AA143,IF(AW143="GBP",AB143,1))</x:f>
        <x:v>9.02</x:v>
      </x:c>
      <x:c r="AZ143" s="226" t="n">
        <x:f>V143*AX143</x:f>
        <x:v>5.139301128504464</x:v>
      </x:c>
      <x:c r="BA143" s="226" t="n">
        <x:f>AZ143*AY143</x:f>
        <x:v>46.35649617911026</x:v>
      </x:c>
      <x:c r="BB143" s="226" t="n">
        <x:f>AF143+AG143+AL143+AQ143+AV143+BA143</x:f>
        <x:v>12783.039463758168</x:v>
      </x:c>
      <x:c r="BC143" s="229" t="n">
        <x:v>0.989</x:v>
      </x:c>
      <x:c r="BD143" s="202"/>
      <x:c r="BE143" s="202"/>
      <x:c r="BF143" s="202"/>
      <x:c r="BG143" s="202" t="str">
        <x:v>UNVERIFIED_UNLIMITED_FOR_MVP</x:v>
      </x:c>
    </x:row>
    <x:row r="144">
      <x:c r="A144" s="187" t="str">
        <x:v>ACTUAL_2026_08_CLOSE_V1</x:v>
      </x:c>
      <x:c r="B144" s="187" t="str">
        <x:v>ACTUAL</x:v>
      </x:c>
      <x:c r="C144" s="187"/>
      <x:c r="D144" s="217" t="n">
        <x:v>46054</x:v>
      </x:c>
      <x:c r="E144" s="187" t="str">
        <x:v>R_GB_FR_B_AIR</x:v>
      </x:c>
      <x:c r="F144" s="187" t="str">
        <x:v>GB</x:v>
      </x:c>
      <x:c r="G144" s="187" t="str">
        <x:v>FR_FC</x:v>
      </x:c>
      <x:c r="H144" s="187" t="str">
        <x:v>CARRIER_B</x:v>
      </x:c>
      <x:c r="I144" s="187" t="str">
        <x:v>AIR</x:v>
      </x:c>
      <x:c r="J144" s="220" t="n">
        <x:v>13680</x:v>
      </x:c>
      <x:c r="K144" s="223" t="n">
        <x:v>0.263</x:v>
      </x:c>
      <x:c r="L144" s="223" t="n">
        <x:v>0.04</x:v>
      </x:c>
      <x:c r="M144" s="223" t="n">
        <x:v>1</x:v>
      </x:c>
      <x:c r="N144" s="226" t="n">
        <x:f>J144*K144*L144*M144</x:f>
        <x:v>143.9136</x:v>
      </x:c>
      <x:c r="O144" s="220" t="n">
        <x:v>1.15115</x:v>
      </x:c>
      <x:c r="P144" s="226" t="n">
        <x:f>N144*O144</x:f>
        <x:v>165.66614063999998</x:v>
      </x:c>
      <x:c r="Q144" s="220" t="n">
        <x:v>0.9045</x:v>
      </x:c>
      <x:c r="R144" s="226" t="n">
        <x:f>P144*Q144</x:f>
        <x:v>149.84502420887998</x:v>
      </x:c>
      <x:c r="S144" s="220" t="n">
        <x:v>0.08</x:v>
      </x:c>
      <x:c r="T144" s="226" t="n">
        <x:f>N144*S144</x:f>
        <x:v>11.513088</x:v>
      </x:c>
      <x:c r="U144" s="226" t="n">
        <x:v>0.01224</x:v>
      </x:c>
      <x:c r="V144" s="226" t="n">
        <x:f>P144*U144</x:f>
        <x:v>2.0277535614335997</x:v>
      </x:c>
      <x:c r="W144" s="196" t="str">
        <x:v>EUR</x:v>
      </x:c>
      <x:c r="X144" s="220" t="n">
        <x:v>6.7268</x:v>
      </x:c>
      <x:c r="Y144" s="196" t="str">
        <x:v>PERCENTAGE_OF_BASE_FREIGHT</x:v>
      </x:c>
      <x:c r="Z144" s="220" t="n">
        <x:v>0.10542</x:v>
      </x:c>
      <x:c r="AA144" s="220" t="n">
        <x:v>7.76</x:v>
      </x:c>
      <x:c r="AB144" s="220" t="n">
        <x:v>9.02</x:v>
      </x:c>
      <x:c r="AC144" s="226" t="n">
        <x:f>IF(W144="EUR",AA144,IF(W144="GBP",AB144,1))</x:f>
        <x:v>7.76</x:v>
      </x:c>
      <x:c r="AD144" s="226" t="n">
        <x:f>R144*X144</x:f>
        <x:v>1007.9775088482938</x:v>
      </x:c>
      <x:c r="AE144" s="226" t="n">
        <x:f>IF(Y144="PERCENTAGE_OF_BASE_FREIGHT",AD144*Z144,IF(Y144="PER_CHARGEABLE_KG",R144*Z144,P144*Z144))</x:f>
        <x:v>106.26098898278714</x:v>
      </x:c>
      <x:c r="AF144" s="226" t="n">
        <x:f>AD144*AC144</x:f>
        <x:v>7821.90546866276</x:v>
      </x:c>
      <x:c r="AG144" s="226" t="n">
        <x:f>AE144*AC144</x:f>
        <x:v>824.5852745064282</x:v>
      </x:c>
      <x:c r="AH144" s="226" t="str">
        <x:v>EUR</x:v>
      </x:c>
      <x:c r="AI144" s="226" t="n">
        <x:v>1.0542</x:v>
      </x:c>
      <x:c r="AJ144" s="226" t="n">
        <x:f>IF(AH144="EUR",AA144,IF(AH144="GBP",AB144,1))</x:f>
        <x:v>7.76</x:v>
      </x:c>
      <x:c r="AK144" s="226" t="n">
        <x:f>N144*AI144</x:f>
        <x:v>151.71371712</x:v>
      </x:c>
      <x:c r="AL144" s="226" t="n">
        <x:f>AK144*AJ144</x:f>
        <x:v>1177.2984448512</x:v>
      </x:c>
      <x:c r="AM144" s="226" t="str">
        <x:v>EUR</x:v>
      </x:c>
      <x:c r="AN144" s="226" t="n">
        <x:v>0.38152</x:v>
      </x:c>
      <x:c r="AO144" s="226" t="n">
        <x:f>IF(AM144="EUR",AA144,IF(AM144="GBP",AB144,1))</x:f>
        <x:v>7.76</x:v>
      </x:c>
      <x:c r="AP144" s="226" t="n">
        <x:f>P144*AN144</x:f>
        <x:v>63.204945976972795</x:v>
      </x:c>
      <x:c r="AQ144" s="226" t="n">
        <x:f>AP144*AO144</x:f>
        <x:v>490.47038078130885</x:v>
      </x:c>
      <x:c r="AR144" s="226" t="str">
        <x:v>EUR</x:v>
      </x:c>
      <x:c r="AS144" s="226" t="n">
        <x:v>5.2208</x:v>
      </x:c>
      <x:c r="AT144" s="226" t="n">
        <x:f>IF(AR144="EUR",AA144,IF(AR144="GBP",AB144,1))</x:f>
        <x:v>7.76</x:v>
      </x:c>
      <x:c r="AU144" s="226" t="n">
        <x:f>T144*AS144</x:f>
        <x:v>60.1075298304</x:v>
      </x:c>
      <x:c r="AV144" s="226" t="n">
        <x:f>AU144*AT144</x:f>
        <x:v>466.43443148390395</x:v>
      </x:c>
      <x:c r="AW144" s="226" t="str">
        <x:v>EUR</x:v>
      </x:c>
      <x:c r="AX144" s="226" t="n">
        <x:v>2.8112</x:v>
      </x:c>
      <x:c r="AY144" s="226" t="n">
        <x:f>IF(AW144="EUR",AA144,IF(AW144="GBP",AB144,1))</x:f>
        <x:v>7.76</x:v>
      </x:c>
      <x:c r="AZ144" s="226" t="n">
        <x:f>V144*AX144</x:f>
        <x:v>5.700420811902135</x:v>
      </x:c>
      <x:c r="BA144" s="226" t="n">
        <x:f>AZ144*AY144</x:f>
        <x:v>44.23526550036057</x:v>
      </x:c>
      <x:c r="BB144" s="226" t="n">
        <x:f>AF144+AG144+AL144+AQ144+AV144+BA144</x:f>
        <x:v>10824.92926578596</x:v>
      </x:c>
      <x:c r="BC144" s="229" t="n">
        <x:v>0.972</x:v>
      </x:c>
      <x:c r="BD144" s="202"/>
      <x:c r="BE144" s="202"/>
      <x:c r="BF144" s="202"/>
      <x:c r="BG144" s="202" t="str">
        <x:v>UNVERIFIED_UNLIMITED_FOR_MVP</x:v>
      </x:c>
    </x:row>
    <x:row r="145">
      <x:c r="A145" s="187" t="str">
        <x:v>ACTUAL_2026_08_CLOSE_V1</x:v>
      </x:c>
      <x:c r="B145" s="187" t="str">
        <x:v>ACTUAL</x:v>
      </x:c>
      <x:c r="C145" s="187"/>
      <x:c r="D145" s="217" t="n">
        <x:v>46082</x:v>
      </x:c>
      <x:c r="E145" s="187" t="str">
        <x:v>R_DE_DE_A_ROAD</x:v>
      </x:c>
      <x:c r="F145" s="187" t="str">
        <x:v>DE</x:v>
      </x:c>
      <x:c r="G145" s="187" t="str">
        <x:v>DE_FC</x:v>
      </x:c>
      <x:c r="H145" s="187" t="str">
        <x:v>CARRIER_A</x:v>
      </x:c>
      <x:c r="I145" s="187" t="str">
        <x:v>ROAD</x:v>
      </x:c>
      <x:c r="J145" s="220" t="n">
        <x:v>15300</x:v>
      </x:c>
      <x:c r="K145" s="223" t="n">
        <x:v>0.397</x:v>
      </x:c>
      <x:c r="L145" s="223" t="n">
        <x:v>0.97</x:v>
      </x:c>
      <x:c r="M145" s="223" t="n">
        <x:v>0.6</x:v>
      </x:c>
      <x:c r="N145" s="226" t="n">
        <x:f>J145*K145*L145*M145</x:f>
        <x:v>3535.1262</x:v>
      </x:c>
      <x:c r="O145" s="220" t="n">
        <x:v>1.0521</x:v>
      </x:c>
      <x:c r="P145" s="226" t="n">
        <x:f>N145*O145</x:f>
        <x:v>3719.30627502</x:v>
      </x:c>
      <x:c r="Q145" s="220" t="n">
        <x:v>0.7839</x:v>
      </x:c>
      <x:c r="R145" s="226" t="n">
        <x:f>P145*Q145</x:f>
        <x:v>2915.564188988178</x:v>
      </x:c>
      <x:c r="S145" s="220" t="n">
        <x:v>0.05</x:v>
      </x:c>
      <x:c r="T145" s="226" t="n">
        <x:f>N145*S145</x:f>
        <x:v>176.75631</x:v>
      </x:c>
      <x:c r="U145" s="226" t="n">
        <x:v>0.01632</x:v>
      </x:c>
      <x:c r="V145" s="226" t="n">
        <x:f>P145*U145</x:f>
        <x:v>60.69907840832641</x:v>
      </x:c>
      <x:c r="W145" s="196" t="str">
        <x:v>EUR</x:v>
      </x:c>
      <x:c r="X145" s="220" t="n">
        <x:v>2.2132</x:v>
      </x:c>
      <x:c r="Y145" s="196" t="str">
        <x:v>PERCENTAGE_OF_BASE_FREIGHT</x:v>
      </x:c>
      <x:c r="Z145" s="220" t="n">
        <x:v>0.09557</x:v>
      </x:c>
      <x:c r="AA145" s="220" t="n">
        <x:v>7.82</x:v>
      </x:c>
      <x:c r="AB145" s="220" t="n">
        <x:v>9.08</x:v>
      </x:c>
      <x:c r="AC145" s="226" t="n">
        <x:f>IF(W145="EUR",AA145,IF(W145="GBP",AB145,1))</x:f>
        <x:v>7.82</x:v>
      </x:c>
      <x:c r="AD145" s="226" t="n">
        <x:f>R145*X145</x:f>
        <x:v>6452.726663068636</x:v>
      </x:c>
      <x:c r="AE145" s="226" t="n">
        <x:f>IF(Y145="PERCENTAGE_OF_BASE_FREIGHT",AD145*Z145,IF(Y145="PER_CHARGEABLE_KG",R145*Z145,P145*Z145))</x:f>
        <x:v>616.6870871894696</x:v>
      </x:c>
      <x:c r="AF145" s="226" t="n">
        <x:f>AD145*AC145</x:f>
        <x:v>50460.32250519674</x:v>
      </x:c>
      <x:c r="AG145" s="226" t="n">
        <x:f>AE145*AC145</x:f>
        <x:v>4822.493021821652</x:v>
      </x:c>
      <x:c r="AH145" s="226" t="str">
        <x:v>EUR</x:v>
      </x:c>
      <x:c r="AI145" s="226" t="n">
        <x:v>1.18708</x:v>
      </x:c>
      <x:c r="AJ145" s="226" t="n">
        <x:f>IF(AH145="EUR",AA145,IF(AH145="GBP",AB145,1))</x:f>
        <x:v>7.82</x:v>
      </x:c>
      <x:c r="AK145" s="226" t="n">
        <x:f>N145*AI145</x:f>
        <x:v>4196.477609496</x:v>
      </x:c>
      <x:c r="AL145" s="226" t="n">
        <x:f>AK145*AJ145</x:f>
        <x:v>32816.45490625872</x:v>
      </x:c>
      <x:c r="AM145" s="226" t="str">
        <x:v>EUR</x:v>
      </x:c>
      <x:c r="AN145" s="226" t="n">
        <x:v>0.42252</x:v>
      </x:c>
      <x:c r="AO145" s="226" t="n">
        <x:f>IF(AM145="EUR",AA145,IF(AM145="GBP",AB145,1))</x:f>
        <x:v>7.82</x:v>
      </x:c>
      <x:c r="AP145" s="226" t="n">
        <x:f>P145*AN145</x:f>
        <x:v>1571.4812873214505</x:v>
      </x:c>
      <x:c r="AQ145" s="226" t="n">
        <x:f>AP145*AO145</x:f>
        <x:v>12288.983666853743</x:v>
      </x:c>
      <x:c r="AR145" s="226" t="str">
        <x:v>EUR</x:v>
      </x:c>
      <x:c r="AS145" s="226" t="n">
        <x:v>3.2192</x:v>
      </x:c>
      <x:c r="AT145" s="226" t="n">
        <x:f>IF(AR145="EUR",AA145,IF(AR145="GBP",AB145,1))</x:f>
        <x:v>7.82</x:v>
      </x:c>
      <x:c r="AU145" s="226" t="n">
        <x:f>T145*AS145</x:f>
        <x:v>569.013913152</x:v>
      </x:c>
      <x:c r="AV145" s="226" t="n">
        <x:f>AU145*AT145</x:f>
        <x:v>4449.68880084864</x:v>
      </x:c>
      <x:c r="AW145" s="226" t="str">
        <x:v>EUR</x:v>
      </x:c>
      <x:c r="AX145" s="226" t="n">
        <x:v>2.3138</x:v>
      </x:c>
      <x:c r="AY145" s="226" t="n">
        <x:f>IF(AW145="EUR",AA145,IF(AW145="GBP",AB145,1))</x:f>
        <x:v>7.82</x:v>
      </x:c>
      <x:c r="AZ145" s="226" t="n">
        <x:f>V145*AX145</x:f>
        <x:v>140.44552762118565</x:v>
      </x:c>
      <x:c r="BA145" s="226" t="n">
        <x:f>AZ145*AY145</x:f>
        <x:v>1098.2840259976717</x:v>
      </x:c>
      <x:c r="BB145" s="226" t="n">
        <x:f>AF145+AG145+AL145+AQ145+AV145+BA145</x:f>
        <x:v>105936.22692697716</x:v>
      </x:c>
      <x:c r="BC145" s="229" t="n">
        <x:v>0.966</x:v>
      </x:c>
      <x:c r="BD145" s="202"/>
      <x:c r="BE145" s="202"/>
      <x:c r="BF145" s="202"/>
      <x:c r="BG145" s="202" t="str">
        <x:v>UNVERIFIED_UNLIMITED_FOR_MVP</x:v>
      </x:c>
    </x:row>
    <x:row r="146">
      <x:c r="A146" s="187" t="str">
        <x:v>ACTUAL_2026_08_CLOSE_V1</x:v>
      </x:c>
      <x:c r="B146" s="187" t="str">
        <x:v>ACTUAL</x:v>
      </x:c>
      <x:c r="C146" s="187"/>
      <x:c r="D146" s="217" t="n">
        <x:v>46082</x:v>
      </x:c>
      <x:c r="E146" s="187" t="str">
        <x:v>R_DE_DE_B_ROAD</x:v>
      </x:c>
      <x:c r="F146" s="187" t="str">
        <x:v>DE</x:v>
      </x:c>
      <x:c r="G146" s="187" t="str">
        <x:v>DE_FC</x:v>
      </x:c>
      <x:c r="H146" s="187" t="str">
        <x:v>CARRIER_B</x:v>
      </x:c>
      <x:c r="I146" s="187" t="str">
        <x:v>ROAD</x:v>
      </x:c>
      <x:c r="J146" s="220" t="n">
        <x:v>15300</x:v>
      </x:c>
      <x:c r="K146" s="223" t="n">
        <x:v>0.397</x:v>
      </x:c>
      <x:c r="L146" s="223" t="n">
        <x:v>0.97</x:v>
      </x:c>
      <x:c r="M146" s="223" t="n">
        <x:v>0.4</x:v>
      </x:c>
      <x:c r="N146" s="226" t="n">
        <x:f>J146*K146*L146*M146</x:f>
        <x:v>2356.7508000000003</x:v>
      </x:c>
      <x:c r="O146" s="220" t="n">
        <x:v>1.0521</x:v>
      </x:c>
      <x:c r="P146" s="226" t="n">
        <x:f>N146*O146</x:f>
        <x:v>2479.5375166800004</x:v>
      </x:c>
      <x:c r="Q146" s="220" t="n">
        <x:v>0.804</x:v>
      </x:c>
      <x:c r="R146" s="226" t="n">
        <x:f>P146*Q146</x:f>
        <x:v>1993.5481634107205</x:v>
      </x:c>
      <x:c r="S146" s="220" t="n">
        <x:v>0.05</x:v>
      </x:c>
      <x:c r="T146" s="226" t="n">
        <x:f>N146*S146</x:f>
        <x:v>117.83754000000002</x:v>
      </x:c>
      <x:c r="U146" s="226" t="n">
        <x:v>0.01326</x:v>
      </x:c>
      <x:c r="V146" s="226" t="n">
        <x:f>P146*U146</x:f>
        <x:v>32.878667471176804</x:v>
      </x:c>
      <x:c r="W146" s="196" t="str">
        <x:v>EUR</x:v>
      </x:c>
      <x:c r="X146" s="220" t="n">
        <x:v>2.7665</x:v>
      </x:c>
      <x:c r="Y146" s="196" t="str">
        <x:v>PER_CHARGEABLE_KG</x:v>
      </x:c>
      <x:c r="Z146" s="220" t="n">
        <x:v>0.21126</x:v>
      </x:c>
      <x:c r="AA146" s="220" t="n">
        <x:v>7.82</x:v>
      </x:c>
      <x:c r="AB146" s="220" t="n">
        <x:v>9.08</x:v>
      </x:c>
      <x:c r="AC146" s="226" t="n">
        <x:f>IF(W146="EUR",AA146,IF(W146="GBP",AB146,1))</x:f>
        <x:v>7.82</x:v>
      </x:c>
      <x:c r="AD146" s="226" t="n">
        <x:f>R146*X146</x:f>
        <x:v>5515.150994075759</x:v>
      </x:c>
      <x:c r="AE146" s="226" t="n">
        <x:f>IF(Y146="PERCENTAGE_OF_BASE_FREIGHT",AD146*Z146,IF(Y146="PER_CHARGEABLE_KG",R146*Z146,P146*Z146))</x:f>
        <x:v>421.1569850021488</x:v>
      </x:c>
      <x:c r="AF146" s="226" t="n">
        <x:f>AD146*AC146</x:f>
        <x:v>43128.48077367243</x:v>
      </x:c>
      <x:c r="AG146" s="226" t="n">
        <x:f>AE146*AC146</x:f>
        <x:v>3293.447622716804</x:v>
      </x:c>
      <x:c r="AH146" s="226" t="str">
        <x:v>EUR</x:v>
      </x:c>
      <x:c r="AI146" s="226" t="n">
        <x:v>1.18708</x:v>
      </x:c>
      <x:c r="AJ146" s="226" t="n">
        <x:f>IF(AH146="EUR",AA146,IF(AH146="GBP",AB146,1))</x:f>
        <x:v>7.82</x:v>
      </x:c>
      <x:c r="AK146" s="226" t="n">
        <x:f>N146*AI146</x:f>
        <x:v>2797.651739664</x:v>
      </x:c>
      <x:c r="AL146" s="226" t="n">
        <x:f>AK146*AJ146</x:f>
        <x:v>21877.636604172483</x:v>
      </x:c>
      <x:c r="AM146" s="226" t="str">
        <x:v>EUR</x:v>
      </x:c>
      <x:c r="AN146" s="226" t="n">
        <x:v>0.42252</x:v>
      </x:c>
      <x:c r="AO146" s="226" t="n">
        <x:f>IF(AM146="EUR",AA146,IF(AM146="GBP",AB146,1))</x:f>
        <x:v>7.82</x:v>
      </x:c>
      <x:c r="AP146" s="226" t="n">
        <x:f>P146*AN146</x:f>
        <x:v>1047.654191547634</x:v>
      </x:c>
      <x:c r="AQ146" s="226" t="n">
        <x:f>AP146*AO146</x:f>
        <x:v>8192.655777902497</x:v>
      </x:c>
      <x:c r="AR146" s="226" t="str">
        <x:v>EUR</x:v>
      </x:c>
      <x:c r="AS146" s="226" t="n">
        <x:v>3.2192</x:v>
      </x:c>
      <x:c r="AT146" s="226" t="n">
        <x:f>IF(AR146="EUR",AA146,IF(AR146="GBP",AB146,1))</x:f>
        <x:v>7.82</x:v>
      </x:c>
      <x:c r="AU146" s="226" t="n">
        <x:f>T146*AS146</x:f>
        <x:v>379.34260876800005</x:v>
      </x:c>
      <x:c r="AV146" s="226" t="n">
        <x:f>AU146*AT146</x:f>
        <x:v>2966.4592005657605</x:v>
      </x:c>
      <x:c r="AW146" s="226" t="str">
        <x:v>EUR</x:v>
      </x:c>
      <x:c r="AX146" s="226" t="n">
        <x:v>2.3138</x:v>
      </x:c>
      <x:c r="AY146" s="226" t="n">
        <x:f>IF(AW146="EUR",AA146,IF(AW146="GBP",AB146,1))</x:f>
        <x:v>7.82</x:v>
      </x:c>
      <x:c r="AZ146" s="226" t="n">
        <x:f>V146*AX146</x:f>
        <x:v>76.07466079480889</x:v>
      </x:c>
      <x:c r="BA146" s="226" t="n">
        <x:f>AZ146*AY146</x:f>
        <x:v>594.9038474154056</x:v>
      </x:c>
      <x:c r="BB146" s="226" t="n">
        <x:f>AF146+AG146+AL146+AQ146+AV146+BA146</x:f>
        <x:v>80053.58382644539</x:v>
      </x:c>
      <x:c r="BC146" s="229" t="n">
        <x:v>0.977</x:v>
      </x:c>
      <x:c r="BD146" s="202"/>
      <x:c r="BE146" s="202"/>
      <x:c r="BF146" s="202"/>
      <x:c r="BG146" s="202" t="str">
        <x:v>UNVERIFIED_UNLIMITED_FOR_MVP</x:v>
      </x:c>
    </x:row>
    <x:row r="147">
      <x:c r="A147" s="187" t="str">
        <x:v>ACTUAL_2026_08_CLOSE_V1</x:v>
      </x:c>
      <x:c r="B147" s="187" t="str">
        <x:v>ACTUAL</x:v>
      </x:c>
      <x:c r="C147" s="187"/>
      <x:c r="D147" s="217" t="n">
        <x:v>46082</x:v>
      </x:c>
      <x:c r="E147" s="187" t="str">
        <x:v>R_DE_FR_B_ROAD</x:v>
      </x:c>
      <x:c r="F147" s="187" t="str">
        <x:v>DE</x:v>
      </x:c>
      <x:c r="G147" s="187" t="str">
        <x:v>FR_FC</x:v>
      </x:c>
      <x:c r="H147" s="187" t="str">
        <x:v>CARRIER_B</x:v>
      </x:c>
      <x:c r="I147" s="187" t="str">
        <x:v>ROAD</x:v>
      </x:c>
      <x:c r="J147" s="220" t="n">
        <x:v>15300</x:v>
      </x:c>
      <x:c r="K147" s="223" t="n">
        <x:v>0.397</x:v>
      </x:c>
      <x:c r="L147" s="223" t="n">
        <x:v>0.03</x:v>
      </x:c>
      <x:c r="M147" s="223" t="n">
        <x:v>1</x:v>
      </x:c>
      <x:c r="N147" s="226" t="n">
        <x:f>J147*K147*L147*M147</x:f>
        <x:v>182.223</x:v>
      </x:c>
      <x:c r="O147" s="220" t="n">
        <x:v>1.08216</x:v>
      </x:c>
      <x:c r="P147" s="226" t="n">
        <x:f>N147*O147</x:f>
        <x:v>197.19444168</x:v>
      </x:c>
      <x:c r="Q147" s="220" t="n">
        <x:v>0.8643</x:v>
      </x:c>
      <x:c r="R147" s="226" t="n">
        <x:f>P147*Q147</x:f>
        <x:v>170.435155944024</x:v>
      </x:c>
      <x:c r="S147" s="220" t="n">
        <x:v>0.05</x:v>
      </x:c>
      <x:c r="T147" s="226" t="n">
        <x:f>N147*S147</x:f>
        <x:v>9.11115</x:v>
      </x:c>
      <x:c r="U147" s="226" t="n">
        <x:v>0.01428</x:v>
      </x:c>
      <x:c r="V147" s="226" t="n">
        <x:f>P147*U147</x:f>
        <x:v>2.8159366271904</x:v>
      </x:c>
      <x:c r="W147" s="196" t="str">
        <x:v>EUR</x:v>
      </x:c>
      <x:c r="X147" s="220" t="n">
        <x:v>3.3198</x:v>
      </x:c>
      <x:c r="Y147" s="196" t="str">
        <x:v>PER_CHARGEABLE_KG</x:v>
      </x:c>
      <x:c r="Z147" s="220" t="n">
        <x:v>0.24144</x:v>
      </x:c>
      <x:c r="AA147" s="220" t="n">
        <x:v>7.82</x:v>
      </x:c>
      <x:c r="AB147" s="220" t="n">
        <x:v>9.08</x:v>
      </x:c>
      <x:c r="AC147" s="226" t="n">
        <x:f>IF(W147="EUR",AA147,IF(W147="GBP",AB147,1))</x:f>
        <x:v>7.82</x:v>
      </x:c>
      <x:c r="AD147" s="226" t="n">
        <x:f>R147*X147</x:f>
        <x:v>565.8106307029708</x:v>
      </x:c>
      <x:c r="AE147" s="226" t="n">
        <x:f>IF(Y147="PERCENTAGE_OF_BASE_FREIGHT",AD147*Z147,IF(Y147="PER_CHARGEABLE_KG",R147*Z147,P147*Z147))</x:f>
        <x:v>41.14986405112515</x:v>
      </x:c>
      <x:c r="AF147" s="226" t="n">
        <x:f>AD147*AC147</x:f>
        <x:v>4424.639132097232</x:v>
      </x:c>
      <x:c r="AG147" s="226" t="n">
        <x:f>AE147*AC147</x:f>
        <x:v>321.7919368797987</x:v>
      </x:c>
      <x:c r="AH147" s="226" t="str">
        <x:v>EUR</x:v>
      </x:c>
      <x:c r="AI147" s="226" t="n">
        <x:v>1.0563</x:v>
      </x:c>
      <x:c r="AJ147" s="226" t="n">
        <x:f>IF(AH147="EUR",AA147,IF(AH147="GBP",AB147,1))</x:f>
        <x:v>7.82</x:v>
      </x:c>
      <x:c r="AK147" s="226" t="n">
        <x:f>N147*AI147</x:f>
        <x:v>192.4821549</x:v>
      </x:c>
      <x:c r="AL147" s="226" t="n">
        <x:f>AK147*AJ147</x:f>
        <x:v>1505.2104513180002</x:v>
      </x:c>
      <x:c r="AM147" s="226" t="str">
        <x:v>EUR</x:v>
      </x:c>
      <x:c r="AN147" s="226" t="n">
        <x:v>0.38228</x:v>
      </x:c>
      <x:c r="AO147" s="226" t="n">
        <x:f>IF(AM147="EUR",AA147,IF(AM147="GBP",AB147,1))</x:f>
        <x:v>7.82</x:v>
      </x:c>
      <x:c r="AP147" s="226" t="n">
        <x:f>P147*AN147</x:f>
        <x:v>75.3834911654304</x:v>
      </x:c>
      <x:c r="AQ147" s="226" t="n">
        <x:f>AP147*AO147</x:f>
        <x:v>589.4989009136657</x:v>
      </x:c>
      <x:c r="AR147" s="226" t="str">
        <x:v>EUR</x:v>
      </x:c>
      <x:c r="AS147" s="226" t="n">
        <x:v>3.8228</x:v>
      </x:c>
      <x:c r="AT147" s="226" t="n">
        <x:f>IF(AR147="EUR",AA147,IF(AR147="GBP",AB147,1))</x:f>
        <x:v>7.82</x:v>
      </x:c>
      <x:c r="AU147" s="226" t="n">
        <x:f>T147*AS147</x:f>
        <x:v>34.83010422</x:v>
      </x:c>
      <x:c r="AV147" s="226" t="n">
        <x:f>AU147*AT147</x:f>
        <x:v>272.3714150004</x:v>
      </x:c>
      <x:c r="AW147" s="226" t="str">
        <x:v>EUR</x:v>
      </x:c>
      <x:c r="AX147" s="226" t="n">
        <x:v>2.3138</x:v>
      </x:c>
      <x:c r="AY147" s="226" t="n">
        <x:f>IF(AW147="EUR",AA147,IF(AW147="GBP",AB147,1))</x:f>
        <x:v>7.82</x:v>
      </x:c>
      <x:c r="AZ147" s="226" t="n">
        <x:f>V147*AX147</x:f>
        <x:v>6.515514167993147</x:v>
      </x:c>
      <x:c r="BA147" s="226" t="n">
        <x:f>AZ147*AY147</x:f>
        <x:v>50.95132079370641</x:v>
      </x:c>
      <x:c r="BB147" s="226" t="n">
        <x:f>AF147+AG147+AL147+AQ147+AV147+BA147</x:f>
        <x:v>7164.463157002802</x:v>
      </x:c>
      <x:c r="BC147" s="229" t="n">
        <x:v>0.969</x:v>
      </x:c>
      <x:c r="BD147" s="202"/>
      <x:c r="BE147" s="202"/>
      <x:c r="BF147" s="202"/>
      <x:c r="BG147" s="202" t="str">
        <x:v>UNVERIFIED_UNLIMITED_FOR_MVP</x:v>
      </x:c>
    </x:row>
    <x:row r="148">
      <x:c r="A148" s="187" t="str">
        <x:v>ACTUAL_2026_08_CLOSE_V1</x:v>
      </x:c>
      <x:c r="B148" s="187" t="str">
        <x:v>ACTUAL</x:v>
      </x:c>
      <x:c r="C148" s="187"/>
      <x:c r="D148" s="217" t="n">
        <x:v>46082</x:v>
      </x:c>
      <x:c r="E148" s="187" t="str">
        <x:v>R_FR_FR_A_ROAD</x:v>
      </x:c>
      <x:c r="F148" s="187" t="str">
        <x:v>FR</x:v>
      </x:c>
      <x:c r="G148" s="187" t="str">
        <x:v>FR_FC</x:v>
      </x:c>
      <x:c r="H148" s="187" t="str">
        <x:v>CARRIER_A</x:v>
      </x:c>
      <x:c r="I148" s="187" t="str">
        <x:v>ROAD</x:v>
      </x:c>
      <x:c r="J148" s="220" t="n">
        <x:v>15300</x:v>
      </x:c>
      <x:c r="K148" s="223" t="n">
        <x:v>0.319</x:v>
      </x:c>
      <x:c r="L148" s="223" t="n">
        <x:v>1</x:v>
      </x:c>
      <x:c r="M148" s="223" t="n">
        <x:v>0.35</x:v>
      </x:c>
      <x:c r="N148" s="226" t="n">
        <x:f>J148*K148*L148*M148</x:f>
        <x:v>1708.245</x:v>
      </x:c>
      <x:c r="O148" s="220" t="n">
        <x:v>1.06212</x:v>
      </x:c>
      <x:c r="P148" s="226" t="n">
        <x:f>N148*O148</x:f>
        <x:v>1814.3611793999999</x:v>
      </x:c>
      <x:c r="Q148" s="220" t="n">
        <x:v>0.7638</x:v>
      </x:c>
      <x:c r="R148" s="226" t="n">
        <x:f>P148*Q148</x:f>
        <x:v>1385.80906882572</x:v>
      </x:c>
      <x:c r="S148" s="220" t="n">
        <x:v>0.06</x:v>
      </x:c>
      <x:c r="T148" s="226" t="n">
        <x:f>N148*S148</x:f>
        <x:v>102.4947</x:v>
      </x:c>
      <x:c r="U148" s="226" t="n">
        <x:v>0.01734</x:v>
      </x:c>
      <x:c r="V148" s="226" t="n">
        <x:f>P148*U148</x:f>
        <x:v>31.461022850796</x:v>
      </x:c>
      <x:c r="W148" s="196" t="str">
        <x:v>EUR</x:v>
      </x:c>
      <x:c r="X148" s="220" t="n">
        <x:v>2.1126</x:v>
      </x:c>
      <x:c r="Y148" s="196" t="str">
        <x:v>PERCENTAGE_OF_BASE_FREIGHT</x:v>
      </x:c>
      <x:c r="Z148" s="220" t="n">
        <x:v>0.09054</x:v>
      </x:c>
      <x:c r="AA148" s="220" t="n">
        <x:v>7.82</x:v>
      </x:c>
      <x:c r="AB148" s="220" t="n">
        <x:v>9.08</x:v>
      </x:c>
      <x:c r="AC148" s="226" t="n">
        <x:f>IF(W148="EUR",AA148,IF(W148="GBP",AB148,1))</x:f>
        <x:v>7.82</x:v>
      </x:c>
      <x:c r="AD148" s="226" t="n">
        <x:f>R148*X148</x:f>
        <x:v>2927.660238801216</x:v>
      </x:c>
      <x:c r="AE148" s="226" t="n">
        <x:f>IF(Y148="PERCENTAGE_OF_BASE_FREIGHT",AD148*Z148,IF(Y148="PER_CHARGEABLE_KG",R148*Z148,P148*Z148))</x:f>
        <x:v>265.0703580210621</x:v>
      </x:c>
      <x:c r="AF148" s="226" t="n">
        <x:f>AD148*AC148</x:f>
        <x:v>22894.30306742551</x:v>
      </x:c>
      <x:c r="AG148" s="226" t="n">
        <x:f>AE148*AC148</x:f>
        <x:v>2072.8501997247054</x:v>
      </x:c>
      <x:c r="AH148" s="226" t="str">
        <x:v>EUR</x:v>
      </x:c>
      <x:c r="AI148" s="226" t="n">
        <x:v>1.0563</x:v>
      </x:c>
      <x:c r="AJ148" s="226" t="n">
        <x:f>IF(AH148="EUR",AA148,IF(AH148="GBP",AB148,1))</x:f>
        <x:v>7.82</x:v>
      </x:c>
      <x:c r="AK148" s="226" t="n">
        <x:f>N148*AI148</x:f>
        <x:v>1804.4191935</x:v>
      </x:c>
      <x:c r="AL148" s="226" t="n">
        <x:f>AK148*AJ148</x:f>
        <x:v>14110.55809317</x:v>
      </x:c>
      <x:c r="AM148" s="226" t="str">
        <x:v>EUR</x:v>
      </x:c>
      <x:c r="AN148" s="226" t="n">
        <x:v>0.38228</x:v>
      </x:c>
      <x:c r="AO148" s="226" t="n">
        <x:f>IF(AM148="EUR",AA148,IF(AM148="GBP",AB148,1))</x:f>
        <x:v>7.82</x:v>
      </x:c>
      <x:c r="AP148" s="226" t="n">
        <x:f>P148*AN148</x:f>
        <x:v>693.593991661032</x:v>
      </x:c>
      <x:c r="AQ148" s="226" t="n">
        <x:f>AP148*AO148</x:f>
        <x:v>5423.90501478927</x:v>
      </x:c>
      <x:c r="AR148" s="226" t="str">
        <x:v>EUR</x:v>
      </x:c>
      <x:c r="AS148" s="226" t="n">
        <x:v>3.018</x:v>
      </x:c>
      <x:c r="AT148" s="226" t="n">
        <x:f>IF(AR148="EUR",AA148,IF(AR148="GBP",AB148,1))</x:f>
        <x:v>7.82</x:v>
      </x:c>
      <x:c r="AU148" s="226" t="n">
        <x:f>T148*AS148</x:f>
        <x:v>309.32900459999996</x:v>
      </x:c>
      <x:c r="AV148" s="226" t="n">
        <x:f>AU148*AT148</x:f>
        <x:v>2418.952815972</x:v>
      </x:c>
      <x:c r="AW148" s="226" t="str">
        <x:v>EUR</x:v>
      </x:c>
      <x:c r="AX148" s="226" t="n">
        <x:v>2.3138</x:v>
      </x:c>
      <x:c r="AY148" s="226" t="n">
        <x:f>IF(AW148="EUR",AA148,IF(AW148="GBP",AB148,1))</x:f>
        <x:v>7.82</x:v>
      </x:c>
      <x:c r="AZ148" s="226" t="n">
        <x:f>V148*AX148</x:f>
        <x:v>72.79451467217179</x:v>
      </x:c>
      <x:c r="BA148" s="226" t="n">
        <x:f>AZ148*AY148</x:f>
        <x:v>569.2531047363834</x:v>
      </x:c>
      <x:c r="BB148" s="226" t="n">
        <x:f>AF148+AG148+AL148+AQ148+AV148+BA148</x:f>
        <x:v>47489.82229581787</x:v>
      </x:c>
      <x:c r="BC148" s="229" t="n">
        <x:v>0.962</x:v>
      </x:c>
      <x:c r="BD148" s="202"/>
      <x:c r="BE148" s="202"/>
      <x:c r="BF148" s="202"/>
      <x:c r="BG148" s="202" t="str">
        <x:v>UNVERIFIED_UNLIMITED_FOR_MVP</x:v>
      </x:c>
    </x:row>
    <x:row r="149">
      <x:c r="A149" s="187" t="str">
        <x:v>ACTUAL_2026_08_CLOSE_V1</x:v>
      </x:c>
      <x:c r="B149" s="187" t="str">
        <x:v>ACTUAL</x:v>
      </x:c>
      <x:c r="C149" s="187"/>
      <x:c r="D149" s="217" t="n">
        <x:v>46082</x:v>
      </x:c>
      <x:c r="E149" s="187" t="str">
        <x:v>R_FR_FR_B_ROAD</x:v>
      </x:c>
      <x:c r="F149" s="187" t="str">
        <x:v>FR</x:v>
      </x:c>
      <x:c r="G149" s="187" t="str">
        <x:v>FR_FC</x:v>
      </x:c>
      <x:c r="H149" s="187" t="str">
        <x:v>CARRIER_B</x:v>
      </x:c>
      <x:c r="I149" s="187" t="str">
        <x:v>ROAD</x:v>
      </x:c>
      <x:c r="J149" s="220" t="n">
        <x:v>15300</x:v>
      </x:c>
      <x:c r="K149" s="223" t="n">
        <x:v>0.319</x:v>
      </x:c>
      <x:c r="L149" s="223" t="n">
        <x:v>1</x:v>
      </x:c>
      <x:c r="M149" s="223" t="n">
        <x:v>0.65</x:v>
      </x:c>
      <x:c r="N149" s="226" t="n">
        <x:f>J149*K149*L149*M149</x:f>
        <x:v>3172.455</x:v>
      </x:c>
      <x:c r="O149" s="220" t="n">
        <x:v>1.06212</x:v>
      </x:c>
      <x:c r="P149" s="226" t="n">
        <x:f>N149*O149</x:f>
        <x:v>3369.5279045999996</x:v>
      </x:c>
      <x:c r="Q149" s="220" t="n">
        <x:v>0.79395</x:v>
      </x:c>
      <x:c r="R149" s="226" t="n">
        <x:f>P149*Q149</x:f>
        <x:v>2675.2366798571697</x:v>
      </x:c>
      <x:c r="S149" s="220" t="n">
        <x:v>0.06</x:v>
      </x:c>
      <x:c r="T149" s="226" t="n">
        <x:f>N149*S149</x:f>
        <x:v>190.3473</x:v>
      </x:c>
      <x:c r="U149" s="226" t="n">
        <x:v>0.01428</x:v>
      </x:c>
      <x:c r="V149" s="226" t="n">
        <x:f>P149*U149</x:f>
        <x:v>48.11685847768799</x:v>
      </x:c>
      <x:c r="W149" s="196" t="str">
        <x:v>EUR</x:v>
      </x:c>
      <x:c r="X149" s="220" t="n">
        <x:v>2.6156</x:v>
      </x:c>
      <x:c r="Y149" s="196" t="str">
        <x:v>PER_CHARGEABLE_KG</x:v>
      </x:c>
      <x:c r="Z149" s="220" t="n">
        <x:v>0.2012</x:v>
      </x:c>
      <x:c r="AA149" s="220" t="n">
        <x:v>7.82</x:v>
      </x:c>
      <x:c r="AB149" s="220" t="n">
        <x:v>9.08</x:v>
      </x:c>
      <x:c r="AC149" s="226" t="n">
        <x:f>IF(W149="EUR",AA149,IF(W149="GBP",AB149,1))</x:f>
        <x:v>7.82</x:v>
      </x:c>
      <x:c r="AD149" s="226" t="n">
        <x:f>R149*X149</x:f>
        <x:v>6997.349059834413</x:v>
      </x:c>
      <x:c r="AE149" s="226" t="n">
        <x:f>IF(Y149="PERCENTAGE_OF_BASE_FREIGHT",AD149*Z149,IF(Y149="PER_CHARGEABLE_KG",R149*Z149,P149*Z149))</x:f>
        <x:v>538.2576199872625</x:v>
      </x:c>
      <x:c r="AF149" s="226" t="n">
        <x:f>AD149*AC149</x:f>
        <x:v>54719.269647905116</x:v>
      </x:c>
      <x:c r="AG149" s="226" t="n">
        <x:f>AE149*AC149</x:f>
        <x:v>4209.174588300393</x:v>
      </x:c>
      <x:c r="AH149" s="226" t="str">
        <x:v>EUR</x:v>
      </x:c>
      <x:c r="AI149" s="226" t="n">
        <x:v>1.0563</x:v>
      </x:c>
      <x:c r="AJ149" s="226" t="n">
        <x:f>IF(AH149="EUR",AA149,IF(AH149="GBP",AB149,1))</x:f>
        <x:v>7.82</x:v>
      </x:c>
      <x:c r="AK149" s="226" t="n">
        <x:f>N149*AI149</x:f>
        <x:v>3351.0642165</x:v>
      </x:c>
      <x:c r="AL149" s="226" t="n">
        <x:f>AK149*AJ149</x:f>
        <x:v>26205.32217303</x:v>
      </x:c>
      <x:c r="AM149" s="226" t="str">
        <x:v>EUR</x:v>
      </x:c>
      <x:c r="AN149" s="226" t="n">
        <x:v>0.38228</x:v>
      </x:c>
      <x:c r="AO149" s="226" t="n">
        <x:f>IF(AM149="EUR",AA149,IF(AM149="GBP",AB149,1))</x:f>
        <x:v>7.82</x:v>
      </x:c>
      <x:c r="AP149" s="226" t="n">
        <x:f>P149*AN149</x:f>
        <x:v>1288.103127370488</x:v>
      </x:c>
      <x:c r="AQ149" s="226" t="n">
        <x:f>AP149*AO149</x:f>
        <x:v>10072.966456037217</x:v>
      </x:c>
      <x:c r="AR149" s="226" t="str">
        <x:v>EUR</x:v>
      </x:c>
      <x:c r="AS149" s="226" t="n">
        <x:v>3.018</x:v>
      </x:c>
      <x:c r="AT149" s="226" t="n">
        <x:f>IF(AR149="EUR",AA149,IF(AR149="GBP",AB149,1))</x:f>
        <x:v>7.82</x:v>
      </x:c>
      <x:c r="AU149" s="226" t="n">
        <x:f>T149*AS149</x:f>
        <x:v>574.4681513999999</x:v>
      </x:c>
      <x:c r="AV149" s="226" t="n">
        <x:f>AU149*AT149</x:f>
        <x:v>4492.340943947999</x:v>
      </x:c>
      <x:c r="AW149" s="226" t="str">
        <x:v>EUR</x:v>
      </x:c>
      <x:c r="AX149" s="226" t="n">
        <x:v>2.3138</x:v>
      </x:c>
      <x:c r="AY149" s="226" t="n">
        <x:f>IF(AW149="EUR",AA149,IF(AW149="GBP",AB149,1))</x:f>
        <x:v>7.82</x:v>
      </x:c>
      <x:c r="AZ149" s="226" t="n">
        <x:f>V149*AX149</x:f>
        <x:v>111.33278714567447</x:v>
      </x:c>
      <x:c r="BA149" s="226" t="n">
        <x:f>AZ149*AY149</x:f>
        <x:v>870.6223954791744</x:v>
      </x:c>
      <x:c r="BB149" s="226" t="n">
        <x:f>AF149+AG149+AL149+AQ149+AV149+BA149</x:f>
        <x:v>100569.69620469991</x:v>
      </x:c>
      <x:c r="BC149" s="229" t="n">
        <x:v>0.974</x:v>
      </x:c>
      <x:c r="BD149" s="202"/>
      <x:c r="BE149" s="202"/>
      <x:c r="BF149" s="202"/>
      <x:c r="BG149" s="202" t="str">
        <x:v>UNVERIFIED_UNLIMITED_FOR_MVP</x:v>
      </x:c>
    </x:row>
    <x:row r="150">
      <x:c r="A150" s="187" t="str">
        <x:v>ACTUAL_2026_08_CLOSE_V1</x:v>
      </x:c>
      <x:c r="B150" s="187" t="str">
        <x:v>ACTUAL</x:v>
      </x:c>
      <x:c r="C150" s="187"/>
      <x:c r="D150" s="217" t="n">
        <x:v>46082</x:v>
      </x:c>
      <x:c r="E150" s="187" t="str">
        <x:v>R_GB_DE_A_ROAD</x:v>
      </x:c>
      <x:c r="F150" s="187" t="str">
        <x:v>GB</x:v>
      </x:c>
      <x:c r="G150" s="187" t="str">
        <x:v>DE_FC</x:v>
      </x:c>
      <x:c r="H150" s="187" t="str">
        <x:v>CARRIER_A</x:v>
      </x:c>
      <x:c r="I150" s="187" t="str">
        <x:v>ROAD</x:v>
      </x:c>
      <x:c r="J150" s="220" t="n">
        <x:v>15300</x:v>
      </x:c>
      <x:c r="K150" s="223" t="n">
        <x:v>0.284</x:v>
      </x:c>
      <x:c r="L150" s="223" t="n">
        <x:v>0.96</x:v>
      </x:c>
      <x:c r="M150" s="223" t="n">
        <x:v>0.62</x:v>
      </x:c>
      <x:c r="N150" s="226" t="n">
        <x:f>J150*K150*L150*M150</x:f>
        <x:v>2586.26304</x:v>
      </x:c>
      <x:c r="O150" s="220" t="n">
        <x:v>1.12224</x:v>
      </x:c>
      <x:c r="P150" s="226" t="n">
        <x:f>N150*O150</x:f>
        <x:v>2902.4078340095994</x:v>
      </x:c>
      <x:c r="Q150" s="220" t="n">
        <x:v>1.0251</x:v>
      </x:c>
      <x:c r="R150" s="226" t="n">
        <x:f>P150*Q150</x:f>
        <x:v>2975.25827064324</x:v>
      </x:c>
      <x:c r="S150" s="220" t="n">
        <x:v>0.08</x:v>
      </x:c>
      <x:c r="T150" s="226" t="n">
        <x:f>N150*S150</x:f>
        <x:v>206.9010432</x:v>
      </x:c>
      <x:c r="U150" s="226" t="n">
        <x:v>0.02244</x:v>
      </x:c>
      <x:c r="V150" s="226" t="n">
        <x:f>P150*U150</x:f>
        <x:v>65.13003179517541</x:v>
      </x:c>
      <x:c r="W150" s="196" t="str">
        <x:v>GBP</x:v>
      </x:c>
      <x:c r="X150" s="220" t="n">
        <x:v>4.024</x:v>
      </x:c>
      <x:c r="Y150" s="196" t="str">
        <x:v>PERCENTAGE_OF_BASE_FREIGHT</x:v>
      </x:c>
      <x:c r="Z150" s="220" t="n">
        <x:v>0.1006</x:v>
      </x:c>
      <x:c r="AA150" s="220" t="n">
        <x:v>7.82</x:v>
      </x:c>
      <x:c r="AB150" s="220" t="n">
        <x:v>9.08</x:v>
      </x:c>
      <x:c r="AC150" s="226" t="n">
        <x:f>IF(W150="EUR",AA150,IF(W150="GBP",AB150,1))</x:f>
        <x:v>9.08</x:v>
      </x:c>
      <x:c r="AD150" s="226" t="n">
        <x:f>R150*X150</x:f>
        <x:v>11972.439281068398</x:v>
      </x:c>
      <x:c r="AE150" s="226" t="n">
        <x:f>IF(Y150="PERCENTAGE_OF_BASE_FREIGHT",AD150*Z150,IF(Y150="PER_CHARGEABLE_KG",R150*Z150,P150*Z150))</x:f>
        <x:v>1204.4273916754807</x:v>
      </x:c>
      <x:c r="AF150" s="226" t="n">
        <x:f>AD150*AC150</x:f>
        <x:v>108709.74867210106</x:v>
      </x:c>
      <x:c r="AG150" s="226" t="n">
        <x:f>AE150*AC150</x:f>
        <x:v>10936.200716413365</x:v>
      </x:c>
      <x:c r="AH150" s="226" t="str">
        <x:v>EUR</x:v>
      </x:c>
      <x:c r="AI150" s="226" t="n">
        <x:v>1.18708</x:v>
      </x:c>
      <x:c r="AJ150" s="226" t="n">
        <x:f>IF(AH150="EUR",AA150,IF(AH150="GBP",AB150,1))</x:f>
        <x:v>7.82</x:v>
      </x:c>
      <x:c r="AK150" s="226" t="n">
        <x:f>N150*AI150</x:f>
        <x:v>3070.1011295231997</x:v>
      </x:c>
      <x:c r="AL150" s="226" t="n">
        <x:f>AK150*AJ150</x:f>
        <x:v>24008.190832871423</x:v>
      </x:c>
      <x:c r="AM150" s="226" t="str">
        <x:v>EUR</x:v>
      </x:c>
      <x:c r="AN150" s="226" t="n">
        <x:v>0.42252</x:v>
      </x:c>
      <x:c r="AO150" s="226" t="n">
        <x:f>IF(AM150="EUR",AA150,IF(AM150="GBP",AB150,1))</x:f>
        <x:v>7.82</x:v>
      </x:c>
      <x:c r="AP150" s="226" t="n">
        <x:f>P150*AN150</x:f>
        <x:v>1226.325358025736</x:v>
      </x:c>
      <x:c r="AQ150" s="226" t="n">
        <x:f>AP150*AO150</x:f>
        <x:v>9589.864299761257</x:v>
      </x:c>
      <x:c r="AR150" s="226" t="str">
        <x:v>GBP</x:v>
      </x:c>
      <x:c r="AS150" s="226" t="n">
        <x:v>4.8288</x:v>
      </x:c>
      <x:c r="AT150" s="226" t="n">
        <x:f>IF(AR150="EUR",AA150,IF(AR150="GBP",AB150,1))</x:f>
        <x:v>9.08</x:v>
      </x:c>
      <x:c r="AU150" s="226" t="n">
        <x:f>T150*AS150</x:f>
        <x:v>999.0837574041601</x:v>
      </x:c>
      <x:c r="AV150" s="226" t="n">
        <x:f>AU150*AT150</x:f>
        <x:v>9071.680517229774</x:v>
      </x:c>
      <x:c r="AW150" s="226" t="str">
        <x:v>GBP</x:v>
      </x:c>
      <x:c r="AX150" s="226" t="n">
        <x:v>2.3138</x:v>
      </x:c>
      <x:c r="AY150" s="226" t="n">
        <x:f>IF(AW150="EUR",AA150,IF(AW150="GBP",AB150,1))</x:f>
        <x:v>9.08</x:v>
      </x:c>
      <x:c r="AZ150" s="226" t="n">
        <x:f>V150*AX150</x:f>
        <x:v>150.69786756767687</x:v>
      </x:c>
      <x:c r="BA150" s="226" t="n">
        <x:f>AZ150*AY150</x:f>
        <x:v>1368.336637514506</x:v>
      </x:c>
      <x:c r="BB150" s="226" t="n">
        <x:f>AF150+AG150+AL150+AQ150+AV150+BA150</x:f>
        <x:v>163684.0216758914</x:v>
      </x:c>
      <x:c r="BC150" s="229" t="n">
        <x:v>0.931</x:v>
      </x:c>
      <x:c r="BD150" s="202"/>
      <x:c r="BE150" s="202"/>
      <x:c r="BF150" s="202"/>
      <x:c r="BG150" s="202" t="str">
        <x:v>UNVERIFIED_UNLIMITED_FOR_MVP</x:v>
      </x:c>
    </x:row>
    <x:row r="151">
      <x:c r="A151" s="187" t="str">
        <x:v>ACTUAL_2026_08_CLOSE_V1</x:v>
      </x:c>
      <x:c r="B151" s="187" t="str">
        <x:v>ACTUAL</x:v>
      </x:c>
      <x:c r="C151" s="187"/>
      <x:c r="D151" s="217" t="n">
        <x:v>46082</x:v>
      </x:c>
      <x:c r="E151" s="187" t="str">
        <x:v>R_GB_DE_B_ROAD</x:v>
      </x:c>
      <x:c r="F151" s="187" t="str">
        <x:v>GB</x:v>
      </x:c>
      <x:c r="G151" s="187" t="str">
        <x:v>DE_FC</x:v>
      </x:c>
      <x:c r="H151" s="187" t="str">
        <x:v>CARRIER_B</x:v>
      </x:c>
      <x:c r="I151" s="187" t="str">
        <x:v>ROAD</x:v>
      </x:c>
      <x:c r="J151" s="220" t="n">
        <x:v>15300</x:v>
      </x:c>
      <x:c r="K151" s="223" t="n">
        <x:v>0.284</x:v>
      </x:c>
      <x:c r="L151" s="223" t="n">
        <x:v>0.96</x:v>
      </x:c>
      <x:c r="M151" s="223" t="n">
        <x:v>0.25</x:v>
      </x:c>
      <x:c r="N151" s="226" t="n">
        <x:f>J151*K151*L151*M151</x:f>
        <x:v>1042.848</x:v>
      </x:c>
      <x:c r="O151" s="220" t="n">
        <x:v>1.12224</x:v>
      </x:c>
      <x:c r="P151" s="226" t="n">
        <x:f>N151*O151</x:f>
        <x:v>1170.3257395199998</x:v>
      </x:c>
      <x:c r="Q151" s="220" t="n">
        <x:v>1.005</x:v>
      </x:c>
      <x:c r="R151" s="226" t="n">
        <x:f>P151*Q151</x:f>
        <x:v>1176.1773682175997</x:v>
      </x:c>
      <x:c r="S151" s="220" t="n">
        <x:v>0.08</x:v>
      </x:c>
      <x:c r="T151" s="226" t="n">
        <x:f>N151*S151</x:f>
        <x:v>83.42784</x:v>
      </x:c>
      <x:c r="U151" s="226" t="n">
        <x:v>0.01734</x:v>
      </x:c>
      <x:c r="V151" s="226" t="n">
        <x:f>P151*U151</x:f>
        <x:v>20.2934483232768</x:v>
      </x:c>
      <x:c r="W151" s="196" t="str">
        <x:v>GBP</x:v>
      </x:c>
      <x:c r="X151" s="220" t="n">
        <x:v>4.7282</x:v>
      </x:c>
      <x:c r="Y151" s="196" t="str">
        <x:v>PER_CHARGEABLE_KG</x:v>
      </x:c>
      <x:c r="Z151" s="220" t="n">
        <x:v>0.33198</x:v>
      </x:c>
      <x:c r="AA151" s="220" t="n">
        <x:v>7.82</x:v>
      </x:c>
      <x:c r="AB151" s="220" t="n">
        <x:v>9.08</x:v>
      </x:c>
      <x:c r="AC151" s="226" t="n">
        <x:f>IF(W151="EUR",AA151,IF(W151="GBP",AB151,1))</x:f>
        <x:v>9.08</x:v>
      </x:c>
      <x:c r="AD151" s="226" t="n">
        <x:f>R151*X151</x:f>
        <x:v>5561.201832406455</x:v>
      </x:c>
      <x:c r="AE151" s="226" t="n">
        <x:f>IF(Y151="PERCENTAGE_OF_BASE_FREIGHT",AD151*Z151,IF(Y151="PER_CHARGEABLE_KG",R151*Z151,P151*Z151))</x:f>
        <x:v>390.46736270087877</x:v>
      </x:c>
      <x:c r="AF151" s="226" t="n">
        <x:f>AD151*AC151</x:f>
        <x:v>50495.71263825061</x:v>
      </x:c>
      <x:c r="AG151" s="226" t="n">
        <x:f>AE151*AC151</x:f>
        <x:v>3545.443653323979</x:v>
      </x:c>
      <x:c r="AH151" s="226" t="str">
        <x:v>EUR</x:v>
      </x:c>
      <x:c r="AI151" s="226" t="n">
        <x:v>1.18708</x:v>
      </x:c>
      <x:c r="AJ151" s="226" t="n">
        <x:f>IF(AH151="EUR",AA151,IF(AH151="GBP",AB151,1))</x:f>
        <x:v>7.82</x:v>
      </x:c>
      <x:c r="AK151" s="226" t="n">
        <x:f>N151*AI151</x:f>
        <x:v>1237.9440038399998</x:v>
      </x:c>
      <x:c r="AL151" s="226" t="n">
        <x:f>AK151*AJ151</x:f>
        <x:v>9680.722110028799</x:v>
      </x:c>
      <x:c r="AM151" s="226" t="str">
        <x:v>EUR</x:v>
      </x:c>
      <x:c r="AN151" s="226" t="n">
        <x:v>0.42252</x:v>
      </x:c>
      <x:c r="AO151" s="226" t="n">
        <x:f>IF(AM151="EUR",AA151,IF(AM151="GBP",AB151,1))</x:f>
        <x:v>7.82</x:v>
      </x:c>
      <x:c r="AP151" s="226" t="n">
        <x:f>P151*AN151</x:f>
        <x:v>494.48603146199036</x:v>
      </x:c>
      <x:c r="AQ151" s="226" t="n">
        <x:f>AP151*AO151</x:f>
        <x:v>3866.8807660327648</x:v>
      </x:c>
      <x:c r="AR151" s="226" t="str">
        <x:v>GBP</x:v>
      </x:c>
      <x:c r="AS151" s="226" t="n">
        <x:v>4.8288</x:v>
      </x:c>
      <x:c r="AT151" s="226" t="n">
        <x:f>IF(AR151="EUR",AA151,IF(AR151="GBP",AB151,1))</x:f>
        <x:v>9.08</x:v>
      </x:c>
      <x:c r="AU151" s="226" t="n">
        <x:f>T151*AS151</x:f>
        <x:v>402.85635379200005</x:v>
      </x:c>
      <x:c r="AV151" s="226" t="n">
        <x:f>AU151*AT151</x:f>
        <x:v>3657.9356924313606</x:v>
      </x:c>
      <x:c r="AW151" s="226" t="str">
        <x:v>GBP</x:v>
      </x:c>
      <x:c r="AX151" s="226" t="n">
        <x:v>2.3138</x:v>
      </x:c>
      <x:c r="AY151" s="226" t="n">
        <x:f>IF(AW151="EUR",AA151,IF(AW151="GBP",AB151,1))</x:f>
        <x:v>9.08</x:v>
      </x:c>
      <x:c r="AZ151" s="226" t="n">
        <x:f>V151*AX151</x:f>
        <x:v>46.95498073039786</x:v>
      </x:c>
      <x:c r="BA151" s="226" t="n">
        <x:f>AZ151*AY151</x:f>
        <x:v>426.35122503201256</x:v>
      </x:c>
      <x:c r="BB151" s="226" t="n">
        <x:f>AF151+AG151+AL151+AQ151+AV151+BA151</x:f>
        <x:v>71673.04608509952</x:v>
      </x:c>
      <x:c r="BC151" s="229" t="n">
        <x:v>0.951</x:v>
      </x:c>
      <x:c r="BD151" s="202"/>
      <x:c r="BE151" s="202"/>
      <x:c r="BF151" s="202"/>
      <x:c r="BG151" s="202" t="str">
        <x:v>UNVERIFIED_UNLIMITED_FOR_MVP</x:v>
      </x:c>
    </x:row>
    <x:row r="152">
      <x:c r="A152" s="187" t="str">
        <x:v>ACTUAL_2026_08_CLOSE_V1</x:v>
      </x:c>
      <x:c r="B152" s="187" t="str">
        <x:v>ACTUAL</x:v>
      </x:c>
      <x:c r="C152" s="187"/>
      <x:c r="D152" s="217" t="n">
        <x:v>46082</x:v>
      </x:c>
      <x:c r="E152" s="187" t="str">
        <x:v>R_GB_DE_B_AIR</x:v>
      </x:c>
      <x:c r="F152" s="187" t="str">
        <x:v>GB</x:v>
      </x:c>
      <x:c r="G152" s="187" t="str">
        <x:v>DE_FC</x:v>
      </x:c>
      <x:c r="H152" s="187" t="str">
        <x:v>CARRIER_B</x:v>
      </x:c>
      <x:c r="I152" s="187" t="str">
        <x:v>AIR</x:v>
      </x:c>
      <x:c r="J152" s="220" t="n">
        <x:v>15300</x:v>
      </x:c>
      <x:c r="K152" s="223" t="n">
        <x:v>0.284</x:v>
      </x:c>
      <x:c r="L152" s="223" t="n">
        <x:v>0.96</x:v>
      </x:c>
      <x:c r="M152" s="223" t="n">
        <x:v>0.09</x:v>
      </x:c>
      <x:c r="N152" s="226" t="n">
        <x:f>J152*K152*L152*M152</x:f>
        <x:v>375.42528</x:v>
      </x:c>
      <x:c r="O152" s="220" t="n">
        <x:v>1.12224</x:v>
      </x:c>
      <x:c r="P152" s="226" t="n">
        <x:f>N152*O152</x:f>
        <x:v>421.3172662271999</x:v>
      </x:c>
      <x:c r="Q152" s="220" t="n">
        <x:v>0.9447</x:v>
      </x:c>
      <x:c r="R152" s="226" t="n">
        <x:f>P152*Q152</x:f>
        <x:v>398.01842140483575</x:v>
      </x:c>
      <x:c r="S152" s="220" t="n">
        <x:v>0.08</x:v>
      </x:c>
      <x:c r="T152" s="226" t="n">
        <x:f>N152*S152</x:f>
        <x:v>30.034022399999998</x:v>
      </x:c>
      <x:c r="U152" s="226" t="n">
        <x:v>0.01326</x:v>
      </x:c>
      <x:c r="V152" s="226" t="n">
        <x:f>P152*U152</x:f>
        <x:v>5.5866669501726705</x:v>
      </x:c>
      <x:c r="W152" s="196" t="str">
        <x:v>GBP</x:v>
      </x:c>
      <x:c r="X152" s="220" t="n">
        <x:v>6.2372</x:v>
      </x:c>
      <x:c r="Y152" s="196" t="str">
        <x:v>PERCENTAGE_OF_BASE_FREIGHT</x:v>
      </x:c>
      <x:c r="Z152" s="220" t="n">
        <x:v>0.11569</x:v>
      </x:c>
      <x:c r="AA152" s="220" t="n">
        <x:v>7.82</x:v>
      </x:c>
      <x:c r="AB152" s="220" t="n">
        <x:v>9.08</x:v>
      </x:c>
      <x:c r="AC152" s="226" t="n">
        <x:f>IF(W152="EUR",AA152,IF(W152="GBP",AB152,1))</x:f>
        <x:v>9.08</x:v>
      </x:c>
      <x:c r="AD152" s="226" t="n">
        <x:f>R152*X152</x:f>
        <x:v>2482.5204979862415</x:v>
      </x:c>
      <x:c r="AE152" s="226" t="n">
        <x:f>IF(Y152="PERCENTAGE_OF_BASE_FREIGHT",AD152*Z152,IF(Y152="PER_CHARGEABLE_KG",R152*Z152,P152*Z152))</x:f>
        <x:v>287.2027964120283</x:v>
      </x:c>
      <x:c r="AF152" s="226" t="n">
        <x:f>AD152*AC152</x:f>
        <x:v>22541.28612171507</x:v>
      </x:c>
      <x:c r="AG152" s="226" t="n">
        <x:f>AE152*AC152</x:f>
        <x:v>2607.801391421217</x:v>
      </x:c>
      <x:c r="AH152" s="226" t="str">
        <x:v>EUR</x:v>
      </x:c>
      <x:c r="AI152" s="226" t="n">
        <x:v>1.18708</x:v>
      </x:c>
      <x:c r="AJ152" s="226" t="n">
        <x:f>IF(AH152="EUR",AA152,IF(AH152="GBP",AB152,1))</x:f>
        <x:v>7.82</x:v>
      </x:c>
      <x:c r="AK152" s="226" t="n">
        <x:f>N152*AI152</x:f>
        <x:v>445.6598413824</x:v>
      </x:c>
      <x:c r="AL152" s="226" t="n">
        <x:f>AK152*AJ152</x:f>
        <x:v>3485.059959610368</x:v>
      </x:c>
      <x:c r="AM152" s="226" t="str">
        <x:v>EUR</x:v>
      </x:c>
      <x:c r="AN152" s="226" t="n">
        <x:v>0.42252</x:v>
      </x:c>
      <x:c r="AO152" s="226" t="n">
        <x:f>IF(AM152="EUR",AA152,IF(AM152="GBP",AB152,1))</x:f>
        <x:v>7.82</x:v>
      </x:c>
      <x:c r="AP152" s="226" t="n">
        <x:f>P152*AN152</x:f>
        <x:v>178.01497132631653</x:v>
      </x:c>
      <x:c r="AQ152" s="226" t="n">
        <x:f>AP152*AO152</x:f>
        <x:v>1392.0770757717953</x:v>
      </x:c>
      <x:c r="AR152" s="226" t="str">
        <x:v>GBP</x:v>
      </x:c>
      <x:c r="AS152" s="226" t="n">
        <x:v>4.8288</x:v>
      </x:c>
      <x:c r="AT152" s="226" t="n">
        <x:f>IF(AR152="EUR",AA152,IF(AR152="GBP",AB152,1))</x:f>
        <x:v>9.08</x:v>
      </x:c>
      <x:c r="AU152" s="226" t="n">
        <x:f>T152*AS152</x:f>
        <x:v>145.02828736512</x:v>
      </x:c>
      <x:c r="AV152" s="226" t="n">
        <x:f>AU152*AT152</x:f>
        <x:v>1316.8568492752897</x:v>
      </x:c>
      <x:c r="AW152" s="226" t="str">
        <x:v>GBP</x:v>
      </x:c>
      <x:c r="AX152" s="226" t="n">
        <x:v>2.8168</x:v>
      </x:c>
      <x:c r="AY152" s="226" t="n">
        <x:f>IF(AW152="EUR",AA152,IF(AW152="GBP",AB152,1))</x:f>
        <x:v>9.08</x:v>
      </x:c>
      <x:c r="AZ152" s="226" t="n">
        <x:f>V152*AX152</x:f>
        <x:v>15.736523465246378</x:v>
      </x:c>
      <x:c r="BA152" s="226" t="n">
        <x:f>AZ152*AY152</x:f>
        <x:v>142.88763306443713</x:v>
      </x:c>
      <x:c r="BB152" s="226" t="n">
        <x:f>AF152+AG152+AL152+AQ152+AV152+BA152</x:f>
        <x:v>31485.969030858178</x:v>
      </x:c>
      <x:c r="BC152" s="229" t="n">
        <x:v>0.975</x:v>
      </x:c>
      <x:c r="BD152" s="202"/>
      <x:c r="BE152" s="202"/>
      <x:c r="BF152" s="202"/>
      <x:c r="BG152" s="202" t="str">
        <x:v>UNVERIFIED_UNLIMITED_FOR_MVP</x:v>
      </x:c>
    </x:row>
    <x:row r="153">
      <x:c r="A153" s="187" t="str">
        <x:v>ACTUAL_2026_08_CLOSE_V1</x:v>
      </x:c>
      <x:c r="B153" s="187" t="str">
        <x:v>ACTUAL</x:v>
      </x:c>
      <x:c r="C153" s="187"/>
      <x:c r="D153" s="217" t="n">
        <x:v>46082</x:v>
      </x:c>
      <x:c r="E153" s="187" t="str">
        <x:v>R_GB_DE_C_AIR</x:v>
      </x:c>
      <x:c r="F153" s="187" t="str">
        <x:v>GB</x:v>
      </x:c>
      <x:c r="G153" s="187" t="str">
        <x:v>DE_FC</x:v>
      </x:c>
      <x:c r="H153" s="187" t="str">
        <x:v>CARRIER_C</x:v>
      </x:c>
      <x:c r="I153" s="187" t="str">
        <x:v>AIR</x:v>
      </x:c>
      <x:c r="J153" s="220" t="n">
        <x:v>15300</x:v>
      </x:c>
      <x:c r="K153" s="223" t="n">
        <x:v>0.284</x:v>
      </x:c>
      <x:c r="L153" s="223" t="n">
        <x:v>0.96</x:v>
      </x:c>
      <x:c r="M153" s="223" t="n">
        <x:v>0.04</x:v>
      </x:c>
      <x:c r="N153" s="226" t="n">
        <x:f>J153*K153*L153*M153</x:f>
        <x:v>166.85568</x:v>
      </x:c>
      <x:c r="O153" s="220" t="n">
        <x:v>1.12224</x:v>
      </x:c>
      <x:c r="P153" s="226" t="n">
        <x:f>N153*O153</x:f>
        <x:v>187.2521183232</x:v>
      </x:c>
      <x:c r="Q153" s="220" t="n">
        <x:v>0.9246</x:v>
      </x:c>
      <x:c r="R153" s="226" t="n">
        <x:f>P153*Q153</x:f>
        <x:v>173.13330860163072</x:v>
      </x:c>
      <x:c r="S153" s="220" t="n">
        <x:v>0.08</x:v>
      </x:c>
      <x:c r="T153" s="226" t="n">
        <x:f>N153*S153</x:f>
        <x:v>13.348454400000001</x:v>
      </x:c>
      <x:c r="U153" s="226" t="n">
        <x:v>0.00918</x:v>
      </x:c>
      <x:c r="V153" s="226" t="n">
        <x:f>P153*U153</x:f>
        <x:v>1.718974446206976</x:v>
      </x:c>
      <x:c r="W153" s="196" t="str">
        <x:v>GBP</x:v>
      </x:c>
      <x:c r="X153" s="220" t="n">
        <x:v>7.545</x:v>
      </x:c>
      <x:c r="Y153" s="196" t="str">
        <x:v>PER_CHARGEABLE_KG</x:v>
      </x:c>
      <x:c r="Z153" s="220" t="n">
        <x:v>0.58348</x:v>
      </x:c>
      <x:c r="AA153" s="220" t="n">
        <x:v>7.82</x:v>
      </x:c>
      <x:c r="AB153" s="220" t="n">
        <x:v>9.08</x:v>
      </x:c>
      <x:c r="AC153" s="226" t="n">
        <x:f>IF(W153="EUR",AA153,IF(W153="GBP",AB153,1))</x:f>
        <x:v>9.08</x:v>
      </x:c>
      <x:c r="AD153" s="226" t="n">
        <x:f>R153*X153</x:f>
        <x:v>1306.2908133993037</x:v>
      </x:c>
      <x:c r="AE153" s="226" t="n">
        <x:f>IF(Y153="PERCENTAGE_OF_BASE_FREIGHT",AD153*Z153,IF(Y153="PER_CHARGEABLE_KG",R153*Z153,P153*Z153))</x:f>
        <x:v>101.0198229028795</x:v>
      </x:c>
      <x:c r="AF153" s="226" t="n">
        <x:f>AD153*AC153</x:f>
        <x:v>11861.120585665678</x:v>
      </x:c>
      <x:c r="AG153" s="226" t="n">
        <x:f>AE153*AC153</x:f>
        <x:v>917.2599919581459</x:v>
      </x:c>
      <x:c r="AH153" s="226" t="str">
        <x:v>EUR</x:v>
      </x:c>
      <x:c r="AI153" s="226" t="n">
        <x:v>1.18708</x:v>
      </x:c>
      <x:c r="AJ153" s="226" t="n">
        <x:f>IF(AH153="EUR",AA153,IF(AH153="GBP",AB153,1))</x:f>
        <x:v>7.82</x:v>
      </x:c>
      <x:c r="AK153" s="226" t="n">
        <x:f>N153*AI153</x:f>
        <x:v>198.0710406144</x:v>
      </x:c>
      <x:c r="AL153" s="226" t="n">
        <x:f>AK153*AJ153</x:f>
        <x:v>1548.915537604608</x:v>
      </x:c>
      <x:c r="AM153" s="226" t="str">
        <x:v>EUR</x:v>
      </x:c>
      <x:c r="AN153" s="226" t="n">
        <x:v>0.42252</x:v>
      </x:c>
      <x:c r="AO153" s="226" t="n">
        <x:f>IF(AM153="EUR",AA153,IF(AM153="GBP",AB153,1))</x:f>
        <x:v>7.82</x:v>
      </x:c>
      <x:c r="AP153" s="226" t="n">
        <x:f>P153*AN153</x:f>
        <x:v>79.11776503391846</x:v>
      </x:c>
      <x:c r="AQ153" s="226" t="n">
        <x:f>AP153*AO153</x:f>
        <x:v>618.7009225652424</x:v>
      </x:c>
      <x:c r="AR153" s="226" t="str">
        <x:v>GBP</x:v>
      </x:c>
      <x:c r="AS153" s="226" t="n">
        <x:v>4.8288</x:v>
      </x:c>
      <x:c r="AT153" s="226" t="n">
        <x:f>IF(AR153="EUR",AA153,IF(AR153="GBP",AB153,1))</x:f>
        <x:v>9.08</x:v>
      </x:c>
      <x:c r="AU153" s="226" t="n">
        <x:f>T153*AS153</x:f>
        <x:v>64.45701660672</x:v>
      </x:c>
      <x:c r="AV153" s="226" t="n">
        <x:f>AU153*AT153</x:f>
        <x:v>585.2697107890176</x:v>
      </x:c>
      <x:c r="AW153" s="226" t="str">
        <x:v>GBP</x:v>
      </x:c>
      <x:c r="AX153" s="226" t="n">
        <x:v>3.6216</x:v>
      </x:c>
      <x:c r="AY153" s="226" t="n">
        <x:f>IF(AW153="EUR",AA153,IF(AW153="GBP",AB153,1))</x:f>
        <x:v>9.08</x:v>
      </x:c>
      <x:c r="AZ153" s="226" t="n">
        <x:f>V153*AX153</x:f>
        <x:v>6.225437854383184</x:v>
      </x:c>
      <x:c r="BA153" s="226" t="n">
        <x:f>AZ153*AY153</x:f>
        <x:v>56.52697571779931</x:v>
      </x:c>
      <x:c r="BB153" s="226" t="n">
        <x:f>AF153+AG153+AL153+AQ153+AV153+BA153</x:f>
        <x:v>15587.79372430049</x:v>
      </x:c>
      <x:c r="BC153" s="229" t="n">
        <x:v>0.989</x:v>
      </x:c>
      <x:c r="BD153" s="202"/>
      <x:c r="BE153" s="202"/>
      <x:c r="BF153" s="202"/>
      <x:c r="BG153" s="202" t="str">
        <x:v>UNVERIFIED_UNLIMITED_FOR_MVP</x:v>
      </x:c>
    </x:row>
    <x:row r="154">
      <x:c r="A154" s="187" t="str">
        <x:v>ACTUAL_2026_08_CLOSE_V1</x:v>
      </x:c>
      <x:c r="B154" s="187" t="str">
        <x:v>ACTUAL</x:v>
      </x:c>
      <x:c r="C154" s="187"/>
      <x:c r="D154" s="217" t="n">
        <x:v>46082</x:v>
      </x:c>
      <x:c r="E154" s="187" t="str">
        <x:v>R_GB_FR_B_AIR</x:v>
      </x:c>
      <x:c r="F154" s="187" t="str">
        <x:v>GB</x:v>
      </x:c>
      <x:c r="G154" s="187" t="str">
        <x:v>FR_FC</x:v>
      </x:c>
      <x:c r="H154" s="187" t="str">
        <x:v>CARRIER_B</x:v>
      </x:c>
      <x:c r="I154" s="187" t="str">
        <x:v>AIR</x:v>
      </x:c>
      <x:c r="J154" s="220" t="n">
        <x:v>15300</x:v>
      </x:c>
      <x:c r="K154" s="223" t="n">
        <x:v>0.284</x:v>
      </x:c>
      <x:c r="L154" s="223" t="n">
        <x:v>0.04</x:v>
      </x:c>
      <x:c r="M154" s="223" t="n">
        <x:v>1</x:v>
      </x:c>
      <x:c r="N154" s="226" t="n">
        <x:f>J154*K154*L154*M154</x:f>
        <x:v>173.808</x:v>
      </x:c>
      <x:c r="O154" s="220" t="n">
        <x:v>1.1523</x:v>
      </x:c>
      <x:c r="P154" s="226" t="n">
        <x:f>N154*O154</x:f>
        <x:v>200.27895840000002</x:v>
      </x:c>
      <x:c r="Q154" s="220" t="n">
        <x:v>0.9045</x:v>
      </x:c>
      <x:c r="R154" s="226" t="n">
        <x:f>P154*Q154</x:f>
        <x:v>181.1523178728</x:v>
      </x:c>
      <x:c r="S154" s="220" t="n">
        <x:v>0.08</x:v>
      </x:c>
      <x:c r="T154" s="226" t="n">
        <x:f>N154*S154</x:f>
        <x:v>13.90464</x:v>
      </x:c>
      <x:c r="U154" s="226" t="n">
        <x:v>0.01224</x:v>
      </x:c>
      <x:c r="V154" s="226" t="n">
        <x:f>P154*U154</x:f>
        <x:v>2.4514144508160003</x:v>
      </x:c>
      <x:c r="W154" s="196" t="str">
        <x:v>EUR</x:v>
      </x:c>
      <x:c r="X154" s="220" t="n">
        <x:v>6.7402</x:v>
      </x:c>
      <x:c r="Y154" s="196" t="str">
        <x:v>PERCENTAGE_OF_BASE_FREIGHT</x:v>
      </x:c>
      <x:c r="Z154" s="220" t="n">
        <x:v>0.10563</x:v>
      </x:c>
      <x:c r="AA154" s="220" t="n">
        <x:v>7.82</x:v>
      </x:c>
      <x:c r="AB154" s="220" t="n">
        <x:v>9.08</x:v>
      </x:c>
      <x:c r="AC154" s="226" t="n">
        <x:f>IF(W154="EUR",AA154,IF(W154="GBP",AB154,1))</x:f>
        <x:v>7.82</x:v>
      </x:c>
      <x:c r="AD154" s="226" t="n">
        <x:f>R154*X154</x:f>
        <x:v>1221.0028529262465</x:v>
      </x:c>
      <x:c r="AE154" s="226" t="n">
        <x:f>IF(Y154="PERCENTAGE_OF_BASE_FREIGHT",AD154*Z154,IF(Y154="PER_CHARGEABLE_KG",R154*Z154,P154*Z154))</x:f>
        <x:v>128.97453135459943</x:v>
      </x:c>
      <x:c r="AF154" s="226" t="n">
        <x:f>AD154*AC154</x:f>
        <x:v>9548.242309883248</x:v>
      </x:c>
      <x:c r="AG154" s="226" t="n">
        <x:f>AE154*AC154</x:f>
        <x:v>1008.5808351929676</x:v>
      </x:c>
      <x:c r="AH154" s="226" t="str">
        <x:v>EUR</x:v>
      </x:c>
      <x:c r="AI154" s="226" t="n">
        <x:v>1.0563</x:v>
      </x:c>
      <x:c r="AJ154" s="226" t="n">
        <x:f>IF(AH154="EUR",AA154,IF(AH154="GBP",AB154,1))</x:f>
        <x:v>7.82</x:v>
      </x:c>
      <x:c r="AK154" s="226" t="n">
        <x:f>N154*AI154</x:f>
        <x:v>183.5933904</x:v>
      </x:c>
      <x:c r="AL154" s="226" t="n">
        <x:f>AK154*AJ154</x:f>
        <x:v>1435.7003129280001</x:v>
      </x:c>
      <x:c r="AM154" s="226" t="str">
        <x:v>EUR</x:v>
      </x:c>
      <x:c r="AN154" s="226" t="n">
        <x:v>0.38228</x:v>
      </x:c>
      <x:c r="AO154" s="226" t="n">
        <x:f>IF(AM154="EUR",AA154,IF(AM154="GBP",AB154,1))</x:f>
        <x:v>7.82</x:v>
      </x:c>
      <x:c r="AP154" s="226" t="n">
        <x:f>P154*AN154</x:f>
        <x:v>76.56264021715201</x:v>
      </x:c>
      <x:c r="AQ154" s="226" t="n">
        <x:f>AP154*AO154</x:f>
        <x:v>598.7198464981287</x:v>
      </x:c>
      <x:c r="AR154" s="226" t="str">
        <x:v>EUR</x:v>
      </x:c>
      <x:c r="AS154" s="226" t="n">
        <x:v>5.2312</x:v>
      </x:c>
      <x:c r="AT154" s="226" t="n">
        <x:f>IF(AR154="EUR",AA154,IF(AR154="GBP",AB154,1))</x:f>
        <x:v>7.82</x:v>
      </x:c>
      <x:c r="AU154" s="226" t="n">
        <x:f>T154*AS154</x:f>
        <x:v>72.73795276800001</x:v>
      </x:c>
      <x:c r="AV154" s="226" t="n">
        <x:f>AU154*AT154</x:f>
        <x:v>568.8107906457601</x:v>
      </x:c>
      <x:c r="AW154" s="226" t="str">
        <x:v>EUR</x:v>
      </x:c>
      <x:c r="AX154" s="226" t="n">
        <x:v>2.8168</x:v>
      </x:c>
      <x:c r="AY154" s="226" t="n">
        <x:f>IF(AW154="EUR",AA154,IF(AW154="GBP",AB154,1))</x:f>
        <x:v>7.82</x:v>
      </x:c>
      <x:c r="AZ154" s="226" t="n">
        <x:f>V154*AX154</x:f>
        <x:v>6.90514422505851</x:v>
      </x:c>
      <x:c r="BA154" s="226" t="n">
        <x:f>AZ154*AY154</x:f>
        <x:v>53.99822783995755</x:v>
      </x:c>
      <x:c r="BB154" s="226" t="n">
        <x:f>AF154+AG154+AL154+AQ154+AV154+BA154</x:f>
        <x:v>13214.052322988064</x:v>
      </x:c>
      <x:c r="BC154" s="229" t="n">
        <x:v>0.972</x:v>
      </x:c>
      <x:c r="BD154" s="202"/>
      <x:c r="BE154" s="202"/>
      <x:c r="BF154" s="202"/>
      <x:c r="BG154" s="202" t="str">
        <x:v>UNVERIFIED_UNLIMITED_FOR_MVP</x:v>
      </x:c>
    </x:row>
    <x:row r="155">
      <x:c r="A155" s="187" t="str">
        <x:v>ACTUAL_2026_08_CLOSE_V1</x:v>
      </x:c>
      <x:c r="B155" s="187" t="str">
        <x:v>ACTUAL</x:v>
      </x:c>
      <x:c r="C155" s="187"/>
      <x:c r="D155" s="217" t="n">
        <x:v>46113</x:v>
      </x:c>
      <x:c r="E155" s="187" t="str">
        <x:v>R_DE_DE_A_ROAD</x:v>
      </x:c>
      <x:c r="F155" s="187" t="str">
        <x:v>DE</x:v>
      </x:c>
      <x:c r="G155" s="187" t="str">
        <x:v>DE_FC</x:v>
      </x:c>
      <x:c r="H155" s="187" t="str">
        <x:v>CARRIER_A</x:v>
      </x:c>
      <x:c r="I155" s="187" t="str">
        <x:v>ROAD</x:v>
      </x:c>
      <x:c r="J155" s="220" t="n">
        <x:v>15800</x:v>
      </x:c>
      <x:c r="K155" s="223" t="n">
        <x:v>0.398</x:v>
      </x:c>
      <x:c r="L155" s="223" t="n">
        <x:v>0.97</x:v>
      </x:c>
      <x:c r="M155" s="223" t="n">
        <x:v>0.6</x:v>
      </x:c>
      <x:c r="N155" s="226" t="n">
        <x:f>J155*K155*L155*M155</x:f>
        <x:v>3659.8488</x:v>
      </x:c>
      <x:c r="O155" s="220" t="n">
        <x:v>1.05315</x:v>
      </x:c>
      <x:c r="P155" s="226" t="n">
        <x:f>N155*O155</x:f>
        <x:v>3854.3697637200003</x:v>
      </x:c>
      <x:c r="Q155" s="220" t="n">
        <x:v>0.7839</x:v>
      </x:c>
      <x:c r="R155" s="226" t="n">
        <x:f>P155*Q155</x:f>
        <x:v>3021.4404577801083</x:v>
      </x:c>
      <x:c r="S155" s="220" t="n">
        <x:v>0.05</x:v>
      </x:c>
      <x:c r="T155" s="226" t="n">
        <x:f>N155*S155</x:f>
        <x:v>182.99244000000002</x:v>
      </x:c>
      <x:c r="U155" s="226" t="n">
        <x:v>0.01632</x:v>
      </x:c>
      <x:c r="V155" s="226" t="n">
        <x:f>P155*U155</x:f>
        <x:v>62.90331454391041</x:v>
      </x:c>
      <x:c r="W155" s="196" t="str">
        <x:v>EUR</x:v>
      </x:c>
      <x:c r="X155" s="220" t="n">
        <x:v>2.2176</x:v>
      </x:c>
      <x:c r="Y155" s="196" t="str">
        <x:v>PERCENTAGE_OF_BASE_FREIGHT</x:v>
      </x:c>
      <x:c r="Z155" s="220" t="n">
        <x:v>0.09576</x:v>
      </x:c>
      <x:c r="AA155" s="220" t="n">
        <x:v>7.84</x:v>
      </x:c>
      <x:c r="AB155" s="220" t="n">
        <x:v>9.11</x:v>
      </x:c>
      <x:c r="AC155" s="226" t="n">
        <x:f>IF(W155="EUR",AA155,IF(W155="GBP",AB155,1))</x:f>
        <x:v>7.84</x:v>
      </x:c>
      <x:c r="AD155" s="226" t="n">
        <x:f>R155*X155</x:f>
        <x:v>6700.346359173168</x:v>
      </x:c>
      <x:c r="AE155" s="226" t="n">
        <x:f>IF(Y155="PERCENTAGE_OF_BASE_FREIGHT",AD155*Z155,IF(Y155="PER_CHARGEABLE_KG",R155*Z155,P155*Z155))</x:f>
        <x:v>641.6251673544225</x:v>
      </x:c>
      <x:c r="AF155" s="226" t="n">
        <x:f>AD155*AC155</x:f>
        <x:v>52530.715455917634</x:v>
      </x:c>
      <x:c r="AG155" s="226" t="n">
        <x:f>AE155*AC155</x:f>
        <x:v>5030.341312058672</x:v>
      </x:c>
      <x:c r="AH155" s="226" t="str">
        <x:v>EUR</x:v>
      </x:c>
      <x:c r="AI155" s="226" t="n">
        <x:v>1.18944</x:v>
      </x:c>
      <x:c r="AJ155" s="226" t="n">
        <x:f>IF(AH155="EUR",AA155,IF(AH155="GBP",AB155,1))</x:f>
        <x:v>7.84</x:v>
      </x:c>
      <x:c r="AK155" s="226" t="n">
        <x:f>N155*AI155</x:f>
        <x:v>4353.170556672</x:v>
      </x:c>
      <x:c r="AL155" s="226" t="n">
        <x:f>AK155*AJ155</x:f>
        <x:v>34128.85716430848</x:v>
      </x:c>
      <x:c r="AM155" s="226" t="str">
        <x:v>EUR</x:v>
      </x:c>
      <x:c r="AN155" s="226" t="n">
        <x:v>0.42336</x:v>
      </x:c>
      <x:c r="AO155" s="226" t="n">
        <x:f>IF(AM155="EUR",AA155,IF(AM155="GBP",AB155,1))</x:f>
        <x:v>7.84</x:v>
      </x:c>
      <x:c r="AP155" s="226" t="n">
        <x:f>P155*AN155</x:f>
        <x:v>1631.7859831684993</x:v>
      </x:c>
      <x:c r="AQ155" s="226" t="n">
        <x:f>AP155*AO155</x:f>
        <x:v>12793.202108041034</x:v>
      </x:c>
      <x:c r="AR155" s="226" t="str">
        <x:v>EUR</x:v>
      </x:c>
      <x:c r="AS155" s="226" t="n">
        <x:v>3.2256</x:v>
      </x:c>
      <x:c r="AT155" s="226" t="n">
        <x:f>IF(AR155="EUR",AA155,IF(AR155="GBP",AB155,1))</x:f>
        <x:v>7.84</x:v>
      </x:c>
      <x:c r="AU155" s="226" t="n">
        <x:f>T155*AS155</x:f>
        <x:v>590.2604144640001</x:v>
      </x:c>
      <x:c r="AV155" s="226" t="n">
        <x:f>AU155*AT155</x:f>
        <x:v>4627.64164939776</x:v>
      </x:c>
      <x:c r="AW155" s="226" t="str">
        <x:v>EUR</x:v>
      </x:c>
      <x:c r="AX155" s="226" t="n">
        <x:v>2.3184</x:v>
      </x:c>
      <x:c r="AY155" s="226" t="n">
        <x:f>IF(AW155="EUR",AA155,IF(AW155="GBP",AB155,1))</x:f>
        <x:v>7.84</x:v>
      </x:c>
      <x:c r="AZ155" s="226" t="n">
        <x:f>V155*AX155</x:f>
        <x:v>145.8350444386019</x:v>
      </x:c>
      <x:c r="BA155" s="226" t="n">
        <x:f>AZ155*AY155</x:f>
        <x:v>1143.346748398639</x:v>
      </x:c>
      <x:c r="BB155" s="226" t="n">
        <x:f>AF155+AG155+AL155+AQ155+AV155+BA155</x:f>
        <x:v>110254.10443812222</x:v>
      </x:c>
      <x:c r="BC155" s="229" t="n">
        <x:v>0.966</x:v>
      </x:c>
      <x:c r="BD155" s="202"/>
      <x:c r="BE155" s="202"/>
      <x:c r="BF155" s="202"/>
      <x:c r="BG155" s="202" t="str">
        <x:v>UNVERIFIED_UNLIMITED_FOR_MVP</x:v>
      </x:c>
    </x:row>
    <x:row r="156">
      <x:c r="A156" s="187" t="str">
        <x:v>ACTUAL_2026_08_CLOSE_V1</x:v>
      </x:c>
      <x:c r="B156" s="187" t="str">
        <x:v>ACTUAL</x:v>
      </x:c>
      <x:c r="C156" s="187"/>
      <x:c r="D156" s="217" t="n">
        <x:v>46113</x:v>
      </x:c>
      <x:c r="E156" s="187" t="str">
        <x:v>R_DE_DE_B_ROAD</x:v>
      </x:c>
      <x:c r="F156" s="187" t="str">
        <x:v>DE</x:v>
      </x:c>
      <x:c r="G156" s="187" t="str">
        <x:v>DE_FC</x:v>
      </x:c>
      <x:c r="H156" s="187" t="str">
        <x:v>CARRIER_B</x:v>
      </x:c>
      <x:c r="I156" s="187" t="str">
        <x:v>ROAD</x:v>
      </x:c>
      <x:c r="J156" s="220" t="n">
        <x:v>15800</x:v>
      </x:c>
      <x:c r="K156" s="223" t="n">
        <x:v>0.398</x:v>
      </x:c>
      <x:c r="L156" s="223" t="n">
        <x:v>0.97</x:v>
      </x:c>
      <x:c r="M156" s="223" t="n">
        <x:v>0.4</x:v>
      </x:c>
      <x:c r="N156" s="226" t="n">
        <x:f>J156*K156*L156*M156</x:f>
        <x:v>2439.8992000000003</x:v>
      </x:c>
      <x:c r="O156" s="220" t="n">
        <x:v>1.05315</x:v>
      </x:c>
      <x:c r="P156" s="226" t="n">
        <x:f>N156*O156</x:f>
        <x:v>2569.5798424800005</x:v>
      </x:c>
      <x:c r="Q156" s="220" t="n">
        <x:v>0.804</x:v>
      </x:c>
      <x:c r="R156" s="226" t="n">
        <x:f>P156*Q156</x:f>
        <x:v>2065.9421933539206</x:v>
      </x:c>
      <x:c r="S156" s="220" t="n">
        <x:v>0.05</x:v>
      </x:c>
      <x:c r="T156" s="226" t="n">
        <x:f>N156*S156</x:f>
        <x:v>121.99496000000002</x:v>
      </x:c>
      <x:c r="U156" s="226" t="n">
        <x:v>0.01326</x:v>
      </x:c>
      <x:c r="V156" s="226" t="n">
        <x:f>P156*U156</x:f>
        <x:v>34.07262871128481</x:v>
      </x:c>
      <x:c r="W156" s="196" t="str">
        <x:v>EUR</x:v>
      </x:c>
      <x:c r="X156" s="220" t="n">
        <x:v>2.772</x:v>
      </x:c>
      <x:c r="Y156" s="196" t="str">
        <x:v>PER_CHARGEABLE_KG</x:v>
      </x:c>
      <x:c r="Z156" s="220" t="n">
        <x:v>0.21168</x:v>
      </x:c>
      <x:c r="AA156" s="220" t="n">
        <x:v>7.84</x:v>
      </x:c>
      <x:c r="AB156" s="220" t="n">
        <x:v>9.11</x:v>
      </x:c>
      <x:c r="AC156" s="226" t="n">
        <x:f>IF(W156="EUR",AA156,IF(W156="GBP",AB156,1))</x:f>
        <x:v>7.84</x:v>
      </x:c>
      <x:c r="AD156" s="226" t="n">
        <x:f>R156*X156</x:f>
        <x:v>5726.791759977067</x:v>
      </x:c>
      <x:c r="AE156" s="226" t="n">
        <x:f>IF(Y156="PERCENTAGE_OF_BASE_FREIGHT",AD156*Z156,IF(Y156="PER_CHARGEABLE_KG",R156*Z156,P156*Z156))</x:f>
        <x:v>437.3186434891579</x:v>
      </x:c>
      <x:c r="AF156" s="226" t="n">
        <x:f>AD156*AC156</x:f>
        <x:v>44898.04739822021</x:v>
      </x:c>
      <x:c r="AG156" s="226" t="n">
        <x:f>AE156*AC156</x:f>
        <x:v>3428.578164954998</x:v>
      </x:c>
      <x:c r="AH156" s="226" t="str">
        <x:v>EUR</x:v>
      </x:c>
      <x:c r="AI156" s="226" t="n">
        <x:v>1.18944</x:v>
      </x:c>
      <x:c r="AJ156" s="226" t="n">
        <x:f>IF(AH156="EUR",AA156,IF(AH156="GBP",AB156,1))</x:f>
        <x:v>7.84</x:v>
      </x:c>
      <x:c r="AK156" s="226" t="n">
        <x:f>N156*AI156</x:f>
        <x:v>2902.1137044480006</x:v>
      </x:c>
      <x:c r="AL156" s="226" t="n">
        <x:f>AK156*AJ156</x:f>
        <x:v>22752.571442872326</x:v>
      </x:c>
      <x:c r="AM156" s="226" t="str">
        <x:v>EUR</x:v>
      </x:c>
      <x:c r="AN156" s="226" t="n">
        <x:v>0.42336</x:v>
      </x:c>
      <x:c r="AO156" s="226" t="n">
        <x:f>IF(AM156="EUR",AA156,IF(AM156="GBP",AB156,1))</x:f>
        <x:v>7.84</x:v>
      </x:c>
      <x:c r="AP156" s="226" t="n">
        <x:f>P156*AN156</x:f>
        <x:v>1087.8573221123331</x:v>
      </x:c>
      <x:c r="AQ156" s="226" t="n">
        <x:f>AP156*AO156</x:f>
        <x:v>8528.801405360691</x:v>
      </x:c>
      <x:c r="AR156" s="226" t="str">
        <x:v>EUR</x:v>
      </x:c>
      <x:c r="AS156" s="226" t="n">
        <x:v>3.2256</x:v>
      </x:c>
      <x:c r="AT156" s="226" t="n">
        <x:f>IF(AR156="EUR",AA156,IF(AR156="GBP",AB156,1))</x:f>
        <x:v>7.84</x:v>
      </x:c>
      <x:c r="AU156" s="226" t="n">
        <x:f>T156*AS156</x:f>
        <x:v>393.50694297600006</x:v>
      </x:c>
      <x:c r="AV156" s="226" t="n">
        <x:f>AU156*AT156</x:f>
        <x:v>3085.0944329318404</x:v>
      </x:c>
      <x:c r="AW156" s="226" t="str">
        <x:v>EUR</x:v>
      </x:c>
      <x:c r="AX156" s="226" t="n">
        <x:v>2.3184</x:v>
      </x:c>
      <x:c r="AY156" s="226" t="n">
        <x:f>IF(AW156="EUR",AA156,IF(AW156="GBP",AB156,1))</x:f>
        <x:v>7.84</x:v>
      </x:c>
      <x:c r="AZ156" s="226" t="n">
        <x:f>V156*AX156</x:f>
        <x:v>78.9939824042427</x:v>
      </x:c>
      <x:c r="BA156" s="226" t="n">
        <x:f>AZ156*AY156</x:f>
        <x:v>619.3128220492628</x:v>
      </x:c>
      <x:c r="BB156" s="226" t="n">
        <x:f>AF156+AG156+AL156+AQ156+AV156+BA156</x:f>
        <x:v>83312.40566638933</x:v>
      </x:c>
      <x:c r="BC156" s="229" t="n">
        <x:v>0.977</x:v>
      </x:c>
      <x:c r="BD156" s="202"/>
      <x:c r="BE156" s="202"/>
      <x:c r="BF156" s="202"/>
      <x:c r="BG156" s="202" t="str">
        <x:v>UNVERIFIED_UNLIMITED_FOR_MVP</x:v>
      </x:c>
    </x:row>
    <x:row r="157">
      <x:c r="A157" s="187" t="str">
        <x:v>ACTUAL_2026_08_CLOSE_V1</x:v>
      </x:c>
      <x:c r="B157" s="187" t="str">
        <x:v>ACTUAL</x:v>
      </x:c>
      <x:c r="C157" s="187"/>
      <x:c r="D157" s="217" t="n">
        <x:v>46113</x:v>
      </x:c>
      <x:c r="E157" s="187" t="str">
        <x:v>R_DE_FR_B_ROAD</x:v>
      </x:c>
      <x:c r="F157" s="187" t="str">
        <x:v>DE</x:v>
      </x:c>
      <x:c r="G157" s="187" t="str">
        <x:v>FR_FC</x:v>
      </x:c>
      <x:c r="H157" s="187" t="str">
        <x:v>CARRIER_B</x:v>
      </x:c>
      <x:c r="I157" s="187" t="str">
        <x:v>ROAD</x:v>
      </x:c>
      <x:c r="J157" s="220" t="n">
        <x:v>15800</x:v>
      </x:c>
      <x:c r="K157" s="223" t="n">
        <x:v>0.398</x:v>
      </x:c>
      <x:c r="L157" s="223" t="n">
        <x:v>0.03</x:v>
      </x:c>
      <x:c r="M157" s="223" t="n">
        <x:v>1</x:v>
      </x:c>
      <x:c r="N157" s="226" t="n">
        <x:f>J157*K157*L157*M157</x:f>
        <x:v>188.65200000000002</x:v>
      </x:c>
      <x:c r="O157" s="220" t="n">
        <x:v>1.08324</x:v>
      </x:c>
      <x:c r="P157" s="226" t="n">
        <x:f>N157*O157</x:f>
        <x:v>204.35539248</x:v>
      </x:c>
      <x:c r="Q157" s="220" t="n">
        <x:v>0.8643</x:v>
      </x:c>
      <x:c r="R157" s="226" t="n">
        <x:f>P157*Q157</x:f>
        <x:v>176.624365720464</x:v>
      </x:c>
      <x:c r="S157" s="220" t="n">
        <x:v>0.05</x:v>
      </x:c>
      <x:c r="T157" s="226" t="n">
        <x:f>N157*S157</x:f>
        <x:v>9.4326</x:v>
      </x:c>
      <x:c r="U157" s="226" t="n">
        <x:v>0.01428</x:v>
      </x:c>
      <x:c r="V157" s="226" t="n">
        <x:f>P157*U157</x:f>
        <x:v>2.9181950046144</x:v>
      </x:c>
      <x:c r="W157" s="196" t="str">
        <x:v>EUR</x:v>
      </x:c>
      <x:c r="X157" s="220" t="n">
        <x:v>3.3264</x:v>
      </x:c>
      <x:c r="Y157" s="196" t="str">
        <x:v>PER_CHARGEABLE_KG</x:v>
      </x:c>
      <x:c r="Z157" s="220" t="n">
        <x:v>0.24192</x:v>
      </x:c>
      <x:c r="AA157" s="220" t="n">
        <x:v>7.84</x:v>
      </x:c>
      <x:c r="AB157" s="220" t="n">
        <x:v>9.11</x:v>
      </x:c>
      <x:c r="AC157" s="226" t="n">
        <x:f>IF(W157="EUR",AA157,IF(W157="GBP",AB157,1))</x:f>
        <x:v>7.84</x:v>
      </x:c>
      <x:c r="AD157" s="226" t="n">
        <x:f>R157*X157</x:f>
        <x:v>587.5232901325514</x:v>
      </x:c>
      <x:c r="AE157" s="226" t="n">
        <x:f>IF(Y157="PERCENTAGE_OF_BASE_FREIGHT",AD157*Z157,IF(Y157="PER_CHARGEABLE_KG",R157*Z157,P157*Z157))</x:f>
        <x:v>42.72896655509465</x:v>
      </x:c>
      <x:c r="AF157" s="226" t="n">
        <x:f>AD157*AC157</x:f>
        <x:v>4606.182594639203</x:v>
      </x:c>
      <x:c r="AG157" s="226" t="n">
        <x:f>AE157*AC157</x:f>
        <x:v>334.99509779194204</x:v>
      </x:c>
      <x:c r="AH157" s="226" t="str">
        <x:v>EUR</x:v>
      </x:c>
      <x:c r="AI157" s="226" t="n">
        <x:v>1.0584</x:v>
      </x:c>
      <x:c r="AJ157" s="226" t="n">
        <x:f>IF(AH157="EUR",AA157,IF(AH157="GBP",AB157,1))</x:f>
        <x:v>7.84</x:v>
      </x:c>
      <x:c r="AK157" s="226" t="n">
        <x:f>N157*AI157</x:f>
        <x:v>199.6692768</x:v>
      </x:c>
      <x:c r="AL157" s="226" t="n">
        <x:f>AK157*AJ157</x:f>
        <x:v>1565.407130112</x:v>
      </x:c>
      <x:c r="AM157" s="226" t="str">
        <x:v>EUR</x:v>
      </x:c>
      <x:c r="AN157" s="226" t="n">
        <x:v>0.38304</x:v>
      </x:c>
      <x:c r="AO157" s="226" t="n">
        <x:f>IF(AM157="EUR",AA157,IF(AM157="GBP",AB157,1))</x:f>
        <x:v>7.84</x:v>
      </x:c>
      <x:c r="AP157" s="226" t="n">
        <x:f>P157*AN157</x:f>
        <x:v>78.2762895355392</x:v>
      </x:c>
      <x:c r="AQ157" s="226" t="n">
        <x:f>AP157*AO157</x:f>
        <x:v>613.6861099586274</x:v>
      </x:c>
      <x:c r="AR157" s="226" t="str">
        <x:v>EUR</x:v>
      </x:c>
      <x:c r="AS157" s="226" t="n">
        <x:v>3.8304</x:v>
      </x:c>
      <x:c r="AT157" s="226" t="n">
        <x:f>IF(AR157="EUR",AA157,IF(AR157="GBP",AB157,1))</x:f>
        <x:v>7.84</x:v>
      </x:c>
      <x:c r="AU157" s="226" t="n">
        <x:f>T157*AS157</x:f>
        <x:v>36.130631040000004</x:v>
      </x:c>
      <x:c r="AV157" s="226" t="n">
        <x:f>AU157*AT157</x:f>
        <x:v>283.26414735360004</x:v>
      </x:c>
      <x:c r="AW157" s="226" t="str">
        <x:v>EUR</x:v>
      </x:c>
      <x:c r="AX157" s="226" t="n">
        <x:v>2.3184</x:v>
      </x:c>
      <x:c r="AY157" s="226" t="n">
        <x:f>IF(AW157="EUR",AA157,IF(AW157="GBP",AB157,1))</x:f>
        <x:v>7.84</x:v>
      </x:c>
      <x:c r="AZ157" s="226" t="n">
        <x:f>V157*AX157</x:f>
        <x:v>6.765543298698025</x:v>
      </x:c>
      <x:c r="BA157" s="226" t="n">
        <x:f>AZ157*AY157</x:f>
        <x:v>53.04185946179251</x:v>
      </x:c>
      <x:c r="BB157" s="226" t="n">
        <x:f>AF157+AG157+AL157+AQ157+AV157+BA157</x:f>
        <x:v>7456.576939317166</x:v>
      </x:c>
      <x:c r="BC157" s="229" t="n">
        <x:v>0.969</x:v>
      </x:c>
      <x:c r="BD157" s="202"/>
      <x:c r="BE157" s="202"/>
      <x:c r="BF157" s="202"/>
      <x:c r="BG157" s="202" t="str">
        <x:v>UNVERIFIED_UNLIMITED_FOR_MVP</x:v>
      </x:c>
    </x:row>
    <x:row r="158">
      <x:c r="A158" s="187" t="str">
        <x:v>ACTUAL_2026_08_CLOSE_V1</x:v>
      </x:c>
      <x:c r="B158" s="187" t="str">
        <x:v>ACTUAL</x:v>
      </x:c>
      <x:c r="C158" s="187"/>
      <x:c r="D158" s="217" t="n">
        <x:v>46113</x:v>
      </x:c>
      <x:c r="E158" s="187" t="str">
        <x:v>R_FR_FR_A_ROAD</x:v>
      </x:c>
      <x:c r="F158" s="187" t="str">
        <x:v>FR</x:v>
      </x:c>
      <x:c r="G158" s="187" t="str">
        <x:v>FR_FC</x:v>
      </x:c>
      <x:c r="H158" s="187" t="str">
        <x:v>CARRIER_A</x:v>
      </x:c>
      <x:c r="I158" s="187" t="str">
        <x:v>ROAD</x:v>
      </x:c>
      <x:c r="J158" s="220" t="n">
        <x:v>15800</x:v>
      </x:c>
      <x:c r="K158" s="223" t="n">
        <x:v>0.321</x:v>
      </x:c>
      <x:c r="L158" s="223" t="n">
        <x:v>1</x:v>
      </x:c>
      <x:c r="M158" s="223" t="n">
        <x:v>0.35</x:v>
      </x:c>
      <x:c r="N158" s="226" t="n">
        <x:f>J158*K158*L158*M158</x:f>
        <x:v>1775.1299999999999</x:v>
      </x:c>
      <x:c r="O158" s="220" t="n">
        <x:v>1.06318</x:v>
      </x:c>
      <x:c r="P158" s="226" t="n">
        <x:f>N158*O158</x:f>
        <x:v>1887.2827134</x:v>
      </x:c>
      <x:c r="Q158" s="220" t="n">
        <x:v>0.7638</x:v>
      </x:c>
      <x:c r="R158" s="226" t="n">
        <x:f>P158*Q158</x:f>
        <x:v>1441.50653649492</x:v>
      </x:c>
      <x:c r="S158" s="220" t="n">
        <x:v>0.06</x:v>
      </x:c>
      <x:c r="T158" s="226" t="n">
        <x:f>N158*S158</x:f>
        <x:v>106.50779999999999</x:v>
      </x:c>
      <x:c r="U158" s="226" t="n">
        <x:v>0.01734</x:v>
      </x:c>
      <x:c r="V158" s="226" t="n">
        <x:f>P158*U158</x:f>
        <x:v>32.725482250356</x:v>
      </x:c>
      <x:c r="W158" s="196" t="str">
        <x:v>EUR</x:v>
      </x:c>
      <x:c r="X158" s="220" t="n">
        <x:v>2.1168</x:v>
      </x:c>
      <x:c r="Y158" s="196" t="str">
        <x:v>PERCENTAGE_OF_BASE_FREIGHT</x:v>
      </x:c>
      <x:c r="Z158" s="220" t="n">
        <x:v>0.09072</x:v>
      </x:c>
      <x:c r="AA158" s="220" t="n">
        <x:v>7.84</x:v>
      </x:c>
      <x:c r="AB158" s="220" t="n">
        <x:v>9.11</x:v>
      </x:c>
      <x:c r="AC158" s="226" t="n">
        <x:f>IF(W158="EUR",AA158,IF(W158="GBP",AB158,1))</x:f>
        <x:v>7.84</x:v>
      </x:c>
      <x:c r="AD158" s="226" t="n">
        <x:f>R158*X158</x:f>
        <x:v>3051.381036452447</x:v>
      </x:c>
      <x:c r="AE158" s="226" t="n">
        <x:f>IF(Y158="PERCENTAGE_OF_BASE_FREIGHT",AD158*Z158,IF(Y158="PER_CHARGEABLE_KG",R158*Z158,P158*Z158))</x:f>
        <x:v>276.82128762696595</x:v>
      </x:c>
      <x:c r="AF158" s="226" t="n">
        <x:f>AD158*AC158</x:f>
        <x:v>23922.827325787184</x:v>
      </x:c>
      <x:c r="AG158" s="226" t="n">
        <x:f>AE158*AC158</x:f>
        <x:v>2170.278894995413</x:v>
      </x:c>
      <x:c r="AH158" s="226" t="str">
        <x:v>EUR</x:v>
      </x:c>
      <x:c r="AI158" s="226" t="n">
        <x:v>1.0584</x:v>
      </x:c>
      <x:c r="AJ158" s="226" t="n">
        <x:f>IF(AH158="EUR",AA158,IF(AH158="GBP",AB158,1))</x:f>
        <x:v>7.84</x:v>
      </x:c>
      <x:c r="AK158" s="226" t="n">
        <x:f>N158*AI158</x:f>
        <x:v>1878.797592</x:v>
      </x:c>
      <x:c r="AL158" s="226" t="n">
        <x:f>AK158*AJ158</x:f>
        <x:v>14729.773121279999</x:v>
      </x:c>
      <x:c r="AM158" s="226" t="str">
        <x:v>EUR</x:v>
      </x:c>
      <x:c r="AN158" s="226" t="n">
        <x:v>0.38304</x:v>
      </x:c>
      <x:c r="AO158" s="226" t="n">
        <x:f>IF(AM158="EUR",AA158,IF(AM158="GBP",AB158,1))</x:f>
        <x:v>7.84</x:v>
      </x:c>
      <x:c r="AP158" s="226" t="n">
        <x:f>P158*AN158</x:f>
        <x:v>722.904770540736</x:v>
      </x:c>
      <x:c r="AQ158" s="226" t="n">
        <x:f>AP158*AO158</x:f>
        <x:v>5667.57340103937</x:v>
      </x:c>
      <x:c r="AR158" s="226" t="str">
        <x:v>EUR</x:v>
      </x:c>
      <x:c r="AS158" s="226" t="n">
        <x:v>3.024</x:v>
      </x:c>
      <x:c r="AT158" s="226" t="n">
        <x:f>IF(AR158="EUR",AA158,IF(AR158="GBP",AB158,1))</x:f>
        <x:v>7.84</x:v>
      </x:c>
      <x:c r="AU158" s="226" t="n">
        <x:f>T158*AS158</x:f>
        <x:v>322.0795872</x:v>
      </x:c>
      <x:c r="AV158" s="226" t="n">
        <x:f>AU158*AT158</x:f>
        <x:v>2525.103963648</x:v>
      </x:c>
      <x:c r="AW158" s="226" t="str">
        <x:v>EUR</x:v>
      </x:c>
      <x:c r="AX158" s="226" t="n">
        <x:v>2.3184</x:v>
      </x:c>
      <x:c r="AY158" s="226" t="n">
        <x:f>IF(AW158="EUR",AA158,IF(AW158="GBP",AB158,1))</x:f>
        <x:v>7.84</x:v>
      </x:c>
      <x:c r="AZ158" s="226" t="n">
        <x:f>V158*AX158</x:f>
        <x:v>75.87075804922536</x:v>
      </x:c>
      <x:c r="BA158" s="226" t="n">
        <x:f>AZ158*AY158</x:f>
        <x:v>594.8267431059268</x:v>
      </x:c>
      <x:c r="BB158" s="226" t="n">
        <x:f>AF158+AG158+AL158+AQ158+AV158+BA158</x:f>
        <x:v>49610.38344985589</x:v>
      </x:c>
      <x:c r="BC158" s="229" t="n">
        <x:v>0.962</x:v>
      </x:c>
      <x:c r="BD158" s="202"/>
      <x:c r="BE158" s="202"/>
      <x:c r="BF158" s="202"/>
      <x:c r="BG158" s="202" t="str">
        <x:v>UNVERIFIED_UNLIMITED_FOR_MVP</x:v>
      </x:c>
    </x:row>
    <x:row r="159">
      <x:c r="A159" s="187" t="str">
        <x:v>ACTUAL_2026_08_CLOSE_V1</x:v>
      </x:c>
      <x:c r="B159" s="187" t="str">
        <x:v>ACTUAL</x:v>
      </x:c>
      <x:c r="C159" s="187"/>
      <x:c r="D159" s="217" t="n">
        <x:v>46113</x:v>
      </x:c>
      <x:c r="E159" s="187" t="str">
        <x:v>R_FR_FR_B_ROAD</x:v>
      </x:c>
      <x:c r="F159" s="187" t="str">
        <x:v>FR</x:v>
      </x:c>
      <x:c r="G159" s="187" t="str">
        <x:v>FR_FC</x:v>
      </x:c>
      <x:c r="H159" s="187" t="str">
        <x:v>CARRIER_B</x:v>
      </x:c>
      <x:c r="I159" s="187" t="str">
        <x:v>ROAD</x:v>
      </x:c>
      <x:c r="J159" s="220" t="n">
        <x:v>15800</x:v>
      </x:c>
      <x:c r="K159" s="223" t="n">
        <x:v>0.321</x:v>
      </x:c>
      <x:c r="L159" s="223" t="n">
        <x:v>1</x:v>
      </x:c>
      <x:c r="M159" s="223" t="n">
        <x:v>0.65</x:v>
      </x:c>
      <x:c r="N159" s="226" t="n">
        <x:f>J159*K159*L159*M159</x:f>
        <x:v>3296.67</x:v>
      </x:c>
      <x:c r="O159" s="220" t="n">
        <x:v>1.06318</x:v>
      </x:c>
      <x:c r="P159" s="226" t="n">
        <x:f>N159*O159</x:f>
        <x:v>3504.9536106</x:v>
      </x:c>
      <x:c r="Q159" s="220" t="n">
        <x:v>0.79395</x:v>
      </x:c>
      <x:c r="R159" s="226" t="n">
        <x:f>P159*Q159</x:f>
        <x:v>2782.75791913587</x:v>
      </x:c>
      <x:c r="S159" s="220" t="n">
        <x:v>0.06</x:v>
      </x:c>
      <x:c r="T159" s="226" t="n">
        <x:f>N159*S159</x:f>
        <x:v>197.8002</x:v>
      </x:c>
      <x:c r="U159" s="226" t="n">
        <x:v>0.01428</x:v>
      </x:c>
      <x:c r="V159" s="226" t="n">
        <x:f>P159*U159</x:f>
        <x:v>50.050737559367995</x:v>
      </x:c>
      <x:c r="W159" s="196" t="str">
        <x:v>EUR</x:v>
      </x:c>
      <x:c r="X159" s="220" t="n">
        <x:v>2.6208</x:v>
      </x:c>
      <x:c r="Y159" s="196" t="str">
        <x:v>PER_CHARGEABLE_KG</x:v>
      </x:c>
      <x:c r="Z159" s="220" t="n">
        <x:v>0.2016</x:v>
      </x:c>
      <x:c r="AA159" s="220" t="n">
        <x:v>7.84</x:v>
      </x:c>
      <x:c r="AB159" s="220" t="n">
        <x:v>9.11</x:v>
      </x:c>
      <x:c r="AC159" s="226" t="n">
        <x:f>IF(W159="EUR",AA159,IF(W159="GBP",AB159,1))</x:f>
        <x:v>7.84</x:v>
      </x:c>
      <x:c r="AD159" s="226" t="n">
        <x:f>R159*X159</x:f>
        <x:v>7293.051954471288</x:v>
      </x:c>
      <x:c r="AE159" s="226" t="n">
        <x:f>IF(Y159="PERCENTAGE_OF_BASE_FREIGHT",AD159*Z159,IF(Y159="PER_CHARGEABLE_KG",R159*Z159,P159*Z159))</x:f>
        <x:v>561.0039964977914</x:v>
      </x:c>
      <x:c r="AF159" s="226" t="n">
        <x:f>AD159*AC159</x:f>
        <x:v>57177.5273230549</x:v>
      </x:c>
      <x:c r="AG159" s="226" t="n">
        <x:f>AE159*AC159</x:f>
        <x:v>4398.271332542684</x:v>
      </x:c>
      <x:c r="AH159" s="226" t="str">
        <x:v>EUR</x:v>
      </x:c>
      <x:c r="AI159" s="226" t="n">
        <x:v>1.0584</x:v>
      </x:c>
      <x:c r="AJ159" s="226" t="n">
        <x:f>IF(AH159="EUR",AA159,IF(AH159="GBP",AB159,1))</x:f>
        <x:v>7.84</x:v>
      </x:c>
      <x:c r="AK159" s="226" t="n">
        <x:f>N159*AI159</x:f>
        <x:v>3489.195528</x:v>
      </x:c>
      <x:c r="AL159" s="226" t="n">
        <x:f>AK159*AJ159</x:f>
        <x:v>27355.29293952</x:v>
      </x:c>
      <x:c r="AM159" s="226" t="str">
        <x:v>EUR</x:v>
      </x:c>
      <x:c r="AN159" s="226" t="n">
        <x:v>0.38304</x:v>
      </x:c>
      <x:c r="AO159" s="226" t="n">
        <x:f>IF(AM159="EUR",AA159,IF(AM159="GBP",AB159,1))</x:f>
        <x:v>7.84</x:v>
      </x:c>
      <x:c r="AP159" s="226" t="n">
        <x:f>P159*AN159</x:f>
        <x:v>1342.537431004224</x:v>
      </x:c>
      <x:c r="AQ159" s="226" t="n">
        <x:f>AP159*AO159</x:f>
        <x:v>10525.493459073115</x:v>
      </x:c>
      <x:c r="AR159" s="226" t="str">
        <x:v>EUR</x:v>
      </x:c>
      <x:c r="AS159" s="226" t="n">
        <x:v>3.024</x:v>
      </x:c>
      <x:c r="AT159" s="226" t="n">
        <x:f>IF(AR159="EUR",AA159,IF(AR159="GBP",AB159,1))</x:f>
        <x:v>7.84</x:v>
      </x:c>
      <x:c r="AU159" s="226" t="n">
        <x:f>T159*AS159</x:f>
        <x:v>598.1478048</x:v>
      </x:c>
      <x:c r="AV159" s="226" t="n">
        <x:f>AU159*AT159</x:f>
        <x:v>4689.478789632</x:v>
      </x:c>
      <x:c r="AW159" s="226" t="str">
        <x:v>EUR</x:v>
      </x:c>
      <x:c r="AX159" s="226" t="n">
        <x:v>2.3184</x:v>
      </x:c>
      <x:c r="AY159" s="226" t="n">
        <x:f>IF(AW159="EUR",AA159,IF(AW159="GBP",AB159,1))</x:f>
        <x:v>7.84</x:v>
      </x:c>
      <x:c r="AZ159" s="226" t="n">
        <x:f>V159*AX159</x:f>
        <x:v>116.03762995763876</x:v>
      </x:c>
      <x:c r="BA159" s="226" t="n">
        <x:f>AZ159*AY159</x:f>
        <x:v>909.7350188678878</x:v>
      </x:c>
      <x:c r="BB159" s="226" t="n">
        <x:f>AF159+AG159+AL159+AQ159+AV159+BA159</x:f>
        <x:v>105055.79886269059</x:v>
      </x:c>
      <x:c r="BC159" s="229" t="n">
        <x:v>0.974</x:v>
      </x:c>
      <x:c r="BD159" s="202"/>
      <x:c r="BE159" s="202"/>
      <x:c r="BF159" s="202"/>
      <x:c r="BG159" s="202" t="str">
        <x:v>UNVERIFIED_UNLIMITED_FOR_MVP</x:v>
      </x:c>
    </x:row>
    <x:row r="160">
      <x:c r="A160" s="187" t="str">
        <x:v>ACTUAL_2026_08_CLOSE_V1</x:v>
      </x:c>
      <x:c r="B160" s="187" t="str">
        <x:v>ACTUAL</x:v>
      </x:c>
      <x:c r="C160" s="187"/>
      <x:c r="D160" s="217" t="n">
        <x:v>46113</x:v>
      </x:c>
      <x:c r="E160" s="187" t="str">
        <x:v>R_GB_DE_A_ROAD</x:v>
      </x:c>
      <x:c r="F160" s="187" t="str">
        <x:v>GB</x:v>
      </x:c>
      <x:c r="G160" s="187" t="str">
        <x:v>DE_FC</x:v>
      </x:c>
      <x:c r="H160" s="187" t="str">
        <x:v>CARRIER_A</x:v>
      </x:c>
      <x:c r="I160" s="187" t="str">
        <x:v>ROAD</x:v>
      </x:c>
      <x:c r="J160" s="220" t="n">
        <x:v>15800</x:v>
      </x:c>
      <x:c r="K160" s="223" t="n">
        <x:v>0.281</x:v>
      </x:c>
      <x:c r="L160" s="223" t="n">
        <x:v>0.96</x:v>
      </x:c>
      <x:c r="M160" s="223" t="n">
        <x:v>0.62</x:v>
      </x:c>
      <x:c r="N160" s="226" t="n">
        <x:f>J160*K160*L160*M160</x:f>
        <x:v>2642.5689599999996</x:v>
      </x:c>
      <x:c r="O160" s="220" t="n">
        <x:v>1.12336</x:v>
      </x:c>
      <x:c r="P160" s="226" t="n">
        <x:f>N160*O160</x:f>
        <x:v>2968.5562669055994</x:v>
      </x:c>
      <x:c r="Q160" s="220" t="n">
        <x:v>1.0251</x:v>
      </x:c>
      <x:c r="R160" s="226" t="n">
        <x:f>P160*Q160</x:f>
        <x:v>3043.0670292049294</x:v>
      </x:c>
      <x:c r="S160" s="220" t="n">
        <x:v>0.08</x:v>
      </x:c>
      <x:c r="T160" s="226" t="n">
        <x:f>N160*S160</x:f>
        <x:v>211.4055168</x:v>
      </x:c>
      <x:c r="U160" s="226" t="n">
        <x:v>0.02244</x:v>
      </x:c>
      <x:c r="V160" s="226" t="n">
        <x:f>P160*U160</x:f>
        <x:v>66.61440262936165</x:v>
      </x:c>
      <x:c r="W160" s="196" t="str">
        <x:v>GBP</x:v>
      </x:c>
      <x:c r="X160" s="220" t="n">
        <x:v>4.032</x:v>
      </x:c>
      <x:c r="Y160" s="196" t="str">
        <x:v>PERCENTAGE_OF_BASE_FREIGHT</x:v>
      </x:c>
      <x:c r="Z160" s="220" t="n">
        <x:v>0.1008</x:v>
      </x:c>
      <x:c r="AA160" s="220" t="n">
        <x:v>7.84</x:v>
      </x:c>
      <x:c r="AB160" s="220" t="n">
        <x:v>9.11</x:v>
      </x:c>
      <x:c r="AC160" s="226" t="n">
        <x:f>IF(W160="EUR",AA160,IF(W160="GBP",AB160,1))</x:f>
        <x:v>9.11</x:v>
      </x:c>
      <x:c r="AD160" s="226" t="n">
        <x:f>R160*X160</x:f>
        <x:v>12269.646261754275</x:v>
      </x:c>
      <x:c r="AE160" s="226" t="n">
        <x:f>IF(Y160="PERCENTAGE_OF_BASE_FREIGHT",AD160*Z160,IF(Y160="PER_CHARGEABLE_KG",R160*Z160,P160*Z160))</x:f>
        <x:v>1236.7803431848308</x:v>
      </x:c>
      <x:c r="AF160" s="226" t="n">
        <x:f>AD160*AC160</x:f>
        <x:v>111776.47744458144</x:v>
      </x:c>
      <x:c r="AG160" s="226" t="n">
        <x:f>AE160*AC160</x:f>
        <x:v>11267.068926413807</x:v>
      </x:c>
      <x:c r="AH160" s="226" t="str">
        <x:v>EUR</x:v>
      </x:c>
      <x:c r="AI160" s="226" t="n">
        <x:v>1.18944</x:v>
      </x:c>
      <x:c r="AJ160" s="226" t="n">
        <x:f>IF(AH160="EUR",AA160,IF(AH160="GBP",AB160,1))</x:f>
        <x:v>7.84</x:v>
      </x:c>
      <x:c r="AK160" s="226" t="n">
        <x:f>N160*AI160</x:f>
        <x:v>3143.1772237824</x:v>
      </x:c>
      <x:c r="AL160" s="226" t="n">
        <x:f>AK160*AJ160</x:f>
        <x:v>24642.509434454012</x:v>
      </x:c>
      <x:c r="AM160" s="226" t="str">
        <x:v>EUR</x:v>
      </x:c>
      <x:c r="AN160" s="226" t="n">
        <x:v>0.42336</x:v>
      </x:c>
      <x:c r="AO160" s="226" t="n">
        <x:f>IF(AM160="EUR",AA160,IF(AM160="GBP",AB160,1))</x:f>
        <x:v>7.84</x:v>
      </x:c>
      <x:c r="AP160" s="226" t="n">
        <x:f>P160*AN160</x:f>
        <x:v>1256.7679811571545</x:v>
      </x:c>
      <x:c r="AQ160" s="226" t="n">
        <x:f>AP160*AO160</x:f>
        <x:v>9853.060972272091</x:v>
      </x:c>
      <x:c r="AR160" s="226" t="str">
        <x:v>GBP</x:v>
      </x:c>
      <x:c r="AS160" s="226" t="n">
        <x:v>4.8384</x:v>
      </x:c>
      <x:c r="AT160" s="226" t="n">
        <x:f>IF(AR160="EUR",AA160,IF(AR160="GBP",AB160,1))</x:f>
        <x:v>9.11</x:v>
      </x:c>
      <x:c r="AU160" s="226" t="n">
        <x:f>T160*AS160</x:f>
        <x:v>1022.86445248512</x:v>
      </x:c>
      <x:c r="AV160" s="226" t="n">
        <x:f>AU160*AT160</x:f>
        <x:v>9318.295162139442</x:v>
      </x:c>
      <x:c r="AW160" s="226" t="str">
        <x:v>GBP</x:v>
      </x:c>
      <x:c r="AX160" s="226" t="n">
        <x:v>2.3184</x:v>
      </x:c>
      <x:c r="AY160" s="226" t="n">
        <x:f>IF(AW160="EUR",AA160,IF(AW160="GBP",AB160,1))</x:f>
        <x:v>9.11</x:v>
      </x:c>
      <x:c r="AZ160" s="226" t="n">
        <x:f>V160*AX160</x:f>
        <x:v>154.43883105591206</x:v>
      </x:c>
      <x:c r="BA160" s="226" t="n">
        <x:f>AZ160*AY160</x:f>
        <x:v>1406.9377509193587</x:v>
      </x:c>
      <x:c r="BB160" s="226" t="n">
        <x:f>AF160+AG160+AL160+AQ160+AV160+BA160</x:f>
        <x:v>168264.34969078016</x:v>
      </x:c>
      <x:c r="BC160" s="229" t="n">
        <x:v>0.931</x:v>
      </x:c>
      <x:c r="BD160" s="202"/>
      <x:c r="BE160" s="202"/>
      <x:c r="BF160" s="202"/>
      <x:c r="BG160" s="202" t="str">
        <x:v>UNVERIFIED_UNLIMITED_FOR_MVP</x:v>
      </x:c>
    </x:row>
    <x:row r="161">
      <x:c r="A161" s="187" t="str">
        <x:v>ACTUAL_2026_08_CLOSE_V1</x:v>
      </x:c>
      <x:c r="B161" s="187" t="str">
        <x:v>ACTUAL</x:v>
      </x:c>
      <x:c r="C161" s="187"/>
      <x:c r="D161" s="217" t="n">
        <x:v>46113</x:v>
      </x:c>
      <x:c r="E161" s="187" t="str">
        <x:v>R_GB_DE_B_ROAD</x:v>
      </x:c>
      <x:c r="F161" s="187" t="str">
        <x:v>GB</x:v>
      </x:c>
      <x:c r="G161" s="187" t="str">
        <x:v>DE_FC</x:v>
      </x:c>
      <x:c r="H161" s="187" t="str">
        <x:v>CARRIER_B</x:v>
      </x:c>
      <x:c r="I161" s="187" t="str">
        <x:v>ROAD</x:v>
      </x:c>
      <x:c r="J161" s="220" t="n">
        <x:v>15800</x:v>
      </x:c>
      <x:c r="K161" s="223" t="n">
        <x:v>0.281</x:v>
      </x:c>
      <x:c r="L161" s="223" t="n">
        <x:v>0.96</x:v>
      </x:c>
      <x:c r="M161" s="223" t="n">
        <x:v>0.25</x:v>
      </x:c>
      <x:c r="N161" s="226" t="n">
        <x:f>J161*K161*L161*M161</x:f>
        <x:v>1065.552</x:v>
      </x:c>
      <x:c r="O161" s="220" t="n">
        <x:v>1.12336</x:v>
      </x:c>
      <x:c r="P161" s="226" t="n">
        <x:f>N161*O161</x:f>
        <x:v>1196.9984947199998</x:v>
      </x:c>
      <x:c r="Q161" s="220" t="n">
        <x:v>1.005</x:v>
      </x:c>
      <x:c r="R161" s="226" t="n">
        <x:f>P161*Q161</x:f>
        <x:v>1202.9834871935998</x:v>
      </x:c>
      <x:c r="S161" s="220" t="n">
        <x:v>0.08</x:v>
      </x:c>
      <x:c r="T161" s="226" t="n">
        <x:f>N161*S161</x:f>
        <x:v>85.24416</x:v>
      </x:c>
      <x:c r="U161" s="226" t="n">
        <x:v>0.01734</x:v>
      </x:c>
      <x:c r="V161" s="226" t="n">
        <x:f>P161*U161</x:f>
        <x:v>20.755953898444798</x:v>
      </x:c>
      <x:c r="W161" s="196" t="str">
        <x:v>GBP</x:v>
      </x:c>
      <x:c r="X161" s="220" t="n">
        <x:v>4.7376</x:v>
      </x:c>
      <x:c r="Y161" s="196" t="str">
        <x:v>PER_CHARGEABLE_KG</x:v>
      </x:c>
      <x:c r="Z161" s="220" t="n">
        <x:v>0.33264</x:v>
      </x:c>
      <x:c r="AA161" s="220" t="n">
        <x:v>7.84</x:v>
      </x:c>
      <x:c r="AB161" s="220" t="n">
        <x:v>9.11</x:v>
      </x:c>
      <x:c r="AC161" s="226" t="n">
        <x:f>IF(W161="EUR",AA161,IF(W161="GBP",AB161,1))</x:f>
        <x:v>9.11</x:v>
      </x:c>
      <x:c r="AD161" s="226" t="n">
        <x:f>R161*X161</x:f>
        <x:v>5699.254568928398</x:v>
      </x:c>
      <x:c r="AE161" s="226" t="n">
        <x:f>IF(Y161="PERCENTAGE_OF_BASE_FREIGHT",AD161*Z161,IF(Y161="PER_CHARGEABLE_KG",R161*Z161,P161*Z161))</x:f>
        <x:v>400.160427180079</x:v>
      </x:c>
      <x:c r="AF161" s="226" t="n">
        <x:f>AD161*AC161</x:f>
        <x:v>51920.209122937704</x:v>
      </x:c>
      <x:c r="AG161" s="226" t="n">
        <x:f>AE161*AC161</x:f>
        <x:v>3645.4614916105197</x:v>
      </x:c>
      <x:c r="AH161" s="226" t="str">
        <x:v>EUR</x:v>
      </x:c>
      <x:c r="AI161" s="226" t="n">
        <x:v>1.18944</x:v>
      </x:c>
      <x:c r="AJ161" s="226" t="n">
        <x:f>IF(AH161="EUR",AA161,IF(AH161="GBP",AB161,1))</x:f>
        <x:v>7.84</x:v>
      </x:c>
      <x:c r="AK161" s="226" t="n">
        <x:f>N161*AI161</x:f>
        <x:v>1267.41017088</x:v>
      </x:c>
      <x:c r="AL161" s="226" t="n">
        <x:f>AK161*AJ161</x:f>
        <x:v>9936.4957396992</x:v>
      </x:c>
      <x:c r="AM161" s="226" t="str">
        <x:v>EUR</x:v>
      </x:c>
      <x:c r="AN161" s="226" t="n">
        <x:v>0.42336</x:v>
      </x:c>
      <x:c r="AO161" s="226" t="n">
        <x:f>IF(AM161="EUR",AA161,IF(AM161="GBP",AB161,1))</x:f>
        <x:v>7.84</x:v>
      </x:c>
      <x:c r="AP161" s="226" t="n">
        <x:f>P161*AN161</x:f>
        <x:v>506.76128272465917</x:v>
      </x:c>
      <x:c r="AQ161" s="226" t="n">
        <x:f>AP161*AO161</x:f>
        <x:v>3973.008456561328</x:v>
      </x:c>
      <x:c r="AR161" s="226" t="str">
        <x:v>GBP</x:v>
      </x:c>
      <x:c r="AS161" s="226" t="n">
        <x:v>4.8384</x:v>
      </x:c>
      <x:c r="AT161" s="226" t="n">
        <x:f>IF(AR161="EUR",AA161,IF(AR161="GBP",AB161,1))</x:f>
        <x:v>9.11</x:v>
      </x:c>
      <x:c r="AU161" s="226" t="n">
        <x:f>T161*AS161</x:f>
        <x:v>412.44534374399996</x:v>
      </x:c>
      <x:c r="AV161" s="226" t="n">
        <x:f>AU161*AT161</x:f>
        <x:v>3757.377081507839</x:v>
      </x:c>
      <x:c r="AW161" s="226" t="str">
        <x:v>GBP</x:v>
      </x:c>
      <x:c r="AX161" s="226" t="n">
        <x:v>2.3184</x:v>
      </x:c>
      <x:c r="AY161" s="226" t="n">
        <x:f>IF(AW161="EUR",AA161,IF(AW161="GBP",AB161,1))</x:f>
        <x:v>9.11</x:v>
      </x:c>
      <x:c r="AZ161" s="226" t="n">
        <x:f>V161*AX161</x:f>
        <x:v>48.12060351815442</x:v>
      </x:c>
      <x:c r="BA161" s="226" t="n">
        <x:f>AZ161*AY161</x:f>
        <x:v>438.37869805038673</x:v>
      </x:c>
      <x:c r="BB161" s="226" t="n">
        <x:f>AF161+AG161+AL161+AQ161+AV161+BA161</x:f>
        <x:v>73670.93059036699</x:v>
      </x:c>
      <x:c r="BC161" s="229" t="n">
        <x:v>0.951</x:v>
      </x:c>
      <x:c r="BD161" s="202"/>
      <x:c r="BE161" s="202"/>
      <x:c r="BF161" s="202"/>
      <x:c r="BG161" s="202" t="str">
        <x:v>UNVERIFIED_UNLIMITED_FOR_MVP</x:v>
      </x:c>
    </x:row>
    <x:row r="162">
      <x:c r="A162" s="187" t="str">
        <x:v>ACTUAL_2026_08_CLOSE_V1</x:v>
      </x:c>
      <x:c r="B162" s="187" t="str">
        <x:v>ACTUAL</x:v>
      </x:c>
      <x:c r="C162" s="187"/>
      <x:c r="D162" s="217" t="n">
        <x:v>46113</x:v>
      </x:c>
      <x:c r="E162" s="187" t="str">
        <x:v>R_GB_DE_B_AIR</x:v>
      </x:c>
      <x:c r="F162" s="187" t="str">
        <x:v>GB</x:v>
      </x:c>
      <x:c r="G162" s="187" t="str">
        <x:v>DE_FC</x:v>
      </x:c>
      <x:c r="H162" s="187" t="str">
        <x:v>CARRIER_B</x:v>
      </x:c>
      <x:c r="I162" s="187" t="str">
        <x:v>AIR</x:v>
      </x:c>
      <x:c r="J162" s="220" t="n">
        <x:v>15800</x:v>
      </x:c>
      <x:c r="K162" s="223" t="n">
        <x:v>0.281</x:v>
      </x:c>
      <x:c r="L162" s="223" t="n">
        <x:v>0.96</x:v>
      </x:c>
      <x:c r="M162" s="223" t="n">
        <x:v>0.09</x:v>
      </x:c>
      <x:c r="N162" s="226" t="n">
        <x:f>J162*K162*L162*M162</x:f>
        <x:v>383.59871999999996</x:v>
      </x:c>
      <x:c r="O162" s="220" t="n">
        <x:v>1.12336</x:v>
      </x:c>
      <x:c r="P162" s="226" t="n">
        <x:f>N162*O162</x:f>
        <x:v>430.9194580991999</x:v>
      </x:c>
      <x:c r="Q162" s="220" t="n">
        <x:v>0.9447</x:v>
      </x:c>
      <x:c r="R162" s="226" t="n">
        <x:f>P162*Q162</x:f>
        <x:v>407.08961206631415</x:v>
      </x:c>
      <x:c r="S162" s="220" t="n">
        <x:v>0.08</x:v>
      </x:c>
      <x:c r="T162" s="226" t="n">
        <x:f>N162*S162</x:f>
        <x:v>30.687897599999996</x:v>
      </x:c>
      <x:c r="U162" s="226" t="n">
        <x:v>0.01326</x:v>
      </x:c>
      <x:c r="V162" s="226" t="n">
        <x:f>P162*U162</x:f>
        <x:v>5.713992014395391</x:v>
      </x:c>
      <x:c r="W162" s="196" t="str">
        <x:v>GBP</x:v>
      </x:c>
      <x:c r="X162" s="220" t="n">
        <x:v>6.2496</x:v>
      </x:c>
      <x:c r="Y162" s="196" t="str">
        <x:v>PERCENTAGE_OF_BASE_FREIGHT</x:v>
      </x:c>
      <x:c r="Z162" s="220" t="n">
        <x:v>0.11592</x:v>
      </x:c>
      <x:c r="AA162" s="220" t="n">
        <x:v>7.84</x:v>
      </x:c>
      <x:c r="AB162" s="220" t="n">
        <x:v>9.11</x:v>
      </x:c>
      <x:c r="AC162" s="226" t="n">
        <x:f>IF(W162="EUR",AA162,IF(W162="GBP",AB162,1))</x:f>
        <x:v>9.11</x:v>
      </x:c>
      <x:c r="AD162" s="226" t="n">
        <x:f>R162*X162</x:f>
        <x:v>2544.147239569637</x:v>
      </x:c>
      <x:c r="AE162" s="226" t="n">
        <x:f>IF(Y162="PERCENTAGE_OF_BASE_FREIGHT",AD162*Z162,IF(Y162="PER_CHARGEABLE_KG",R162*Z162,P162*Z162))</x:f>
        <x:v>294.9175480109123</x:v>
      </x:c>
      <x:c r="AF162" s="226" t="n">
        <x:f>AD162*AC162</x:f>
        <x:v>23177.18135247939</x:v>
      </x:c>
      <x:c r="AG162" s="226" t="n">
        <x:f>AE162*AC162</x:f>
        <x:v>2686.698862379411</x:v>
      </x:c>
      <x:c r="AH162" s="226" t="str">
        <x:v>EUR</x:v>
      </x:c>
      <x:c r="AI162" s="226" t="n">
        <x:v>1.18944</x:v>
      </x:c>
      <x:c r="AJ162" s="226" t="n">
        <x:f>IF(AH162="EUR",AA162,IF(AH162="GBP",AB162,1))</x:f>
        <x:v>7.84</x:v>
      </x:c>
      <x:c r="AK162" s="226" t="n">
        <x:f>N162*AI162</x:f>
        <x:v>456.2676615168</x:v>
      </x:c>
      <x:c r="AL162" s="226" t="n">
        <x:f>AK162*AJ162</x:f>
        <x:v>3577.1384662917117</x:v>
      </x:c>
      <x:c r="AM162" s="226" t="str">
        <x:v>EUR</x:v>
      </x:c>
      <x:c r="AN162" s="226" t="n">
        <x:v>0.42336</x:v>
      </x:c>
      <x:c r="AO162" s="226" t="n">
        <x:f>IF(AM162="EUR",AA162,IF(AM162="GBP",AB162,1))</x:f>
        <x:v>7.84</x:v>
      </x:c>
      <x:c r="AP162" s="226" t="n">
        <x:f>P162*AN162</x:f>
        <x:v>182.43406178087727</x:v>
      </x:c>
      <x:c r="AQ162" s="226" t="n">
        <x:f>AP162*AO162</x:f>
        <x:v>1430.2830443620778</x:v>
      </x:c>
      <x:c r="AR162" s="226" t="str">
        <x:v>GBP</x:v>
      </x:c>
      <x:c r="AS162" s="226" t="n">
        <x:v>4.8384</x:v>
      </x:c>
      <x:c r="AT162" s="226" t="n">
        <x:f>IF(AR162="EUR",AA162,IF(AR162="GBP",AB162,1))</x:f>
        <x:v>9.11</x:v>
      </x:c>
      <x:c r="AU162" s="226" t="n">
        <x:f>T162*AS162</x:f>
        <x:v>148.48032374783998</x:v>
      </x:c>
      <x:c r="AV162" s="226" t="n">
        <x:f>AU162*AT162</x:f>
        <x:v>1352.655749342822</x:v>
      </x:c>
      <x:c r="AW162" s="226" t="str">
        <x:v>GBP</x:v>
      </x:c>
      <x:c r="AX162" s="226" t="n">
        <x:v>2.8224</x:v>
      </x:c>
      <x:c r="AY162" s="226" t="n">
        <x:f>IF(AW162="EUR",AA162,IF(AW162="GBP",AB162,1))</x:f>
        <x:v>9.11</x:v>
      </x:c>
      <x:c r="AZ162" s="226" t="n">
        <x:f>V162*AX162</x:f>
        <x:v>16.12717106142955</x:v>
      </x:c>
      <x:c r="BA162" s="226" t="n">
        <x:f>AZ162*AY162</x:f>
        <x:v>146.9185283696232</x:v>
      </x:c>
      <x:c r="BB162" s="226" t="n">
        <x:f>AF162+AG162+AL162+AQ162+AV162+BA162</x:f>
        <x:v>32370.876003225036</x:v>
      </x:c>
      <x:c r="BC162" s="229" t="n">
        <x:v>0.975</x:v>
      </x:c>
      <x:c r="BD162" s="202"/>
      <x:c r="BE162" s="202"/>
      <x:c r="BF162" s="202"/>
      <x:c r="BG162" s="202" t="str">
        <x:v>UNVERIFIED_UNLIMITED_FOR_MVP</x:v>
      </x:c>
    </x:row>
    <x:row r="163">
      <x:c r="A163" s="187" t="str">
        <x:v>ACTUAL_2026_08_CLOSE_V1</x:v>
      </x:c>
      <x:c r="B163" s="187" t="str">
        <x:v>ACTUAL</x:v>
      </x:c>
      <x:c r="C163" s="187"/>
      <x:c r="D163" s="217" t="n">
        <x:v>46113</x:v>
      </x:c>
      <x:c r="E163" s="187" t="str">
        <x:v>R_GB_DE_C_AIR</x:v>
      </x:c>
      <x:c r="F163" s="187" t="str">
        <x:v>GB</x:v>
      </x:c>
      <x:c r="G163" s="187" t="str">
        <x:v>DE_FC</x:v>
      </x:c>
      <x:c r="H163" s="187" t="str">
        <x:v>CARRIER_C</x:v>
      </x:c>
      <x:c r="I163" s="187" t="str">
        <x:v>AIR</x:v>
      </x:c>
      <x:c r="J163" s="220" t="n">
        <x:v>15800</x:v>
      </x:c>
      <x:c r="K163" s="223" t="n">
        <x:v>0.281</x:v>
      </x:c>
      <x:c r="L163" s="223" t="n">
        <x:v>0.96</x:v>
      </x:c>
      <x:c r="M163" s="223" t="n">
        <x:v>0.04</x:v>
      </x:c>
      <x:c r="N163" s="226" t="n">
        <x:f>J163*K163*L163*M163</x:f>
        <x:v>170.48832</x:v>
      </x:c>
      <x:c r="O163" s="220" t="n">
        <x:v>1.12336</x:v>
      </x:c>
      <x:c r="P163" s="226" t="n">
        <x:f>N163*O163</x:f>
        <x:v>191.51975915519998</x:v>
      </x:c>
      <x:c r="Q163" s="220" t="n">
        <x:v>0.9246</x:v>
      </x:c>
      <x:c r="R163" s="226" t="n">
        <x:f>P163*Q163</x:f>
        <x:v>177.07916931489788</x:v>
      </x:c>
      <x:c r="S163" s="220" t="n">
        <x:v>0.08</x:v>
      </x:c>
      <x:c r="T163" s="226" t="n">
        <x:f>N163*S163</x:f>
        <x:v>13.639065599999999</x:v>
      </x:c>
      <x:c r="U163" s="226" t="n">
        <x:v>0.00918</x:v>
      </x:c>
      <x:c r="V163" s="226" t="n">
        <x:f>P163*U163</x:f>
        <x:v>1.758151389044736</x:v>
      </x:c>
      <x:c r="W163" s="196" t="str">
        <x:v>GBP</x:v>
      </x:c>
      <x:c r="X163" s="220" t="n">
        <x:v>7.56</x:v>
      </x:c>
      <x:c r="Y163" s="196" t="str">
        <x:v>PER_CHARGEABLE_KG</x:v>
      </x:c>
      <x:c r="Z163" s="220" t="n">
        <x:v>0.58464</x:v>
      </x:c>
      <x:c r="AA163" s="220" t="n">
        <x:v>7.84</x:v>
      </x:c>
      <x:c r="AB163" s="220" t="n">
        <x:v>9.11</x:v>
      </x:c>
      <x:c r="AC163" s="226" t="n">
        <x:f>IF(W163="EUR",AA163,IF(W163="GBP",AB163,1))</x:f>
        <x:v>9.11</x:v>
      </x:c>
      <x:c r="AD163" s="226" t="n">
        <x:f>R163*X163</x:f>
        <x:v>1338.718520020628</x:v>
      </x:c>
      <x:c r="AE163" s="226" t="n">
        <x:f>IF(Y163="PERCENTAGE_OF_BASE_FREIGHT",AD163*Z163,IF(Y163="PER_CHARGEABLE_KG",R163*Z163,P163*Z163))</x:f>
        <x:v>103.5275655482619</x:v>
      </x:c>
      <x:c r="AF163" s="226" t="n">
        <x:f>AD163*AC163</x:f>
        <x:v>12195.725717387919</x:v>
      </x:c>
      <x:c r="AG163" s="226" t="n">
        <x:f>AE163*AC163</x:f>
        <x:v>943.1361221446659</x:v>
      </x:c>
      <x:c r="AH163" s="226" t="str">
        <x:v>EUR</x:v>
      </x:c>
      <x:c r="AI163" s="226" t="n">
        <x:v>1.18944</x:v>
      </x:c>
      <x:c r="AJ163" s="226" t="n">
        <x:f>IF(AH163="EUR",AA163,IF(AH163="GBP",AB163,1))</x:f>
        <x:v>7.84</x:v>
      </x:c>
      <x:c r="AK163" s="226" t="n">
        <x:f>N163*AI163</x:f>
        <x:v>202.7856273408</x:v>
      </x:c>
      <x:c r="AL163" s="226" t="n">
        <x:f>AK163*AJ163</x:f>
        <x:v>1589.839318351872</x:v>
      </x:c>
      <x:c r="AM163" s="226" t="str">
        <x:v>EUR</x:v>
      </x:c>
      <x:c r="AN163" s="226" t="n">
        <x:v>0.42336</x:v>
      </x:c>
      <x:c r="AO163" s="226" t="n">
        <x:f>IF(AM163="EUR",AA163,IF(AM163="GBP",AB163,1))</x:f>
        <x:v>7.84</x:v>
      </x:c>
      <x:c r="AP163" s="226" t="n">
        <x:f>P163*AN163</x:f>
        <x:v>81.08180523594547</x:v>
      </x:c>
      <x:c r="AQ163" s="226" t="n">
        <x:f>AP163*AO163</x:f>
        <x:v>635.6813530498124</x:v>
      </x:c>
      <x:c r="AR163" s="226" t="str">
        <x:v>GBP</x:v>
      </x:c>
      <x:c r="AS163" s="226" t="n">
        <x:v>4.8384</x:v>
      </x:c>
      <x:c r="AT163" s="226" t="n">
        <x:f>IF(AR163="EUR",AA163,IF(AR163="GBP",AB163,1))</x:f>
        <x:v>9.11</x:v>
      </x:c>
      <x:c r="AU163" s="226" t="n">
        <x:f>T163*AS163</x:f>
        <x:v>65.99125499904</x:v>
      </x:c>
      <x:c r="AV163" s="226" t="n">
        <x:f>AU163*AT163</x:f>
        <x:v>601.1803330412544</x:v>
      </x:c>
      <x:c r="AW163" s="226" t="str">
        <x:v>GBP</x:v>
      </x:c>
      <x:c r="AX163" s="226" t="n">
        <x:v>3.6288</x:v>
      </x:c>
      <x:c r="AY163" s="226" t="n">
        <x:f>IF(AW163="EUR",AA163,IF(AW163="GBP",AB163,1))</x:f>
        <x:v>9.11</x:v>
      </x:c>
      <x:c r="AZ163" s="226" t="n">
        <x:f>V163*AX163</x:f>
        <x:v>6.379979760565538</x:v>
      </x:c>
      <x:c r="BA163" s="226" t="n">
        <x:f>AZ163*AY163</x:f>
        <x:v>58.12161561875205</x:v>
      </x:c>
      <x:c r="BB163" s="226" t="n">
        <x:f>AF163+AG163+AL163+AQ163+AV163+BA163</x:f>
        <x:v>16023.684459594278</x:v>
      </x:c>
      <x:c r="BC163" s="229" t="n">
        <x:v>0.989</x:v>
      </x:c>
      <x:c r="BD163" s="202"/>
      <x:c r="BE163" s="202"/>
      <x:c r="BF163" s="202"/>
      <x:c r="BG163" s="202" t="str">
        <x:v>UNVERIFIED_UNLIMITED_FOR_MVP</x:v>
      </x:c>
    </x:row>
    <x:row r="164">
      <x:c r="A164" s="187" t="str">
        <x:v>ACTUAL_2026_08_CLOSE_V1</x:v>
      </x:c>
      <x:c r="B164" s="187" t="str">
        <x:v>ACTUAL</x:v>
      </x:c>
      <x:c r="C164" s="187"/>
      <x:c r="D164" s="217" t="n">
        <x:v>46113</x:v>
      </x:c>
      <x:c r="E164" s="187" t="str">
        <x:v>R_GB_FR_B_AIR</x:v>
      </x:c>
      <x:c r="F164" s="187" t="str">
        <x:v>GB</x:v>
      </x:c>
      <x:c r="G164" s="187" t="str">
        <x:v>FR_FC</x:v>
      </x:c>
      <x:c r="H164" s="187" t="str">
        <x:v>CARRIER_B</x:v>
      </x:c>
      <x:c r="I164" s="187" t="str">
        <x:v>AIR</x:v>
      </x:c>
      <x:c r="J164" s="220" t="n">
        <x:v>15800</x:v>
      </x:c>
      <x:c r="K164" s="223" t="n">
        <x:v>0.281</x:v>
      </x:c>
      <x:c r="L164" s="223" t="n">
        <x:v>0.04</x:v>
      </x:c>
      <x:c r="M164" s="223" t="n">
        <x:v>1</x:v>
      </x:c>
      <x:c r="N164" s="226" t="n">
        <x:f>J164*K164*L164*M164</x:f>
        <x:v>177.592</x:v>
      </x:c>
      <x:c r="O164" s="220" t="n">
        <x:v>1.15345</x:v>
      </x:c>
      <x:c r="P164" s="226" t="n">
        <x:f>N164*O164</x:f>
        <x:v>204.84349240000003</x:v>
      </x:c>
      <x:c r="Q164" s="220" t="n">
        <x:v>0.9045</x:v>
      </x:c>
      <x:c r="R164" s="226" t="n">
        <x:f>P164*Q164</x:f>
        <x:v>185.28093887580002</x:v>
      </x:c>
      <x:c r="S164" s="220" t="n">
        <x:v>0.08</x:v>
      </x:c>
      <x:c r="T164" s="226" t="n">
        <x:f>N164*S164</x:f>
        <x:v>14.207360000000001</x:v>
      </x:c>
      <x:c r="U164" s="226" t="n">
        <x:v>0.01224</x:v>
      </x:c>
      <x:c r="V164" s="226" t="n">
        <x:f>P164*U164</x:f>
        <x:v>2.5072843469760002</x:v>
      </x:c>
      <x:c r="W164" s="196" t="str">
        <x:v>EUR</x:v>
      </x:c>
      <x:c r="X164" s="220" t="n">
        <x:v>6.7536</x:v>
      </x:c>
      <x:c r="Y164" s="196" t="str">
        <x:v>PERCENTAGE_OF_BASE_FREIGHT</x:v>
      </x:c>
      <x:c r="Z164" s="220" t="n">
        <x:v>0.10584</x:v>
      </x:c>
      <x:c r="AA164" s="220" t="n">
        <x:v>7.84</x:v>
      </x:c>
      <x:c r="AB164" s="220" t="n">
        <x:v>9.11</x:v>
      </x:c>
      <x:c r="AC164" s="226" t="n">
        <x:f>IF(W164="EUR",AA164,IF(W164="GBP",AB164,1))</x:f>
        <x:v>7.84</x:v>
      </x:c>
      <x:c r="AD164" s="226" t="n">
        <x:f>R164*X164</x:f>
        <x:v>1251.313348791603</x:v>
      </x:c>
      <x:c r="AE164" s="226" t="n">
        <x:f>IF(Y164="PERCENTAGE_OF_BASE_FREIGHT",AD164*Z164,IF(Y164="PER_CHARGEABLE_KG",R164*Z164,P164*Z164))</x:f>
        <x:v>132.43900483610327</x:v>
      </x:c>
      <x:c r="AF164" s="226" t="n">
        <x:f>AD164*AC164</x:f>
        <x:v>9810.296654526166</x:v>
      </x:c>
      <x:c r="AG164" s="226" t="n">
        <x:f>AE164*AC164</x:f>
        <x:v>1038.3217979150495</x:v>
      </x:c>
      <x:c r="AH164" s="226" t="str">
        <x:v>EUR</x:v>
      </x:c>
      <x:c r="AI164" s="226" t="n">
        <x:v>1.0584</x:v>
      </x:c>
      <x:c r="AJ164" s="226" t="n">
        <x:f>IF(AH164="EUR",AA164,IF(AH164="GBP",AB164,1))</x:f>
        <x:v>7.84</x:v>
      </x:c>
      <x:c r="AK164" s="226" t="n">
        <x:f>N164*AI164</x:f>
        <x:v>187.9633728</x:v>
      </x:c>
      <x:c r="AL164" s="226" t="n">
        <x:f>AK164*AJ164</x:f>
        <x:v>1473.632842752</x:v>
      </x:c>
      <x:c r="AM164" s="226" t="str">
        <x:v>EUR</x:v>
      </x:c>
      <x:c r="AN164" s="226" t="n">
        <x:v>0.38304</x:v>
      </x:c>
      <x:c r="AO164" s="226" t="n">
        <x:f>IF(AM164="EUR",AA164,IF(AM164="GBP",AB164,1))</x:f>
        <x:v>7.84</x:v>
      </x:c>
      <x:c r="AP164" s="226" t="n">
        <x:f>P164*AN164</x:f>
        <x:v>78.463251328896</x:v>
      </x:c>
      <x:c r="AQ164" s="226" t="n">
        <x:f>AP164*AO164</x:f>
        <x:v>615.1518904185447</x:v>
      </x:c>
      <x:c r="AR164" s="226" t="str">
        <x:v>EUR</x:v>
      </x:c>
      <x:c r="AS164" s="226" t="n">
        <x:v>5.2416</x:v>
      </x:c>
      <x:c r="AT164" s="226" t="n">
        <x:f>IF(AR164="EUR",AA164,IF(AR164="GBP",AB164,1))</x:f>
        <x:v>7.84</x:v>
      </x:c>
      <x:c r="AU164" s="226" t="n">
        <x:f>T164*AS164</x:f>
        <x:v>74.46929817600001</x:v>
      </x:c>
      <x:c r="AV164" s="226" t="n">
        <x:f>AU164*AT164</x:f>
        <x:v>583.83929769984</x:v>
      </x:c>
      <x:c r="AW164" s="226" t="str">
        <x:v>EUR</x:v>
      </x:c>
      <x:c r="AX164" s="226" t="n">
        <x:v>2.8224</x:v>
      </x:c>
      <x:c r="AY164" s="226" t="n">
        <x:f>IF(AW164="EUR",AA164,IF(AW164="GBP",AB164,1))</x:f>
        <x:v>7.84</x:v>
      </x:c>
      <x:c r="AZ164" s="226" t="n">
        <x:f>V164*AX164</x:f>
        <x:v>7.076559340905063</x:v>
      </x:c>
      <x:c r="BA164" s="226" t="n">
        <x:f>AZ164*AY164</x:f>
        <x:v>55.480225232695695</x:v>
      </x:c>
      <x:c r="BB164" s="226" t="n">
        <x:f>AF164+AG164+AL164+AQ164+AV164+BA164</x:f>
        <x:v>13576.722708544297</x:v>
      </x:c>
      <x:c r="BC164" s="229" t="n">
        <x:v>0.972</x:v>
      </x:c>
      <x:c r="BD164" s="202"/>
      <x:c r="BE164" s="202"/>
      <x:c r="BF164" s="202"/>
      <x:c r="BG164" s="202" t="str">
        <x:v>UNVERIFIED_UNLIMITED_FOR_MVP</x:v>
      </x:c>
    </x:row>
    <x:row r="165">
      <x:c r="A165" s="187" t="str">
        <x:v>ACTUAL_2026_08_CLOSE_V1</x:v>
      </x:c>
      <x:c r="B165" s="187" t="str">
        <x:v>ACTUAL</x:v>
      </x:c>
      <x:c r="C165" s="187"/>
      <x:c r="D165" s="217" t="n">
        <x:v>46143</x:v>
      </x:c>
      <x:c r="E165" s="187" t="str">
        <x:v>R_DE_DE_A_ROAD</x:v>
      </x:c>
      <x:c r="F165" s="187" t="str">
        <x:v>DE</x:v>
      </x:c>
      <x:c r="G165" s="187" t="str">
        <x:v>DE_FC</x:v>
      </x:c>
      <x:c r="H165" s="187" t="str">
        <x:v>CARRIER_A</x:v>
      </x:c>
      <x:c r="I165" s="187" t="str">
        <x:v>ROAD</x:v>
      </x:c>
      <x:c r="J165" s="220" t="n">
        <x:v>16600</x:v>
      </x:c>
      <x:c r="K165" s="223" t="n">
        <x:v>0.386</x:v>
      </x:c>
      <x:c r="L165" s="223" t="n">
        <x:v>0.97</x:v>
      </x:c>
      <x:c r="M165" s="223" t="n">
        <x:v>0.6</x:v>
      </x:c>
      <x:c r="N165" s="226" t="n">
        <x:f>J165*K165*L165*M165</x:f>
        <x:v>3729.2232</x:v>
      </x:c>
      <x:c r="O165" s="220" t="n">
        <x:v>1.0542</x:v>
      </x:c>
      <x:c r="P165" s="226" t="n">
        <x:f>N165*O165</x:f>
        <x:v>3931.34709744</x:v>
      </x:c>
      <x:c r="Q165" s="220" t="n">
        <x:v>0.7839</x:v>
      </x:c>
      <x:c r="R165" s="226" t="n">
        <x:f>P165*Q165</x:f>
        <x:v>3081.7829896832163</x:v>
      </x:c>
      <x:c r="S165" s="220" t="n">
        <x:v>0.05</x:v>
      </x:c>
      <x:c r="T165" s="226" t="n">
        <x:f>N165*S165</x:f>
        <x:v>186.46116</x:v>
      </x:c>
      <x:c r="U165" s="226" t="n">
        <x:v>0.01632</x:v>
      </x:c>
      <x:c r="V165" s="226" t="n">
        <x:f>P165*U165</x:f>
        <x:v>64.1595846302208</x:v>
      </x:c>
      <x:c r="W165" s="196" t="str">
        <x:v>EUR</x:v>
      </x:c>
      <x:c r="X165" s="220" t="n">
        <x:v>2.222</x:v>
      </x:c>
      <x:c r="Y165" s="196" t="str">
        <x:v>PERCENTAGE_OF_BASE_FREIGHT</x:v>
      </x:c>
      <x:c r="Z165" s="220" t="n">
        <x:v>0.09595</x:v>
      </x:c>
      <x:c r="AA165" s="220" t="n">
        <x:v>7.87</x:v>
      </x:c>
      <x:c r="AB165" s="220" t="n">
        <x:v>9.13</x:v>
      </x:c>
      <x:c r="AC165" s="226" t="n">
        <x:f>IF(W165="EUR",AA165,IF(W165="GBP",AB165,1))</x:f>
        <x:v>7.87</x:v>
      </x:c>
      <x:c r="AD165" s="226" t="n">
        <x:f>R165*X165</x:f>
        <x:v>6847.721803076107</x:v>
      </x:c>
      <x:c r="AE165" s="226" t="n">
        <x:f>IF(Y165="PERCENTAGE_OF_BASE_FREIGHT",AD165*Z165,IF(Y165="PER_CHARGEABLE_KG",R165*Z165,P165*Z165))</x:f>
        <x:v>657.0389070051524</x:v>
      </x:c>
      <x:c r="AF165" s="226" t="n">
        <x:f>AD165*AC165</x:f>
        <x:v>53891.57059020896</x:v>
      </x:c>
      <x:c r="AG165" s="226" t="n">
        <x:f>AE165*AC165</x:f>
        <x:v>5170.896198130549</x:v>
      </x:c>
      <x:c r="AH165" s="226" t="str">
        <x:v>EUR</x:v>
      </x:c>
      <x:c r="AI165" s="226" t="n">
        <x:v>1.1918</x:v>
      </x:c>
      <x:c r="AJ165" s="226" t="n">
        <x:f>IF(AH165="EUR",AA165,IF(AH165="GBP",AB165,1))</x:f>
        <x:v>7.87</x:v>
      </x:c>
      <x:c r="AK165" s="226" t="n">
        <x:f>N165*AI165</x:f>
        <x:v>4444.488209759999</x:v>
      </x:c>
      <x:c r="AL165" s="226" t="n">
        <x:f>AK165*AJ165</x:f>
        <x:v>34978.1222108112</x:v>
      </x:c>
      <x:c r="AM165" s="226" t="str">
        <x:v>EUR</x:v>
      </x:c>
      <x:c r="AN165" s="226" t="n">
        <x:v>0.4242</x:v>
      </x:c>
      <x:c r="AO165" s="226" t="n">
        <x:f>IF(AM165="EUR",AA165,IF(AM165="GBP",AB165,1))</x:f>
        <x:v>7.87</x:v>
      </x:c>
      <x:c r="AP165" s="226" t="n">
        <x:f>P165*AN165</x:f>
        <x:v>1667.677438734048</x:v>
      </x:c>
      <x:c r="AQ165" s="226" t="n">
        <x:f>AP165*AO165</x:f>
        <x:v>13124.621442836959</x:v>
      </x:c>
      <x:c r="AR165" s="226" t="str">
        <x:v>EUR</x:v>
      </x:c>
      <x:c r="AS165" s="226" t="n">
        <x:v>3.232</x:v>
      </x:c>
      <x:c r="AT165" s="226" t="n">
        <x:f>IF(AR165="EUR",AA165,IF(AR165="GBP",AB165,1))</x:f>
        <x:v>7.87</x:v>
      </x:c>
      <x:c r="AU165" s="226" t="n">
        <x:f>T165*AS165</x:f>
        <x:v>602.6424691200001</x:v>
      </x:c>
      <x:c r="AV165" s="226" t="n">
        <x:f>AU165*AT165</x:f>
        <x:v>4742.796231974401</x:v>
      </x:c>
      <x:c r="AW165" s="226" t="str">
        <x:v>EUR</x:v>
      </x:c>
      <x:c r="AX165" s="226" t="n">
        <x:v>2.323</x:v>
      </x:c>
      <x:c r="AY165" s="226" t="n">
        <x:f>IF(AW165="EUR",AA165,IF(AW165="GBP",AB165,1))</x:f>
        <x:v>7.87</x:v>
      </x:c>
      <x:c r="AZ165" s="226" t="n">
        <x:f>V165*AX165</x:f>
        <x:v>149.04271509600292</x:v>
      </x:c>
      <x:c r="BA165" s="226" t="n">
        <x:f>AZ165*AY165</x:f>
        <x:v>1172.966167805543</x:v>
      </x:c>
      <x:c r="BB165" s="226" t="n">
        <x:f>AF165+AG165+AL165+AQ165+AV165+BA165</x:f>
        <x:v>113080.9728417676</x:v>
      </x:c>
      <x:c r="BC165" s="229" t="n">
        <x:v>0.966</x:v>
      </x:c>
      <x:c r="BD165" s="202"/>
      <x:c r="BE165" s="202"/>
      <x:c r="BF165" s="202"/>
      <x:c r="BG165" s="202" t="str">
        <x:v>UNVERIFIED_UNLIMITED_FOR_MVP</x:v>
      </x:c>
    </x:row>
    <x:row r="166">
      <x:c r="A166" s="187" t="str">
        <x:v>ACTUAL_2026_08_CLOSE_V1</x:v>
      </x:c>
      <x:c r="B166" s="187" t="str">
        <x:v>ACTUAL</x:v>
      </x:c>
      <x:c r="C166" s="187"/>
      <x:c r="D166" s="217" t="n">
        <x:v>46143</x:v>
      </x:c>
      <x:c r="E166" s="187" t="str">
        <x:v>R_DE_DE_B_ROAD</x:v>
      </x:c>
      <x:c r="F166" s="187" t="str">
        <x:v>DE</x:v>
      </x:c>
      <x:c r="G166" s="187" t="str">
        <x:v>DE_FC</x:v>
      </x:c>
      <x:c r="H166" s="187" t="str">
        <x:v>CARRIER_B</x:v>
      </x:c>
      <x:c r="I166" s="187" t="str">
        <x:v>ROAD</x:v>
      </x:c>
      <x:c r="J166" s="220" t="n">
        <x:v>16600</x:v>
      </x:c>
      <x:c r="K166" s="223" t="n">
        <x:v>0.386</x:v>
      </x:c>
      <x:c r="L166" s="223" t="n">
        <x:v>0.97</x:v>
      </x:c>
      <x:c r="M166" s="223" t="n">
        <x:v>0.4</x:v>
      </x:c>
      <x:c r="N166" s="226" t="n">
        <x:f>J166*K166*L166*M166</x:f>
        <x:v>2486.1488000000004</x:v>
      </x:c>
      <x:c r="O166" s="220" t="n">
        <x:v>1.0542</x:v>
      </x:c>
      <x:c r="P166" s="226" t="n">
        <x:f>N166*O166</x:f>
        <x:v>2620.8980649600003</x:v>
      </x:c>
      <x:c r="Q166" s="220" t="n">
        <x:v>0.804</x:v>
      </x:c>
      <x:c r="R166" s="226" t="n">
        <x:f>P166*Q166</x:f>
        <x:v>2107.2020442278404</x:v>
      </x:c>
      <x:c r="S166" s="220" t="n">
        <x:v>0.05</x:v>
      </x:c>
      <x:c r="T166" s="226" t="n">
        <x:f>N166*S166</x:f>
        <x:v>124.30744000000003</x:v>
      </x:c>
      <x:c r="U166" s="226" t="n">
        <x:v>0.01326</x:v>
      </x:c>
      <x:c r="V166" s="226" t="n">
        <x:f>P166*U166</x:f>
        <x:v>34.753108341369604</x:v>
      </x:c>
      <x:c r="W166" s="196" t="str">
        <x:v>EUR</x:v>
      </x:c>
      <x:c r="X166" s="220" t="n">
        <x:v>2.7775</x:v>
      </x:c>
      <x:c r="Y166" s="196" t="str">
        <x:v>PER_CHARGEABLE_KG</x:v>
      </x:c>
      <x:c r="Z166" s="220" t="n">
        <x:v>0.2121</x:v>
      </x:c>
      <x:c r="AA166" s="220" t="n">
        <x:v>7.87</x:v>
      </x:c>
      <x:c r="AB166" s="220" t="n">
        <x:v>9.13</x:v>
      </x:c>
      <x:c r="AC166" s="226" t="n">
        <x:f>IF(W166="EUR",AA166,IF(W166="GBP",AB166,1))</x:f>
        <x:v>7.87</x:v>
      </x:c>
      <x:c r="AD166" s="226" t="n">
        <x:f>R166*X166</x:f>
        <x:v>5852.753677842827</x:v>
      </x:c>
      <x:c r="AE166" s="226" t="n">
        <x:f>IF(Y166="PERCENTAGE_OF_BASE_FREIGHT",AD166*Z166,IF(Y166="PER_CHARGEABLE_KG",R166*Z166,P166*Z166))</x:f>
        <x:v>446.93755358072497</x:v>
      </x:c>
      <x:c r="AF166" s="226" t="n">
        <x:f>AD166*AC166</x:f>
        <x:v>46061.17144462305</x:v>
      </x:c>
      <x:c r="AG166" s="226" t="n">
        <x:f>AE166*AC166</x:f>
        <x:v>3517.3985466803056</x:v>
      </x:c>
      <x:c r="AH166" s="226" t="str">
        <x:v>EUR</x:v>
      </x:c>
      <x:c r="AI166" s="226" t="n">
        <x:v>1.1918</x:v>
      </x:c>
      <x:c r="AJ166" s="226" t="n">
        <x:f>IF(AH166="EUR",AA166,IF(AH166="GBP",AB166,1))</x:f>
        <x:v>7.87</x:v>
      </x:c>
      <x:c r="AK166" s="226" t="n">
        <x:f>N166*AI166</x:f>
        <x:v>2962.9921398400006</x:v>
      </x:c>
      <x:c r="AL166" s="226" t="n">
        <x:f>AK166*AJ166</x:f>
        <x:v>23318.748140540803</x:v>
      </x:c>
      <x:c r="AM166" s="226" t="str">
        <x:v>EUR</x:v>
      </x:c>
      <x:c r="AN166" s="226" t="n">
        <x:v>0.4242</x:v>
      </x:c>
      <x:c r="AO166" s="226" t="n">
        <x:f>IF(AM166="EUR",AA166,IF(AM166="GBP",AB166,1))</x:f>
        <x:v>7.87</x:v>
      </x:c>
      <x:c r="AP166" s="226" t="n">
        <x:f>P166*AN166</x:f>
        <x:v>1111.784959156032</x:v>
      </x:c>
      <x:c r="AQ166" s="226" t="n">
        <x:f>AP166*AO166</x:f>
        <x:v>8749.747628557972</x:v>
      </x:c>
      <x:c r="AR166" s="226" t="str">
        <x:v>EUR</x:v>
      </x:c>
      <x:c r="AS166" s="226" t="n">
        <x:v>3.232</x:v>
      </x:c>
      <x:c r="AT166" s="226" t="n">
        <x:f>IF(AR166="EUR",AA166,IF(AR166="GBP",AB166,1))</x:f>
        <x:v>7.87</x:v>
      </x:c>
      <x:c r="AU166" s="226" t="n">
        <x:f>T166*AS166</x:f>
        <x:v>401.7616460800001</x:v>
      </x:c>
      <x:c r="AV166" s="226" t="n">
        <x:f>AU166*AT166</x:f>
        <x:v>3161.864154649601</x:v>
      </x:c>
      <x:c r="AW166" s="226" t="str">
        <x:v>EUR</x:v>
      </x:c>
      <x:c r="AX166" s="226" t="n">
        <x:v>2.323</x:v>
      </x:c>
      <x:c r="AY166" s="226" t="n">
        <x:f>IF(AW166="EUR",AA166,IF(AW166="GBP",AB166,1))</x:f>
        <x:v>7.87</x:v>
      </x:c>
      <x:c r="AZ166" s="226" t="n">
        <x:f>V166*AX166</x:f>
        <x:v>80.73147067700158</x:v>
      </x:c>
      <x:c r="BA166" s="226" t="n">
        <x:f>AZ166*AY166</x:f>
        <x:v>635.3566742280025</x:v>
      </x:c>
      <x:c r="BB166" s="226" t="n">
        <x:f>AF166+AG166+AL166+AQ166+AV166+BA166</x:f>
        <x:v>85444.28658927976</x:v>
      </x:c>
      <x:c r="BC166" s="229" t="n">
        <x:v>0.977</x:v>
      </x:c>
      <x:c r="BD166" s="202"/>
      <x:c r="BE166" s="202"/>
      <x:c r="BF166" s="202"/>
      <x:c r="BG166" s="202" t="str">
        <x:v>UNVERIFIED_UNLIMITED_FOR_MVP</x:v>
      </x:c>
    </x:row>
    <x:row r="167">
      <x:c r="A167" s="187" t="str">
        <x:v>ACTUAL_2026_08_CLOSE_V1</x:v>
      </x:c>
      <x:c r="B167" s="187" t="str">
        <x:v>ACTUAL</x:v>
      </x:c>
      <x:c r="C167" s="187"/>
      <x:c r="D167" s="217" t="n">
        <x:v>46143</x:v>
      </x:c>
      <x:c r="E167" s="187" t="str">
        <x:v>R_DE_FR_B_ROAD</x:v>
      </x:c>
      <x:c r="F167" s="187" t="str">
        <x:v>DE</x:v>
      </x:c>
      <x:c r="G167" s="187" t="str">
        <x:v>FR_FC</x:v>
      </x:c>
      <x:c r="H167" s="187" t="str">
        <x:v>CARRIER_B</x:v>
      </x:c>
      <x:c r="I167" s="187" t="str">
        <x:v>ROAD</x:v>
      </x:c>
      <x:c r="J167" s="220" t="n">
        <x:v>16600</x:v>
      </x:c>
      <x:c r="K167" s="223" t="n">
        <x:v>0.386</x:v>
      </x:c>
      <x:c r="L167" s="223" t="n">
        <x:v>0.03</x:v>
      </x:c>
      <x:c r="M167" s="223" t="n">
        <x:v>1</x:v>
      </x:c>
      <x:c r="N167" s="226" t="n">
        <x:f>J167*K167*L167*M167</x:f>
        <x:v>192.228</x:v>
      </x:c>
      <x:c r="O167" s="220" t="n">
        <x:v>1.08432</x:v>
      </x:c>
      <x:c r="P167" s="226" t="n">
        <x:f>N167*O167</x:f>
        <x:v>208.43666496</x:v>
      </x:c>
      <x:c r="Q167" s="220" t="n">
        <x:v>0.8643</x:v>
      </x:c>
      <x:c r="R167" s="226" t="n">
        <x:f>P167*Q167</x:f>
        <x:v>180.15180952492798</x:v>
      </x:c>
      <x:c r="S167" s="220" t="n">
        <x:v>0.05</x:v>
      </x:c>
      <x:c r="T167" s="226" t="n">
        <x:f>N167*S167</x:f>
        <x:v>9.611400000000001</x:v>
      </x:c>
      <x:c r="U167" s="226" t="n">
        <x:v>0.01428</x:v>
      </x:c>
      <x:c r="V167" s="226" t="n">
        <x:f>P167*U167</x:f>
        <x:v>2.9764755756288</x:v>
      </x:c>
      <x:c r="W167" s="196" t="str">
        <x:v>EUR</x:v>
      </x:c>
      <x:c r="X167" s="220" t="n">
        <x:v>3.333</x:v>
      </x:c>
      <x:c r="Y167" s="196" t="str">
        <x:v>PER_CHARGEABLE_KG</x:v>
      </x:c>
      <x:c r="Z167" s="220" t="n">
        <x:v>0.2424</x:v>
      </x:c>
      <x:c r="AA167" s="220" t="n">
        <x:v>7.87</x:v>
      </x:c>
      <x:c r="AB167" s="220" t="n">
        <x:v>9.13</x:v>
      </x:c>
      <x:c r="AC167" s="226" t="n">
        <x:f>IF(W167="EUR",AA167,IF(W167="GBP",AB167,1))</x:f>
        <x:v>7.87</x:v>
      </x:c>
      <x:c r="AD167" s="226" t="n">
        <x:f>R167*X167</x:f>
        <x:v>600.445981146585</x:v>
      </x:c>
      <x:c r="AE167" s="226" t="n">
        <x:f>IF(Y167="PERCENTAGE_OF_BASE_FREIGHT",AD167*Z167,IF(Y167="PER_CHARGEABLE_KG",R167*Z167,P167*Z167))</x:f>
        <x:v>43.668798628842545</x:v>
      </x:c>
      <x:c r="AF167" s="226" t="n">
        <x:f>AD167*AC167</x:f>
        <x:v>4725.509871623624</x:v>
      </x:c>
      <x:c r="AG167" s="226" t="n">
        <x:f>AE167*AC167</x:f>
        <x:v>343.6734452089908</x:v>
      </x:c>
      <x:c r="AH167" s="226" t="str">
        <x:v>EUR</x:v>
      </x:c>
      <x:c r="AI167" s="226" t="n">
        <x:v>1.0605</x:v>
      </x:c>
      <x:c r="AJ167" s="226" t="n">
        <x:f>IF(AH167="EUR",AA167,IF(AH167="GBP",AB167,1))</x:f>
        <x:v>7.87</x:v>
      </x:c>
      <x:c r="AK167" s="226" t="n">
        <x:f>N167*AI167</x:f>
        <x:v>203.857794</x:v>
      </x:c>
      <x:c r="AL167" s="226" t="n">
        <x:f>AK167*AJ167</x:f>
        <x:v>1604.3608387800002</x:v>
      </x:c>
      <x:c r="AM167" s="226" t="str">
        <x:v>EUR</x:v>
      </x:c>
      <x:c r="AN167" s="226" t="n">
        <x:v>0.3838</x:v>
      </x:c>
      <x:c r="AO167" s="226" t="n">
        <x:f>IF(AM167="EUR",AA167,IF(AM167="GBP",AB167,1))</x:f>
        <x:v>7.87</x:v>
      </x:c>
      <x:c r="AP167" s="226" t="n">
        <x:f>P167*AN167</x:f>
        <x:v>79.997992011648</x:v>
      </x:c>
      <x:c r="AQ167" s="226" t="n">
        <x:f>AP167*AO167</x:f>
        <x:v>629.5841971316697</x:v>
      </x:c>
      <x:c r="AR167" s="226" t="str">
        <x:v>EUR</x:v>
      </x:c>
      <x:c r="AS167" s="226" t="n">
        <x:v>3.838</x:v>
      </x:c>
      <x:c r="AT167" s="226" t="n">
        <x:f>IF(AR167="EUR",AA167,IF(AR167="GBP",AB167,1))</x:f>
        <x:v>7.87</x:v>
      </x:c>
      <x:c r="AU167" s="226" t="n">
        <x:f>T167*AS167</x:f>
        <x:v>36.888553200000004</x:v>
      </x:c>
      <x:c r="AV167" s="226" t="n">
        <x:f>AU167*AT167</x:f>
        <x:v>290.312913684</x:v>
      </x:c>
      <x:c r="AW167" s="226" t="str">
        <x:v>EUR</x:v>
      </x:c>
      <x:c r="AX167" s="226" t="n">
        <x:v>2.323</x:v>
      </x:c>
      <x:c r="AY167" s="226" t="n">
        <x:f>IF(AW167="EUR",AA167,IF(AW167="GBP",AB167,1))</x:f>
        <x:v>7.87</x:v>
      </x:c>
      <x:c r="AZ167" s="226" t="n">
        <x:f>V167*AX167</x:f>
        <x:v>6.914352762185702</x:v>
      </x:c>
      <x:c r="BA167" s="226" t="n">
        <x:f>AZ167*AY167</x:f>
        <x:v>54.41595623840148</x:v>
      </x:c>
      <x:c r="BB167" s="226" t="n">
        <x:f>AF167+AG167+AL167+AQ167+AV167+BA167</x:f>
        <x:v>7647.857222666686</x:v>
      </x:c>
      <x:c r="BC167" s="229" t="n">
        <x:v>0.969</x:v>
      </x:c>
      <x:c r="BD167" s="202"/>
      <x:c r="BE167" s="202"/>
      <x:c r="BF167" s="202"/>
      <x:c r="BG167" s="202" t="str">
        <x:v>UNVERIFIED_UNLIMITED_FOR_MVP</x:v>
      </x:c>
    </x:row>
    <x:row r="168">
      <x:c r="A168" s="187" t="str">
        <x:v>ACTUAL_2026_08_CLOSE_V1</x:v>
      </x:c>
      <x:c r="B168" s="187" t="str">
        <x:v>ACTUAL</x:v>
      </x:c>
      <x:c r="C168" s="187"/>
      <x:c r="D168" s="217" t="n">
        <x:v>46143</x:v>
      </x:c>
      <x:c r="E168" s="187" t="str">
        <x:v>R_FR_FR_A_ROAD</x:v>
      </x:c>
      <x:c r="F168" s="187" t="str">
        <x:v>FR</x:v>
      </x:c>
      <x:c r="G168" s="187" t="str">
        <x:v>FR_FC</x:v>
      </x:c>
      <x:c r="H168" s="187" t="str">
        <x:v>CARRIER_A</x:v>
      </x:c>
      <x:c r="I168" s="187" t="str">
        <x:v>ROAD</x:v>
      </x:c>
      <x:c r="J168" s="220" t="n">
        <x:v>16600</x:v>
      </x:c>
      <x:c r="K168" s="223" t="n">
        <x:v>0.319</x:v>
      </x:c>
      <x:c r="L168" s="223" t="n">
        <x:v>1</x:v>
      </x:c>
      <x:c r="M168" s="223" t="n">
        <x:v>0.35</x:v>
      </x:c>
      <x:c r="N168" s="226" t="n">
        <x:f>J168*K168*L168*M168</x:f>
        <x:v>1853.39</x:v>
      </x:c>
      <x:c r="O168" s="220" t="n">
        <x:v>1.06424</x:v>
      </x:c>
      <x:c r="P168" s="226" t="n">
        <x:f>N168*O168</x:f>
        <x:v>1972.4517736000003</x:v>
      </x:c>
      <x:c r="Q168" s="220" t="n">
        <x:v>0.7638</x:v>
      </x:c>
      <x:c r="R168" s="226" t="n">
        <x:f>P168*Q168</x:f>
        <x:v>1506.5586646756803</x:v>
      </x:c>
      <x:c r="S168" s="220" t="n">
        <x:v>0.06</x:v>
      </x:c>
      <x:c r="T168" s="226" t="n">
        <x:f>N168*S168</x:f>
        <x:v>111.2034</x:v>
      </x:c>
      <x:c r="U168" s="226" t="n">
        <x:v>0.01734</x:v>
      </x:c>
      <x:c r="V168" s="226" t="n">
        <x:f>P168*U168</x:f>
        <x:v>34.20231375422401</x:v>
      </x:c>
      <x:c r="W168" s="196" t="str">
        <x:v>EUR</x:v>
      </x:c>
      <x:c r="X168" s="220" t="n">
        <x:v>2.121</x:v>
      </x:c>
      <x:c r="Y168" s="196" t="str">
        <x:v>PERCENTAGE_OF_BASE_FREIGHT</x:v>
      </x:c>
      <x:c r="Z168" s="220" t="n">
        <x:v>0.0909</x:v>
      </x:c>
      <x:c r="AA168" s="220" t="n">
        <x:v>7.87</x:v>
      </x:c>
      <x:c r="AB168" s="220" t="n">
        <x:v>9.13</x:v>
      </x:c>
      <x:c r="AC168" s="226" t="n">
        <x:f>IF(W168="EUR",AA168,IF(W168="GBP",AB168,1))</x:f>
        <x:v>7.87</x:v>
      </x:c>
      <x:c r="AD168" s="226" t="n">
        <x:f>R168*X168</x:f>
        <x:v>3195.410927777118</x:v>
      </x:c>
      <x:c r="AE168" s="226" t="n">
        <x:f>IF(Y168="PERCENTAGE_OF_BASE_FREIGHT",AD168*Z168,IF(Y168="PER_CHARGEABLE_KG",R168*Z168,P168*Z168))</x:f>
        <x:v>290.46285333494</x:v>
      </x:c>
      <x:c r="AF168" s="226" t="n">
        <x:f>AD168*AC168</x:f>
        <x:v>25147.88400160592</x:v>
      </x:c>
      <x:c r="AG168" s="226" t="n">
        <x:f>AE168*AC168</x:f>
        <x:v>2285.942655745978</x:v>
      </x:c>
      <x:c r="AH168" s="226" t="str">
        <x:v>EUR</x:v>
      </x:c>
      <x:c r="AI168" s="226" t="n">
        <x:v>1.0605</x:v>
      </x:c>
      <x:c r="AJ168" s="226" t="n">
        <x:f>IF(AH168="EUR",AA168,IF(AH168="GBP",AB168,1))</x:f>
        <x:v>7.87</x:v>
      </x:c>
      <x:c r="AK168" s="226" t="n">
        <x:f>N168*AI168</x:f>
        <x:v>1965.520095</x:v>
      </x:c>
      <x:c r="AL168" s="226" t="n">
        <x:f>AK168*AJ168</x:f>
        <x:v>15468.64314765</x:v>
      </x:c>
      <x:c r="AM168" s="226" t="str">
        <x:v>EUR</x:v>
      </x:c>
      <x:c r="AN168" s="226" t="n">
        <x:v>0.3838</x:v>
      </x:c>
      <x:c r="AO168" s="226" t="n">
        <x:f>IF(AM168="EUR",AA168,IF(AM168="GBP",AB168,1))</x:f>
        <x:v>7.87</x:v>
      </x:c>
      <x:c r="AP168" s="226" t="n">
        <x:f>P168*AN168</x:f>
        <x:v>757.02699070768</x:v>
      </x:c>
      <x:c r="AQ168" s="226" t="n">
        <x:f>AP168*AO168</x:f>
        <x:v>5957.802416869442</x:v>
      </x:c>
      <x:c r="AR168" s="226" t="str">
        <x:v>EUR</x:v>
      </x:c>
      <x:c r="AS168" s="226" t="n">
        <x:v>3.03</x:v>
      </x:c>
      <x:c r="AT168" s="226" t="n">
        <x:f>IF(AR168="EUR",AA168,IF(AR168="GBP",AB168,1))</x:f>
        <x:v>7.87</x:v>
      </x:c>
      <x:c r="AU168" s="226" t="n">
        <x:f>T168*AS168</x:f>
        <x:v>336.946302</x:v>
      </x:c>
      <x:c r="AV168" s="226" t="n">
        <x:f>AU168*AT168</x:f>
        <x:v>2651.76739674</x:v>
      </x:c>
      <x:c r="AW168" s="226" t="str">
        <x:v>EUR</x:v>
      </x:c>
      <x:c r="AX168" s="226" t="n">
        <x:v>2.323</x:v>
      </x:c>
      <x:c r="AY168" s="226" t="n">
        <x:f>IF(AW168="EUR",AA168,IF(AW168="GBP",AB168,1))</x:f>
        <x:v>7.87</x:v>
      </x:c>
      <x:c r="AZ168" s="226" t="n">
        <x:f>V168*AX168</x:f>
        <x:v>79.45197485106237</x:v>
      </x:c>
      <x:c r="BA168" s="226" t="n">
        <x:f>AZ168*AY168</x:f>
        <x:v>625.2870420778609</x:v>
      </x:c>
      <x:c r="BB168" s="226" t="n">
        <x:f>AF168+AG168+AL168+AQ168+AV168+BA168</x:f>
        <x:v>52137.32666068919</x:v>
      </x:c>
      <x:c r="BC168" s="229" t="n">
        <x:v>0.962</x:v>
      </x:c>
      <x:c r="BD168" s="202"/>
      <x:c r="BE168" s="202"/>
      <x:c r="BF168" s="202"/>
      <x:c r="BG168" s="202" t="str">
        <x:v>UNVERIFIED_UNLIMITED_FOR_MVP</x:v>
      </x:c>
    </x:row>
    <x:row r="169">
      <x:c r="A169" s="187" t="str">
        <x:v>ACTUAL_2026_08_CLOSE_V1</x:v>
      </x:c>
      <x:c r="B169" s="187" t="str">
        <x:v>ACTUAL</x:v>
      </x:c>
      <x:c r="C169" s="187"/>
      <x:c r="D169" s="217" t="n">
        <x:v>46143</x:v>
      </x:c>
      <x:c r="E169" s="187" t="str">
        <x:v>R_FR_FR_B_ROAD</x:v>
      </x:c>
      <x:c r="F169" s="187" t="str">
        <x:v>FR</x:v>
      </x:c>
      <x:c r="G169" s="187" t="str">
        <x:v>FR_FC</x:v>
      </x:c>
      <x:c r="H169" s="187" t="str">
        <x:v>CARRIER_B</x:v>
      </x:c>
      <x:c r="I169" s="187" t="str">
        <x:v>ROAD</x:v>
      </x:c>
      <x:c r="J169" s="220" t="n">
        <x:v>16600</x:v>
      </x:c>
      <x:c r="K169" s="223" t="n">
        <x:v>0.319</x:v>
      </x:c>
      <x:c r="L169" s="223" t="n">
        <x:v>1</x:v>
      </x:c>
      <x:c r="M169" s="223" t="n">
        <x:v>0.65</x:v>
      </x:c>
      <x:c r="N169" s="226" t="n">
        <x:f>J169*K169*L169*M169</x:f>
        <x:v>3442.0100000000007</x:v>
      </x:c>
      <x:c r="O169" s="220" t="n">
        <x:v>1.06424</x:v>
      </x:c>
      <x:c r="P169" s="226" t="n">
        <x:f>N169*O169</x:f>
        <x:v>3663.124722400001</x:v>
      </x:c>
      <x:c r="Q169" s="220" t="n">
        <x:v>0.79395</x:v>
      </x:c>
      <x:c r="R169" s="226" t="n">
        <x:f>P169*Q169</x:f>
        <x:v>2908.337873349481</x:v>
      </x:c>
      <x:c r="S169" s="220" t="n">
        <x:v>0.06</x:v>
      </x:c>
      <x:c r="T169" s="226" t="n">
        <x:f>N169*S169</x:f>
        <x:v>206.52060000000003</x:v>
      </x:c>
      <x:c r="U169" s="226" t="n">
        <x:v>0.01428</x:v>
      </x:c>
      <x:c r="V169" s="226" t="n">
        <x:f>P169*U169</x:f>
        <x:v>52.309421035872006</x:v>
      </x:c>
      <x:c r="W169" s="196" t="str">
        <x:v>EUR</x:v>
      </x:c>
      <x:c r="X169" s="220" t="n">
        <x:v>2.626</x:v>
      </x:c>
      <x:c r="Y169" s="196" t="str">
        <x:v>PER_CHARGEABLE_KG</x:v>
      </x:c>
      <x:c r="Z169" s="220" t="n">
        <x:v>0.202</x:v>
      </x:c>
      <x:c r="AA169" s="220" t="n">
        <x:v>7.87</x:v>
      </x:c>
      <x:c r="AB169" s="220" t="n">
        <x:v>9.13</x:v>
      </x:c>
      <x:c r="AC169" s="226" t="n">
        <x:f>IF(W169="EUR",AA169,IF(W169="GBP",AB169,1))</x:f>
        <x:v>7.87</x:v>
      </x:c>
      <x:c r="AD169" s="226" t="n">
        <x:f>R169*X169</x:f>
        <x:v>7637.295255415736</x:v>
      </x:c>
      <x:c r="AE169" s="226" t="n">
        <x:f>IF(Y169="PERCENTAGE_OF_BASE_FREIGHT",AD169*Z169,IF(Y169="PER_CHARGEABLE_KG",R169*Z169,P169*Z169))</x:f>
        <x:v>587.4842504165952</x:v>
      </x:c>
      <x:c r="AF169" s="226" t="n">
        <x:f>AD169*AC169</x:f>
        <x:v>60105.51366012185</x:v>
      </x:c>
      <x:c r="AG169" s="226" t="n">
        <x:f>AE169*AC169</x:f>
        <x:v>4623.501050778604</x:v>
      </x:c>
      <x:c r="AH169" s="226" t="str">
        <x:v>EUR</x:v>
      </x:c>
      <x:c r="AI169" s="226" t="n">
        <x:v>1.0605</x:v>
      </x:c>
      <x:c r="AJ169" s="226" t="n">
        <x:f>IF(AH169="EUR",AA169,IF(AH169="GBP",AB169,1))</x:f>
        <x:v>7.87</x:v>
      </x:c>
      <x:c r="AK169" s="226" t="n">
        <x:f>N169*AI169</x:f>
        <x:v>3650.251605000001</x:v>
      </x:c>
      <x:c r="AL169" s="226" t="n">
        <x:f>AK169*AJ169</x:f>
        <x:v>28727.480131350007</x:v>
      </x:c>
      <x:c r="AM169" s="226" t="str">
        <x:v>EUR</x:v>
      </x:c>
      <x:c r="AN169" s="226" t="n">
        <x:v>0.3838</x:v>
      </x:c>
      <x:c r="AO169" s="226" t="n">
        <x:f>IF(AM169="EUR",AA169,IF(AM169="GBP",AB169,1))</x:f>
        <x:v>7.87</x:v>
      </x:c>
      <x:c r="AP169" s="226" t="n">
        <x:f>P169*AN169</x:f>
        <x:v>1405.9072684571202</x:v>
      </x:c>
      <x:c r="AQ169" s="226" t="n">
        <x:f>AP169*AO169</x:f>
        <x:v>11064.490202757535</x:v>
      </x:c>
      <x:c r="AR169" s="226" t="str">
        <x:v>EUR</x:v>
      </x:c>
      <x:c r="AS169" s="226" t="n">
        <x:v>3.03</x:v>
      </x:c>
      <x:c r="AT169" s="226" t="n">
        <x:f>IF(AR169="EUR",AA169,IF(AR169="GBP",AB169,1))</x:f>
        <x:v>7.87</x:v>
      </x:c>
      <x:c r="AU169" s="226" t="n">
        <x:f>T169*AS169</x:f>
        <x:v>625.757418</x:v>
      </x:c>
      <x:c r="AV169" s="226" t="n">
        <x:f>AU169*AT169</x:f>
        <x:v>4924.7108796600005</x:v>
      </x:c>
      <x:c r="AW169" s="226" t="str">
        <x:v>EUR</x:v>
      </x:c>
      <x:c r="AX169" s="226" t="n">
        <x:v>2.323</x:v>
      </x:c>
      <x:c r="AY169" s="226" t="n">
        <x:f>IF(AW169="EUR",AA169,IF(AW169="GBP",AB169,1))</x:f>
        <x:v>7.87</x:v>
      </x:c>
      <x:c r="AZ169" s="226" t="n">
        <x:f>V169*AX169</x:f>
        <x:v>121.51478506633067</x:v>
      </x:c>
      <x:c r="BA169" s="226" t="n">
        <x:f>AZ169*AY169</x:f>
        <x:v>956.3213584720224</x:v>
      </x:c>
      <x:c r="BB169" s="226" t="n">
        <x:f>AF169+AG169+AL169+AQ169+AV169+BA169</x:f>
        <x:v>110402.01728314001</x:v>
      </x:c>
      <x:c r="BC169" s="229" t="n">
        <x:v>0.974</x:v>
      </x:c>
      <x:c r="BD169" s="202"/>
      <x:c r="BE169" s="202"/>
      <x:c r="BF169" s="202"/>
      <x:c r="BG169" s="202" t="str">
        <x:v>UNVERIFIED_UNLIMITED_FOR_MVP</x:v>
      </x:c>
    </x:row>
    <x:row r="170">
      <x:c r="A170" s="187" t="str">
        <x:v>ACTUAL_2026_08_CLOSE_V1</x:v>
      </x:c>
      <x:c r="B170" s="187" t="str">
        <x:v>ACTUAL</x:v>
      </x:c>
      <x:c r="C170" s="187"/>
      <x:c r="D170" s="217" t="n">
        <x:v>46143</x:v>
      </x:c>
      <x:c r="E170" s="187" t="str">
        <x:v>R_GB_DE_A_ROAD</x:v>
      </x:c>
      <x:c r="F170" s="187" t="str">
        <x:v>GB</x:v>
      </x:c>
      <x:c r="G170" s="187" t="str">
        <x:v>DE_FC</x:v>
      </x:c>
      <x:c r="H170" s="187" t="str">
        <x:v>CARRIER_A</x:v>
      </x:c>
      <x:c r="I170" s="187" t="str">
        <x:v>ROAD</x:v>
      </x:c>
      <x:c r="J170" s="220" t="n">
        <x:v>16600</x:v>
      </x:c>
      <x:c r="K170" s="223" t="n">
        <x:v>0.295</x:v>
      </x:c>
      <x:c r="L170" s="223" t="n">
        <x:v>0.96</x:v>
      </x:c>
      <x:c r="M170" s="223" t="n">
        <x:v>0.62</x:v>
      </x:c>
      <x:c r="N170" s="226" t="n">
        <x:f>J170*K170*L170*M170</x:f>
        <x:v>2914.6944</x:v>
      </x:c>
      <x:c r="O170" s="220" t="n">
        <x:v>1.12448</x:v>
      </x:c>
      <x:c r="P170" s="226" t="n">
        <x:f>N170*O170</x:f>
        <x:v>3277.5155589119995</x:v>
      </x:c>
      <x:c r="Q170" s="220" t="n">
        <x:v>1.0251</x:v>
      </x:c>
      <x:c r="R170" s="226" t="n">
        <x:f>P170*Q170</x:f>
        <x:v>3359.78119944069</x:v>
      </x:c>
      <x:c r="S170" s="220" t="n">
        <x:v>0.08</x:v>
      </x:c>
      <x:c r="T170" s="226" t="n">
        <x:f>N170*S170</x:f>
        <x:v>233.17555199999998</x:v>
      </x:c>
      <x:c r="U170" s="226" t="n">
        <x:v>0.02244</x:v>
      </x:c>
      <x:c r="V170" s="226" t="n">
        <x:f>P170*U170</x:f>
        <x:v>73.54744914198527</x:v>
      </x:c>
      <x:c r="W170" s="196" t="str">
        <x:v>GBP</x:v>
      </x:c>
      <x:c r="X170" s="220" t="n">
        <x:v>4.04</x:v>
      </x:c>
      <x:c r="Y170" s="196" t="str">
        <x:v>PERCENTAGE_OF_BASE_FREIGHT</x:v>
      </x:c>
      <x:c r="Z170" s="220" t="n">
        <x:v>0.101</x:v>
      </x:c>
      <x:c r="AA170" s="220" t="n">
        <x:v>7.87</x:v>
      </x:c>
      <x:c r="AB170" s="220" t="n">
        <x:v>9.13</x:v>
      </x:c>
      <x:c r="AC170" s="226" t="n">
        <x:f>IF(W170="EUR",AA170,IF(W170="GBP",AB170,1))</x:f>
        <x:v>9.13</x:v>
      </x:c>
      <x:c r="AD170" s="226" t="n">
        <x:f>R170*X170</x:f>
        <x:v>13573.516045740389</x:v>
      </x:c>
      <x:c r="AE170" s="226" t="n">
        <x:f>IF(Y170="PERCENTAGE_OF_BASE_FREIGHT",AD170*Z170,IF(Y170="PER_CHARGEABLE_KG",R170*Z170,P170*Z170))</x:f>
        <x:v>1370.9251206197794</x:v>
      </x:c>
      <x:c r="AF170" s="226" t="n">
        <x:f>AD170*AC170</x:f>
        <x:v>123926.20149760976</x:v>
      </x:c>
      <x:c r="AG170" s="226" t="n">
        <x:f>AE170*AC170</x:f>
        <x:v>12516.546351258587</x:v>
      </x:c>
      <x:c r="AH170" s="226" t="str">
        <x:v>EUR</x:v>
      </x:c>
      <x:c r="AI170" s="226" t="n">
        <x:v>1.1918</x:v>
      </x:c>
      <x:c r="AJ170" s="226" t="n">
        <x:f>IF(AH170="EUR",AA170,IF(AH170="GBP",AB170,1))</x:f>
        <x:v>7.87</x:v>
      </x:c>
      <x:c r="AK170" s="226" t="n">
        <x:f>N170*AI170</x:f>
        <x:v>3473.73278592</x:v>
      </x:c>
      <x:c r="AL170" s="226" t="n">
        <x:f>AK170*AJ170</x:f>
        <x:v>27338.2770251904</x:v>
      </x:c>
      <x:c r="AM170" s="226" t="str">
        <x:v>EUR</x:v>
      </x:c>
      <x:c r="AN170" s="226" t="n">
        <x:v>0.4242</x:v>
      </x:c>
      <x:c r="AO170" s="226" t="n">
        <x:f>IF(AM170="EUR",AA170,IF(AM170="GBP",AB170,1))</x:f>
        <x:v>7.87</x:v>
      </x:c>
      <x:c r="AP170" s="226" t="n">
        <x:f>P170*AN170</x:f>
        <x:v>1390.3221000904703</x:v>
      </x:c>
      <x:c r="AQ170" s="226" t="n">
        <x:f>AP170*AO170</x:f>
        <x:v>10941.834927712001</x:v>
      </x:c>
      <x:c r="AR170" s="226" t="str">
        <x:v>GBP</x:v>
      </x:c>
      <x:c r="AS170" s="226" t="n">
        <x:v>4.848</x:v>
      </x:c>
      <x:c r="AT170" s="226" t="n">
        <x:f>IF(AR170="EUR",AA170,IF(AR170="GBP",AB170,1))</x:f>
        <x:v>9.13</x:v>
      </x:c>
      <x:c r="AU170" s="226" t="n">
        <x:f>T170*AS170</x:f>
        <x:v>1130.4350760959999</x:v>
      </x:c>
      <x:c r="AV170" s="226" t="n">
        <x:f>AU170*AT170</x:f>
        <x:v>10320.87224475648</x:v>
      </x:c>
      <x:c r="AW170" s="226" t="str">
        <x:v>GBP</x:v>
      </x:c>
      <x:c r="AX170" s="226" t="n">
        <x:v>2.323</x:v>
      </x:c>
      <x:c r="AY170" s="226" t="n">
        <x:f>IF(AW170="EUR",AA170,IF(AW170="GBP",AB170,1))</x:f>
        <x:v>9.13</x:v>
      </x:c>
      <x:c r="AZ170" s="226" t="n">
        <x:f>V170*AX170</x:f>
        <x:v>170.85072435683176</x:v>
      </x:c>
      <x:c r="BA170" s="226" t="n">
        <x:f>AZ170*AY170</x:f>
        <x:v>1559.8671133778741</x:v>
      </x:c>
      <x:c r="BB170" s="226" t="n">
        <x:f>AF170+AG170+AL170+AQ170+AV170+BA170</x:f>
        <x:v>186603.59915990508</x:v>
      </x:c>
      <x:c r="BC170" s="229" t="n">
        <x:v>0.931</x:v>
      </x:c>
      <x:c r="BD170" s="202"/>
      <x:c r="BE170" s="202"/>
      <x:c r="BF170" s="202"/>
      <x:c r="BG170" s="202" t="str">
        <x:v>UNVERIFIED_UNLIMITED_FOR_MVP</x:v>
      </x:c>
    </x:row>
    <x:row r="171">
      <x:c r="A171" s="187" t="str">
        <x:v>ACTUAL_2026_08_CLOSE_V1</x:v>
      </x:c>
      <x:c r="B171" s="187" t="str">
        <x:v>ACTUAL</x:v>
      </x:c>
      <x:c r="C171" s="187"/>
      <x:c r="D171" s="217" t="n">
        <x:v>46143</x:v>
      </x:c>
      <x:c r="E171" s="187" t="str">
        <x:v>R_GB_DE_B_ROAD</x:v>
      </x:c>
      <x:c r="F171" s="187" t="str">
        <x:v>GB</x:v>
      </x:c>
      <x:c r="G171" s="187" t="str">
        <x:v>DE_FC</x:v>
      </x:c>
      <x:c r="H171" s="187" t="str">
        <x:v>CARRIER_B</x:v>
      </x:c>
      <x:c r="I171" s="187" t="str">
        <x:v>ROAD</x:v>
      </x:c>
      <x:c r="J171" s="220" t="n">
        <x:v>16600</x:v>
      </x:c>
      <x:c r="K171" s="223" t="n">
        <x:v>0.295</x:v>
      </x:c>
      <x:c r="L171" s="223" t="n">
        <x:v>0.96</x:v>
      </x:c>
      <x:c r="M171" s="223" t="n">
        <x:v>0.25</x:v>
      </x:c>
      <x:c r="N171" s="226" t="n">
        <x:f>J171*K171*L171*M171</x:f>
        <x:v>1175.28</x:v>
      </x:c>
      <x:c r="O171" s="220" t="n">
        <x:v>1.12448</x:v>
      </x:c>
      <x:c r="P171" s="226" t="n">
        <x:f>N171*O171</x:f>
        <x:v>1321.5788544</x:v>
      </x:c>
      <x:c r="Q171" s="220" t="n">
        <x:v>1.005</x:v>
      </x:c>
      <x:c r="R171" s="226" t="n">
        <x:f>P171*Q171</x:f>
        <x:v>1328.1867486719998</x:v>
      </x:c>
      <x:c r="S171" s="220" t="n">
        <x:v>0.08</x:v>
      </x:c>
      <x:c r="T171" s="226" t="n">
        <x:f>N171*S171</x:f>
        <x:v>94.0224</x:v>
      </x:c>
      <x:c r="U171" s="226" t="n">
        <x:v>0.01734</x:v>
      </x:c>
      <x:c r="V171" s="226" t="n">
        <x:f>P171*U171</x:f>
        <x:v>22.916177335296002</x:v>
      </x:c>
      <x:c r="W171" s="196" t="str">
        <x:v>GBP</x:v>
      </x:c>
      <x:c r="X171" s="220" t="n">
        <x:v>4.747</x:v>
      </x:c>
      <x:c r="Y171" s="196" t="str">
        <x:v>PER_CHARGEABLE_KG</x:v>
      </x:c>
      <x:c r="Z171" s="220" t="n">
        <x:v>0.3333</x:v>
      </x:c>
      <x:c r="AA171" s="220" t="n">
        <x:v>7.87</x:v>
      </x:c>
      <x:c r="AB171" s="220" t="n">
        <x:v>9.13</x:v>
      </x:c>
      <x:c r="AC171" s="226" t="n">
        <x:f>IF(W171="EUR",AA171,IF(W171="GBP",AB171,1))</x:f>
        <x:v>9.13</x:v>
      </x:c>
      <x:c r="AD171" s="226" t="n">
        <x:f>R171*X171</x:f>
        <x:v>6304.902495945983</x:v>
      </x:c>
      <x:c r="AE171" s="226" t="n">
        <x:f>IF(Y171="PERCENTAGE_OF_BASE_FREIGHT",AD171*Z171,IF(Y171="PER_CHARGEABLE_KG",R171*Z171,P171*Z171))</x:f>
        <x:v>442.6846433323775</x:v>
      </x:c>
      <x:c r="AF171" s="226" t="n">
        <x:f>AD171*AC171</x:f>
        <x:v>57563.759787986826</x:v>
      </x:c>
      <x:c r="AG171" s="226" t="n">
        <x:f>AE171*AC171</x:f>
        <x:v>4041.710793624607</x:v>
      </x:c>
      <x:c r="AH171" s="226" t="str">
        <x:v>EUR</x:v>
      </x:c>
      <x:c r="AI171" s="226" t="n">
        <x:v>1.1918</x:v>
      </x:c>
      <x:c r="AJ171" s="226" t="n">
        <x:f>IF(AH171="EUR",AA171,IF(AH171="GBP",AB171,1))</x:f>
        <x:v>7.87</x:v>
      </x:c>
      <x:c r="AK171" s="226" t="n">
        <x:f>N171*AI171</x:f>
        <x:v>1400.698704</x:v>
      </x:c>
      <x:c r="AL171" s="226" t="n">
        <x:f>AK171*AJ171</x:f>
        <x:v>11023.49880048</x:v>
      </x:c>
      <x:c r="AM171" s="226" t="str">
        <x:v>EUR</x:v>
      </x:c>
      <x:c r="AN171" s="226" t="n">
        <x:v>0.4242</x:v>
      </x:c>
      <x:c r="AO171" s="226" t="n">
        <x:f>IF(AM171="EUR",AA171,IF(AM171="GBP",AB171,1))</x:f>
        <x:v>7.87</x:v>
      </x:c>
      <x:c r="AP171" s="226" t="n">
        <x:f>P171*AN171</x:f>
        <x:v>560.61375003648</x:v>
      </x:c>
      <x:c r="AQ171" s="226" t="n">
        <x:f>AP171*AO171</x:f>
        <x:v>4412.030212787098</x:v>
      </x:c>
      <x:c r="AR171" s="226" t="str">
        <x:v>GBP</x:v>
      </x:c>
      <x:c r="AS171" s="226" t="n">
        <x:v>4.848</x:v>
      </x:c>
      <x:c r="AT171" s="226" t="n">
        <x:f>IF(AR171="EUR",AA171,IF(AR171="GBP",AB171,1))</x:f>
        <x:v>9.13</x:v>
      </x:c>
      <x:c r="AU171" s="226" t="n">
        <x:f>T171*AS171</x:f>
        <x:v>455.8205952</x:v>
      </x:c>
      <x:c r="AV171" s="226" t="n">
        <x:f>AU171*AT171</x:f>
        <x:v>4161.642034176</x:v>
      </x:c>
      <x:c r="AW171" s="226" t="str">
        <x:v>GBP</x:v>
      </x:c>
      <x:c r="AX171" s="226" t="n">
        <x:v>2.323</x:v>
      </x:c>
      <x:c r="AY171" s="226" t="n">
        <x:f>IF(AW171="EUR",AA171,IF(AW171="GBP",AB171,1))</x:f>
        <x:v>9.13</x:v>
      </x:c>
      <x:c r="AZ171" s="226" t="n">
        <x:f>V171*AX171</x:f>
        <x:v>53.23427994989261</x:v>
      </x:c>
      <x:c r="BA171" s="226" t="n">
        <x:f>AZ171*AY171</x:f>
        <x:v>486.0289759425196</x:v>
      </x:c>
      <x:c r="BB171" s="226" t="n">
        <x:f>AF171+AG171+AL171+AQ171+AV171+BA171</x:f>
        <x:v>81688.67060499705</x:v>
      </x:c>
      <x:c r="BC171" s="229" t="n">
        <x:v>0.951</x:v>
      </x:c>
      <x:c r="BD171" s="202"/>
      <x:c r="BE171" s="202"/>
      <x:c r="BF171" s="202"/>
      <x:c r="BG171" s="202" t="str">
        <x:v>UNVERIFIED_UNLIMITED_FOR_MVP</x:v>
      </x:c>
    </x:row>
    <x:row r="172">
      <x:c r="A172" s="187" t="str">
        <x:v>ACTUAL_2026_08_CLOSE_V1</x:v>
      </x:c>
      <x:c r="B172" s="187" t="str">
        <x:v>ACTUAL</x:v>
      </x:c>
      <x:c r="C172" s="187"/>
      <x:c r="D172" s="217" t="n">
        <x:v>46143</x:v>
      </x:c>
      <x:c r="E172" s="187" t="str">
        <x:v>R_GB_DE_B_AIR</x:v>
      </x:c>
      <x:c r="F172" s="187" t="str">
        <x:v>GB</x:v>
      </x:c>
      <x:c r="G172" s="187" t="str">
        <x:v>DE_FC</x:v>
      </x:c>
      <x:c r="H172" s="187" t="str">
        <x:v>CARRIER_B</x:v>
      </x:c>
      <x:c r="I172" s="187" t="str">
        <x:v>AIR</x:v>
      </x:c>
      <x:c r="J172" s="220" t="n">
        <x:v>16600</x:v>
      </x:c>
      <x:c r="K172" s="223" t="n">
        <x:v>0.295</x:v>
      </x:c>
      <x:c r="L172" s="223" t="n">
        <x:v>0.96</x:v>
      </x:c>
      <x:c r="M172" s="223" t="n">
        <x:v>0.09</x:v>
      </x:c>
      <x:c r="N172" s="226" t="n">
        <x:f>J172*K172*L172*M172</x:f>
        <x:v>423.1008</x:v>
      </x:c>
      <x:c r="O172" s="220" t="n">
        <x:v>1.12448</x:v>
      </x:c>
      <x:c r="P172" s="226" t="n">
        <x:f>N172*O172</x:f>
        <x:v>475.768387584</x:v>
      </x:c>
      <x:c r="Q172" s="220" t="n">
        <x:v>0.9447</x:v>
      </x:c>
      <x:c r="R172" s="226" t="n">
        <x:f>P172*Q172</x:f>
        <x:v>449.4583957506048</x:v>
      </x:c>
      <x:c r="S172" s="220" t="n">
        <x:v>0.08</x:v>
      </x:c>
      <x:c r="T172" s="226" t="n">
        <x:f>N172*S172</x:f>
        <x:v>33.848064</x:v>
      </x:c>
      <x:c r="U172" s="226" t="n">
        <x:v>0.01326</x:v>
      </x:c>
      <x:c r="V172" s="226" t="n">
        <x:f>P172*U172</x:f>
        <x:v>6.308688819363839</x:v>
      </x:c>
      <x:c r="W172" s="196" t="str">
        <x:v>GBP</x:v>
      </x:c>
      <x:c r="X172" s="220" t="n">
        <x:v>6.262</x:v>
      </x:c>
      <x:c r="Y172" s="196" t="str">
        <x:v>PERCENTAGE_OF_BASE_FREIGHT</x:v>
      </x:c>
      <x:c r="Z172" s="220" t="n">
        <x:v>0.11615</x:v>
      </x:c>
      <x:c r="AA172" s="220" t="n">
        <x:v>7.87</x:v>
      </x:c>
      <x:c r="AB172" s="220" t="n">
        <x:v>9.13</x:v>
      </x:c>
      <x:c r="AC172" s="226" t="n">
        <x:f>IF(W172="EUR",AA172,IF(W172="GBP",AB172,1))</x:f>
        <x:v>9.13</x:v>
      </x:c>
      <x:c r="AD172" s="226" t="n">
        <x:f>R172*X172</x:f>
        <x:v>2814.508474190287</x:v>
      </x:c>
      <x:c r="AE172" s="226" t="n">
        <x:f>IF(Y172="PERCENTAGE_OF_BASE_FREIGHT",AD172*Z172,IF(Y172="PER_CHARGEABLE_KG",R172*Z172,P172*Z172))</x:f>
        <x:v>326.90515927720185</x:v>
      </x:c>
      <x:c r="AF172" s="226" t="n">
        <x:f>AD172*AC172</x:f>
        <x:v>25696.462369357323</x:v>
      </x:c>
      <x:c r="AG172" s="226" t="n">
        <x:f>AE172*AC172</x:f>
        <x:v>2984.6441042008532</x:v>
      </x:c>
      <x:c r="AH172" s="226" t="str">
        <x:v>EUR</x:v>
      </x:c>
      <x:c r="AI172" s="226" t="n">
        <x:v>1.1918</x:v>
      </x:c>
      <x:c r="AJ172" s="226" t="n">
        <x:f>IF(AH172="EUR",AA172,IF(AH172="GBP",AB172,1))</x:f>
        <x:v>7.87</x:v>
      </x:c>
      <x:c r="AK172" s="226" t="n">
        <x:f>N172*AI172</x:f>
        <x:v>504.25153344</x:v>
      </x:c>
      <x:c r="AL172" s="226" t="n">
        <x:f>AK172*AJ172</x:f>
        <x:v>3968.4595681728</x:v>
      </x:c>
      <x:c r="AM172" s="226" t="str">
        <x:v>EUR</x:v>
      </x:c>
      <x:c r="AN172" s="226" t="n">
        <x:v>0.4242</x:v>
      </x:c>
      <x:c r="AO172" s="226" t="n">
        <x:f>IF(AM172="EUR",AA172,IF(AM172="GBP",AB172,1))</x:f>
        <x:v>7.87</x:v>
      </x:c>
      <x:c r="AP172" s="226" t="n">
        <x:f>P172*AN172</x:f>
        <x:v>201.8209500131328</x:v>
      </x:c>
      <x:c r="AQ172" s="226" t="n">
        <x:f>AP172*AO172</x:f>
        <x:v>1588.3308766033551</x:v>
      </x:c>
      <x:c r="AR172" s="226" t="str">
        <x:v>GBP</x:v>
      </x:c>
      <x:c r="AS172" s="226" t="n">
        <x:v>4.848</x:v>
      </x:c>
      <x:c r="AT172" s="226" t="n">
        <x:f>IF(AR172="EUR",AA172,IF(AR172="GBP",AB172,1))</x:f>
        <x:v>9.13</x:v>
      </x:c>
      <x:c r="AU172" s="226" t="n">
        <x:f>T172*AS172</x:f>
        <x:v>164.095414272</x:v>
      </x:c>
      <x:c r="AV172" s="226" t="n">
        <x:f>AU172*AT172</x:f>
        <x:v>1498.19113230336</x:v>
      </x:c>
      <x:c r="AW172" s="226" t="str">
        <x:v>GBP</x:v>
      </x:c>
      <x:c r="AX172" s="226" t="n">
        <x:v>2.828</x:v>
      </x:c>
      <x:c r="AY172" s="226" t="n">
        <x:f>IF(AW172="EUR",AA172,IF(AW172="GBP",AB172,1))</x:f>
        <x:v>9.13</x:v>
      </x:c>
      <x:c r="AZ172" s="226" t="n">
        <x:f>V172*AX172</x:f>
        <x:v>17.840971981160937</x:v>
      </x:c>
      <x:c r="BA172" s="226" t="n">
        <x:f>AZ172*AY172</x:f>
        <x:v>162.88807418799936</x:v>
      </x:c>
      <x:c r="BB172" s="226" t="n">
        <x:f>AF172+AG172+AL172+AQ172+AV172+BA172</x:f>
        <x:v>35898.976124825684</x:v>
      </x:c>
      <x:c r="BC172" s="229" t="n">
        <x:v>0.975</x:v>
      </x:c>
      <x:c r="BD172" s="202"/>
      <x:c r="BE172" s="202"/>
      <x:c r="BF172" s="202"/>
      <x:c r="BG172" s="202" t="str">
        <x:v>UNVERIFIED_UNLIMITED_FOR_MVP</x:v>
      </x:c>
    </x:row>
    <x:row r="173">
      <x:c r="A173" s="187" t="str">
        <x:v>ACTUAL_2026_08_CLOSE_V1</x:v>
      </x:c>
      <x:c r="B173" s="187" t="str">
        <x:v>ACTUAL</x:v>
      </x:c>
      <x:c r="C173" s="187"/>
      <x:c r="D173" s="217" t="n">
        <x:v>46143</x:v>
      </x:c>
      <x:c r="E173" s="187" t="str">
        <x:v>R_GB_DE_C_AIR</x:v>
      </x:c>
      <x:c r="F173" s="187" t="str">
        <x:v>GB</x:v>
      </x:c>
      <x:c r="G173" s="187" t="str">
        <x:v>DE_FC</x:v>
      </x:c>
      <x:c r="H173" s="187" t="str">
        <x:v>CARRIER_C</x:v>
      </x:c>
      <x:c r="I173" s="187" t="str">
        <x:v>AIR</x:v>
      </x:c>
      <x:c r="J173" s="220" t="n">
        <x:v>16600</x:v>
      </x:c>
      <x:c r="K173" s="223" t="n">
        <x:v>0.295</x:v>
      </x:c>
      <x:c r="L173" s="223" t="n">
        <x:v>0.96</x:v>
      </x:c>
      <x:c r="M173" s="223" t="n">
        <x:v>0.04</x:v>
      </x:c>
      <x:c r="N173" s="226" t="n">
        <x:f>J173*K173*L173*M173</x:f>
        <x:v>188.0448</x:v>
      </x:c>
      <x:c r="O173" s="220" t="n">
        <x:v>1.12448</x:v>
      </x:c>
      <x:c r="P173" s="226" t="n">
        <x:f>N173*O173</x:f>
        <x:v>211.452616704</x:v>
      </x:c>
      <x:c r="Q173" s="220" t="n">
        <x:v>0.9246</x:v>
      </x:c>
      <x:c r="R173" s="226" t="n">
        <x:f>P173*Q173</x:f>
        <x:v>195.5090894045184</x:v>
      </x:c>
      <x:c r="S173" s="220" t="n">
        <x:v>0.08</x:v>
      </x:c>
      <x:c r="T173" s="226" t="n">
        <x:f>N173*S173</x:f>
        <x:v>15.043584000000001</x:v>
      </x:c>
      <x:c r="U173" s="226" t="n">
        <x:v>0.00918</x:v>
      </x:c>
      <x:c r="V173" s="226" t="n">
        <x:f>P173*U173</x:f>
        <x:v>1.9411350213427203</x:v>
      </x:c>
      <x:c r="W173" s="196" t="str">
        <x:v>GBP</x:v>
      </x:c>
      <x:c r="X173" s="220" t="n">
        <x:v>7.575</x:v>
      </x:c>
      <x:c r="Y173" s="196" t="str">
        <x:v>PER_CHARGEABLE_KG</x:v>
      </x:c>
      <x:c r="Z173" s="220" t="n">
        <x:v>0.5858</x:v>
      </x:c>
      <x:c r="AA173" s="220" t="n">
        <x:v>7.87</x:v>
      </x:c>
      <x:c r="AB173" s="220" t="n">
        <x:v>9.13</x:v>
      </x:c>
      <x:c r="AC173" s="226" t="n">
        <x:f>IF(W173="EUR",AA173,IF(W173="GBP",AB173,1))</x:f>
        <x:v>9.13</x:v>
      </x:c>
      <x:c r="AD173" s="226" t="n">
        <x:f>R173*X173</x:f>
        <x:v>1480.981352239227</x:v>
      </x:c>
      <x:c r="AE173" s="226" t="n">
        <x:f>IF(Y173="PERCENTAGE_OF_BASE_FREIGHT",AD173*Z173,IF(Y173="PER_CHARGEABLE_KG",R173*Z173,P173*Z173))</x:f>
        <x:v>114.52922457316687</x:v>
      </x:c>
      <x:c r="AF173" s="226" t="n">
        <x:f>AD173*AC173</x:f>
        <x:v>13521.359745944143</x:v>
      </x:c>
      <x:c r="AG173" s="226" t="n">
        <x:f>AE173*AC173</x:f>
        <x:v>1045.6518203530136</x:v>
      </x:c>
      <x:c r="AH173" s="226" t="str">
        <x:v>EUR</x:v>
      </x:c>
      <x:c r="AI173" s="226" t="n">
        <x:v>1.1918</x:v>
      </x:c>
      <x:c r="AJ173" s="226" t="n">
        <x:f>IF(AH173="EUR",AA173,IF(AH173="GBP",AB173,1))</x:f>
        <x:v>7.87</x:v>
      </x:c>
      <x:c r="AK173" s="226" t="n">
        <x:f>N173*AI173</x:f>
        <x:v>224.11179264</x:v>
      </x:c>
      <x:c r="AL173" s="226" t="n">
        <x:f>AK173*AJ173</x:f>
        <x:v>1763.7598080768</x:v>
      </x:c>
      <x:c r="AM173" s="226" t="str">
        <x:v>EUR</x:v>
      </x:c>
      <x:c r="AN173" s="226" t="n">
        <x:v>0.4242</x:v>
      </x:c>
      <x:c r="AO173" s="226" t="n">
        <x:f>IF(AM173="EUR",AA173,IF(AM173="GBP",AB173,1))</x:f>
        <x:v>7.87</x:v>
      </x:c>
      <x:c r="AP173" s="226" t="n">
        <x:f>P173*AN173</x:f>
        <x:v>89.69820000583681</x:v>
      </x:c>
      <x:c r="AQ173" s="226" t="n">
        <x:f>AP173*AO173</x:f>
        <x:v>705.9248340459357</x:v>
      </x:c>
      <x:c r="AR173" s="226" t="str">
        <x:v>GBP</x:v>
      </x:c>
      <x:c r="AS173" s="226" t="n">
        <x:v>4.848</x:v>
      </x:c>
      <x:c r="AT173" s="226" t="n">
        <x:f>IF(AR173="EUR",AA173,IF(AR173="GBP",AB173,1))</x:f>
        <x:v>9.13</x:v>
      </x:c>
      <x:c r="AU173" s="226" t="n">
        <x:f>T173*AS173</x:f>
        <x:v>72.931295232</x:v>
      </x:c>
      <x:c r="AV173" s="226" t="n">
        <x:f>AU173*AT173</x:f>
        <x:v>665.8627254681601</x:v>
      </x:c>
      <x:c r="AW173" s="226" t="str">
        <x:v>GBP</x:v>
      </x:c>
      <x:c r="AX173" s="226" t="n">
        <x:v>3.636</x:v>
      </x:c>
      <x:c r="AY173" s="226" t="n">
        <x:f>IF(AW173="EUR",AA173,IF(AW173="GBP",AB173,1))</x:f>
        <x:v>9.13</x:v>
      </x:c>
      <x:c r="AZ173" s="226" t="n">
        <x:f>V173*AX173</x:f>
        <x:v>7.0579669376021315</x:v>
      </x:c>
      <x:c r="BA173" s="226" t="n">
        <x:f>AZ173*AY173</x:f>
        <x:v>64.43923814030747</x:v>
      </x:c>
      <x:c r="BB173" s="226" t="n">
        <x:f>AF173+AG173+AL173+AQ173+AV173+BA173</x:f>
        <x:v>17766.99817202836</x:v>
      </x:c>
      <x:c r="BC173" s="229" t="n">
        <x:v>0.989</x:v>
      </x:c>
      <x:c r="BD173" s="202"/>
      <x:c r="BE173" s="202"/>
      <x:c r="BF173" s="202"/>
      <x:c r="BG173" s="202" t="str">
        <x:v>UNVERIFIED_UNLIMITED_FOR_MVP</x:v>
      </x:c>
    </x:row>
    <x:row r="174">
      <x:c r="A174" s="187" t="str">
        <x:v>ACTUAL_2026_08_CLOSE_V1</x:v>
      </x:c>
      <x:c r="B174" s="187" t="str">
        <x:v>ACTUAL</x:v>
      </x:c>
      <x:c r="C174" s="187"/>
      <x:c r="D174" s="217" t="n">
        <x:v>46143</x:v>
      </x:c>
      <x:c r="E174" s="187" t="str">
        <x:v>R_GB_FR_B_AIR</x:v>
      </x:c>
      <x:c r="F174" s="187" t="str">
        <x:v>GB</x:v>
      </x:c>
      <x:c r="G174" s="187" t="str">
        <x:v>FR_FC</x:v>
      </x:c>
      <x:c r="H174" s="187" t="str">
        <x:v>CARRIER_B</x:v>
      </x:c>
      <x:c r="I174" s="187" t="str">
        <x:v>AIR</x:v>
      </x:c>
      <x:c r="J174" s="220" t="n">
        <x:v>16600</x:v>
      </x:c>
      <x:c r="K174" s="223" t="n">
        <x:v>0.295</x:v>
      </x:c>
      <x:c r="L174" s="223" t="n">
        <x:v>0.04</x:v>
      </x:c>
      <x:c r="M174" s="223" t="n">
        <x:v>1</x:v>
      </x:c>
      <x:c r="N174" s="226" t="n">
        <x:f>J174*K174*L174*M174</x:f>
        <x:v>195.88</x:v>
      </x:c>
      <x:c r="O174" s="220" t="n">
        <x:v>1.1546</x:v>
      </x:c>
      <x:c r="P174" s="226" t="n">
        <x:f>N174*O174</x:f>
        <x:v>226.163048</x:v>
      </x:c>
      <x:c r="Q174" s="220" t="n">
        <x:v>0.9045</x:v>
      </x:c>
      <x:c r="R174" s="226" t="n">
        <x:f>P174*Q174</x:f>
        <x:v>204.564476916</x:v>
      </x:c>
      <x:c r="S174" s="220" t="n">
        <x:v>0.08</x:v>
      </x:c>
      <x:c r="T174" s="226" t="n">
        <x:f>N174*S174</x:f>
        <x:v>15.6704</x:v>
      </x:c>
      <x:c r="U174" s="226" t="n">
        <x:v>0.01224</x:v>
      </x:c>
      <x:c r="V174" s="226" t="n">
        <x:f>P174*U174</x:f>
        <x:v>2.7682357075199997</x:v>
      </x:c>
      <x:c r="W174" s="196" t="str">
        <x:v>EUR</x:v>
      </x:c>
      <x:c r="X174" s="220" t="n">
        <x:v>6.767</x:v>
      </x:c>
      <x:c r="Y174" s="196" t="str">
        <x:v>PERCENTAGE_OF_BASE_FREIGHT</x:v>
      </x:c>
      <x:c r="Z174" s="220" t="n">
        <x:v>0.10605</x:v>
      </x:c>
      <x:c r="AA174" s="220" t="n">
        <x:v>7.87</x:v>
      </x:c>
      <x:c r="AB174" s="220" t="n">
        <x:v>9.13</x:v>
      </x:c>
      <x:c r="AC174" s="226" t="n">
        <x:f>IF(W174="EUR",AA174,IF(W174="GBP",AB174,1))</x:f>
        <x:v>7.87</x:v>
      </x:c>
      <x:c r="AD174" s="226" t="n">
        <x:f>R174*X174</x:f>
        <x:v>1384.287815290572</x:v>
      </x:c>
      <x:c r="AE174" s="226" t="n">
        <x:f>IF(Y174="PERCENTAGE_OF_BASE_FREIGHT",AD174*Z174,IF(Y174="PER_CHARGEABLE_KG",R174*Z174,P174*Z174))</x:f>
        <x:v>146.80372281156517</x:v>
      </x:c>
      <x:c r="AF174" s="226" t="n">
        <x:f>AD174*AC174</x:f>
        <x:v>10894.345106336803</x:v>
      </x:c>
      <x:c r="AG174" s="226" t="n">
        <x:f>AE174*AC174</x:f>
        <x:v>1155.3452985270178</x:v>
      </x:c>
      <x:c r="AH174" s="226" t="str">
        <x:v>EUR</x:v>
      </x:c>
      <x:c r="AI174" s="226" t="n">
        <x:v>1.0605</x:v>
      </x:c>
      <x:c r="AJ174" s="226" t="n">
        <x:f>IF(AH174="EUR",AA174,IF(AH174="GBP",AB174,1))</x:f>
        <x:v>7.87</x:v>
      </x:c>
      <x:c r="AK174" s="226" t="n">
        <x:f>N174*AI174</x:f>
        <x:v>207.73074</x:v>
      </x:c>
      <x:c r="AL174" s="226" t="n">
        <x:f>AK174*AJ174</x:f>
        <x:v>1634.8409238</x:v>
      </x:c>
      <x:c r="AM174" s="226" t="str">
        <x:v>EUR</x:v>
      </x:c>
      <x:c r="AN174" s="226" t="n">
        <x:v>0.3838</x:v>
      </x:c>
      <x:c r="AO174" s="226" t="n">
        <x:f>IF(AM174="EUR",AA174,IF(AM174="GBP",AB174,1))</x:f>
        <x:v>7.87</x:v>
      </x:c>
      <x:c r="AP174" s="226" t="n">
        <x:f>P174*AN174</x:f>
        <x:v>86.8013778224</x:v>
      </x:c>
      <x:c r="AQ174" s="226" t="n">
        <x:f>AP174*AO174</x:f>
        <x:v>683.126843462288</x:v>
      </x:c>
      <x:c r="AR174" s="226" t="str">
        <x:v>EUR</x:v>
      </x:c>
      <x:c r="AS174" s="226" t="n">
        <x:v>5.252</x:v>
      </x:c>
      <x:c r="AT174" s="226" t="n">
        <x:f>IF(AR174="EUR",AA174,IF(AR174="GBP",AB174,1))</x:f>
        <x:v>7.87</x:v>
      </x:c>
      <x:c r="AU174" s="226" t="n">
        <x:f>T174*AS174</x:f>
        <x:v>82.3009408</x:v>
      </x:c>
      <x:c r="AV174" s="226" t="n">
        <x:f>AU174*AT174</x:f>
        <x:v>647.7084040960001</x:v>
      </x:c>
      <x:c r="AW174" s="226" t="str">
        <x:v>EUR</x:v>
      </x:c>
      <x:c r="AX174" s="226" t="n">
        <x:v>2.828</x:v>
      </x:c>
      <x:c r="AY174" s="226" t="n">
        <x:f>IF(AW174="EUR",AA174,IF(AW174="GBP",AB174,1))</x:f>
        <x:v>7.87</x:v>
      </x:c>
      <x:c r="AZ174" s="226" t="n">
        <x:f>V174*AX174</x:f>
        <x:v>7.828570580866558</x:v>
      </x:c>
      <x:c r="BA174" s="226" t="n">
        <x:f>AZ174*AY174</x:f>
        <x:v>61.610850471419816</x:v>
      </x:c>
      <x:c r="BB174" s="226" t="n">
        <x:f>AF174+AG174+AL174+AQ174+AV174+BA174</x:f>
        <x:v>15076.97742669353</x:v>
      </x:c>
      <x:c r="BC174" s="229" t="n">
        <x:v>0.972</x:v>
      </x:c>
      <x:c r="BD174" s="202"/>
      <x:c r="BE174" s="202"/>
      <x:c r="BF174" s="202"/>
      <x:c r="BG174" s="202" t="str">
        <x:v>UNVERIFIED_UNLIMITED_FOR_MVP</x:v>
      </x:c>
    </x:row>
    <x:row r="175">
      <x:c r="A175" s="187" t="str">
        <x:v>ACTUAL_2026_08_CLOSE_V1</x:v>
      </x:c>
      <x:c r="B175" s="187" t="str">
        <x:v>ACTUAL</x:v>
      </x:c>
      <x:c r="C175" s="187"/>
      <x:c r="D175" s="217" t="n">
        <x:v>46174</x:v>
      </x:c>
      <x:c r="E175" s="187" t="str">
        <x:v>R_DE_DE_A_ROAD</x:v>
      </x:c>
      <x:c r="F175" s="187" t="str">
        <x:v>DE</x:v>
      </x:c>
      <x:c r="G175" s="187" t="str">
        <x:v>DE_FC</x:v>
      </x:c>
      <x:c r="H175" s="187" t="str">
        <x:v>CARRIER_A</x:v>
      </x:c>
      <x:c r="I175" s="187" t="str">
        <x:v>ROAD</x:v>
      </x:c>
      <x:c r="J175" s="220" t="n">
        <x:v>17200</x:v>
      </x:c>
      <x:c r="K175" s="223" t="n">
        <x:v>0.382</x:v>
      </x:c>
      <x:c r="L175" s="223" t="n">
        <x:v>0.97</x:v>
      </x:c>
      <x:c r="M175" s="223" t="n">
        <x:v>0.6</x:v>
      </x:c>
      <x:c r="N175" s="226" t="n">
        <x:f>J175*K175*L175*M175</x:f>
        <x:v>3823.9728</x:v>
      </x:c>
      <x:c r="O175" s="220" t="n">
        <x:v>1.05525</x:v>
      </x:c>
      <x:c r="P175" s="226" t="n">
        <x:f>N175*O175</x:f>
        <x:v>4035.2472972</x:v>
      </x:c>
      <x:c r="Q175" s="220" t="n">
        <x:v>0.7839</x:v>
      </x:c>
      <x:c r="R175" s="226" t="n">
        <x:f>P175*Q175</x:f>
        <x:v>3163.2303562750803</x:v>
      </x:c>
      <x:c r="S175" s="220" t="n">
        <x:v>0.05</x:v>
      </x:c>
      <x:c r="T175" s="226" t="n">
        <x:f>N175*S175</x:f>
        <x:v>191.19864</x:v>
      </x:c>
      <x:c r="U175" s="226" t="n">
        <x:v>0.01632</x:v>
      </x:c>
      <x:c r="V175" s="226" t="n">
        <x:f>P175*U175</x:f>
        <x:v>65.855235890304</x:v>
      </x:c>
      <x:c r="W175" s="196" t="str">
        <x:v>EUR</x:v>
      </x:c>
      <x:c r="X175" s="220" t="n">
        <x:v>2.2264</x:v>
      </x:c>
      <x:c r="Y175" s="196" t="str">
        <x:v>PERCENTAGE_OF_BASE_FREIGHT</x:v>
      </x:c>
      <x:c r="Z175" s="220" t="n">
        <x:v>0.09614</x:v>
      </x:c>
      <x:c r="AA175" s="220" t="n">
        <x:v>7.89</x:v>
      </x:c>
      <x:c r="AB175" s="220" t="n">
        <x:v>9.16</x:v>
      </x:c>
      <x:c r="AC175" s="226" t="n">
        <x:f>IF(W175="EUR",AA175,IF(W175="GBP",AB175,1))</x:f>
        <x:v>7.89</x:v>
      </x:c>
      <x:c r="AD175" s="226" t="n">
        <x:f>R175*X175</x:f>
        <x:v>7042.616065210838</x:v>
      </x:c>
      <x:c r="AE175" s="226" t="n">
        <x:f>IF(Y175="PERCENTAGE_OF_BASE_FREIGHT",AD175*Z175,IF(Y175="PER_CHARGEABLE_KG",R175*Z175,P175*Z175))</x:f>
        <x:v>677.07710850937</x:v>
      </x:c>
      <x:c r="AF175" s="226" t="n">
        <x:f>AD175*AC175</x:f>
        <x:v>55566.240754513514</x:v>
      </x:c>
      <x:c r="AG175" s="226" t="n">
        <x:f>AE175*AC175</x:f>
        <x:v>5342.138386138929</x:v>
      </x:c>
      <x:c r="AH175" s="226" t="str">
        <x:v>EUR</x:v>
      </x:c>
      <x:c r="AI175" s="226" t="n">
        <x:v>1.19416</x:v>
      </x:c>
      <x:c r="AJ175" s="226" t="n">
        <x:f>IF(AH175="EUR",AA175,IF(AH175="GBP",AB175,1))</x:f>
        <x:v>7.89</x:v>
      </x:c>
      <x:c r="AK175" s="226" t="n">
        <x:f>N175*AI175</x:f>
        <x:v>4566.435358848001</x:v>
      </x:c>
      <x:c r="AL175" s="226" t="n">
        <x:f>AK175*AJ175</x:f>
        <x:v>36029.17498131072</x:v>
      </x:c>
      <x:c r="AM175" s="226" t="str">
        <x:v>EUR</x:v>
      </x:c>
      <x:c r="AN175" s="226" t="n">
        <x:v>0.42504</x:v>
      </x:c>
      <x:c r="AO175" s="226" t="n">
        <x:f>IF(AM175="EUR",AA175,IF(AM175="GBP",AB175,1))</x:f>
        <x:v>7.89</x:v>
      </x:c>
      <x:c r="AP175" s="226" t="n">
        <x:f>P175*AN175</x:f>
        <x:v>1715.1415112018879</x:v>
      </x:c>
      <x:c r="AQ175" s="226" t="n">
        <x:f>AP175*AO175</x:f>
        <x:v>13532.466523382895</x:v>
      </x:c>
      <x:c r="AR175" s="226" t="str">
        <x:v>EUR</x:v>
      </x:c>
      <x:c r="AS175" s="226" t="n">
        <x:v>3.2384</x:v>
      </x:c>
      <x:c r="AT175" s="226" t="n">
        <x:f>IF(AR175="EUR",AA175,IF(AR175="GBP",AB175,1))</x:f>
        <x:v>7.89</x:v>
      </x:c>
      <x:c r="AU175" s="226" t="n">
        <x:f>T175*AS175</x:f>
        <x:v>619.177675776</x:v>
      </x:c>
      <x:c r="AV175" s="226" t="n">
        <x:f>AU175*AT175</x:f>
        <x:v>4885.311861872639</x:v>
      </x:c>
      <x:c r="AW175" s="226" t="str">
        <x:v>EUR</x:v>
      </x:c>
      <x:c r="AX175" s="226" t="n">
        <x:v>2.3276</x:v>
      </x:c>
      <x:c r="AY175" s="226" t="n">
        <x:f>IF(AW175="EUR",AA175,IF(AW175="GBP",AB175,1))</x:f>
        <x:v>7.89</x:v>
      </x:c>
      <x:c r="AZ175" s="226" t="n">
        <x:f>V175*AX175</x:f>
        <x:v>153.2846470582716</x:v>
      </x:c>
      <x:c r="BA175" s="226" t="n">
        <x:f>AZ175*AY175</x:f>
        <x:v>1209.4158652897627</x:v>
      </x:c>
      <x:c r="BB175" s="226" t="n">
        <x:f>AF175+AG175+AL175+AQ175+AV175+BA175</x:f>
        <x:v>116564.74837250846</x:v>
      </x:c>
      <x:c r="BC175" s="229" t="n">
        <x:v>0.966</x:v>
      </x:c>
      <x:c r="BD175" s="202"/>
      <x:c r="BE175" s="202"/>
      <x:c r="BF175" s="202"/>
      <x:c r="BG175" s="202" t="str">
        <x:v>UNVERIFIED_UNLIMITED_FOR_MVP</x:v>
      </x:c>
    </x:row>
    <x:row r="176">
      <x:c r="A176" s="187" t="str">
        <x:v>ACTUAL_2026_08_CLOSE_V1</x:v>
      </x:c>
      <x:c r="B176" s="187" t="str">
        <x:v>ACTUAL</x:v>
      </x:c>
      <x:c r="C176" s="187"/>
      <x:c r="D176" s="217" t="n">
        <x:v>46174</x:v>
      </x:c>
      <x:c r="E176" s="187" t="str">
        <x:v>R_DE_DE_B_ROAD</x:v>
      </x:c>
      <x:c r="F176" s="187" t="str">
        <x:v>DE</x:v>
      </x:c>
      <x:c r="G176" s="187" t="str">
        <x:v>DE_FC</x:v>
      </x:c>
      <x:c r="H176" s="187" t="str">
        <x:v>CARRIER_B</x:v>
      </x:c>
      <x:c r="I176" s="187" t="str">
        <x:v>ROAD</x:v>
      </x:c>
      <x:c r="J176" s="220" t="n">
        <x:v>17200</x:v>
      </x:c>
      <x:c r="K176" s="223" t="n">
        <x:v>0.382</x:v>
      </x:c>
      <x:c r="L176" s="223" t="n">
        <x:v>0.97</x:v>
      </x:c>
      <x:c r="M176" s="223" t="n">
        <x:v>0.4</x:v>
      </x:c>
      <x:c r="N176" s="226" t="n">
        <x:f>J176*K176*L176*M176</x:f>
        <x:v>2549.3152000000005</x:v>
      </x:c>
      <x:c r="O176" s="220" t="n">
        <x:v>1.05525</x:v>
      </x:c>
      <x:c r="P176" s="226" t="n">
        <x:f>N176*O176</x:f>
        <x:v>2690.1648648000005</x:v>
      </x:c>
      <x:c r="Q176" s="220" t="n">
        <x:v>0.804</x:v>
      </x:c>
      <x:c r="R176" s="226" t="n">
        <x:f>P176*Q176</x:f>
        <x:v>2162.8925512992005</x:v>
      </x:c>
      <x:c r="S176" s="220" t="n">
        <x:v>0.05</x:v>
      </x:c>
      <x:c r="T176" s="226" t="n">
        <x:f>N176*S176</x:f>
        <x:v>127.46576000000003</x:v>
      </x:c>
      <x:c r="U176" s="226" t="n">
        <x:v>0.01326</x:v>
      </x:c>
      <x:c r="V176" s="226" t="n">
        <x:f>P176*U176</x:f>
        <x:v>35.671586107248004</x:v>
      </x:c>
      <x:c r="W176" s="196" t="str">
        <x:v>EUR</x:v>
      </x:c>
      <x:c r="X176" s="220" t="n">
        <x:v>2.783</x:v>
      </x:c>
      <x:c r="Y176" s="196" t="str">
        <x:v>PER_CHARGEABLE_KG</x:v>
      </x:c>
      <x:c r="Z176" s="220" t="n">
        <x:v>0.21252</x:v>
      </x:c>
      <x:c r="AA176" s="220" t="n">
        <x:v>7.89</x:v>
      </x:c>
      <x:c r="AB176" s="220" t="n">
        <x:v>9.16</x:v>
      </x:c>
      <x:c r="AC176" s="226" t="n">
        <x:f>IF(W176="EUR",AA176,IF(W176="GBP",AB176,1))</x:f>
        <x:v>7.89</x:v>
      </x:c>
      <x:c r="AD176" s="226" t="n">
        <x:f>R176*X176</x:f>
        <x:v>6019.329970265675</x:v>
      </x:c>
      <x:c r="AE176" s="226" t="n">
        <x:f>IF(Y176="PERCENTAGE_OF_BASE_FREIGHT",AD176*Z176,IF(Y176="PER_CHARGEABLE_KG",R176*Z176,P176*Z176))</x:f>
        <x:v>459.6579250021061</x:v>
      </x:c>
      <x:c r="AF176" s="226" t="n">
        <x:f>AD176*AC176</x:f>
        <x:v>47492.51346539617</x:v>
      </x:c>
      <x:c r="AG176" s="226" t="n">
        <x:f>AE176*AC176</x:f>
        <x:v>3626.701028266617</x:v>
      </x:c>
      <x:c r="AH176" s="226" t="str">
        <x:v>EUR</x:v>
      </x:c>
      <x:c r="AI176" s="226" t="n">
        <x:v>1.19416</x:v>
      </x:c>
      <x:c r="AJ176" s="226" t="n">
        <x:f>IF(AH176="EUR",AA176,IF(AH176="GBP",AB176,1))</x:f>
        <x:v>7.89</x:v>
      </x:c>
      <x:c r="AK176" s="226" t="n">
        <x:f>N176*AI176</x:f>
        <x:v>3044.2902392320007</x:v>
      </x:c>
      <x:c r="AL176" s="226" t="n">
        <x:f>AK176*AJ176</x:f>
        <x:v>24019.449987540484</x:v>
      </x:c>
      <x:c r="AM176" s="226" t="str">
        <x:v>EUR</x:v>
      </x:c>
      <x:c r="AN176" s="226" t="n">
        <x:v>0.42504</x:v>
      </x:c>
      <x:c r="AO176" s="226" t="n">
        <x:f>IF(AM176="EUR",AA176,IF(AM176="GBP",AB176,1))</x:f>
        <x:v>7.89</x:v>
      </x:c>
      <x:c r="AP176" s="226" t="n">
        <x:f>P176*AN176</x:f>
        <x:v>1143.427674134592</x:v>
      </x:c>
      <x:c r="AQ176" s="226" t="n">
        <x:f>AP176*AO176</x:f>
        <x:v>9021.644348921931</x:v>
      </x:c>
      <x:c r="AR176" s="226" t="str">
        <x:v>EUR</x:v>
      </x:c>
      <x:c r="AS176" s="226" t="n">
        <x:v>3.2384</x:v>
      </x:c>
      <x:c r="AT176" s="226" t="n">
        <x:f>IF(AR176="EUR",AA176,IF(AR176="GBP",AB176,1))</x:f>
        <x:v>7.89</x:v>
      </x:c>
      <x:c r="AU176" s="226" t="n">
        <x:f>T176*AS176</x:f>
        <x:v>412.7851171840001</x:v>
      </x:c>
      <x:c r="AV176" s="226" t="n">
        <x:f>AU176*AT176</x:f>
        <x:v>3256.874574581761</x:v>
      </x:c>
      <x:c r="AW176" s="226" t="str">
        <x:v>EUR</x:v>
      </x:c>
      <x:c r="AX176" s="226" t="n">
        <x:v>2.3276</x:v>
      </x:c>
      <x:c r="AY176" s="226" t="n">
        <x:f>IF(AW176="EUR",AA176,IF(AW176="GBP",AB176,1))</x:f>
        <x:v>7.89</x:v>
      </x:c>
      <x:c r="AZ176" s="226" t="n">
        <x:f>V176*AX176</x:f>
        <x:v>83.02918382323045</x:v>
      </x:c>
      <x:c r="BA176" s="226" t="n">
        <x:f>AZ176*AY176</x:f>
        <x:v>655.1002603652882</x:v>
      </x:c>
      <x:c r="BB176" s="226" t="n">
        <x:f>AF176+AG176+AL176+AQ176+AV176+BA176</x:f>
        <x:v>88072.28366507225</x:v>
      </x:c>
      <x:c r="BC176" s="229" t="n">
        <x:v>0.977</x:v>
      </x:c>
      <x:c r="BD176" s="202"/>
      <x:c r="BE176" s="202"/>
      <x:c r="BF176" s="202"/>
      <x:c r="BG176" s="202" t="str">
        <x:v>UNVERIFIED_UNLIMITED_FOR_MVP</x:v>
      </x:c>
    </x:row>
    <x:row r="177">
      <x:c r="A177" s="187" t="str">
        <x:v>ACTUAL_2026_08_CLOSE_V1</x:v>
      </x:c>
      <x:c r="B177" s="187" t="str">
        <x:v>ACTUAL</x:v>
      </x:c>
      <x:c r="C177" s="187"/>
      <x:c r="D177" s="217" t="n">
        <x:v>46174</x:v>
      </x:c>
      <x:c r="E177" s="187" t="str">
        <x:v>R_DE_FR_B_ROAD</x:v>
      </x:c>
      <x:c r="F177" s="187" t="str">
        <x:v>DE</x:v>
      </x:c>
      <x:c r="G177" s="187" t="str">
        <x:v>FR_FC</x:v>
      </x:c>
      <x:c r="H177" s="187" t="str">
        <x:v>CARRIER_B</x:v>
      </x:c>
      <x:c r="I177" s="187" t="str">
        <x:v>ROAD</x:v>
      </x:c>
      <x:c r="J177" s="220" t="n">
        <x:v>17200</x:v>
      </x:c>
      <x:c r="K177" s="223" t="n">
        <x:v>0.382</x:v>
      </x:c>
      <x:c r="L177" s="223" t="n">
        <x:v>0.03</x:v>
      </x:c>
      <x:c r="M177" s="223" t="n">
        <x:v>1</x:v>
      </x:c>
      <x:c r="N177" s="226" t="n">
        <x:f>J177*K177*L177*M177</x:f>
        <x:v>197.11200000000002</x:v>
      </x:c>
      <x:c r="O177" s="220" t="n">
        <x:v>1.0854</x:v>
      </x:c>
      <x:c r="P177" s="226" t="n">
        <x:f>N177*O177</x:f>
        <x:v>213.94536480000002</x:v>
      </x:c>
      <x:c r="Q177" s="220" t="n">
        <x:v>0.8643</x:v>
      </x:c>
      <x:c r="R177" s="226" t="n">
        <x:f>P177*Q177</x:f>
        <x:v>184.91297879664</x:v>
      </x:c>
      <x:c r="S177" s="220" t="n">
        <x:v>0.05</x:v>
      </x:c>
      <x:c r="T177" s="226" t="n">
        <x:f>N177*S177</x:f>
        <x:v>9.855600000000003</x:v>
      </x:c>
      <x:c r="U177" s="226" t="n">
        <x:v>0.01428</x:v>
      </x:c>
      <x:c r="V177" s="226" t="n">
        <x:f>P177*U177</x:f>
        <x:v>3.0551398093440003</x:v>
      </x:c>
      <x:c r="W177" s="196" t="str">
        <x:v>EUR</x:v>
      </x:c>
      <x:c r="X177" s="220" t="n">
        <x:v>3.3396</x:v>
      </x:c>
      <x:c r="Y177" s="196" t="str">
        <x:v>PER_CHARGEABLE_KG</x:v>
      </x:c>
      <x:c r="Z177" s="220" t="n">
        <x:v>0.24288</x:v>
      </x:c>
      <x:c r="AA177" s="220" t="n">
        <x:v>7.89</x:v>
      </x:c>
      <x:c r="AB177" s="220" t="n">
        <x:v>9.16</x:v>
      </x:c>
      <x:c r="AC177" s="226" t="n">
        <x:f>IF(W177="EUR",AA177,IF(W177="GBP",AB177,1))</x:f>
        <x:v>7.89</x:v>
      </x:c>
      <x:c r="AD177" s="226" t="n">
        <x:f>R177*X177</x:f>
        <x:v>617.5353839892589</x:v>
      </x:c>
      <x:c r="AE177" s="226" t="n">
        <x:f>IF(Y177="PERCENTAGE_OF_BASE_FREIGHT",AD177*Z177,IF(Y177="PER_CHARGEABLE_KG",R177*Z177,P177*Z177))</x:f>
        <x:v>44.91166429012792</x:v>
      </x:c>
      <x:c r="AF177" s="226" t="n">
        <x:f>AD177*AC177</x:f>
        <x:v>4872.354179675252</x:v>
      </x:c>
      <x:c r="AG177" s="226" t="n">
        <x:f>AE177*AC177</x:f>
        <x:v>354.3530312491093</x:v>
      </x:c>
      <x:c r="AH177" s="226" t="str">
        <x:v>EUR</x:v>
      </x:c>
      <x:c r="AI177" s="226" t="n">
        <x:v>1.0626</x:v>
      </x:c>
      <x:c r="AJ177" s="226" t="n">
        <x:f>IF(AH177="EUR",AA177,IF(AH177="GBP",AB177,1))</x:f>
        <x:v>7.89</x:v>
      </x:c>
      <x:c r="AK177" s="226" t="n">
        <x:f>N177*AI177</x:f>
        <x:v>209.45121120000002</x:v>
      </x:c>
      <x:c r="AL177" s="226" t="n">
        <x:f>AK177*AJ177</x:f>
        <x:v>1652.570056368</x:v>
      </x:c>
      <x:c r="AM177" s="226" t="str">
        <x:v>EUR</x:v>
      </x:c>
      <x:c r="AN177" s="226" t="n">
        <x:v>0.38456</x:v>
      </x:c>
      <x:c r="AO177" s="226" t="n">
        <x:f>IF(AM177="EUR",AA177,IF(AM177="GBP",AB177,1))</x:f>
        <x:v>7.89</x:v>
      </x:c>
      <x:c r="AP177" s="226" t="n">
        <x:f>P177*AN177</x:f>
        <x:v>82.274829487488</x:v>
      </x:c>
      <x:c r="AQ177" s="226" t="n">
        <x:f>AP177*AO177</x:f>
        <x:v>649.1484046562804</x:v>
      </x:c>
      <x:c r="AR177" s="226" t="str">
        <x:v>EUR</x:v>
      </x:c>
      <x:c r="AS177" s="226" t="n">
        <x:v>3.8456</x:v>
      </x:c>
      <x:c r="AT177" s="226" t="n">
        <x:f>IF(AR177="EUR",AA177,IF(AR177="GBP",AB177,1))</x:f>
        <x:v>7.89</x:v>
      </x:c>
      <x:c r="AU177" s="226" t="n">
        <x:f>T177*AS177</x:f>
        <x:v>37.900695360000014</x:v>
      </x:c>
      <x:c r="AV177" s="226" t="n">
        <x:f>AU177*AT177</x:f>
        <x:v>299.0364863904001</x:v>
      </x:c>
      <x:c r="AW177" s="226" t="str">
        <x:v>EUR</x:v>
      </x:c>
      <x:c r="AX177" s="226" t="n">
        <x:v>2.3276</x:v>
      </x:c>
      <x:c r="AY177" s="226" t="n">
        <x:f>IF(AW177="EUR",AA177,IF(AW177="GBP",AB177,1))</x:f>
        <x:v>7.89</x:v>
      </x:c>
      <x:c r="AZ177" s="226" t="n">
        <x:f>V177*AX177</x:f>
        <x:v>7.111143420229094</x:v>
      </x:c>
      <x:c r="BA177" s="226" t="n">
        <x:f>AZ177*AY177</x:f>
        <x:v>56.10692158560755</x:v>
      </x:c>
      <x:c r="BB177" s="226" t="n">
        <x:f>AF177+AG177+AL177+AQ177+AV177+BA177</x:f>
        <x:v>7883.5690799246495</x:v>
      </x:c>
      <x:c r="BC177" s="229" t="n">
        <x:v>0.969</x:v>
      </x:c>
      <x:c r="BD177" s="202"/>
      <x:c r="BE177" s="202"/>
      <x:c r="BF177" s="202"/>
      <x:c r="BG177" s="202" t="str">
        <x:v>UNVERIFIED_UNLIMITED_FOR_MVP</x:v>
      </x:c>
    </x:row>
    <x:row r="178">
      <x:c r="A178" s="187" t="str">
        <x:v>ACTUAL_2026_08_CLOSE_V1</x:v>
      </x:c>
      <x:c r="B178" s="187" t="str">
        <x:v>ACTUAL</x:v>
      </x:c>
      <x:c r="C178" s="187"/>
      <x:c r="D178" s="217" t="n">
        <x:v>46174</x:v>
      </x:c>
      <x:c r="E178" s="187" t="str">
        <x:v>R_FR_FR_A_ROAD</x:v>
      </x:c>
      <x:c r="F178" s="187" t="str">
        <x:v>FR</x:v>
      </x:c>
      <x:c r="G178" s="187" t="str">
        <x:v>FR_FC</x:v>
      </x:c>
      <x:c r="H178" s="187" t="str">
        <x:v>CARRIER_A</x:v>
      </x:c>
      <x:c r="I178" s="187" t="str">
        <x:v>ROAD</x:v>
      </x:c>
      <x:c r="J178" s="220" t="n">
        <x:v>17200</x:v>
      </x:c>
      <x:c r="K178" s="223" t="n">
        <x:v>0.315</x:v>
      </x:c>
      <x:c r="L178" s="223" t="n">
        <x:v>1</x:v>
      </x:c>
      <x:c r="M178" s="223" t="n">
        <x:v>0.35</x:v>
      </x:c>
      <x:c r="N178" s="226" t="n">
        <x:f>J178*K178*L178*M178</x:f>
        <x:v>1896.3</x:v>
      </x:c>
      <x:c r="O178" s="220" t="n">
        <x:v>1.0653</x:v>
      </x:c>
      <x:c r="P178" s="226" t="n">
        <x:f>N178*O178</x:f>
        <x:v>2020.1283899999999</x:v>
      </x:c>
      <x:c r="Q178" s="220" t="n">
        <x:v>0.7638</x:v>
      </x:c>
      <x:c r="R178" s="226" t="n">
        <x:f>P178*Q178</x:f>
        <x:v>1542.974064282</x:v>
      </x:c>
      <x:c r="S178" s="220" t="n">
        <x:v>0.06</x:v>
      </x:c>
      <x:c r="T178" s="226" t="n">
        <x:f>N178*S178</x:f>
        <x:v>113.77799999999999</x:v>
      </x:c>
      <x:c r="U178" s="226" t="n">
        <x:v>0.01734</x:v>
      </x:c>
      <x:c r="V178" s="226" t="n">
        <x:f>P178*U178</x:f>
        <x:v>35.0290262826</x:v>
      </x:c>
      <x:c r="W178" s="196" t="str">
        <x:v>EUR</x:v>
      </x:c>
      <x:c r="X178" s="220" t="n">
        <x:v>2.1252</x:v>
      </x:c>
      <x:c r="Y178" s="196" t="str">
        <x:v>PERCENTAGE_OF_BASE_FREIGHT</x:v>
      </x:c>
      <x:c r="Z178" s="220" t="n">
        <x:v>0.09108</x:v>
      </x:c>
      <x:c r="AA178" s="220" t="n">
        <x:v>7.89</x:v>
      </x:c>
      <x:c r="AB178" s="220" t="n">
        <x:v>9.16</x:v>
      </x:c>
      <x:c r="AC178" s="226" t="n">
        <x:f>IF(W178="EUR",AA178,IF(W178="GBP",AB178,1))</x:f>
        <x:v>7.89</x:v>
      </x:c>
      <x:c r="AD178" s="226" t="n">
        <x:f>R178*X178</x:f>
        <x:v>3279.1284814121063</x:v>
      </x:c>
      <x:c r="AE178" s="226" t="n">
        <x:f>IF(Y178="PERCENTAGE_OF_BASE_FREIGHT",AD178*Z178,IF(Y178="PER_CHARGEABLE_KG",R178*Z178,P178*Z178))</x:f>
        <x:v>298.6630220870146</x:v>
      </x:c>
      <x:c r="AF178" s="226" t="n">
        <x:f>AD178*AC178</x:f>
        <x:v>25872.32371834152</x:v>
      </x:c>
      <x:c r="AG178" s="226" t="n">
        <x:f>AE178*AC178</x:f>
        <x:v>2356.451244266545</x:v>
      </x:c>
      <x:c r="AH178" s="226" t="str">
        <x:v>EUR</x:v>
      </x:c>
      <x:c r="AI178" s="226" t="n">
        <x:v>1.0626</x:v>
      </x:c>
      <x:c r="AJ178" s="226" t="n">
        <x:f>IF(AH178="EUR",AA178,IF(AH178="GBP",AB178,1))</x:f>
        <x:v>7.89</x:v>
      </x:c>
      <x:c r="AK178" s="226" t="n">
        <x:f>N178*AI178</x:f>
        <x:v>2015.00838</x:v>
      </x:c>
      <x:c r="AL178" s="226" t="n">
        <x:f>AK178*AJ178</x:f>
        <x:v>15898.416118199999</x:v>
      </x:c>
      <x:c r="AM178" s="226" t="str">
        <x:v>EUR</x:v>
      </x:c>
      <x:c r="AN178" s="226" t="n">
        <x:v>0.38456</x:v>
      </x:c>
      <x:c r="AO178" s="226" t="n">
        <x:f>IF(AM178="EUR",AA178,IF(AM178="GBP",AB178,1))</x:f>
        <x:v>7.89</x:v>
      </x:c>
      <x:c r="AP178" s="226" t="n">
        <x:f>P178*AN178</x:f>
        <x:v>776.8605736584</x:v>
      </x:c>
      <x:c r="AQ178" s="226" t="n">
        <x:f>AP178*AO178</x:f>
        <x:v>6129.429926164776</x:v>
      </x:c>
      <x:c r="AR178" s="226" t="str">
        <x:v>EUR</x:v>
      </x:c>
      <x:c r="AS178" s="226" t="n">
        <x:v>3.036</x:v>
      </x:c>
      <x:c r="AT178" s="226" t="n">
        <x:f>IF(AR178="EUR",AA178,IF(AR178="GBP",AB178,1))</x:f>
        <x:v>7.89</x:v>
      </x:c>
      <x:c r="AU178" s="226" t="n">
        <x:f>T178*AS178</x:f>
        <x:v>345.430008</x:v>
      </x:c>
      <x:c r="AV178" s="226" t="n">
        <x:f>AU178*AT178</x:f>
        <x:v>2725.4427631199997</x:v>
      </x:c>
      <x:c r="AW178" s="226" t="str">
        <x:v>EUR</x:v>
      </x:c>
      <x:c r="AX178" s="226" t="n">
        <x:v>2.3276</x:v>
      </x:c>
      <x:c r="AY178" s="226" t="n">
        <x:f>IF(AW178="EUR",AA178,IF(AW178="GBP",AB178,1))</x:f>
        <x:v>7.89</x:v>
      </x:c>
      <x:c r="AZ178" s="226" t="n">
        <x:f>V178*AX178</x:f>
        <x:v>81.53356157537975</x:v>
      </x:c>
      <x:c r="BA178" s="226" t="n">
        <x:f>AZ178*AY178</x:f>
        <x:v>643.2998008297462</x:v>
      </x:c>
      <x:c r="BB178" s="226" t="n">
        <x:f>AF178+AG178+AL178+AQ178+AV178+BA178</x:f>
        <x:v>53625.36357092258</x:v>
      </x:c>
      <x:c r="BC178" s="229" t="n">
        <x:v>0.962</x:v>
      </x:c>
      <x:c r="BD178" s="202"/>
      <x:c r="BE178" s="202"/>
      <x:c r="BF178" s="202"/>
      <x:c r="BG178" s="202" t="str">
        <x:v>UNVERIFIED_UNLIMITED_FOR_MVP</x:v>
      </x:c>
    </x:row>
    <x:row r="179">
      <x:c r="A179" s="187" t="str">
        <x:v>ACTUAL_2026_08_CLOSE_V1</x:v>
      </x:c>
      <x:c r="B179" s="187" t="str">
        <x:v>ACTUAL</x:v>
      </x:c>
      <x:c r="C179" s="187"/>
      <x:c r="D179" s="217" t="n">
        <x:v>46174</x:v>
      </x:c>
      <x:c r="E179" s="187" t="str">
        <x:v>R_FR_FR_B_ROAD</x:v>
      </x:c>
      <x:c r="F179" s="187" t="str">
        <x:v>FR</x:v>
      </x:c>
      <x:c r="G179" s="187" t="str">
        <x:v>FR_FC</x:v>
      </x:c>
      <x:c r="H179" s="187" t="str">
        <x:v>CARRIER_B</x:v>
      </x:c>
      <x:c r="I179" s="187" t="str">
        <x:v>ROAD</x:v>
      </x:c>
      <x:c r="J179" s="220" t="n">
        <x:v>17200</x:v>
      </x:c>
      <x:c r="K179" s="223" t="n">
        <x:v>0.315</x:v>
      </x:c>
      <x:c r="L179" s="223" t="n">
        <x:v>1</x:v>
      </x:c>
      <x:c r="M179" s="223" t="n">
        <x:v>0.65</x:v>
      </x:c>
      <x:c r="N179" s="226" t="n">
        <x:f>J179*K179*L179*M179</x:f>
        <x:v>3521.7000000000003</x:v>
      </x:c>
      <x:c r="O179" s="220" t="n">
        <x:v>1.0653</x:v>
      </x:c>
      <x:c r="P179" s="226" t="n">
        <x:f>N179*O179</x:f>
        <x:v>3751.66701</x:v>
      </x:c>
      <x:c r="Q179" s="220" t="n">
        <x:v>0.79395</x:v>
      </x:c>
      <x:c r="R179" s="226" t="n">
        <x:f>P179*Q179</x:f>
        <x:v>2978.6360225895</x:v>
      </x:c>
      <x:c r="S179" s="220" t="n">
        <x:v>0.06</x:v>
      </x:c>
      <x:c r="T179" s="226" t="n">
        <x:f>N179*S179</x:f>
        <x:v>211.30200000000002</x:v>
      </x:c>
      <x:c r="U179" s="226" t="n">
        <x:v>0.01428</x:v>
      </x:c>
      <x:c r="V179" s="226" t="n">
        <x:f>P179*U179</x:f>
        <x:v>53.5738049028</x:v>
      </x:c>
      <x:c r="W179" s="196" t="str">
        <x:v>EUR</x:v>
      </x:c>
      <x:c r="X179" s="220" t="n">
        <x:v>2.6312</x:v>
      </x:c>
      <x:c r="Y179" s="196" t="str">
        <x:v>PER_CHARGEABLE_KG</x:v>
      </x:c>
      <x:c r="Z179" s="220" t="n">
        <x:v>0.2024</x:v>
      </x:c>
      <x:c r="AA179" s="220" t="n">
        <x:v>7.89</x:v>
      </x:c>
      <x:c r="AB179" s="220" t="n">
        <x:v>9.16</x:v>
      </x:c>
      <x:c r="AC179" s="226" t="n">
        <x:f>IF(W179="EUR",AA179,IF(W179="GBP",AB179,1))</x:f>
        <x:v>7.89</x:v>
      </x:c>
      <x:c r="AD179" s="226" t="n">
        <x:f>R179*X179</x:f>
        <x:v>7837.387102637493</x:v>
      </x:c>
      <x:c r="AE179" s="226" t="n">
        <x:f>IF(Y179="PERCENTAGE_OF_BASE_FREIGHT",AD179*Z179,IF(Y179="PER_CHARGEABLE_KG",R179*Z179,P179*Z179))</x:f>
        <x:v>602.8759309721148</x:v>
      </x:c>
      <x:c r="AF179" s="226" t="n">
        <x:f>AD179*AC179</x:f>
        <x:v>61836.98423980981</x:v>
      </x:c>
      <x:c r="AG179" s="226" t="n">
        <x:f>AE179*AC179</x:f>
        <x:v>4756.691095369985</x:v>
      </x:c>
      <x:c r="AH179" s="226" t="str">
        <x:v>EUR</x:v>
      </x:c>
      <x:c r="AI179" s="226" t="n">
        <x:v>1.0626</x:v>
      </x:c>
      <x:c r="AJ179" s="226" t="n">
        <x:f>IF(AH179="EUR",AA179,IF(AH179="GBP",AB179,1))</x:f>
        <x:v>7.89</x:v>
      </x:c>
      <x:c r="AK179" s="226" t="n">
        <x:f>N179*AI179</x:f>
        <x:v>3742.15842</x:v>
      </x:c>
      <x:c r="AL179" s="226" t="n">
        <x:f>AK179*AJ179</x:f>
        <x:v>29525.6299338</x:v>
      </x:c>
      <x:c r="AM179" s="226" t="str">
        <x:v>EUR</x:v>
      </x:c>
      <x:c r="AN179" s="226" t="n">
        <x:v>0.38456</x:v>
      </x:c>
      <x:c r="AO179" s="226" t="n">
        <x:f>IF(AM179="EUR",AA179,IF(AM179="GBP",AB179,1))</x:f>
        <x:v>7.89</x:v>
      </x:c>
      <x:c r="AP179" s="226" t="n">
        <x:f>P179*AN179</x:f>
        <x:v>1442.7410653656002</x:v>
      </x:c>
      <x:c r="AQ179" s="226" t="n">
        <x:f>AP179*AO179</x:f>
        <x:v>11383.227005734585</x:v>
      </x:c>
      <x:c r="AR179" s="226" t="str">
        <x:v>EUR</x:v>
      </x:c>
      <x:c r="AS179" s="226" t="n">
        <x:v>3.036</x:v>
      </x:c>
      <x:c r="AT179" s="226" t="n">
        <x:f>IF(AR179="EUR",AA179,IF(AR179="GBP",AB179,1))</x:f>
        <x:v>7.89</x:v>
      </x:c>
      <x:c r="AU179" s="226" t="n">
        <x:f>T179*AS179</x:f>
        <x:v>641.512872</x:v>
      </x:c>
      <x:c r="AV179" s="226" t="n">
        <x:f>AU179*AT179</x:f>
        <x:v>5061.53656008</x:v>
      </x:c>
      <x:c r="AW179" s="226" t="str">
        <x:v>EUR</x:v>
      </x:c>
      <x:c r="AX179" s="226" t="n">
        <x:v>2.3276</x:v>
      </x:c>
      <x:c r="AY179" s="226" t="n">
        <x:f>IF(AW179="EUR",AA179,IF(AW179="GBP",AB179,1))</x:f>
        <x:v>7.89</x:v>
      </x:c>
      <x:c r="AZ179" s="226" t="n">
        <x:f>V179*AX179</x:f>
        <x:v>124.69838829175727</x:v>
      </x:c>
      <x:c r="BA179" s="226" t="n">
        <x:f>AZ179*AY179</x:f>
        <x:v>983.8702836219649</x:v>
      </x:c>
      <x:c r="BB179" s="226" t="n">
        <x:f>AF179+AG179+AL179+AQ179+AV179+BA179</x:f>
        <x:v>113547.93911841634</x:v>
      </x:c>
      <x:c r="BC179" s="229" t="n">
        <x:v>0.974</x:v>
      </x:c>
      <x:c r="BD179" s="202"/>
      <x:c r="BE179" s="202"/>
      <x:c r="BF179" s="202"/>
      <x:c r="BG179" s="202" t="str">
        <x:v>UNVERIFIED_UNLIMITED_FOR_MVP</x:v>
      </x:c>
    </x:row>
    <x:row r="180">
      <x:c r="A180" s="187" t="str">
        <x:v>ACTUAL_2026_08_CLOSE_V1</x:v>
      </x:c>
      <x:c r="B180" s="187" t="str">
        <x:v>ACTUAL</x:v>
      </x:c>
      <x:c r="C180" s="187"/>
      <x:c r="D180" s="217" t="n">
        <x:v>46174</x:v>
      </x:c>
      <x:c r="E180" s="187" t="str">
        <x:v>R_GB_DE_A_ROAD</x:v>
      </x:c>
      <x:c r="F180" s="187" t="str">
        <x:v>GB</x:v>
      </x:c>
      <x:c r="G180" s="187" t="str">
        <x:v>DE_FC</x:v>
      </x:c>
      <x:c r="H180" s="187" t="str">
        <x:v>CARRIER_A</x:v>
      </x:c>
      <x:c r="I180" s="187" t="str">
        <x:v>ROAD</x:v>
      </x:c>
      <x:c r="J180" s="220" t="n">
        <x:v>17200</x:v>
      </x:c>
      <x:c r="K180" s="223" t="n">
        <x:v>0.303</x:v>
      </x:c>
      <x:c r="L180" s="223" t="n">
        <x:v>0.96</x:v>
      </x:c>
      <x:c r="M180" s="223" t="n">
        <x:v>0.62</x:v>
      </x:c>
      <x:c r="N180" s="226" t="n">
        <x:f>J180*K180*L180*M180</x:f>
        <x:v>3101.9443199999996</x:v>
      </x:c>
      <x:c r="O180" s="220" t="n">
        <x:v>1.1256</x:v>
      </x:c>
      <x:c r="P180" s="226" t="n">
        <x:f>N180*O180</x:f>
        <x:v>3491.5485265919992</x:v>
      </x:c>
      <x:c r="Q180" s="220" t="n">
        <x:v>1.0251</x:v>
      </x:c>
      <x:c r="R180" s="226" t="n">
        <x:f>P180*Q180</x:f>
        <x:v>3579.186394609458</x:v>
      </x:c>
      <x:c r="S180" s="220" t="n">
        <x:v>0.08</x:v>
      </x:c>
      <x:c r="T180" s="226" t="n">
        <x:f>N180*S180</x:f>
        <x:v>248.15554559999998</x:v>
      </x:c>
      <x:c r="U180" s="226" t="n">
        <x:v>0.02244</x:v>
      </x:c>
      <x:c r="V180" s="226" t="n">
        <x:f>P180*U180</x:f>
        <x:v>78.35034893672447</x:v>
      </x:c>
      <x:c r="W180" s="196" t="str">
        <x:v>GBP</x:v>
      </x:c>
      <x:c r="X180" s="220" t="n">
        <x:v>4.048</x:v>
      </x:c>
      <x:c r="Y180" s="196" t="str">
        <x:v>PERCENTAGE_OF_BASE_FREIGHT</x:v>
      </x:c>
      <x:c r="Z180" s="220" t="n">
        <x:v>0.1012</x:v>
      </x:c>
      <x:c r="AA180" s="220" t="n">
        <x:v>7.89</x:v>
      </x:c>
      <x:c r="AB180" s="220" t="n">
        <x:v>9.16</x:v>
      </x:c>
      <x:c r="AC180" s="226" t="n">
        <x:f>IF(W180="EUR",AA180,IF(W180="GBP",AB180,1))</x:f>
        <x:v>9.16</x:v>
      </x:c>
      <x:c r="AD180" s="226" t="n">
        <x:f>R180*X180</x:f>
        <x:v>14488.546525379086</x:v>
      </x:c>
      <x:c r="AE180" s="226" t="n">
        <x:f>IF(Y180="PERCENTAGE_OF_BASE_FREIGHT",AD180*Z180,IF(Y180="PER_CHARGEABLE_KG",R180*Z180,P180*Z180))</x:f>
        <x:v>1466.2409083683635</x:v>
      </x:c>
      <x:c r="AF180" s="226" t="n">
        <x:f>AD180*AC180</x:f>
        <x:v>132715.08617247242</x:v>
      </x:c>
      <x:c r="AG180" s="226" t="n">
        <x:f>AE180*AC180</x:f>
        <x:v>13430.76672065421</x:v>
      </x:c>
      <x:c r="AH180" s="226" t="str">
        <x:v>EUR</x:v>
      </x:c>
      <x:c r="AI180" s="226" t="n">
        <x:v>1.19416</x:v>
      </x:c>
      <x:c r="AJ180" s="226" t="n">
        <x:f>IF(AH180="EUR",AA180,IF(AH180="GBP",AB180,1))</x:f>
        <x:v>7.89</x:v>
      </x:c>
      <x:c r="AK180" s="226" t="n">
        <x:f>N180*AI180</x:f>
        <x:v>3704.2178291712</x:v>
      </x:c>
      <x:c r="AL180" s="226" t="n">
        <x:f>AK180*AJ180</x:f>
        <x:v>29226.278672160766</x:v>
      </x:c>
      <x:c r="AM180" s="226" t="str">
        <x:v>EUR</x:v>
      </x:c>
      <x:c r="AN180" s="226" t="n">
        <x:v>0.42504</x:v>
      </x:c>
      <x:c r="AO180" s="226" t="n">
        <x:f>IF(AM180="EUR",AA180,IF(AM180="GBP",AB180,1))</x:f>
        <x:v>7.89</x:v>
      </x:c>
      <x:c r="AP180" s="226" t="n">
        <x:f>P180*AN180</x:f>
        <x:v>1484.0477857426633</x:v>
      </x:c>
      <x:c r="AQ180" s="226" t="n">
        <x:f>AP180*AO180</x:f>
        <x:v>11709.137029509613</x:v>
      </x:c>
      <x:c r="AR180" s="226" t="str">
        <x:v>GBP</x:v>
      </x:c>
      <x:c r="AS180" s="226" t="n">
        <x:v>4.8576</x:v>
      </x:c>
      <x:c r="AT180" s="226" t="n">
        <x:f>IF(AR180="EUR",AA180,IF(AR180="GBP",AB180,1))</x:f>
        <x:v>9.16</x:v>
      </x:c>
      <x:c r="AU180" s="226" t="n">
        <x:f>T180*AS180</x:f>
        <x:v>1205.4403783065598</x:v>
      </x:c>
      <x:c r="AV180" s="226" t="n">
        <x:f>AU180*AT180</x:f>
        <x:v>11041.833865288087</x:v>
      </x:c>
      <x:c r="AW180" s="226" t="str">
        <x:v>GBP</x:v>
      </x:c>
      <x:c r="AX180" s="226" t="n">
        <x:v>2.3276</x:v>
      </x:c>
      <x:c r="AY180" s="226" t="n">
        <x:f>IF(AW180="EUR",AA180,IF(AW180="GBP",AB180,1))</x:f>
        <x:v>9.16</x:v>
      </x:c>
      <x:c r="AZ180" s="226" t="n">
        <x:f>V180*AX180</x:f>
        <x:v>182.36827218511988</x:v>
      </x:c>
      <x:c r="BA180" s="226" t="n">
        <x:f>AZ180*AY180</x:f>
        <x:v>1670.493373215698</x:v>
      </x:c>
      <x:c r="BB180" s="226" t="n">
        <x:f>AF180+AG180+AL180+AQ180+AV180+BA180</x:f>
        <x:v>199793.5958333008</x:v>
      </x:c>
      <x:c r="BC180" s="229" t="n">
        <x:v>0.931</x:v>
      </x:c>
      <x:c r="BD180" s="202"/>
      <x:c r="BE180" s="202"/>
      <x:c r="BF180" s="202"/>
      <x:c r="BG180" s="202" t="str">
        <x:v>UNVERIFIED_UNLIMITED_FOR_MVP</x:v>
      </x:c>
    </x:row>
    <x:row r="181">
      <x:c r="A181" s="187" t="str">
        <x:v>ACTUAL_2026_08_CLOSE_V1</x:v>
      </x:c>
      <x:c r="B181" s="187" t="str">
        <x:v>ACTUAL</x:v>
      </x:c>
      <x:c r="C181" s="187"/>
      <x:c r="D181" s="217" t="n">
        <x:v>46174</x:v>
      </x:c>
      <x:c r="E181" s="187" t="str">
        <x:v>R_GB_DE_B_ROAD</x:v>
      </x:c>
      <x:c r="F181" s="187" t="str">
        <x:v>GB</x:v>
      </x:c>
      <x:c r="G181" s="187" t="str">
        <x:v>DE_FC</x:v>
      </x:c>
      <x:c r="H181" s="187" t="str">
        <x:v>CARRIER_B</x:v>
      </x:c>
      <x:c r="I181" s="187" t="str">
        <x:v>ROAD</x:v>
      </x:c>
      <x:c r="J181" s="220" t="n">
        <x:v>17200</x:v>
      </x:c>
      <x:c r="K181" s="223" t="n">
        <x:v>0.303</x:v>
      </x:c>
      <x:c r="L181" s="223" t="n">
        <x:v>0.96</x:v>
      </x:c>
      <x:c r="M181" s="223" t="n">
        <x:v>0.25</x:v>
      </x:c>
      <x:c r="N181" s="226" t="n">
        <x:f>J181*K181*L181*M181</x:f>
        <x:v>1250.7839999999999</x:v>
      </x:c>
      <x:c r="O181" s="220" t="n">
        <x:v>1.1256</x:v>
      </x:c>
      <x:c r="P181" s="226" t="n">
        <x:f>N181*O181</x:f>
        <x:v>1407.8824703999999</x:v>
      </x:c>
      <x:c r="Q181" s="220" t="n">
        <x:v>1.005</x:v>
      </x:c>
      <x:c r="R181" s="226" t="n">
        <x:f>P181*Q181</x:f>
        <x:v>1414.9218827519996</x:v>
      </x:c>
      <x:c r="S181" s="220" t="n">
        <x:v>0.08</x:v>
      </x:c>
      <x:c r="T181" s="226" t="n">
        <x:f>N181*S181</x:f>
        <x:v>100.06272</x:v>
      </x:c>
      <x:c r="U181" s="226" t="n">
        <x:v>0.01734</x:v>
      </x:c>
      <x:c r="V181" s="226" t="n">
        <x:f>P181*U181</x:f>
        <x:v>24.412682036736</x:v>
      </x:c>
      <x:c r="W181" s="196" t="str">
        <x:v>GBP</x:v>
      </x:c>
      <x:c r="X181" s="220" t="n">
        <x:v>4.7564</x:v>
      </x:c>
      <x:c r="Y181" s="196" t="str">
        <x:v>PER_CHARGEABLE_KG</x:v>
      </x:c>
      <x:c r="Z181" s="220" t="n">
        <x:v>0.33396</x:v>
      </x:c>
      <x:c r="AA181" s="220" t="n">
        <x:v>7.89</x:v>
      </x:c>
      <x:c r="AB181" s="220" t="n">
        <x:v>9.16</x:v>
      </x:c>
      <x:c r="AC181" s="226" t="n">
        <x:f>IF(W181="EUR",AA181,IF(W181="GBP",AB181,1))</x:f>
        <x:v>9.16</x:v>
      </x:c>
      <x:c r="AD181" s="226" t="n">
        <x:f>R181*X181</x:f>
        <x:v>6729.934443121611</x:v>
      </x:c>
      <x:c r="AE181" s="226" t="n">
        <x:f>IF(Y181="PERCENTAGE_OF_BASE_FREIGHT",AD181*Z181,IF(Y181="PER_CHARGEABLE_KG",R181*Z181,P181*Z181))</x:f>
        <x:v>472.52731196385776</x:v>
      </x:c>
      <x:c r="AF181" s="226" t="n">
        <x:f>AD181*AC181</x:f>
        <x:v>61646.19949899396</x:v>
      </x:c>
      <x:c r="AG181" s="226" t="n">
        <x:f>AE181*AC181</x:f>
        <x:v>4328.350177588937</x:v>
      </x:c>
      <x:c r="AH181" s="226" t="str">
        <x:v>EUR</x:v>
      </x:c>
      <x:c r="AI181" s="226" t="n">
        <x:v>1.19416</x:v>
      </x:c>
      <x:c r="AJ181" s="226" t="n">
        <x:f>IF(AH181="EUR",AA181,IF(AH181="GBP",AB181,1))</x:f>
        <x:v>7.89</x:v>
      </x:c>
      <x:c r="AK181" s="226" t="n">
        <x:f>N181*AI181</x:f>
        <x:v>1493.63622144</x:v>
      </x:c>
      <x:c r="AL181" s="226" t="n">
        <x:f>AK181*AJ181</x:f>
        <x:v>11784.7897871616</x:v>
      </x:c>
      <x:c r="AM181" s="226" t="str">
        <x:v>EUR</x:v>
      </x:c>
      <x:c r="AN181" s="226" t="n">
        <x:v>0.42504</x:v>
      </x:c>
      <x:c r="AO181" s="226" t="n">
        <x:f>IF(AM181="EUR",AA181,IF(AM181="GBP",AB181,1))</x:f>
        <x:v>7.89</x:v>
      </x:c>
      <x:c r="AP181" s="226" t="n">
        <x:f>P181*AN181</x:f>
        <x:v>598.406365218816</x:v>
      </x:c>
      <x:c r="AQ181" s="226" t="n">
        <x:f>AP181*AO181</x:f>
        <x:v>4721.4262215764575</x:v>
      </x:c>
      <x:c r="AR181" s="226" t="str">
        <x:v>GBP</x:v>
      </x:c>
      <x:c r="AS181" s="226" t="n">
        <x:v>4.8576</x:v>
      </x:c>
      <x:c r="AT181" s="226" t="n">
        <x:f>IF(AR181="EUR",AA181,IF(AR181="GBP",AB181,1))</x:f>
        <x:v>9.16</x:v>
      </x:c>
      <x:c r="AU181" s="226" t="n">
        <x:f>T181*AS181</x:f>
        <x:v>486.064668672</x:v>
      </x:c>
      <x:c r="AV181" s="226" t="n">
        <x:f>AU181*AT181</x:f>
        <x:v>4452.35236503552</x:v>
      </x:c>
      <x:c r="AW181" s="226" t="str">
        <x:v>GBP</x:v>
      </x:c>
      <x:c r="AX181" s="226" t="n">
        <x:v>2.3276</x:v>
      </x:c>
      <x:c r="AY181" s="226" t="n">
        <x:f>IF(AW181="EUR",AA181,IF(AW181="GBP",AB181,1))</x:f>
        <x:v>9.16</x:v>
      </x:c>
      <x:c r="AZ181" s="226" t="n">
        <x:f>V181*AX181</x:f>
        <x:v>56.822958708706715</x:v>
      </x:c>
      <x:c r="BA181" s="226" t="n">
        <x:f>AZ181*AY181</x:f>
        <x:v>520.4983017717535</x:v>
      </x:c>
      <x:c r="BB181" s="226" t="n">
        <x:f>AF181+AG181+AL181+AQ181+AV181+BA181</x:f>
        <x:v>87453.61635212824</x:v>
      </x:c>
      <x:c r="BC181" s="229" t="n">
        <x:v>0.951</x:v>
      </x:c>
      <x:c r="BD181" s="202"/>
      <x:c r="BE181" s="202"/>
      <x:c r="BF181" s="202"/>
      <x:c r="BG181" s="202" t="str">
        <x:v>UNVERIFIED_UNLIMITED_FOR_MVP</x:v>
      </x:c>
    </x:row>
    <x:row r="182">
      <x:c r="A182" s="187" t="str">
        <x:v>ACTUAL_2026_08_CLOSE_V1</x:v>
      </x:c>
      <x:c r="B182" s="187" t="str">
        <x:v>ACTUAL</x:v>
      </x:c>
      <x:c r="C182" s="187"/>
      <x:c r="D182" s="217" t="n">
        <x:v>46174</x:v>
      </x:c>
      <x:c r="E182" s="187" t="str">
        <x:v>R_GB_DE_B_AIR</x:v>
      </x:c>
      <x:c r="F182" s="187" t="str">
        <x:v>GB</x:v>
      </x:c>
      <x:c r="G182" s="187" t="str">
        <x:v>DE_FC</x:v>
      </x:c>
      <x:c r="H182" s="187" t="str">
        <x:v>CARRIER_B</x:v>
      </x:c>
      <x:c r="I182" s="187" t="str">
        <x:v>AIR</x:v>
      </x:c>
      <x:c r="J182" s="220" t="n">
        <x:v>17200</x:v>
      </x:c>
      <x:c r="K182" s="223" t="n">
        <x:v>0.303</x:v>
      </x:c>
      <x:c r="L182" s="223" t="n">
        <x:v>0.96</x:v>
      </x:c>
      <x:c r="M182" s="223" t="n">
        <x:v>0.09</x:v>
      </x:c>
      <x:c r="N182" s="226" t="n">
        <x:f>J182*K182*L182*M182</x:f>
        <x:v>450.28223999999994</x:v>
      </x:c>
      <x:c r="O182" s="220" t="n">
        <x:v>1.1256</x:v>
      </x:c>
      <x:c r="P182" s="226" t="n">
        <x:f>N182*O182</x:f>
        <x:v>506.8376893439999</x:v>
      </x:c>
      <x:c r="Q182" s="220" t="n">
        <x:v>0.9447</x:v>
      </x:c>
      <x:c r="R182" s="226" t="n">
        <x:f>P182*Q182</x:f>
        <x:v>478.8095651232767</x:v>
      </x:c>
      <x:c r="S182" s="220" t="n">
        <x:v>0.08</x:v>
      </x:c>
      <x:c r="T182" s="226" t="n">
        <x:f>N182*S182</x:f>
        <x:v>36.022579199999996</x:v>
      </x:c>
      <x:c r="U182" s="226" t="n">
        <x:v>0.01326</x:v>
      </x:c>
      <x:c r="V182" s="226" t="n">
        <x:f>P182*U182</x:f>
        <x:v>6.7206677607014385</x:v>
      </x:c>
      <x:c r="W182" s="196" t="str">
        <x:v>GBP</x:v>
      </x:c>
      <x:c r="X182" s="220" t="n">
        <x:v>6.2744</x:v>
      </x:c>
      <x:c r="Y182" s="196" t="str">
        <x:v>PERCENTAGE_OF_BASE_FREIGHT</x:v>
      </x:c>
      <x:c r="Z182" s="220" t="n">
        <x:v>0.11638</x:v>
      </x:c>
      <x:c r="AA182" s="220" t="n">
        <x:v>7.89</x:v>
      </x:c>
      <x:c r="AB182" s="220" t="n">
        <x:v>9.16</x:v>
      </x:c>
      <x:c r="AC182" s="226" t="n">
        <x:f>IF(W182="EUR",AA182,IF(W182="GBP",AB182,1))</x:f>
        <x:v>9.16</x:v>
      </x:c>
      <x:c r="AD182" s="226" t="n">
        <x:f>R182*X182</x:f>
        <x:v>3004.242735409487</x:v>
      </x:c>
      <x:c r="AE182" s="226" t="n">
        <x:f>IF(Y182="PERCENTAGE_OF_BASE_FREIGHT",AD182*Z182,IF(Y182="PER_CHARGEABLE_KG",R182*Z182,P182*Z182))</x:f>
        <x:v>349.6337695469561</x:v>
      </x:c>
      <x:c r="AF182" s="226" t="n">
        <x:f>AD182*AC182</x:f>
        <x:v>27518.8634563509</x:v>
      </x:c>
      <x:c r="AG182" s="226" t="n">
        <x:f>AE182*AC182</x:f>
        <x:v>3202.645329050118</x:v>
      </x:c>
      <x:c r="AH182" s="226" t="str">
        <x:v>EUR</x:v>
      </x:c>
      <x:c r="AI182" s="226" t="n">
        <x:v>1.19416</x:v>
      </x:c>
      <x:c r="AJ182" s="226" t="n">
        <x:f>IF(AH182="EUR",AA182,IF(AH182="GBP",AB182,1))</x:f>
        <x:v>7.89</x:v>
      </x:c>
      <x:c r="AK182" s="226" t="n">
        <x:f>N182*AI182</x:f>
        <x:v>537.7090397183999</x:v>
      </x:c>
      <x:c r="AL182" s="226" t="n">
        <x:f>AK182*AJ182</x:f>
        <x:v>4242.524323378176</x:v>
      </x:c>
      <x:c r="AM182" s="226" t="str">
        <x:v>EUR</x:v>
      </x:c>
      <x:c r="AN182" s="226" t="n">
        <x:v>0.42504</x:v>
      </x:c>
      <x:c r="AO182" s="226" t="n">
        <x:f>IF(AM182="EUR",AA182,IF(AM182="GBP",AB182,1))</x:f>
        <x:v>7.89</x:v>
      </x:c>
      <x:c r="AP182" s="226" t="n">
        <x:f>P182*AN182</x:f>
        <x:v>215.4262914787737</x:v>
      </x:c>
      <x:c r="AQ182" s="226" t="n">
        <x:f>AP182*AO182</x:f>
        <x:v>1699.7134397675243</x:v>
      </x:c>
      <x:c r="AR182" s="226" t="str">
        <x:v>GBP</x:v>
      </x:c>
      <x:c r="AS182" s="226" t="n">
        <x:v>4.8576</x:v>
      </x:c>
      <x:c r="AT182" s="226" t="n">
        <x:f>IF(AR182="EUR",AA182,IF(AR182="GBP",AB182,1))</x:f>
        <x:v>9.16</x:v>
      </x:c>
      <x:c r="AU182" s="226" t="n">
        <x:f>T182*AS182</x:f>
        <x:v>174.98328072191995</x:v>
      </x:c>
      <x:c r="AV182" s="226" t="n">
        <x:f>AU182*AT182</x:f>
        <x:v>1602.8468514127867</x:v>
      </x:c>
      <x:c r="AW182" s="226" t="str">
        <x:v>GBP</x:v>
      </x:c>
      <x:c r="AX182" s="226" t="n">
        <x:v>2.8336</x:v>
      </x:c>
      <x:c r="AY182" s="226" t="n">
        <x:f>IF(AW182="EUR",AA182,IF(AW182="GBP",AB182,1))</x:f>
        <x:v>9.16</x:v>
      </x:c>
      <x:c r="AZ182" s="226" t="n">
        <x:f>V182*AX182</x:f>
        <x:v>19.043684166723597</x:v>
      </x:c>
      <x:c r="BA182" s="226" t="n">
        <x:f>AZ182*AY182</x:f>
        <x:v>174.44014696718816</x:v>
      </x:c>
      <x:c r="BB182" s="226" t="n">
        <x:f>AF182+AG182+AL182+AQ182+AV182+BA182</x:f>
        <x:v>38441.033546926694</x:v>
      </x:c>
      <x:c r="BC182" s="229" t="n">
        <x:v>0.975</x:v>
      </x:c>
      <x:c r="BD182" s="202"/>
      <x:c r="BE182" s="202"/>
      <x:c r="BF182" s="202"/>
      <x:c r="BG182" s="202" t="str">
        <x:v>UNVERIFIED_UNLIMITED_FOR_MVP</x:v>
      </x:c>
    </x:row>
    <x:row r="183">
      <x:c r="A183" s="187" t="str">
        <x:v>ACTUAL_2026_08_CLOSE_V1</x:v>
      </x:c>
      <x:c r="B183" s="187" t="str">
        <x:v>ACTUAL</x:v>
      </x:c>
      <x:c r="C183" s="187"/>
      <x:c r="D183" s="217" t="n">
        <x:v>46174</x:v>
      </x:c>
      <x:c r="E183" s="187" t="str">
        <x:v>R_GB_DE_C_AIR</x:v>
      </x:c>
      <x:c r="F183" s="187" t="str">
        <x:v>GB</x:v>
      </x:c>
      <x:c r="G183" s="187" t="str">
        <x:v>DE_FC</x:v>
      </x:c>
      <x:c r="H183" s="187" t="str">
        <x:v>CARRIER_C</x:v>
      </x:c>
      <x:c r="I183" s="187" t="str">
        <x:v>AIR</x:v>
      </x:c>
      <x:c r="J183" s="220" t="n">
        <x:v>17200</x:v>
      </x:c>
      <x:c r="K183" s="223" t="n">
        <x:v>0.303</x:v>
      </x:c>
      <x:c r="L183" s="223" t="n">
        <x:v>0.96</x:v>
      </x:c>
      <x:c r="M183" s="223" t="n">
        <x:v>0.04</x:v>
      </x:c>
      <x:c r="N183" s="226" t="n">
        <x:f>J183*K183*L183*M183</x:f>
        <x:v>200.12544</x:v>
      </x:c>
      <x:c r="O183" s="220" t="n">
        <x:v>1.1256</x:v>
      </x:c>
      <x:c r="P183" s="226" t="n">
        <x:f>N183*O183</x:f>
        <x:v>225.26119526399998</x:v>
      </x:c>
      <x:c r="Q183" s="220" t="n">
        <x:v>0.9246</x:v>
      </x:c>
      <x:c r="R183" s="226" t="n">
        <x:f>P183*Q183</x:f>
        <x:v>208.27650114109437</x:v>
      </x:c>
      <x:c r="S183" s="220" t="n">
        <x:v>0.08</x:v>
      </x:c>
      <x:c r="T183" s="226" t="n">
        <x:f>N183*S183</x:f>
        <x:v>16.0100352</x:v>
      </x:c>
      <x:c r="U183" s="226" t="n">
        <x:v>0.00918</x:v>
      </x:c>
      <x:c r="V183" s="226" t="n">
        <x:f>P183*U183</x:f>
        <x:v>2.06789777252352</x:v>
      </x:c>
      <x:c r="W183" s="196" t="str">
        <x:v>GBP</x:v>
      </x:c>
      <x:c r="X183" s="220" t="n">
        <x:v>7.59</x:v>
      </x:c>
      <x:c r="Y183" s="196" t="str">
        <x:v>PER_CHARGEABLE_KG</x:v>
      </x:c>
      <x:c r="Z183" s="220" t="n">
        <x:v>0.58696</x:v>
      </x:c>
      <x:c r="AA183" s="220" t="n">
        <x:v>7.89</x:v>
      </x:c>
      <x:c r="AB183" s="220" t="n">
        <x:v>9.16</x:v>
      </x:c>
      <x:c r="AC183" s="226" t="n">
        <x:f>IF(W183="EUR",AA183,IF(W183="GBP",AB183,1))</x:f>
        <x:v>9.16</x:v>
      </x:c>
      <x:c r="AD183" s="226" t="n">
        <x:f>R183*X183</x:f>
        <x:v>1580.8186436609062</x:v>
      </x:c>
      <x:c r="AE183" s="226" t="n">
        <x:f>IF(Y183="PERCENTAGE_OF_BASE_FREIGHT",AD183*Z183,IF(Y183="PER_CHARGEABLE_KG",R183*Z183,P183*Z183))</x:f>
        <x:v>122.24997510977676</x:v>
      </x:c>
      <x:c r="AF183" s="226" t="n">
        <x:f>AD183*AC183</x:f>
        <x:v>14480.298775933901</x:v>
      </x:c>
      <x:c r="AG183" s="226" t="n">
        <x:f>AE183*AC183</x:f>
        <x:v>1119.809772005555</x:v>
      </x:c>
      <x:c r="AH183" s="226" t="str">
        <x:v>EUR</x:v>
      </x:c>
      <x:c r="AI183" s="226" t="n">
        <x:v>1.19416</x:v>
      </x:c>
      <x:c r="AJ183" s="226" t="n">
        <x:f>IF(AH183="EUR",AA183,IF(AH183="GBP",AB183,1))</x:f>
        <x:v>7.89</x:v>
      </x:c>
      <x:c r="AK183" s="226" t="n">
        <x:f>N183*AI183</x:f>
        <x:v>238.9817954304</x:v>
      </x:c>
      <x:c r="AL183" s="226" t="n">
        <x:f>AK183*AJ183</x:f>
        <x:v>1885.566365945856</x:v>
      </x:c>
      <x:c r="AM183" s="226" t="str">
        <x:v>EUR</x:v>
      </x:c>
      <x:c r="AN183" s="226" t="n">
        <x:v>0.42504</x:v>
      </x:c>
      <x:c r="AO183" s="226" t="n">
        <x:f>IF(AM183="EUR",AA183,IF(AM183="GBP",AB183,1))</x:f>
        <x:v>7.89</x:v>
      </x:c>
      <x:c r="AP183" s="226" t="n">
        <x:f>P183*AN183</x:f>
        <x:v>95.74501843501055</x:v>
      </x:c>
      <x:c r="AQ183" s="226" t="n">
        <x:f>AP183*AO183</x:f>
        <x:v>755.4281954522332</x:v>
      </x:c>
      <x:c r="AR183" s="226" t="str">
        <x:v>GBP</x:v>
      </x:c>
      <x:c r="AS183" s="226" t="n">
        <x:v>4.8576</x:v>
      </x:c>
      <x:c r="AT183" s="226" t="n">
        <x:f>IF(AR183="EUR",AA183,IF(AR183="GBP",AB183,1))</x:f>
        <x:v>9.16</x:v>
      </x:c>
      <x:c r="AU183" s="226" t="n">
        <x:f>T183*AS183</x:f>
        <x:v>77.77034698752</x:v>
      </x:c>
      <x:c r="AV183" s="226" t="n">
        <x:f>AU183*AT183</x:f>
        <x:v>712.3763784056832</x:v>
      </x:c>
      <x:c r="AW183" s="226" t="str">
        <x:v>GBP</x:v>
      </x:c>
      <x:c r="AX183" s="226" t="n">
        <x:v>3.6432</x:v>
      </x:c>
      <x:c r="AY183" s="226" t="n">
        <x:f>IF(AW183="EUR",AA183,IF(AW183="GBP",AB183,1))</x:f>
        <x:v>9.16</x:v>
      </x:c>
      <x:c r="AZ183" s="226" t="n">
        <x:f>V183*AX183</x:f>
        <x:v>7.533765164857689</x:v>
      </x:c>
      <x:c r="BA183" s="226" t="n">
        <x:f>AZ183*AY183</x:f>
        <x:v>69.00928891009643</x:v>
      </x:c>
      <x:c r="BB183" s="226" t="n">
        <x:f>AF183+AG183+AL183+AQ183+AV183+BA183</x:f>
        <x:v>19022.488776653325</x:v>
      </x:c>
      <x:c r="BC183" s="229" t="n">
        <x:v>0.989</x:v>
      </x:c>
      <x:c r="BD183" s="202"/>
      <x:c r="BE183" s="202"/>
      <x:c r="BF183" s="202"/>
      <x:c r="BG183" s="202" t="str">
        <x:v>UNVERIFIED_UNLIMITED_FOR_MVP</x:v>
      </x:c>
    </x:row>
    <x:row r="184">
      <x:c r="A184" s="187" t="str">
        <x:v>ACTUAL_2026_08_CLOSE_V1</x:v>
      </x:c>
      <x:c r="B184" s="187" t="str">
        <x:v>ACTUAL</x:v>
      </x:c>
      <x:c r="C184" s="187"/>
      <x:c r="D184" s="217" t="n">
        <x:v>46174</x:v>
      </x:c>
      <x:c r="E184" s="187" t="str">
        <x:v>R_GB_FR_B_AIR</x:v>
      </x:c>
      <x:c r="F184" s="187" t="str">
        <x:v>GB</x:v>
      </x:c>
      <x:c r="G184" s="187" t="str">
        <x:v>FR_FC</x:v>
      </x:c>
      <x:c r="H184" s="187" t="str">
        <x:v>CARRIER_B</x:v>
      </x:c>
      <x:c r="I184" s="187" t="str">
        <x:v>AIR</x:v>
      </x:c>
      <x:c r="J184" s="220" t="n">
        <x:v>17200</x:v>
      </x:c>
      <x:c r="K184" s="223" t="n">
        <x:v>0.303</x:v>
      </x:c>
      <x:c r="L184" s="223" t="n">
        <x:v>0.04</x:v>
      </x:c>
      <x:c r="M184" s="223" t="n">
        <x:v>1</x:v>
      </x:c>
      <x:c r="N184" s="226" t="n">
        <x:f>J184*K184*L184*M184</x:f>
        <x:v>208.46399999999997</x:v>
      </x:c>
      <x:c r="O184" s="220" t="n">
        <x:v>1.15575</x:v>
      </x:c>
      <x:c r="P184" s="226" t="n">
        <x:f>N184*O184</x:f>
        <x:v>240.93226799999997</x:v>
      </x:c>
      <x:c r="Q184" s="220" t="n">
        <x:v>0.9045</x:v>
      </x:c>
      <x:c r="R184" s="226" t="n">
        <x:f>P184*Q184</x:f>
        <x:v>217.92323640599997</x:v>
      </x:c>
      <x:c r="S184" s="220" t="n">
        <x:v>0.08</x:v>
      </x:c>
      <x:c r="T184" s="226" t="n">
        <x:f>N184*S184</x:f>
        <x:v>16.67712</x:v>
      </x:c>
      <x:c r="U184" s="226" t="n">
        <x:v>0.01224</x:v>
      </x:c>
      <x:c r="V184" s="226" t="n">
        <x:f>P184*U184</x:f>
        <x:v>2.9490109603199994</x:v>
      </x:c>
      <x:c r="W184" s="196" t="str">
        <x:v>EUR</x:v>
      </x:c>
      <x:c r="X184" s="220" t="n">
        <x:v>6.7804</x:v>
      </x:c>
      <x:c r="Y184" s="196" t="str">
        <x:v>PERCENTAGE_OF_BASE_FREIGHT</x:v>
      </x:c>
      <x:c r="Z184" s="220" t="n">
        <x:v>0.10626</x:v>
      </x:c>
      <x:c r="AA184" s="220" t="n">
        <x:v>7.89</x:v>
      </x:c>
      <x:c r="AB184" s="220" t="n">
        <x:v>9.16</x:v>
      </x:c>
      <x:c r="AC184" s="226" t="n">
        <x:f>IF(W184="EUR",AA184,IF(W184="GBP",AB184,1))</x:f>
        <x:v>7.89</x:v>
      </x:c>
      <x:c r="AD184" s="226" t="n">
        <x:f>R184*X184</x:f>
        <x:v>1477.6067121272422</x:v>
      </x:c>
      <x:c r="AE184" s="226" t="n">
        <x:f>IF(Y184="PERCENTAGE_OF_BASE_FREIGHT",AD184*Z184,IF(Y184="PER_CHARGEABLE_KG",R184*Z184,P184*Z184))</x:f>
        <x:v>157.01048923064076</x:v>
      </x:c>
      <x:c r="AF184" s="226" t="n">
        <x:f>AD184*AC184</x:f>
        <x:v>11658.316958683941</x:v>
      </x:c>
      <x:c r="AG184" s="226" t="n">
        <x:f>AE184*AC184</x:f>
        <x:v>1238.8127600297555</x:v>
      </x:c>
      <x:c r="AH184" s="226" t="str">
        <x:v>EUR</x:v>
      </x:c>
      <x:c r="AI184" s="226" t="n">
        <x:v>1.0626</x:v>
      </x:c>
      <x:c r="AJ184" s="226" t="n">
        <x:f>IF(AH184="EUR",AA184,IF(AH184="GBP",AB184,1))</x:f>
        <x:v>7.89</x:v>
      </x:c>
      <x:c r="AK184" s="226" t="n">
        <x:f>N184*AI184</x:f>
        <x:v>221.51384639999998</x:v>
      </x:c>
      <x:c r="AL184" s="226" t="n">
        <x:f>AK184*AJ184</x:f>
        <x:v>1747.7442480959996</x:v>
      </x:c>
      <x:c r="AM184" s="226" t="str">
        <x:v>EUR</x:v>
      </x:c>
      <x:c r="AN184" s="226" t="n">
        <x:v>0.38456</x:v>
      </x:c>
      <x:c r="AO184" s="226" t="n">
        <x:f>IF(AM184="EUR",AA184,IF(AM184="GBP",AB184,1))</x:f>
        <x:v>7.89</x:v>
      </x:c>
      <x:c r="AP184" s="226" t="n">
        <x:f>P184*AN184</x:f>
        <x:v>92.65291298208</x:v>
      </x:c>
      <x:c r="AQ184" s="226" t="n">
        <x:f>AP184*AO184</x:f>
        <x:v>731.0314834286112</x:v>
      </x:c>
      <x:c r="AR184" s="226" t="str">
        <x:v>EUR</x:v>
      </x:c>
      <x:c r="AS184" s="226" t="n">
        <x:v>5.2624</x:v>
      </x:c>
      <x:c r="AT184" s="226" t="n">
        <x:f>IF(AR184="EUR",AA184,IF(AR184="GBP",AB184,1))</x:f>
        <x:v>7.89</x:v>
      </x:c>
      <x:c r="AU184" s="226" t="n">
        <x:f>T184*AS184</x:f>
        <x:v>87.761676288</x:v>
      </x:c>
      <x:c r="AV184" s="226" t="n">
        <x:f>AU184*AT184</x:f>
        <x:v>692.43962591232</x:v>
      </x:c>
      <x:c r="AW184" s="226" t="str">
        <x:v>EUR</x:v>
      </x:c>
      <x:c r="AX184" s="226" t="n">
        <x:v>2.8336</x:v>
      </x:c>
      <x:c r="AY184" s="226" t="n">
        <x:f>IF(AW184="EUR",AA184,IF(AW184="GBP",AB184,1))</x:f>
        <x:v>7.89</x:v>
      </x:c>
      <x:c r="AZ184" s="226" t="n">
        <x:f>V184*AX184</x:f>
        <x:v>8.356317457162751</x:v>
      </x:c>
      <x:c r="BA184" s="226" t="n">
        <x:f>AZ184*AY184</x:f>
        <x:v>65.9313447370141</x:v>
      </x:c>
      <x:c r="BB184" s="226" t="n">
        <x:f>AF184+AG184+AL184+AQ184+AV184+BA184</x:f>
        <x:v>16134.276420887642</x:v>
      </x:c>
      <x:c r="BC184" s="229" t="n">
        <x:v>0.972</x:v>
      </x:c>
      <x:c r="BD184" s="202"/>
      <x:c r="BE184" s="202"/>
      <x:c r="BF184" s="202"/>
      <x:c r="BG184" s="202" t="str">
        <x:v>UNVERIFIED_UNLIMITED_FOR_MVP</x:v>
      </x:c>
    </x:row>
    <x:row r="185">
      <x:c r="A185" s="187" t="str">
        <x:v>ACTUAL_2026_08_CLOSE_V1</x:v>
      </x:c>
      <x:c r="B185" s="187" t="str">
        <x:v>ACTUAL</x:v>
      </x:c>
      <x:c r="C185" s="187"/>
      <x:c r="D185" s="217" t="n">
        <x:v>46204</x:v>
      </x:c>
      <x:c r="E185" s="187" t="str">
        <x:v>R_DE_DE_A_ROAD</x:v>
      </x:c>
      <x:c r="F185" s="187" t="str">
        <x:v>DE</x:v>
      </x:c>
      <x:c r="G185" s="187" t="str">
        <x:v>DE_FC</x:v>
      </x:c>
      <x:c r="H185" s="187" t="str">
        <x:v>CARRIER_A</x:v>
      </x:c>
      <x:c r="I185" s="187" t="str">
        <x:v>ROAD</x:v>
      </x:c>
      <x:c r="J185" s="220" t="n">
        <x:v>18000</x:v>
      </x:c>
      <x:c r="K185" s="223" t="n">
        <x:v>0.365</x:v>
      </x:c>
      <x:c r="L185" s="223" t="n">
        <x:v>0.97</x:v>
      </x:c>
      <x:c r="M185" s="223" t="n">
        <x:v>0.6</x:v>
      </x:c>
      <x:c r="N185" s="226" t="n">
        <x:f>J185*K185*L185*M185</x:f>
        <x:v>3823.74</x:v>
      </x:c>
      <x:c r="O185" s="220" t="n">
        <x:v>1.0563</x:v>
      </x:c>
      <x:c r="P185" s="226" t="n">
        <x:f>N185*O185</x:f>
        <x:v>4039.016562</x:v>
      </x:c>
      <x:c r="Q185" s="220" t="n">
        <x:v>0.7839</x:v>
      </x:c>
      <x:c r="R185" s="226" t="n">
        <x:f>P185*Q185</x:f>
        <x:v>3166.1850829518</x:v>
      </x:c>
      <x:c r="S185" s="220" t="n">
        <x:v>0.05</x:v>
      </x:c>
      <x:c r="T185" s="226" t="n">
        <x:f>N185*S185</x:f>
        <x:v>191.187</x:v>
      </x:c>
      <x:c r="U185" s="226" t="n">
        <x:v>0.01632</x:v>
      </x:c>
      <x:c r="V185" s="226" t="n">
        <x:f>P185*U185</x:f>
        <x:v>65.91675029184</x:v>
      </x:c>
      <x:c r="W185" s="196" t="str">
        <x:v>EUR</x:v>
      </x:c>
      <x:c r="X185" s="220" t="n">
        <x:v>2.2308</x:v>
      </x:c>
      <x:c r="Y185" s="196" t="str">
        <x:v>PERCENTAGE_OF_BASE_FREIGHT</x:v>
      </x:c>
      <x:c r="Z185" s="220" t="n">
        <x:v>0.09633</x:v>
      </x:c>
      <x:c r="AA185" s="220" t="n">
        <x:v>7.91</x:v>
      </x:c>
      <x:c r="AB185" s="220" t="n">
        <x:v>9.18</x:v>
      </x:c>
      <x:c r="AC185" s="226" t="n">
        <x:f>IF(W185="EUR",AA185,IF(W185="GBP",AB185,1))</x:f>
        <x:v>7.91</x:v>
      </x:c>
      <x:c r="AD185" s="226" t="n">
        <x:f>R185*X185</x:f>
        <x:v>7063.125683048875</x:v>
      </x:c>
      <x:c r="AE185" s="226" t="n">
        <x:f>IF(Y185="PERCENTAGE_OF_BASE_FREIGHT",AD185*Z185,IF(Y185="PER_CHARGEABLE_KG",R185*Z185,P185*Z185))</x:f>
        <x:v>680.390897048098</x:v>
      </x:c>
      <x:c r="AF185" s="226" t="n">
        <x:f>AD185*AC185</x:f>
        <x:v>55869.3241529166</x:v>
      </x:c>
      <x:c r="AG185" s="226" t="n">
        <x:f>AE185*AC185</x:f>
        <x:v>5381.891995650456</x:v>
      </x:c>
      <x:c r="AH185" s="226" t="str">
        <x:v>EUR</x:v>
      </x:c>
      <x:c r="AI185" s="226" t="n">
        <x:v>1.19652</x:v>
      </x:c>
      <x:c r="AJ185" s="226" t="n">
        <x:f>IF(AH185="EUR",AA185,IF(AH185="GBP",AB185,1))</x:f>
        <x:v>7.91</x:v>
      </x:c>
      <x:c r="AK185" s="226" t="n">
        <x:f>N185*AI185</x:f>
        <x:v>4575.1813848</x:v>
      </x:c>
      <x:c r="AL185" s="226" t="n">
        <x:f>AK185*AJ185</x:f>
        <x:v>36189.684753768</x:v>
      </x:c>
      <x:c r="AM185" s="226" t="str">
        <x:v>EUR</x:v>
      </x:c>
      <x:c r="AN185" s="226" t="n">
        <x:v>0.42588</x:v>
      </x:c>
      <x:c r="AO185" s="226" t="n">
        <x:f>IF(AM185="EUR",AA185,IF(AM185="GBP",AB185,1))</x:f>
        <x:v>7.91</x:v>
      </x:c>
      <x:c r="AP185" s="226" t="n">
        <x:f>P185*AN185</x:f>
        <x:v>1720.13637342456</x:v>
      </x:c>
      <x:c r="AQ185" s="226" t="n">
        <x:f>AP185*AO185</x:f>
        <x:v>13606.27871378827</x:v>
      </x:c>
      <x:c r="AR185" s="226" t="str">
        <x:v>EUR</x:v>
      </x:c>
      <x:c r="AS185" s="226" t="n">
        <x:v>3.2448</x:v>
      </x:c>
      <x:c r="AT185" s="226" t="n">
        <x:f>IF(AR185="EUR",AA185,IF(AR185="GBP",AB185,1))</x:f>
        <x:v>7.91</x:v>
      </x:c>
      <x:c r="AU185" s="226" t="n">
        <x:f>T185*AS185</x:f>
        <x:v>620.3635776000001</x:v>
      </x:c>
      <x:c r="AV185" s="226" t="n">
        <x:f>AU185*AT185</x:f>
        <x:v>4907.0758988160005</x:v>
      </x:c>
      <x:c r="AW185" s="226" t="str">
        <x:v>EUR</x:v>
      </x:c>
      <x:c r="AX185" s="226" t="n">
        <x:v>2.3322</x:v>
      </x:c>
      <x:c r="AY185" s="226" t="n">
        <x:f>IF(AW185="EUR",AA185,IF(AW185="GBP",AB185,1))</x:f>
        <x:v>7.91</x:v>
      </x:c>
      <x:c r="AZ185" s="226" t="n">
        <x:f>V185*AX185</x:f>
        <x:v>153.73104503062925</x:v>
      </x:c>
      <x:c r="BA185" s="226" t="n">
        <x:f>AZ185*AY185</x:f>
        <x:v>1216.0125661922773</x:v>
      </x:c>
      <x:c r="BB185" s="226" t="n">
        <x:f>AF185+AG185+AL185+AQ185+AV185+BA185</x:f>
        <x:v>117170.2680811316</x:v>
      </x:c>
      <x:c r="BC185" s="229" t="n">
        <x:v>0.962</x:v>
      </x:c>
      <x:c r="BD185" s="202"/>
      <x:c r="BE185" s="202"/>
      <x:c r="BF185" s="202"/>
      <x:c r="BG185" s="202" t="str">
        <x:v>UNVERIFIED_UNLIMITED_FOR_MVP</x:v>
      </x:c>
    </x:row>
    <x:row r="186">
      <x:c r="A186" s="187" t="str">
        <x:v>ACTUAL_2026_08_CLOSE_V1</x:v>
      </x:c>
      <x:c r="B186" s="187" t="str">
        <x:v>ACTUAL</x:v>
      </x:c>
      <x:c r="C186" s="187"/>
      <x:c r="D186" s="217" t="n">
        <x:v>46204</x:v>
      </x:c>
      <x:c r="E186" s="187" t="str">
        <x:v>R_DE_DE_B_ROAD</x:v>
      </x:c>
      <x:c r="F186" s="187" t="str">
        <x:v>DE</x:v>
      </x:c>
      <x:c r="G186" s="187" t="str">
        <x:v>DE_FC</x:v>
      </x:c>
      <x:c r="H186" s="187" t="str">
        <x:v>CARRIER_B</x:v>
      </x:c>
      <x:c r="I186" s="187" t="str">
        <x:v>ROAD</x:v>
      </x:c>
      <x:c r="J186" s="220" t="n">
        <x:v>18000</x:v>
      </x:c>
      <x:c r="K186" s="223" t="n">
        <x:v>0.365</x:v>
      </x:c>
      <x:c r="L186" s="223" t="n">
        <x:v>0.97</x:v>
      </x:c>
      <x:c r="M186" s="223" t="n">
        <x:v>0.4</x:v>
      </x:c>
      <x:c r="N186" s="226" t="n">
        <x:f>J186*K186*L186*M186</x:f>
        <x:v>2549.16</x:v>
      </x:c>
      <x:c r="O186" s="220" t="n">
        <x:v>1.0563</x:v>
      </x:c>
      <x:c r="P186" s="226" t="n">
        <x:f>N186*O186</x:f>
        <x:v>2692.6777079999997</x:v>
      </x:c>
      <x:c r="Q186" s="220" t="n">
        <x:v>0.804</x:v>
      </x:c>
      <x:c r="R186" s="226" t="n">
        <x:f>P186*Q186</x:f>
        <x:v>2164.912877232</x:v>
      </x:c>
      <x:c r="S186" s="220" t="n">
        <x:v>0.05</x:v>
      </x:c>
      <x:c r="T186" s="226" t="n">
        <x:f>N186*S186</x:f>
        <x:v>127.458</x:v>
      </x:c>
      <x:c r="U186" s="226" t="n">
        <x:v>0.01326</x:v>
      </x:c>
      <x:c r="V186" s="226" t="n">
        <x:f>P186*U186</x:f>
        <x:v>35.70490640807999</x:v>
      </x:c>
      <x:c r="W186" s="196" t="str">
        <x:v>EUR</x:v>
      </x:c>
      <x:c r="X186" s="220" t="n">
        <x:v>2.7885</x:v>
      </x:c>
      <x:c r="Y186" s="196" t="str">
        <x:v>PER_CHARGEABLE_KG</x:v>
      </x:c>
      <x:c r="Z186" s="220" t="n">
        <x:v>0.21294</x:v>
      </x:c>
      <x:c r="AA186" s="220" t="n">
        <x:v>7.91</x:v>
      </x:c>
      <x:c r="AB186" s="220" t="n">
        <x:v>9.18</x:v>
      </x:c>
      <x:c r="AC186" s="226" t="n">
        <x:f>IF(W186="EUR",AA186,IF(W186="GBP",AB186,1))</x:f>
        <x:v>7.91</x:v>
      </x:c>
      <x:c r="AD186" s="226" t="n">
        <x:f>R186*X186</x:f>
        <x:v>6036.859558161432</x:v>
      </x:c>
      <x:c r="AE186" s="226" t="n">
        <x:f>IF(Y186="PERCENTAGE_OF_BASE_FREIGHT",AD186*Z186,IF(Y186="PER_CHARGEABLE_KG",R186*Z186,P186*Z186))</x:f>
        <x:v>460.99654807778205</x:v>
      </x:c>
      <x:c r="AF186" s="226" t="n">
        <x:f>AD186*AC186</x:f>
        <x:v>47751.55910505693</x:v>
      </x:c>
      <x:c r="AG186" s="226" t="n">
        <x:f>AE186*AC186</x:f>
        <x:v>3646.4826952952562</x:v>
      </x:c>
      <x:c r="AH186" s="226" t="str">
        <x:v>EUR</x:v>
      </x:c>
      <x:c r="AI186" s="226" t="n">
        <x:v>1.19652</x:v>
      </x:c>
      <x:c r="AJ186" s="226" t="n">
        <x:f>IF(AH186="EUR",AA186,IF(AH186="GBP",AB186,1))</x:f>
        <x:v>7.91</x:v>
      </x:c>
      <x:c r="AK186" s="226" t="n">
        <x:f>N186*AI186</x:f>
        <x:v>3050.1209232</x:v>
      </x:c>
      <x:c r="AL186" s="226" t="n">
        <x:f>AK186*AJ186</x:f>
        <x:v>24126.456502512003</x:v>
      </x:c>
      <x:c r="AM186" s="226" t="str">
        <x:v>EUR</x:v>
      </x:c>
      <x:c r="AN186" s="226" t="n">
        <x:v>0.42588</x:v>
      </x:c>
      <x:c r="AO186" s="226" t="n">
        <x:f>IF(AM186="EUR",AA186,IF(AM186="GBP",AB186,1))</x:f>
        <x:v>7.91</x:v>
      </x:c>
      <x:c r="AP186" s="226" t="n">
        <x:f>P186*AN186</x:f>
        <x:v>1146.75758228304</x:v>
      </x:c>
      <x:c r="AQ186" s="226" t="n">
        <x:f>AP186*AO186</x:f>
        <x:v>9070.852475858846</x:v>
      </x:c>
      <x:c r="AR186" s="226" t="str">
        <x:v>EUR</x:v>
      </x:c>
      <x:c r="AS186" s="226" t="n">
        <x:v>3.2448</x:v>
      </x:c>
      <x:c r="AT186" s="226" t="n">
        <x:f>IF(AR186="EUR",AA186,IF(AR186="GBP",AB186,1))</x:f>
        <x:v>7.91</x:v>
      </x:c>
      <x:c r="AU186" s="226" t="n">
        <x:f>T186*AS186</x:f>
        <x:v>413.5757184</x:v>
      </x:c>
      <x:c r="AV186" s="226" t="n">
        <x:f>AU186*AT186</x:f>
        <x:v>3271.3839325440003</x:v>
      </x:c>
      <x:c r="AW186" s="226" t="str">
        <x:v>EUR</x:v>
      </x:c>
      <x:c r="AX186" s="226" t="n">
        <x:v>2.3322</x:v>
      </x:c>
      <x:c r="AY186" s="226" t="n">
        <x:f>IF(AW186="EUR",AA186,IF(AW186="GBP",AB186,1))</x:f>
        <x:v>7.91</x:v>
      </x:c>
      <x:c r="AZ186" s="226" t="n">
        <x:f>V186*AX186</x:f>
        <x:v>83.27098272492415</x:v>
      </x:c>
      <x:c r="BA186" s="226" t="n">
        <x:f>AZ186*AY186</x:f>
        <x:v>658.67347335415</x:v>
      </x:c>
      <x:c r="BB186" s="226" t="n">
        <x:f>AF186+AG186+AL186+AQ186+AV186+BA186</x:f>
        <x:v>88525.40818462119</x:v>
      </x:c>
      <x:c r="BC186" s="229" t="n">
        <x:v>0.973</x:v>
      </x:c>
      <x:c r="BD186" s="202"/>
      <x:c r="BE186" s="202"/>
      <x:c r="BF186" s="202"/>
      <x:c r="BG186" s="202" t="str">
        <x:v>UNVERIFIED_UNLIMITED_FOR_MVP</x:v>
      </x:c>
    </x:row>
    <x:row r="187">
      <x:c r="A187" s="187" t="str">
        <x:v>ACTUAL_2026_08_CLOSE_V1</x:v>
      </x:c>
      <x:c r="B187" s="187" t="str">
        <x:v>ACTUAL</x:v>
      </x:c>
      <x:c r="C187" s="187"/>
      <x:c r="D187" s="217" t="n">
        <x:v>46204</x:v>
      </x:c>
      <x:c r="E187" s="187" t="str">
        <x:v>R_DE_FR_B_ROAD</x:v>
      </x:c>
      <x:c r="F187" s="187" t="str">
        <x:v>DE</x:v>
      </x:c>
      <x:c r="G187" s="187" t="str">
        <x:v>FR_FC</x:v>
      </x:c>
      <x:c r="H187" s="187" t="str">
        <x:v>CARRIER_B</x:v>
      </x:c>
      <x:c r="I187" s="187" t="str">
        <x:v>ROAD</x:v>
      </x:c>
      <x:c r="J187" s="220" t="n">
        <x:v>18000</x:v>
      </x:c>
      <x:c r="K187" s="223" t="n">
        <x:v>0.365</x:v>
      </x:c>
      <x:c r="L187" s="223" t="n">
        <x:v>0.03</x:v>
      </x:c>
      <x:c r="M187" s="223" t="n">
        <x:v>1</x:v>
      </x:c>
      <x:c r="N187" s="226" t="n">
        <x:f>J187*K187*L187*M187</x:f>
        <x:v>197.1</x:v>
      </x:c>
      <x:c r="O187" s="220" t="n">
        <x:v>1.08648</x:v>
      </x:c>
      <x:c r="P187" s="226" t="n">
        <x:f>N187*O187</x:f>
        <x:v>214.14520799999997</x:v>
      </x:c>
      <x:c r="Q187" s="220" t="n">
        <x:v>0.8643</x:v>
      </x:c>
      <x:c r="R187" s="226" t="n">
        <x:f>P187*Q187</x:f>
        <x:v>185.08570327439998</x:v>
      </x:c>
      <x:c r="S187" s="220" t="n">
        <x:v>0.05</x:v>
      </x:c>
      <x:c r="T187" s="226" t="n">
        <x:f>N187*S187</x:f>
        <x:v>9.855</x:v>
      </x:c>
      <x:c r="U187" s="226" t="n">
        <x:v>0.01428</x:v>
      </x:c>
      <x:c r="V187" s="226" t="n">
        <x:f>P187*U187</x:f>
        <x:v>3.0579935702399994</x:v>
      </x:c>
      <x:c r="W187" s="196" t="str">
        <x:v>EUR</x:v>
      </x:c>
      <x:c r="X187" s="220" t="n">
        <x:v>3.3462</x:v>
      </x:c>
      <x:c r="Y187" s="196" t="str">
        <x:v>PER_CHARGEABLE_KG</x:v>
      </x:c>
      <x:c r="Z187" s="220" t="n">
        <x:v>0.24336</x:v>
      </x:c>
      <x:c r="AA187" s="220" t="n">
        <x:v>7.91</x:v>
      </x:c>
      <x:c r="AB187" s="220" t="n">
        <x:v>9.18</x:v>
      </x:c>
      <x:c r="AC187" s="226" t="n">
        <x:f>IF(W187="EUR",AA187,IF(W187="GBP",AB187,1))</x:f>
        <x:v>7.91</x:v>
      </x:c>
      <x:c r="AD187" s="226" t="n">
        <x:f>R187*X187</x:f>
        <x:v>619.3337802967972</x:v>
      </x:c>
      <x:c r="AE187" s="226" t="n">
        <x:f>IF(Y187="PERCENTAGE_OF_BASE_FREIGHT",AD187*Z187,IF(Y187="PER_CHARGEABLE_KG",R187*Z187,P187*Z187))</x:f>
        <x:v>45.04245674885798</x:v>
      </x:c>
      <x:c r="AF187" s="226" t="n">
        <x:f>AD187*AC187</x:f>
        <x:v>4898.930202147666</x:v>
      </x:c>
      <x:c r="AG187" s="226" t="n">
        <x:f>AE187*AC187</x:f>
        <x:v>356.28583288346664</x:v>
      </x:c>
      <x:c r="AH187" s="226" t="str">
        <x:v>EUR</x:v>
      </x:c>
      <x:c r="AI187" s="226" t="n">
        <x:v>1.0647</x:v>
      </x:c>
      <x:c r="AJ187" s="226" t="n">
        <x:f>IF(AH187="EUR",AA187,IF(AH187="GBP",AB187,1))</x:f>
        <x:v>7.91</x:v>
      </x:c>
      <x:c r="AK187" s="226" t="n">
        <x:f>N187*AI187</x:f>
        <x:v>209.85236999999998</x:v>
      </x:c>
      <x:c r="AL187" s="226" t="n">
        <x:f>AK187*AJ187</x:f>
        <x:v>1659.9322467</x:v>
      </x:c>
      <x:c r="AM187" s="226" t="str">
        <x:v>EUR</x:v>
      </x:c>
      <x:c r="AN187" s="226" t="n">
        <x:v>0.38532</x:v>
      </x:c>
      <x:c r="AO187" s="226" t="n">
        <x:f>IF(AM187="EUR",AA187,IF(AM187="GBP",AB187,1))</x:f>
        <x:v>7.91</x:v>
      </x:c>
      <x:c r="AP187" s="226" t="n">
        <x:f>P187*AN187</x:f>
        <x:v>82.51443154655999</x:v>
      </x:c>
      <x:c r="AQ187" s="226" t="n">
        <x:f>AP187*AO187</x:f>
        <x:v>652.6891535332895</x:v>
      </x:c>
      <x:c r="AR187" s="226" t="str">
        <x:v>EUR</x:v>
      </x:c>
      <x:c r="AS187" s="226" t="n">
        <x:v>3.8532</x:v>
      </x:c>
      <x:c r="AT187" s="226" t="n">
        <x:f>IF(AR187="EUR",AA187,IF(AR187="GBP",AB187,1))</x:f>
        <x:v>7.91</x:v>
      </x:c>
      <x:c r="AU187" s="226" t="n">
        <x:f>T187*AS187</x:f>
        <x:v>37.973286</x:v>
      </x:c>
      <x:c r="AV187" s="226" t="n">
        <x:f>AU187*AT187</x:f>
        <x:v>300.36869226000005</x:v>
      </x:c>
      <x:c r="AW187" s="226" t="str">
        <x:v>EUR</x:v>
      </x:c>
      <x:c r="AX187" s="226" t="n">
        <x:v>2.3322</x:v>
      </x:c>
      <x:c r="AY187" s="226" t="n">
        <x:f>IF(AW187="EUR",AA187,IF(AW187="GBP",AB187,1))</x:f>
        <x:v>7.91</x:v>
      </x:c>
      <x:c r="AZ187" s="226" t="n">
        <x:f>V187*AX187</x:f>
        <x:v>7.1318526045137265</x:v>
      </x:c>
      <x:c r="BA187" s="226" t="n">
        <x:f>AZ187*AY187</x:f>
        <x:v>56.412954101703576</x:v>
      </x:c>
      <x:c r="BB187" s="226" t="n">
        <x:f>AF187+AG187+AL187+AQ187+AV187+BA187</x:f>
        <x:v>7924.619081626126</x:v>
      </x:c>
      <x:c r="BC187" s="229" t="n">
        <x:v>0.965</x:v>
      </x:c>
      <x:c r="BD187" s="202"/>
      <x:c r="BE187" s="202"/>
      <x:c r="BF187" s="202"/>
      <x:c r="BG187" s="202" t="str">
        <x:v>UNVERIFIED_UNLIMITED_FOR_MVP</x:v>
      </x:c>
    </x:row>
    <x:row r="188">
      <x:c r="A188" s="187" t="str">
        <x:v>ACTUAL_2026_08_CLOSE_V1</x:v>
      </x:c>
      <x:c r="B188" s="187" t="str">
        <x:v>ACTUAL</x:v>
      </x:c>
      <x:c r="C188" s="187"/>
      <x:c r="D188" s="217" t="n">
        <x:v>46204</x:v>
      </x:c>
      <x:c r="E188" s="187" t="str">
        <x:v>R_FR_FR_A_ROAD</x:v>
      </x:c>
      <x:c r="F188" s="187" t="str">
        <x:v>FR</x:v>
      </x:c>
      <x:c r="G188" s="187" t="str">
        <x:v>FR_FC</x:v>
      </x:c>
      <x:c r="H188" s="187" t="str">
        <x:v>CARRIER_A</x:v>
      </x:c>
      <x:c r="I188" s="187" t="str">
        <x:v>ROAD</x:v>
      </x:c>
      <x:c r="J188" s="220" t="n">
        <x:v>18000</x:v>
      </x:c>
      <x:c r="K188" s="223" t="n">
        <x:v>0.305</x:v>
      </x:c>
      <x:c r="L188" s="223" t="n">
        <x:v>1</x:v>
      </x:c>
      <x:c r="M188" s="223" t="n">
        <x:v>0.35</x:v>
      </x:c>
      <x:c r="N188" s="226" t="n">
        <x:f>J188*K188*L188*M188</x:f>
        <x:v>1921.4999999999998</x:v>
      </x:c>
      <x:c r="O188" s="220" t="n">
        <x:v>1.06636</x:v>
      </x:c>
      <x:c r="P188" s="226" t="n">
        <x:f>N188*O188</x:f>
        <x:v>2049.0107399999997</x:v>
      </x:c>
      <x:c r="Q188" s="220" t="n">
        <x:v>0.7638</x:v>
      </x:c>
      <x:c r="R188" s="226" t="n">
        <x:f>P188*Q188</x:f>
        <x:v>1565.034403212</x:v>
      </x:c>
      <x:c r="S188" s="220" t="n">
        <x:v>0.06</x:v>
      </x:c>
      <x:c r="T188" s="226" t="n">
        <x:f>N188*S188</x:f>
        <x:v>115.28999999999998</x:v>
      </x:c>
      <x:c r="U188" s="226" t="n">
        <x:v>0.01734</x:v>
      </x:c>
      <x:c r="V188" s="226" t="n">
        <x:f>P188*U188</x:f>
        <x:v>35.5298462316</x:v>
      </x:c>
      <x:c r="W188" s="196" t="str">
        <x:v>EUR</x:v>
      </x:c>
      <x:c r="X188" s="220" t="n">
        <x:v>2.1294</x:v>
      </x:c>
      <x:c r="Y188" s="196" t="str">
        <x:v>PERCENTAGE_OF_BASE_FREIGHT</x:v>
      </x:c>
      <x:c r="Z188" s="220" t="n">
        <x:v>0.09126</x:v>
      </x:c>
      <x:c r="AA188" s="220" t="n">
        <x:v>7.91</x:v>
      </x:c>
      <x:c r="AB188" s="220" t="n">
        <x:v>9.18</x:v>
      </x:c>
      <x:c r="AC188" s="226" t="n">
        <x:f>IF(W188="EUR",AA188,IF(W188="GBP",AB188,1))</x:f>
        <x:v>7.91</x:v>
      </x:c>
      <x:c r="AD188" s="226" t="n">
        <x:f>R188*X188</x:f>
        <x:v>3332.5842581996326</x:v>
      </x:c>
      <x:c r="AE188" s="226" t="n">
        <x:f>IF(Y188="PERCENTAGE_OF_BASE_FREIGHT",AD188*Z188,IF(Y188="PER_CHARGEABLE_KG",R188*Z188,P188*Z188))</x:f>
        <x:v>304.13163940329844</x:v>
      </x:c>
      <x:c r="AF188" s="226" t="n">
        <x:f>AD188*AC188</x:f>
        <x:v>26360.741482359095</x:v>
      </x:c>
      <x:c r="AG188" s="226" t="n">
        <x:f>AE188*AC188</x:f>
        <x:v>2405.6812676800905</x:v>
      </x:c>
      <x:c r="AH188" s="226" t="str">
        <x:v>EUR</x:v>
      </x:c>
      <x:c r="AI188" s="226" t="n">
        <x:v>1.0647</x:v>
      </x:c>
      <x:c r="AJ188" s="226" t="n">
        <x:f>IF(AH188="EUR",AA188,IF(AH188="GBP",AB188,1))</x:f>
        <x:v>7.91</x:v>
      </x:c>
      <x:c r="AK188" s="226" t="n">
        <x:f>N188*AI188</x:f>
        <x:v>2045.8210499999998</x:v>
      </x:c>
      <x:c r="AL188" s="226" t="n">
        <x:f>AK188*AJ188</x:f>
        <x:v>16182.444505499998</x:v>
      </x:c>
      <x:c r="AM188" s="226" t="str">
        <x:v>EUR</x:v>
      </x:c>
      <x:c r="AN188" s="226" t="n">
        <x:v>0.38532</x:v>
      </x:c>
      <x:c r="AO188" s="226" t="n">
        <x:f>IF(AM188="EUR",AA188,IF(AM188="GBP",AB188,1))</x:f>
        <x:v>7.91</x:v>
      </x:c>
      <x:c r="AP188" s="226" t="n">
        <x:f>P188*AN188</x:f>
        <x:v>789.5248183367999</x:v>
      </x:c>
      <x:c r="AQ188" s="226" t="n">
        <x:f>AP188*AO188</x:f>
        <x:v>6245.141313044087</x:v>
      </x:c>
      <x:c r="AR188" s="226" t="str">
        <x:v>EUR</x:v>
      </x:c>
      <x:c r="AS188" s="226" t="n">
        <x:v>3.042</x:v>
      </x:c>
      <x:c r="AT188" s="226" t="n">
        <x:f>IF(AR188="EUR",AA188,IF(AR188="GBP",AB188,1))</x:f>
        <x:v>7.91</x:v>
      </x:c>
      <x:c r="AU188" s="226" t="n">
        <x:f>T188*AS188</x:f>
        <x:v>350.71217999999993</x:v>
      </x:c>
      <x:c r="AV188" s="226" t="n">
        <x:f>AU188*AT188</x:f>
        <x:v>2774.1333437999997</x:v>
      </x:c>
      <x:c r="AW188" s="226" t="str">
        <x:v>EUR</x:v>
      </x:c>
      <x:c r="AX188" s="226" t="n">
        <x:v>2.3322</x:v>
      </x:c>
      <x:c r="AY188" s="226" t="n">
        <x:f>IF(AW188="EUR",AA188,IF(AW188="GBP",AB188,1))</x:f>
        <x:v>7.91</x:v>
      </x:c>
      <x:c r="AZ188" s="226" t="n">
        <x:f>V188*AX188</x:f>
        <x:v>82.8627073813375</x:v>
      </x:c>
      <x:c r="BA188" s="226" t="n">
        <x:f>AZ188*AY188</x:f>
        <x:v>655.4440153863796</x:v>
      </x:c>
      <x:c r="BB188" s="226" t="n">
        <x:f>AF188+AG188+AL188+AQ188+AV188+BA188</x:f>
        <x:v>54623.58592776964</x:v>
      </x:c>
      <x:c r="BC188" s="229" t="n">
        <x:v>0.958</x:v>
      </x:c>
      <x:c r="BD188" s="202"/>
      <x:c r="BE188" s="202"/>
      <x:c r="BF188" s="202"/>
      <x:c r="BG188" s="202" t="str">
        <x:v>UNVERIFIED_UNLIMITED_FOR_MVP</x:v>
      </x:c>
    </x:row>
    <x:row r="189">
      <x:c r="A189" s="187" t="str">
        <x:v>ACTUAL_2026_08_CLOSE_V1</x:v>
      </x:c>
      <x:c r="B189" s="187" t="str">
        <x:v>ACTUAL</x:v>
      </x:c>
      <x:c r="C189" s="187"/>
      <x:c r="D189" s="217" t="n">
        <x:v>46204</x:v>
      </x:c>
      <x:c r="E189" s="187" t="str">
        <x:v>R_FR_FR_B_ROAD</x:v>
      </x:c>
      <x:c r="F189" s="187" t="str">
        <x:v>FR</x:v>
      </x:c>
      <x:c r="G189" s="187" t="str">
        <x:v>FR_FC</x:v>
      </x:c>
      <x:c r="H189" s="187" t="str">
        <x:v>CARRIER_B</x:v>
      </x:c>
      <x:c r="I189" s="187" t="str">
        <x:v>ROAD</x:v>
      </x:c>
      <x:c r="J189" s="220" t="n">
        <x:v>18000</x:v>
      </x:c>
      <x:c r="K189" s="223" t="n">
        <x:v>0.305</x:v>
      </x:c>
      <x:c r="L189" s="223" t="n">
        <x:v>1</x:v>
      </x:c>
      <x:c r="M189" s="223" t="n">
        <x:v>0.65</x:v>
      </x:c>
      <x:c r="N189" s="226" t="n">
        <x:f>J189*K189*L189*M189</x:f>
        <x:v>3568.5</x:v>
      </x:c>
      <x:c r="O189" s="220" t="n">
        <x:v>1.06636</x:v>
      </x:c>
      <x:c r="P189" s="226" t="n">
        <x:f>N189*O189</x:f>
        <x:v>3805.30566</x:v>
      </x:c>
      <x:c r="Q189" s="220" t="n">
        <x:v>0.79395</x:v>
      </x:c>
      <x:c r="R189" s="226" t="n">
        <x:f>P189*Q189</x:f>
        <x:v>3021.222428757</x:v>
      </x:c>
      <x:c r="S189" s="220" t="n">
        <x:v>0.06</x:v>
      </x:c>
      <x:c r="T189" s="226" t="n">
        <x:f>N189*S189</x:f>
        <x:v>214.10999999999999</x:v>
      </x:c>
      <x:c r="U189" s="226" t="n">
        <x:v>0.01428</x:v>
      </x:c>
      <x:c r="V189" s="226" t="n">
        <x:f>P189*U189</x:f>
        <x:v>54.3397648248</x:v>
      </x:c>
      <x:c r="W189" s="196" t="str">
        <x:v>EUR</x:v>
      </x:c>
      <x:c r="X189" s="220" t="n">
        <x:v>2.6364</x:v>
      </x:c>
      <x:c r="Y189" s="196" t="str">
        <x:v>PER_CHARGEABLE_KG</x:v>
      </x:c>
      <x:c r="Z189" s="220" t="n">
        <x:v>0.2028</x:v>
      </x:c>
      <x:c r="AA189" s="220" t="n">
        <x:v>7.91</x:v>
      </x:c>
      <x:c r="AB189" s="220" t="n">
        <x:v>9.18</x:v>
      </x:c>
      <x:c r="AC189" s="226" t="n">
        <x:f>IF(W189="EUR",AA189,IF(W189="GBP",AB189,1))</x:f>
        <x:v>7.91</x:v>
      </x:c>
      <x:c r="AD189" s="226" t="n">
        <x:f>R189*X189</x:f>
        <x:v>7965.150811174955</x:v>
      </x:c>
      <x:c r="AE189" s="226" t="n">
        <x:f>IF(Y189="PERCENTAGE_OF_BASE_FREIGHT",AD189*Z189,IF(Y189="PER_CHARGEABLE_KG",R189*Z189,P189*Z189))</x:f>
        <x:v>612.7039085519197</x:v>
      </x:c>
      <x:c r="AF189" s="226" t="n">
        <x:f>AD189*AC189</x:f>
        <x:v>63004.3429163939</x:v>
      </x:c>
      <x:c r="AG189" s="226" t="n">
        <x:f>AE189*AC189</x:f>
        <x:v>4846.487916645685</x:v>
      </x:c>
      <x:c r="AH189" s="226" t="str">
        <x:v>EUR</x:v>
      </x:c>
      <x:c r="AI189" s="226" t="n">
        <x:v>1.0647</x:v>
      </x:c>
      <x:c r="AJ189" s="226" t="n">
        <x:f>IF(AH189="EUR",AA189,IF(AH189="GBP",AB189,1))</x:f>
        <x:v>7.91</x:v>
      </x:c>
      <x:c r="AK189" s="226" t="n">
        <x:f>N189*AI189</x:f>
        <x:v>3799.38195</x:v>
      </x:c>
      <x:c r="AL189" s="226" t="n">
        <x:f>AK189*AJ189</x:f>
        <x:v>30053.1112245</x:v>
      </x:c>
      <x:c r="AM189" s="226" t="str">
        <x:v>EUR</x:v>
      </x:c>
      <x:c r="AN189" s="226" t="n">
        <x:v>0.38532</x:v>
      </x:c>
      <x:c r="AO189" s="226" t="n">
        <x:f>IF(AM189="EUR",AA189,IF(AM189="GBP",AB189,1))</x:f>
        <x:v>7.91</x:v>
      </x:c>
      <x:c r="AP189" s="226" t="n">
        <x:f>P189*AN189</x:f>
        <x:v>1466.2603769112</x:v>
      </x:c>
      <x:c r="AQ189" s="226" t="n">
        <x:f>AP189*AO189</x:f>
        <x:v>11598.119581367591</x:v>
      </x:c>
      <x:c r="AR189" s="226" t="str">
        <x:v>EUR</x:v>
      </x:c>
      <x:c r="AS189" s="226" t="n">
        <x:v>3.042</x:v>
      </x:c>
      <x:c r="AT189" s="226" t="n">
        <x:f>IF(AR189="EUR",AA189,IF(AR189="GBP",AB189,1))</x:f>
        <x:v>7.91</x:v>
      </x:c>
      <x:c r="AU189" s="226" t="n">
        <x:f>T189*AS189</x:f>
        <x:v>651.3226199999999</x:v>
      </x:c>
      <x:c r="AV189" s="226" t="n">
        <x:f>AU189*AT189</x:f>
        <x:v>5151.961924199999</x:v>
      </x:c>
      <x:c r="AW189" s="226" t="str">
        <x:v>EUR</x:v>
      </x:c>
      <x:c r="AX189" s="226" t="n">
        <x:v>2.3322</x:v>
      </x:c>
      <x:c r="AY189" s="226" t="n">
        <x:f>IF(AW189="EUR",AA189,IF(AW189="GBP",AB189,1))</x:f>
        <x:v>7.91</x:v>
      </x:c>
      <x:c r="AZ189" s="226" t="n">
        <x:f>V189*AX189</x:f>
        <x:v>126.73119952439855</x:v>
      </x:c>
      <x:c r="BA189" s="226" t="n">
        <x:f>AZ189*AY189</x:f>
        <x:v>1002.4437882379925</x:v>
      </x:c>
      <x:c r="BB189" s="226" t="n">
        <x:f>AF189+AG189+AL189+AQ189+AV189+BA189</x:f>
        <x:v>115656.46735134516</x:v>
      </x:c>
      <x:c r="BC189" s="229" t="n">
        <x:v>0.97</x:v>
      </x:c>
      <x:c r="BD189" s="202"/>
      <x:c r="BE189" s="202"/>
      <x:c r="BF189" s="202"/>
      <x:c r="BG189" s="202" t="str">
        <x:v>UNVERIFIED_UNLIMITED_FOR_MVP</x:v>
      </x:c>
    </x:row>
    <x:row r="190">
      <x:c r="A190" s="187" t="str">
        <x:v>ACTUAL_2026_08_CLOSE_V1</x:v>
      </x:c>
      <x:c r="B190" s="187" t="str">
        <x:v>ACTUAL</x:v>
      </x:c>
      <x:c r="C190" s="187"/>
      <x:c r="D190" s="217" t="n">
        <x:v>46204</x:v>
      </x:c>
      <x:c r="E190" s="187" t="str">
        <x:v>R_GB_DE_A_ROAD</x:v>
      </x:c>
      <x:c r="F190" s="187" t="str">
        <x:v>GB</x:v>
      </x:c>
      <x:c r="G190" s="187" t="str">
        <x:v>DE_FC</x:v>
      </x:c>
      <x:c r="H190" s="187" t="str">
        <x:v>CARRIER_A</x:v>
      </x:c>
      <x:c r="I190" s="187" t="str">
        <x:v>ROAD</x:v>
      </x:c>
      <x:c r="J190" s="220" t="n">
        <x:v>18000</x:v>
      </x:c>
      <x:c r="K190" s="223" t="n">
        <x:v>0.33</x:v>
      </x:c>
      <x:c r="L190" s="223" t="n">
        <x:v>0.96</x:v>
      </x:c>
      <x:c r="M190" s="223" t="n">
        <x:v>0.57</x:v>
      </x:c>
      <x:c r="N190" s="226" t="n">
        <x:f>J190*K190*L190*M190</x:f>
        <x:v>3250.3679999999995</x:v>
      </x:c>
      <x:c r="O190" s="220" t="n">
        <x:v>1.12672</x:v>
      </x:c>
      <x:c r="P190" s="226" t="n">
        <x:f>N190*O190</x:f>
        <x:v>3662.254632959999</x:v>
      </x:c>
      <x:c r="Q190" s="220" t="n">
        <x:v>1.0251</x:v>
      </x:c>
      <x:c r="R190" s="226" t="n">
        <x:f>P190*Q190</x:f>
        <x:v>3754.177224247295</x:v>
      </x:c>
      <x:c r="S190" s="220" t="n">
        <x:v>0.08</x:v>
      </x:c>
      <x:c r="T190" s="226" t="n">
        <x:f>N190*S190</x:f>
        <x:v>260.02943999999997</x:v>
      </x:c>
      <x:c r="U190" s="226" t="n">
        <x:v>0.02244</x:v>
      </x:c>
      <x:c r="V190" s="226" t="n">
        <x:f>P190*U190</x:f>
        <x:v>82.18099396362238</x:v>
      </x:c>
      <x:c r="W190" s="196" t="str">
        <x:v>GBP</x:v>
      </x:c>
      <x:c r="X190" s="220" t="n">
        <x:v>4.056</x:v>
      </x:c>
      <x:c r="Y190" s="196" t="str">
        <x:v>PERCENTAGE_OF_BASE_FREIGHT</x:v>
      </x:c>
      <x:c r="Z190" s="220" t="n">
        <x:v>0.1014</x:v>
      </x:c>
      <x:c r="AA190" s="220" t="n">
        <x:v>7.91</x:v>
      </x:c>
      <x:c r="AB190" s="220" t="n">
        <x:v>9.18</x:v>
      </x:c>
      <x:c r="AC190" s="226" t="n">
        <x:f>IF(W190="EUR",AA190,IF(W190="GBP",AB190,1))</x:f>
        <x:v>9.18</x:v>
      </x:c>
      <x:c r="AD190" s="226" t="n">
        <x:f>R190*X190</x:f>
        <x:v>15226.942821547029</x:v>
      </x:c>
      <x:c r="AE190" s="226" t="n">
        <x:f>IF(Y190="PERCENTAGE_OF_BASE_FREIGHT",AD190*Z190,IF(Y190="PER_CHARGEABLE_KG",R190*Z190,P190*Z190))</x:f>
        <x:v>1544.0120021048688</x:v>
      </x:c>
      <x:c r="AF190" s="226" t="n">
        <x:f>AD190*AC190</x:f>
        <x:v>139783.33510180173</x:v>
      </x:c>
      <x:c r="AG190" s="226" t="n">
        <x:f>AE190*AC190</x:f>
        <x:v>14174.030179322695</x:v>
      </x:c>
      <x:c r="AH190" s="226" t="str">
        <x:v>EUR</x:v>
      </x:c>
      <x:c r="AI190" s="226" t="n">
        <x:v>1.19652</x:v>
      </x:c>
      <x:c r="AJ190" s="226" t="n">
        <x:f>IF(AH190="EUR",AA190,IF(AH190="GBP",AB190,1))</x:f>
        <x:v>7.91</x:v>
      </x:c>
      <x:c r="AK190" s="226" t="n">
        <x:f>N190*AI190</x:f>
        <x:v>3889.1303193599992</x:v>
      </x:c>
      <x:c r="AL190" s="226" t="n">
        <x:f>AK190*AJ190</x:f>
        <x:v>30763.020826137596</x:v>
      </x:c>
      <x:c r="AM190" s="226" t="str">
        <x:v>EUR</x:v>
      </x:c>
      <x:c r="AN190" s="226" t="n">
        <x:v>0.42588</x:v>
      </x:c>
      <x:c r="AO190" s="226" t="n">
        <x:f>IF(AM190="EUR",AA190,IF(AM190="GBP",AB190,1))</x:f>
        <x:v>7.91</x:v>
      </x:c>
      <x:c r="AP190" s="226" t="n">
        <x:f>P190*AN190</x:f>
        <x:v>1559.6810030850042</x:v>
      </x:c>
      <x:c r="AQ190" s="226" t="n">
        <x:f>AP190*AO190</x:f>
        <x:v>12337.076734402384</x:v>
      </x:c>
      <x:c r="AR190" s="226" t="str">
        <x:v>GBP</x:v>
      </x:c>
      <x:c r="AS190" s="226" t="n">
        <x:v>4.8672</x:v>
      </x:c>
      <x:c r="AT190" s="226" t="n">
        <x:f>IF(AR190="EUR",AA190,IF(AR190="GBP",AB190,1))</x:f>
        <x:v>9.18</x:v>
      </x:c>
      <x:c r="AU190" s="226" t="n">
        <x:f>T190*AS190</x:f>
        <x:v>1265.615290368</x:v>
      </x:c>
      <x:c r="AV190" s="226" t="n">
        <x:f>AU190*AT190</x:f>
        <x:v>11618.348365578238</x:v>
      </x:c>
      <x:c r="AW190" s="226" t="str">
        <x:v>GBP</x:v>
      </x:c>
      <x:c r="AX190" s="226" t="n">
        <x:v>2.3322</x:v>
      </x:c>
      <x:c r="AY190" s="226" t="n">
        <x:f>IF(AW190="EUR",AA190,IF(AW190="GBP",AB190,1))</x:f>
        <x:v>9.18</x:v>
      </x:c>
      <x:c r="AZ190" s="226" t="n">
        <x:f>V190*AX190</x:f>
        <x:v>191.6625141219601</x:v>
      </x:c>
      <x:c r="BA190" s="226" t="n">
        <x:f>AZ190*AY190</x:f>
        <x:v>1759.4618796395937</x:v>
      </x:c>
      <x:c r="BB190" s="226" t="n">
        <x:f>AF190+AG190+AL190+AQ190+AV190+BA190</x:f>
        <x:v>210435.27308688225</x:v>
      </x:c>
      <x:c r="BC190" s="229" t="n">
        <x:v>0.927</x:v>
      </x:c>
      <x:c r="BD190" s="202"/>
      <x:c r="BE190" s="202"/>
      <x:c r="BF190" s="202"/>
      <x:c r="BG190" s="202" t="str">
        <x:v>UNVERIFIED_UNLIMITED_FOR_MVP</x:v>
      </x:c>
    </x:row>
    <x:row r="191">
      <x:c r="A191" s="187" t="str">
        <x:v>ACTUAL_2026_08_CLOSE_V1</x:v>
      </x:c>
      <x:c r="B191" s="187" t="str">
        <x:v>ACTUAL</x:v>
      </x:c>
      <x:c r="C191" s="187"/>
      <x:c r="D191" s="217" t="n">
        <x:v>46204</x:v>
      </x:c>
      <x:c r="E191" s="187" t="str">
        <x:v>R_GB_DE_B_ROAD</x:v>
      </x:c>
      <x:c r="F191" s="187" t="str">
        <x:v>GB</x:v>
      </x:c>
      <x:c r="G191" s="187" t="str">
        <x:v>DE_FC</x:v>
      </x:c>
      <x:c r="H191" s="187" t="str">
        <x:v>CARRIER_B</x:v>
      </x:c>
      <x:c r="I191" s="187" t="str">
        <x:v>ROAD</x:v>
      </x:c>
      <x:c r="J191" s="220" t="n">
        <x:v>18000</x:v>
      </x:c>
      <x:c r="K191" s="223" t="n">
        <x:v>0.33</x:v>
      </x:c>
      <x:c r="L191" s="223" t="n">
        <x:v>0.96</x:v>
      </x:c>
      <x:c r="M191" s="223" t="n">
        <x:v>0.26</x:v>
      </x:c>
      <x:c r="N191" s="226" t="n">
        <x:f>J191*K191*L191*M191</x:f>
        <x:v>1482.624</x:v>
      </x:c>
      <x:c r="O191" s="220" t="n">
        <x:v>1.12672</x:v>
      </x:c>
      <x:c r="P191" s="226" t="n">
        <x:f>N191*O191</x:f>
        <x:v>1670.50211328</x:v>
      </x:c>
      <x:c r="Q191" s="220" t="n">
        <x:v>1.005</x:v>
      </x:c>
      <x:c r="R191" s="226" t="n">
        <x:f>P191*Q191</x:f>
        <x:v>1678.8546238463998</x:v>
      </x:c>
      <x:c r="S191" s="220" t="n">
        <x:v>0.08</x:v>
      </x:c>
      <x:c r="T191" s="226" t="n">
        <x:f>N191*S191</x:f>
        <x:v>118.60992</x:v>
      </x:c>
      <x:c r="U191" s="226" t="n">
        <x:v>0.01734</x:v>
      </x:c>
      <x:c r="V191" s="226" t="n">
        <x:f>P191*U191</x:f>
        <x:v>28.966506644275203</x:v>
      </x:c>
      <x:c r="W191" s="196" t="str">
        <x:v>GBP</x:v>
      </x:c>
      <x:c r="X191" s="220" t="n">
        <x:v>4.7658</x:v>
      </x:c>
      <x:c r="Y191" s="196" t="str">
        <x:v>PER_CHARGEABLE_KG</x:v>
      </x:c>
      <x:c r="Z191" s="220" t="n">
        <x:v>0.33462</x:v>
      </x:c>
      <x:c r="AA191" s="220" t="n">
        <x:v>7.91</x:v>
      </x:c>
      <x:c r="AB191" s="220" t="n">
        <x:v>9.18</x:v>
      </x:c>
      <x:c r="AC191" s="226" t="n">
        <x:f>IF(W191="EUR",AA191,IF(W191="GBP",AB191,1))</x:f>
        <x:v>9.18</x:v>
      </x:c>
      <x:c r="AD191" s="226" t="n">
        <x:f>R191*X191</x:f>
        <x:v>8001.085366327172</x:v>
      </x:c>
      <x:c r="AE191" s="226" t="n">
        <x:f>IF(Y191="PERCENTAGE_OF_BASE_FREIGHT",AD191*Z191,IF(Y191="PER_CHARGEABLE_KG",R191*Z191,P191*Z191))</x:f>
        <x:v>561.7783342314823</x:v>
      </x:c>
      <x:c r="AF191" s="226" t="n">
        <x:f>AD191*AC191</x:f>
        <x:v>73449.96366288344</x:v>
      </x:c>
      <x:c r="AG191" s="226" t="n">
        <x:f>AE191*AC191</x:f>
        <x:v>5157.125108245007</x:v>
      </x:c>
      <x:c r="AH191" s="226" t="str">
        <x:v>EUR</x:v>
      </x:c>
      <x:c r="AI191" s="226" t="n">
        <x:v>1.19652</x:v>
      </x:c>
      <x:c r="AJ191" s="226" t="n">
        <x:f>IF(AH191="EUR",AA191,IF(AH191="GBP",AB191,1))</x:f>
        <x:v>7.91</x:v>
      </x:c>
      <x:c r="AK191" s="226" t="n">
        <x:f>N191*AI191</x:f>
        <x:v>1773.98926848</x:v>
      </x:c>
      <x:c r="AL191" s="226" t="n">
        <x:f>AK191*AJ191</x:f>
        <x:v>14032.2551136768</x:v>
      </x:c>
      <x:c r="AM191" s="226" t="str">
        <x:v>EUR</x:v>
      </x:c>
      <x:c r="AN191" s="226" t="n">
        <x:v>0.42588</x:v>
      </x:c>
      <x:c r="AO191" s="226" t="n">
        <x:f>IF(AM191="EUR",AA191,IF(AM191="GBP",AB191,1))</x:f>
        <x:v>7.91</x:v>
      </x:c>
      <x:c r="AP191" s="226" t="n">
        <x:f>P191*AN191</x:f>
        <x:v>711.4334400036863</x:v>
      </x:c>
      <x:c r="AQ191" s="226" t="n">
        <x:f>AP191*AO191</x:f>
        <x:v>5627.438510429159</x:v>
      </x:c>
      <x:c r="AR191" s="226" t="str">
        <x:v>GBP</x:v>
      </x:c>
      <x:c r="AS191" s="226" t="n">
        <x:v>4.8672</x:v>
      </x:c>
      <x:c r="AT191" s="226" t="n">
        <x:f>IF(AR191="EUR",AA191,IF(AR191="GBP",AB191,1))</x:f>
        <x:v>9.18</x:v>
      </x:c>
      <x:c r="AU191" s="226" t="n">
        <x:f>T191*AS191</x:f>
        <x:v>577.298202624</x:v>
      </x:c>
      <x:c r="AV191" s="226" t="n">
        <x:f>AU191*AT191</x:f>
        <x:v>5299.59750008832</x:v>
      </x:c>
      <x:c r="AW191" s="226" t="str">
        <x:v>GBP</x:v>
      </x:c>
      <x:c r="AX191" s="226" t="n">
        <x:v>2.3322</x:v>
      </x:c>
      <x:c r="AY191" s="226" t="n">
        <x:f>IF(AW191="EUR",AA191,IF(AW191="GBP",AB191,1))</x:f>
        <x:v>9.18</x:v>
      </x:c>
      <x:c r="AZ191" s="226" t="n">
        <x:f>V191*AX191</x:f>
        <x:v>67.55568679577863</x:v>
      </x:c>
      <x:c r="BA191" s="226" t="n">
        <x:f>AZ191*AY191</x:f>
        <x:v>620.1612047852477</x:v>
      </x:c>
      <x:c r="BB191" s="226" t="n">
        <x:f>AF191+AG191+AL191+AQ191+AV191+BA191</x:f>
        <x:v>104186.54110010798</x:v>
      </x:c>
      <x:c r="BC191" s="229" t="n">
        <x:v>0.947</x:v>
      </x:c>
      <x:c r="BD191" s="202"/>
      <x:c r="BE191" s="202"/>
      <x:c r="BF191" s="202"/>
      <x:c r="BG191" s="202" t="str">
        <x:v>UNVERIFIED_UNLIMITED_FOR_MVP</x:v>
      </x:c>
    </x:row>
    <x:row r="192">
      <x:c r="A192" s="187" t="str">
        <x:v>ACTUAL_2026_08_CLOSE_V1</x:v>
      </x:c>
      <x:c r="B192" s="187" t="str">
        <x:v>ACTUAL</x:v>
      </x:c>
      <x:c r="C192" s="187"/>
      <x:c r="D192" s="217" t="n">
        <x:v>46204</x:v>
      </x:c>
      <x:c r="E192" s="187" t="str">
        <x:v>R_GB_DE_B_AIR</x:v>
      </x:c>
      <x:c r="F192" s="187" t="str">
        <x:v>GB</x:v>
      </x:c>
      <x:c r="G192" s="187" t="str">
        <x:v>DE_FC</x:v>
      </x:c>
      <x:c r="H192" s="187" t="str">
        <x:v>CARRIER_B</x:v>
      </x:c>
      <x:c r="I192" s="187" t="str">
        <x:v>AIR</x:v>
      </x:c>
      <x:c r="J192" s="220" t="n">
        <x:v>18000</x:v>
      </x:c>
      <x:c r="K192" s="223" t="n">
        <x:v>0.33</x:v>
      </x:c>
      <x:c r="L192" s="223" t="n">
        <x:v>0.96</x:v>
      </x:c>
      <x:c r="M192" s="223" t="n">
        <x:v>0.11</x:v>
      </x:c>
      <x:c r="N192" s="226" t="n">
        <x:f>J192*K192*L192*M192</x:f>
        <x:v>627.264</x:v>
      </x:c>
      <x:c r="O192" s="220" t="n">
        <x:v>1.12672</x:v>
      </x:c>
      <x:c r="P192" s="226" t="n">
        <x:f>N192*O192</x:f>
        <x:v>706.75089408</x:v>
      </x:c>
      <x:c r="Q192" s="220" t="n">
        <x:v>0.9447</x:v>
      </x:c>
      <x:c r="R192" s="226" t="n">
        <x:f>P192*Q192</x:f>
        <x:v>667.667569637376</x:v>
      </x:c>
      <x:c r="S192" s="220" t="n">
        <x:v>0.08</x:v>
      </x:c>
      <x:c r="T192" s="226" t="n">
        <x:f>N192*S192</x:f>
        <x:v>50.18112</x:v>
      </x:c>
      <x:c r="U192" s="226" t="n">
        <x:v>0.01326</x:v>
      </x:c>
      <x:c r="V192" s="226" t="n">
        <x:f>P192*U192</x:f>
        <x:v>9.371516855500799</x:v>
      </x:c>
      <x:c r="W192" s="196" t="str">
        <x:v>GBP</x:v>
      </x:c>
      <x:c r="X192" s="220" t="n">
        <x:v>6.2868</x:v>
      </x:c>
      <x:c r="Y192" s="196" t="str">
        <x:v>PERCENTAGE_OF_BASE_FREIGHT</x:v>
      </x:c>
      <x:c r="Z192" s="220" t="n">
        <x:v>0.11661</x:v>
      </x:c>
      <x:c r="AA192" s="220" t="n">
        <x:v>7.91</x:v>
      </x:c>
      <x:c r="AB192" s="220" t="n">
        <x:v>9.18</x:v>
      </x:c>
      <x:c r="AC192" s="226" t="n">
        <x:f>IF(W192="EUR",AA192,IF(W192="GBP",AB192,1))</x:f>
        <x:v>9.18</x:v>
      </x:c>
      <x:c r="AD192" s="226" t="n">
        <x:f>R192*X192</x:f>
        <x:v>4197.492476796256</x:v>
      </x:c>
      <x:c r="AE192" s="226" t="n">
        <x:f>IF(Y192="PERCENTAGE_OF_BASE_FREIGHT",AD192*Z192,IF(Y192="PER_CHARGEABLE_KG",R192*Z192,P192*Z192))</x:f>
        <x:v>489.4695977192114</x:v>
      </x:c>
      <x:c r="AF192" s="226" t="n">
        <x:f>AD192*AC192</x:f>
        <x:v>38532.980936989625</x:v>
      </x:c>
      <x:c r="AG192" s="226" t="n">
        <x:f>AE192*AC192</x:f>
        <x:v>4493.33090706236</x:v>
      </x:c>
      <x:c r="AH192" s="226" t="str">
        <x:v>EUR</x:v>
      </x:c>
      <x:c r="AI192" s="226" t="n">
        <x:v>1.19652</x:v>
      </x:c>
      <x:c r="AJ192" s="226" t="n">
        <x:f>IF(AH192="EUR",AA192,IF(AH192="GBP",AB192,1))</x:f>
        <x:v>7.91</x:v>
      </x:c>
      <x:c r="AK192" s="226" t="n">
        <x:f>N192*AI192</x:f>
        <x:v>750.5339212800001</x:v>
      </x:c>
      <x:c r="AL192" s="226" t="n">
        <x:f>AK192*AJ192</x:f>
        <x:v>5936.7233173248005</x:v>
      </x:c>
      <x:c r="AM192" s="226" t="str">
        <x:v>EUR</x:v>
      </x:c>
      <x:c r="AN192" s="226" t="n">
        <x:v>0.42588</x:v>
      </x:c>
      <x:c r="AO192" s="226" t="n">
        <x:f>IF(AM192="EUR",AA192,IF(AM192="GBP",AB192,1))</x:f>
        <x:v>7.91</x:v>
      </x:c>
      <x:c r="AP192" s="226" t="n">
        <x:f>P192*AN192</x:f>
        <x:v>300.9910707707904</x:v>
      </x:c>
      <x:c r="AQ192" s="226" t="n">
        <x:f>AP192*AO192</x:f>
        <x:v>2380.839369796952</x:v>
      </x:c>
      <x:c r="AR192" s="226" t="str">
        <x:v>GBP</x:v>
      </x:c>
      <x:c r="AS192" s="226" t="n">
        <x:v>4.8672</x:v>
      </x:c>
      <x:c r="AT192" s="226" t="n">
        <x:f>IF(AR192="EUR",AA192,IF(AR192="GBP",AB192,1))</x:f>
        <x:v>9.18</x:v>
      </x:c>
      <x:c r="AU192" s="226" t="n">
        <x:f>T192*AS192</x:f>
        <x:v>244.24154726400002</x:v>
      </x:c>
      <x:c r="AV192" s="226" t="n">
        <x:f>AU192*AT192</x:f>
        <x:v>2242.13740388352</x:v>
      </x:c>
      <x:c r="AW192" s="226" t="str">
        <x:v>GBP</x:v>
      </x:c>
      <x:c r="AX192" s="226" t="n">
        <x:v>2.8392</x:v>
      </x:c>
      <x:c r="AY192" s="226" t="n">
        <x:f>IF(AW192="EUR",AA192,IF(AW192="GBP",AB192,1))</x:f>
        <x:v>9.18</x:v>
      </x:c>
      <x:c r="AZ192" s="226" t="n">
        <x:f>V192*AX192</x:f>
        <x:v>26.60761065613787</x:v>
      </x:c>
      <x:c r="BA192" s="226" t="n">
        <x:f>AZ192*AY192</x:f>
        <x:v>244.25786582334564</x:v>
      </x:c>
      <x:c r="BB192" s="226" t="n">
        <x:f>AF192+AG192+AL192+AQ192+AV192+BA192</x:f>
        <x:v>53830.269800880604</x:v>
      </x:c>
      <x:c r="BC192" s="229" t="n">
        <x:v>0.971</x:v>
      </x:c>
      <x:c r="BD192" s="202"/>
      <x:c r="BE192" s="202"/>
      <x:c r="BF192" s="202"/>
      <x:c r="BG192" s="202" t="str">
        <x:v>UNVERIFIED_UNLIMITED_FOR_MVP</x:v>
      </x:c>
    </x:row>
    <x:row r="193">
      <x:c r="A193" s="187" t="str">
        <x:v>ACTUAL_2026_08_CLOSE_V1</x:v>
      </x:c>
      <x:c r="B193" s="187" t="str">
        <x:v>ACTUAL</x:v>
      </x:c>
      <x:c r="C193" s="187"/>
      <x:c r="D193" s="217" t="n">
        <x:v>46204</x:v>
      </x:c>
      <x:c r="E193" s="187" t="str">
        <x:v>R_GB_DE_C_AIR</x:v>
      </x:c>
      <x:c r="F193" s="187" t="str">
        <x:v>GB</x:v>
      </x:c>
      <x:c r="G193" s="187" t="str">
        <x:v>DE_FC</x:v>
      </x:c>
      <x:c r="H193" s="187" t="str">
        <x:v>CARRIER_C</x:v>
      </x:c>
      <x:c r="I193" s="187" t="str">
        <x:v>AIR</x:v>
      </x:c>
      <x:c r="J193" s="220" t="n">
        <x:v>18000</x:v>
      </x:c>
      <x:c r="K193" s="223" t="n">
        <x:v>0.33</x:v>
      </x:c>
      <x:c r="L193" s="223" t="n">
        <x:v>0.96</x:v>
      </x:c>
      <x:c r="M193" s="223" t="n">
        <x:v>0.06</x:v>
      </x:c>
      <x:c r="N193" s="226" t="n">
        <x:f>J193*K193*L193*M193</x:f>
        <x:v>342.14399999999995</x:v>
      </x:c>
      <x:c r="O193" s="220" t="n">
        <x:v>1.12672</x:v>
      </x:c>
      <x:c r="P193" s="226" t="n">
        <x:f>N193*O193</x:f>
        <x:v>385.50048767999994</x:v>
      </x:c>
      <x:c r="Q193" s="220" t="n">
        <x:v>0.9246</x:v>
      </x:c>
      <x:c r="R193" s="226" t="n">
        <x:f>P193*Q193</x:f>
        <x:v>356.43375090892795</x:v>
      </x:c>
      <x:c r="S193" s="220" t="n">
        <x:v>0.08</x:v>
      </x:c>
      <x:c r="T193" s="226" t="n">
        <x:f>N193*S193</x:f>
        <x:v>27.371519999999997</x:v>
      </x:c>
      <x:c r="U193" s="226" t="n">
        <x:v>0.00918</x:v>
      </x:c>
      <x:c r="V193" s="226" t="n">
        <x:f>P193*U193</x:f>
        <x:v>3.5388944769023998</x:v>
      </x:c>
      <x:c r="W193" s="196" t="str">
        <x:v>GBP</x:v>
      </x:c>
      <x:c r="X193" s="220" t="n">
        <x:v>7.605</x:v>
      </x:c>
      <x:c r="Y193" s="196" t="str">
        <x:v>PER_CHARGEABLE_KG</x:v>
      </x:c>
      <x:c r="Z193" s="220" t="n">
        <x:v>0.58812</x:v>
      </x:c>
      <x:c r="AA193" s="220" t="n">
        <x:v>7.91</x:v>
      </x:c>
      <x:c r="AB193" s="220" t="n">
        <x:v>9.18</x:v>
      </x:c>
      <x:c r="AC193" s="226" t="n">
        <x:f>IF(W193="EUR",AA193,IF(W193="GBP",AB193,1))</x:f>
        <x:v>9.18</x:v>
      </x:c>
      <x:c r="AD193" s="226" t="n">
        <x:f>R193*X193</x:f>
        <x:v>2710.6786756623974</x:v>
      </x:c>
      <x:c r="AE193" s="226" t="n">
        <x:f>IF(Y193="PERCENTAGE_OF_BASE_FREIGHT",AD193*Z193,IF(Y193="PER_CHARGEABLE_KG",R193*Z193,P193*Z193))</x:f>
        <x:v>209.6258175845587</x:v>
      </x:c>
      <x:c r="AF193" s="226" t="n">
        <x:f>AD193*AC193</x:f>
        <x:v>24884.030242580808</x:v>
      </x:c>
      <x:c r="AG193" s="226" t="n">
        <x:f>AE193*AC193</x:f>
        <x:v>1924.3650054262487</x:v>
      </x:c>
      <x:c r="AH193" s="226" t="str">
        <x:v>EUR</x:v>
      </x:c>
      <x:c r="AI193" s="226" t="n">
        <x:v>1.19652</x:v>
      </x:c>
      <x:c r="AJ193" s="226" t="n">
        <x:f>IF(AH193="EUR",AA193,IF(AH193="GBP",AB193,1))</x:f>
        <x:v>7.91</x:v>
      </x:c>
      <x:c r="AK193" s="226" t="n">
        <x:f>N193*AI193</x:f>
        <x:v>409.38213887999996</x:v>
      </x:c>
      <x:c r="AL193" s="226" t="n">
        <x:f>AK193*AJ193</x:f>
        <x:v>3238.2127185408</x:v>
      </x:c>
      <x:c r="AM193" s="226" t="str">
        <x:v>EUR</x:v>
      </x:c>
      <x:c r="AN193" s="226" t="n">
        <x:v>0.42588</x:v>
      </x:c>
      <x:c r="AO193" s="226" t="n">
        <x:f>IF(AM193="EUR",AA193,IF(AM193="GBP",AB193,1))</x:f>
        <x:v>7.91</x:v>
      </x:c>
      <x:c r="AP193" s="226" t="n">
        <x:f>P193*AN193</x:f>
        <x:v>164.17694769315835</x:v>
      </x:c>
      <x:c r="AQ193" s="226" t="n">
        <x:f>AP193*AO193</x:f>
        <x:v>1298.6396562528826</x:v>
      </x:c>
      <x:c r="AR193" s="226" t="str">
        <x:v>GBP</x:v>
      </x:c>
      <x:c r="AS193" s="226" t="n">
        <x:v>4.8672</x:v>
      </x:c>
      <x:c r="AT193" s="226" t="n">
        <x:f>IF(AR193="EUR",AA193,IF(AR193="GBP",AB193,1))</x:f>
        <x:v>9.18</x:v>
      </x:c>
      <x:c r="AU193" s="226" t="n">
        <x:f>T193*AS193</x:f>
        <x:v>133.222662144</x:v>
      </x:c>
      <x:c r="AV193" s="226" t="n">
        <x:f>AU193*AT193</x:f>
        <x:v>1222.98403848192</x:v>
      </x:c>
      <x:c r="AW193" s="226" t="str">
        <x:v>GBP</x:v>
      </x:c>
      <x:c r="AX193" s="226" t="n">
        <x:v>3.6504</x:v>
      </x:c>
      <x:c r="AY193" s="226" t="n">
        <x:f>IF(AW193="EUR",AA193,IF(AW193="GBP",AB193,1))</x:f>
        <x:v>9.18</x:v>
      </x:c>
      <x:c r="AZ193" s="226" t="n">
        <x:f>V193*AX193</x:f>
        <x:v>12.91838039848452</x:v>
      </x:c>
      <x:c r="BA193" s="226" t="n">
        <x:f>AZ193*AY193</x:f>
        <x:v>118.59073205808788</x:v>
      </x:c>
      <x:c r="BB193" s="226" t="n">
        <x:f>AF193+AG193+AL193+AQ193+AV193+BA193</x:f>
        <x:v>32686.822393340743</x:v>
      </x:c>
      <x:c r="BC193" s="229" t="n">
        <x:v>0.985</x:v>
      </x:c>
      <x:c r="BD193" s="202"/>
      <x:c r="BE193" s="202"/>
      <x:c r="BF193" s="202"/>
      <x:c r="BG193" s="202" t="str">
        <x:v>UNVERIFIED_UNLIMITED_FOR_MVP</x:v>
      </x:c>
    </x:row>
    <x:row r="194">
      <x:c r="A194" s="187" t="str">
        <x:v>ACTUAL_2026_08_CLOSE_V1</x:v>
      </x:c>
      <x:c r="B194" s="187" t="str">
        <x:v>ACTUAL</x:v>
      </x:c>
      <x:c r="C194" s="187"/>
      <x:c r="D194" s="217" t="n">
        <x:v>46204</x:v>
      </x:c>
      <x:c r="E194" s="187" t="str">
        <x:v>R_GB_FR_B_AIR</x:v>
      </x:c>
      <x:c r="F194" s="187" t="str">
        <x:v>GB</x:v>
      </x:c>
      <x:c r="G194" s="187" t="str">
        <x:v>FR_FC</x:v>
      </x:c>
      <x:c r="H194" s="187" t="str">
        <x:v>CARRIER_B</x:v>
      </x:c>
      <x:c r="I194" s="187" t="str">
        <x:v>AIR</x:v>
      </x:c>
      <x:c r="J194" s="220" t="n">
        <x:v>18000</x:v>
      </x:c>
      <x:c r="K194" s="223" t="n">
        <x:v>0.33</x:v>
      </x:c>
      <x:c r="L194" s="223" t="n">
        <x:v>0.04</x:v>
      </x:c>
      <x:c r="M194" s="223" t="n">
        <x:v>1</x:v>
      </x:c>
      <x:c r="N194" s="226" t="n">
        <x:f>J194*K194*L194*M194</x:f>
        <x:v>237.6</x:v>
      </x:c>
      <x:c r="O194" s="220" t="n">
        <x:v>1.1569</x:v>
      </x:c>
      <x:c r="P194" s="226" t="n">
        <x:f>N194*O194</x:f>
        <x:v>274.87944</x:v>
      </x:c>
      <x:c r="Q194" s="220" t="n">
        <x:v>0.9045</x:v>
      </x:c>
      <x:c r="R194" s="226" t="n">
        <x:f>P194*Q194</x:f>
        <x:v>248.62845348</x:v>
      </x:c>
      <x:c r="S194" s="220" t="n">
        <x:v>0.08</x:v>
      </x:c>
      <x:c r="T194" s="226" t="n">
        <x:f>N194*S194</x:f>
        <x:v>19.008</x:v>
      </x:c>
      <x:c r="U194" s="226" t="n">
        <x:v>0.01224</x:v>
      </x:c>
      <x:c r="V194" s="226" t="n">
        <x:f>P194*U194</x:f>
        <x:v>3.3645243455999996</x:v>
      </x:c>
      <x:c r="W194" s="196" t="str">
        <x:v>EUR</x:v>
      </x:c>
      <x:c r="X194" s="220" t="n">
        <x:v>6.7938</x:v>
      </x:c>
      <x:c r="Y194" s="196" t="str">
        <x:v>PERCENTAGE_OF_BASE_FREIGHT</x:v>
      </x:c>
      <x:c r="Z194" s="220" t="n">
        <x:v>0.10647</x:v>
      </x:c>
      <x:c r="AA194" s="220" t="n">
        <x:v>7.91</x:v>
      </x:c>
      <x:c r="AB194" s="220" t="n">
        <x:v>9.18</x:v>
      </x:c>
      <x:c r="AC194" s="226" t="n">
        <x:f>IF(W194="EUR",AA194,IF(W194="GBP",AB194,1))</x:f>
        <x:v>7.91</x:v>
      </x:c>
      <x:c r="AD194" s="226" t="n">
        <x:f>R194*X194</x:f>
        <x:v>1689.1319872524239</x:v>
      </x:c>
      <x:c r="AE194" s="226" t="n">
        <x:f>IF(Y194="PERCENTAGE_OF_BASE_FREIGHT",AD194*Z194,IF(Y194="PER_CHARGEABLE_KG",R194*Z194,P194*Z194))</x:f>
        <x:v>179.84188268276557</x:v>
      </x:c>
      <x:c r="AF194" s="226" t="n">
        <x:f>AD194*AC194</x:f>
        <x:v>13361.034019166673</x:v>
      </x:c>
      <x:c r="AG194" s="226" t="n">
        <x:f>AE194*AC194</x:f>
        <x:v>1422.5492920206757</x:v>
      </x:c>
      <x:c r="AH194" s="226" t="str">
        <x:v>EUR</x:v>
      </x:c>
      <x:c r="AI194" s="226" t="n">
        <x:v>1.0647</x:v>
      </x:c>
      <x:c r="AJ194" s="226" t="n">
        <x:f>IF(AH194="EUR",AA194,IF(AH194="GBP",AB194,1))</x:f>
        <x:v>7.91</x:v>
      </x:c>
      <x:c r="AK194" s="226" t="n">
        <x:f>N194*AI194</x:f>
        <x:v>252.97271999999998</x:v>
      </x:c>
      <x:c r="AL194" s="226" t="n">
        <x:f>AK194*AJ194</x:f>
        <x:v>2001.0142151999999</x:v>
      </x:c>
      <x:c r="AM194" s="226" t="str">
        <x:v>EUR</x:v>
      </x:c>
      <x:c r="AN194" s="226" t="n">
        <x:v>0.38532</x:v>
      </x:c>
      <x:c r="AO194" s="226" t="n">
        <x:f>IF(AM194="EUR",AA194,IF(AM194="GBP",AB194,1))</x:f>
        <x:v>7.91</x:v>
      </x:c>
      <x:c r="AP194" s="226" t="n">
        <x:f>P194*AN194</x:f>
        <x:v>105.9165458208</x:v>
      </x:c>
      <x:c r="AQ194" s="226" t="n">
        <x:f>AP194*AO194</x:f>
        <x:v>837.799877442528</x:v>
      </x:c>
      <x:c r="AR194" s="226" t="str">
        <x:v>EUR</x:v>
      </x:c>
      <x:c r="AS194" s="226" t="n">
        <x:v>5.2728</x:v>
      </x:c>
      <x:c r="AT194" s="226" t="n">
        <x:f>IF(AR194="EUR",AA194,IF(AR194="GBP",AB194,1))</x:f>
        <x:v>7.91</x:v>
      </x:c>
      <x:c r="AU194" s="226" t="n">
        <x:f>T194*AS194</x:f>
        <x:v>100.2253824</x:v>
      </x:c>
      <x:c r="AV194" s="226" t="n">
        <x:f>AU194*AT194</x:f>
        <x:v>792.782774784</x:v>
      </x:c>
      <x:c r="AW194" s="226" t="str">
        <x:v>EUR</x:v>
      </x:c>
      <x:c r="AX194" s="226" t="n">
        <x:v>2.8392</x:v>
      </x:c>
      <x:c r="AY194" s="226" t="n">
        <x:f>IF(AW194="EUR",AA194,IF(AW194="GBP",AB194,1))</x:f>
        <x:v>7.91</x:v>
      </x:c>
      <x:c r="AZ194" s="226" t="n">
        <x:f>V194*AX194</x:f>
        <x:v>9.552557522027518</x:v>
      </x:c>
      <x:c r="BA194" s="226" t="n">
        <x:f>AZ194*AY194</x:f>
        <x:v>75.56072999923767</x:v>
      </x:c>
      <x:c r="BB194" s="226" t="n">
        <x:f>AF194+AG194+AL194+AQ194+AV194+BA194</x:f>
        <x:v>18490.740908613112</x:v>
      </x:c>
      <x:c r="BC194" s="229" t="n">
        <x:v>0.968</x:v>
      </x:c>
      <x:c r="BD194" s="202"/>
      <x:c r="BE194" s="202"/>
      <x:c r="BF194" s="202"/>
      <x:c r="BG194" s="202" t="str">
        <x:v>UNVERIFIED_UNLIMITED_FOR_MVP</x:v>
      </x:c>
    </x:row>
    <x:row r="195">
      <x:c r="A195" s="187" t="str">
        <x:v>ACTUAL_2026_08_CLOSE_V1</x:v>
      </x:c>
      <x:c r="B195" s="187" t="str">
        <x:v>ACTUAL</x:v>
      </x:c>
      <x:c r="C195" s="187"/>
      <x:c r="D195" s="217" t="n">
        <x:v>46235</x:v>
      </x:c>
      <x:c r="E195" s="187" t="str">
        <x:v>R_DE_DE_A_ROAD</x:v>
      </x:c>
      <x:c r="F195" s="187" t="str">
        <x:v>DE</x:v>
      </x:c>
      <x:c r="G195" s="187" t="str">
        <x:v>DE_FC</x:v>
      </x:c>
      <x:c r="H195" s="187" t="str">
        <x:v>CARRIER_A</x:v>
      </x:c>
      <x:c r="I195" s="187" t="str">
        <x:v>ROAD</x:v>
      </x:c>
      <x:c r="J195" s="220" t="n">
        <x:v>20300</x:v>
      </x:c>
      <x:c r="K195" s="223" t="n">
        <x:v>0.31</x:v>
      </x:c>
      <x:c r="L195" s="223" t="n">
        <x:v>0.97</x:v>
      </x:c>
      <x:c r="M195" s="223" t="n">
        <x:v>0.6</x:v>
      </x:c>
      <x:c r="N195" s="226" t="n">
        <x:f>J195*K195*L195*M195</x:f>
        <x:v>3662.526</x:v>
      </x:c>
      <x:c r="O195" s="220" t="n">
        <x:v>1.05</x:v>
      </x:c>
      <x:c r="P195" s="226" t="n">
        <x:f>N195*O195</x:f>
        <x:v>3845.6523</x:v>
      </x:c>
      <x:c r="Q195" s="220" t="n">
        <x:v>0.78</x:v>
      </x:c>
      <x:c r="R195" s="226" t="n">
        <x:f>P195*Q195</x:f>
        <x:v>2999.608794</x:v>
      </x:c>
      <x:c r="S195" s="220" t="n">
        <x:v>0.05</x:v>
      </x:c>
      <x:c r="T195" s="226" t="n">
        <x:f>N195*S195</x:f>
        <x:v>183.12630000000001</x:v>
      </x:c>
      <x:c r="U195" s="226" t="n">
        <x:v>0.016</x:v>
      </x:c>
      <x:c r="V195" s="226" t="n">
        <x:f>P195*U195</x:f>
        <x:v>61.530436800000004</x:v>
      </x:c>
      <x:c r="W195" s="196" t="str">
        <x:v>EUR</x:v>
      </x:c>
      <x:c r="X195" s="220" t="n">
        <x:v>2.2352</x:v>
      </x:c>
      <x:c r="Y195" s="196" t="str">
        <x:v>PERCENTAGE_OF_BASE_FREIGHT</x:v>
      </x:c>
      <x:c r="Z195" s="220" t="n">
        <x:v>0.09652</x:v>
      </x:c>
      <x:c r="AA195" s="220" t="n">
        <x:v>7.95</x:v>
      </x:c>
      <x:c r="AB195" s="220" t="n">
        <x:v>9.22</x:v>
      </x:c>
      <x:c r="AC195" s="226" t="n">
        <x:f>IF(W195="EUR",AA195,IF(W195="GBP",AB195,1))</x:f>
        <x:v>7.95</x:v>
      </x:c>
      <x:c r="AD195" s="226" t="n">
        <x:f>R195*X195</x:f>
        <x:v>6704.7255763488</x:v>
      </x:c>
      <x:c r="AE195" s="226" t="n">
        <x:f>IF(Y195="PERCENTAGE_OF_BASE_FREIGHT",AD195*Z195,IF(Y195="PER_CHARGEABLE_KG",R195*Z195,P195*Z195))</x:f>
        <x:v>647.1401126291862</x:v>
      </x:c>
      <x:c r="AF195" s="226" t="n">
        <x:f>AD195*AC195</x:f>
        <x:v>53302.568331972965</x:v>
      </x:c>
      <x:c r="AG195" s="226" t="n">
        <x:f>AE195*AC195</x:f>
        <x:v>5144.76389540203</x:v>
      </x:c>
      <x:c r="AH195" s="226" t="str">
        <x:v>EUR</x:v>
      </x:c>
      <x:c r="AI195" s="226" t="n">
        <x:v>1.19888</x:v>
      </x:c>
      <x:c r="AJ195" s="226" t="n">
        <x:f>IF(AH195="EUR",AA195,IF(AH195="GBP",AB195,1))</x:f>
        <x:v>7.95</x:v>
      </x:c>
      <x:c r="AK195" s="226" t="n">
        <x:f>N195*AI195</x:f>
        <x:v>4390.929170879999</x:v>
      </x:c>
      <x:c r="AL195" s="226" t="n">
        <x:f>AK195*AJ195</x:f>
        <x:v>34907.886908495995</x:v>
      </x:c>
      <x:c r="AM195" s="226" t="str">
        <x:v>EUR</x:v>
      </x:c>
      <x:c r="AN195" s="226" t="n">
        <x:v>0.42672</x:v>
      </x:c>
      <x:c r="AO195" s="226" t="n">
        <x:f>IF(AM195="EUR",AA195,IF(AM195="GBP",AB195,1))</x:f>
        <x:v>7.95</x:v>
      </x:c>
      <x:c r="AP195" s="226" t="n">
        <x:f>P195*AN195</x:f>
        <x:v>1641.016749456</x:v>
      </x:c>
      <x:c r="AQ195" s="226" t="n">
        <x:f>AP195*AO195</x:f>
        <x:v>13046.0831581752</x:v>
      </x:c>
      <x:c r="AR195" s="226" t="str">
        <x:v>EUR</x:v>
      </x:c>
      <x:c r="AS195" s="226" t="n">
        <x:v>3.2512</x:v>
      </x:c>
      <x:c r="AT195" s="226" t="n">
        <x:f>IF(AR195="EUR",AA195,IF(AR195="GBP",AB195,1))</x:f>
        <x:v>7.95</x:v>
      </x:c>
      <x:c r="AU195" s="226" t="n">
        <x:f>T195*AS195</x:f>
        <x:v>595.38022656</x:v>
      </x:c>
      <x:c r="AV195" s="226" t="n">
        <x:f>AU195*AT195</x:f>
        <x:v>4733.272801152</x:v>
      </x:c>
      <x:c r="AW195" s="226" t="str">
        <x:v>EUR</x:v>
      </x:c>
      <x:c r="AX195" s="226" t="n">
        <x:v>2.3368</x:v>
      </x:c>
      <x:c r="AY195" s="226" t="n">
        <x:f>IF(AW195="EUR",AA195,IF(AW195="GBP",AB195,1))</x:f>
        <x:v>7.95</x:v>
      </x:c>
      <x:c r="AZ195" s="226" t="n">
        <x:f>V195*AX195</x:f>
        <x:v>143.78432471424003</x:v>
      </x:c>
      <x:c r="BA195" s="226" t="n">
        <x:f>AZ195*AY195</x:f>
        <x:v>1143.0853814782083</x:v>
      </x:c>
      <x:c r="BB195" s="226" t="n">
        <x:f>AF195+AG195+AL195+AQ195+AV195+BA195</x:f>
        <x:v>112277.66047667638</x:v>
      </x:c>
      <x:c r="BC195" s="229" t="n">
        <x:v>0.962</x:v>
      </x:c>
      <x:c r="BD195" s="202" t="str">
        <x:v>UK promotion</x:v>
      </x:c>
      <x:c r="BE195" s="202" t="str">
        <x:v>为维持促销期间履约时效，提高德国仓至英国的空运和 Carrier C 份额</x:v>
      </x:c>
      <x:c r="BF195" s="202"/>
      <x:c r="BG195" s="202" t="str">
        <x:v>UNVERIFIED_UNLIMITED_FOR_MVP</x:v>
      </x:c>
    </x:row>
    <x:row r="196">
      <x:c r="A196" s="187" t="str">
        <x:v>ACTUAL_2026_08_CLOSE_V1</x:v>
      </x:c>
      <x:c r="B196" s="187" t="str">
        <x:v>ACTUAL</x:v>
      </x:c>
      <x:c r="C196" s="187"/>
      <x:c r="D196" s="217" t="n">
        <x:v>46235</x:v>
      </x:c>
      <x:c r="E196" s="187" t="str">
        <x:v>R_DE_DE_B_ROAD</x:v>
      </x:c>
      <x:c r="F196" s="187" t="str">
        <x:v>DE</x:v>
      </x:c>
      <x:c r="G196" s="187" t="str">
        <x:v>DE_FC</x:v>
      </x:c>
      <x:c r="H196" s="187" t="str">
        <x:v>CARRIER_B</x:v>
      </x:c>
      <x:c r="I196" s="187" t="str">
        <x:v>ROAD</x:v>
      </x:c>
      <x:c r="J196" s="220" t="n">
        <x:v>20300</x:v>
      </x:c>
      <x:c r="K196" s="223" t="n">
        <x:v>0.31</x:v>
      </x:c>
      <x:c r="L196" s="223" t="n">
        <x:v>0.97</x:v>
      </x:c>
      <x:c r="M196" s="223" t="n">
        <x:v>0.4</x:v>
      </x:c>
      <x:c r="N196" s="226" t="n">
        <x:f>J196*K196*L196*M196</x:f>
        <x:v>2441.684</x:v>
      </x:c>
      <x:c r="O196" s="220" t="n">
        <x:v>1.05</x:v>
      </x:c>
      <x:c r="P196" s="226" t="n">
        <x:f>N196*O196</x:f>
        <x:v>2563.7682000000004</x:v>
      </x:c>
      <x:c r="Q196" s="220" t="n">
        <x:v>0.8</x:v>
      </x:c>
      <x:c r="R196" s="226" t="n">
        <x:f>P196*Q196</x:f>
        <x:v>2051.0145600000005</x:v>
      </x:c>
      <x:c r="S196" s="220" t="n">
        <x:v>0.05</x:v>
      </x:c>
      <x:c r="T196" s="226" t="n">
        <x:f>N196*S196</x:f>
        <x:v>122.08420000000001</x:v>
      </x:c>
      <x:c r="U196" s="226" t="n">
        <x:v>0.013</x:v>
      </x:c>
      <x:c r="V196" s="226" t="n">
        <x:f>P196*U196</x:f>
        <x:v>33.32898660000001</x:v>
      </x:c>
      <x:c r="W196" s="196" t="str">
        <x:v>EUR</x:v>
      </x:c>
      <x:c r="X196" s="220" t="n">
        <x:v>2.794</x:v>
      </x:c>
      <x:c r="Y196" s="196" t="str">
        <x:v>PER_CHARGEABLE_KG</x:v>
      </x:c>
      <x:c r="Z196" s="220" t="n">
        <x:v>0.21336</x:v>
      </x:c>
      <x:c r="AA196" s="220" t="n">
        <x:v>7.95</x:v>
      </x:c>
      <x:c r="AB196" s="220" t="n">
        <x:v>9.22</x:v>
      </x:c>
      <x:c r="AC196" s="226" t="n">
        <x:f>IF(W196="EUR",AA196,IF(W196="GBP",AB196,1))</x:f>
        <x:v>7.95</x:v>
      </x:c>
      <x:c r="AD196" s="226" t="n">
        <x:f>R196*X196</x:f>
        <x:v>5730.534680640001</x:v>
      </x:c>
      <x:c r="AE196" s="226" t="n">
        <x:f>IF(Y196="PERCENTAGE_OF_BASE_FREIGHT",AD196*Z196,IF(Y196="PER_CHARGEABLE_KG",R196*Z196,P196*Z196))</x:f>
        <x:v>437.6044665216001</x:v>
      </x:c>
      <x:c r="AF196" s="226" t="n">
        <x:f>AD196*AC196</x:f>
        <x:v>45557.75071108801</x:v>
      </x:c>
      <x:c r="AG196" s="226" t="n">
        <x:f>AE196*AC196</x:f>
        <x:v>3478.955508846721</x:v>
      </x:c>
      <x:c r="AH196" s="226" t="str">
        <x:v>EUR</x:v>
      </x:c>
      <x:c r="AI196" s="226" t="n">
        <x:v>1.19888</x:v>
      </x:c>
      <x:c r="AJ196" s="226" t="n">
        <x:f>IF(AH196="EUR",AA196,IF(AH196="GBP",AB196,1))</x:f>
        <x:v>7.95</x:v>
      </x:c>
      <x:c r="AK196" s="226" t="n">
        <x:f>N196*AI196</x:f>
        <x:v>2927.28611392</x:v>
      </x:c>
      <x:c r="AL196" s="226" t="n">
        <x:f>AK196*AJ196</x:f>
        <x:v>23271.924605664</x:v>
      </x:c>
      <x:c r="AM196" s="226" t="str">
        <x:v>EUR</x:v>
      </x:c>
      <x:c r="AN196" s="226" t="n">
        <x:v>0.42672</x:v>
      </x:c>
      <x:c r="AO196" s="226" t="n">
        <x:f>IF(AM196="EUR",AA196,IF(AM196="GBP",AB196,1))</x:f>
        <x:v>7.95</x:v>
      </x:c>
      <x:c r="AP196" s="226" t="n">
        <x:f>P196*AN196</x:f>
        <x:v>1094.0111663040002</x:v>
      </x:c>
      <x:c r="AQ196" s="226" t="n">
        <x:f>AP196*AO196</x:f>
        <x:v>8697.388772116801</x:v>
      </x:c>
      <x:c r="AR196" s="226" t="str">
        <x:v>EUR</x:v>
      </x:c>
      <x:c r="AS196" s="226" t="n">
        <x:v>3.2512</x:v>
      </x:c>
      <x:c r="AT196" s="226" t="n">
        <x:f>IF(AR196="EUR",AA196,IF(AR196="GBP",AB196,1))</x:f>
        <x:v>7.95</x:v>
      </x:c>
      <x:c r="AU196" s="226" t="n">
        <x:f>T196*AS196</x:f>
        <x:v>396.92015104</x:v>
      </x:c>
      <x:c r="AV196" s="226" t="n">
        <x:f>AU196*AT196</x:f>
        <x:v>3155.5152007680003</x:v>
      </x:c>
      <x:c r="AW196" s="226" t="str">
        <x:v>EUR</x:v>
      </x:c>
      <x:c r="AX196" s="226" t="n">
        <x:v>2.3368</x:v>
      </x:c>
      <x:c r="AY196" s="226" t="n">
        <x:f>IF(AW196="EUR",AA196,IF(AW196="GBP",AB196,1))</x:f>
        <x:v>7.95</x:v>
      </x:c>
      <x:c r="AZ196" s="226" t="n">
        <x:f>V196*AX196</x:f>
        <x:v>77.88317588688003</x:v>
      </x:c>
      <x:c r="BA196" s="226" t="n">
        <x:f>AZ196*AY196</x:f>
        <x:v>619.1712483006962</x:v>
      </x:c>
      <x:c r="BB196" s="226" t="n">
        <x:f>AF196+AG196+AL196+AQ196+AV196+BA196</x:f>
        <x:v>84780.70604678424</x:v>
      </x:c>
      <x:c r="BC196" s="229" t="n">
        <x:v>0.973</x:v>
      </x:c>
      <x:c r="BD196" s="202" t="str">
        <x:v>UK promotion</x:v>
      </x:c>
      <x:c r="BE196" s="202" t="str">
        <x:v>为维持促销期间履约时效，提高德国仓至英国的空运和 Carrier C 份额</x:v>
      </x:c>
      <x:c r="BF196" s="202"/>
      <x:c r="BG196" s="202" t="str">
        <x:v>UNVERIFIED_UNLIMITED_FOR_MVP</x:v>
      </x:c>
    </x:row>
    <x:row r="197">
      <x:c r="A197" s="187" t="str">
        <x:v>ACTUAL_2026_08_CLOSE_V1</x:v>
      </x:c>
      <x:c r="B197" s="187" t="str">
        <x:v>ACTUAL</x:v>
      </x:c>
      <x:c r="C197" s="187"/>
      <x:c r="D197" s="217" t="n">
        <x:v>46235</x:v>
      </x:c>
      <x:c r="E197" s="187" t="str">
        <x:v>R_DE_FR_B_ROAD</x:v>
      </x:c>
      <x:c r="F197" s="187" t="str">
        <x:v>DE</x:v>
      </x:c>
      <x:c r="G197" s="187" t="str">
        <x:v>FR_FC</x:v>
      </x:c>
      <x:c r="H197" s="187" t="str">
        <x:v>CARRIER_B</x:v>
      </x:c>
      <x:c r="I197" s="187" t="str">
        <x:v>ROAD</x:v>
      </x:c>
      <x:c r="J197" s="220" t="n">
        <x:v>20300</x:v>
      </x:c>
      <x:c r="K197" s="223" t="n">
        <x:v>0.31</x:v>
      </x:c>
      <x:c r="L197" s="223" t="n">
        <x:v>0.03</x:v>
      </x:c>
      <x:c r="M197" s="223" t="n">
        <x:v>1</x:v>
      </x:c>
      <x:c r="N197" s="226" t="n">
        <x:f>J197*K197*L197*M197</x:f>
        <x:v>188.79</x:v>
      </x:c>
      <x:c r="O197" s="220" t="n">
        <x:v>1.08</x:v>
      </x:c>
      <x:c r="P197" s="226" t="n">
        <x:f>N197*O197</x:f>
        <x:v>203.8932</x:v>
      </x:c>
      <x:c r="Q197" s="220" t="n">
        <x:v>0.86</x:v>
      </x:c>
      <x:c r="R197" s="226" t="n">
        <x:f>P197*Q197</x:f>
        <x:v>175.348152</x:v>
      </x:c>
      <x:c r="S197" s="220" t="n">
        <x:v>0.05</x:v>
      </x:c>
      <x:c r="T197" s="226" t="n">
        <x:f>N197*S197</x:f>
        <x:v>9.4395</x:v>
      </x:c>
      <x:c r="U197" s="226" t="n">
        <x:v>0.014</x:v>
      </x:c>
      <x:c r="V197" s="226" t="n">
        <x:f>P197*U197</x:f>
        <x:v>2.8545048</x:v>
      </x:c>
      <x:c r="W197" s="196" t="str">
        <x:v>EUR</x:v>
      </x:c>
      <x:c r="X197" s="220" t="n">
        <x:v>3.3528</x:v>
      </x:c>
      <x:c r="Y197" s="196" t="str">
        <x:v>PER_CHARGEABLE_KG</x:v>
      </x:c>
      <x:c r="Z197" s="220" t="n">
        <x:v>0.24384</x:v>
      </x:c>
      <x:c r="AA197" s="220" t="n">
        <x:v>7.95</x:v>
      </x:c>
      <x:c r="AB197" s="220" t="n">
        <x:v>9.22</x:v>
      </x:c>
      <x:c r="AC197" s="226" t="n">
        <x:f>IF(W197="EUR",AA197,IF(W197="GBP",AB197,1))</x:f>
        <x:v>7.95</x:v>
      </x:c>
      <x:c r="AD197" s="226" t="n">
        <x:f>R197*X197</x:f>
        <x:v>587.9072840256</x:v>
      </x:c>
      <x:c r="AE197" s="226" t="n">
        <x:f>IF(Y197="PERCENTAGE_OF_BASE_FREIGHT",AD197*Z197,IF(Y197="PER_CHARGEABLE_KG",R197*Z197,P197*Z197))</x:f>
        <x:v>42.75689338368</x:v>
      </x:c>
      <x:c r="AF197" s="226" t="n">
        <x:f>AD197*AC197</x:f>
        <x:v>4673.86290800352</x:v>
      </x:c>
      <x:c r="AG197" s="226" t="n">
        <x:f>AE197*AC197</x:f>
        <x:v>339.917302400256</x:v>
      </x:c>
      <x:c r="AH197" s="226" t="str">
        <x:v>EUR</x:v>
      </x:c>
      <x:c r="AI197" s="226" t="n">
        <x:v>1.0668</x:v>
      </x:c>
      <x:c r="AJ197" s="226" t="n">
        <x:f>IF(AH197="EUR",AA197,IF(AH197="GBP",AB197,1))</x:f>
        <x:v>7.95</x:v>
      </x:c>
      <x:c r="AK197" s="226" t="n">
        <x:f>N197*AI197</x:f>
        <x:v>201.40117199999997</x:v>
      </x:c>
      <x:c r="AL197" s="226" t="n">
        <x:f>AK197*AJ197</x:f>
        <x:v>1601.1393173999998</x:v>
      </x:c>
      <x:c r="AM197" s="226" t="str">
        <x:v>EUR</x:v>
      </x:c>
      <x:c r="AN197" s="226" t="n">
        <x:v>0.38608</x:v>
      </x:c>
      <x:c r="AO197" s="226" t="n">
        <x:f>IF(AM197="EUR",AA197,IF(AM197="GBP",AB197,1))</x:f>
        <x:v>7.95</x:v>
      </x:c>
      <x:c r="AP197" s="226" t="n">
        <x:f>P197*AN197</x:f>
        <x:v>78.719086656</x:v>
      </x:c>
      <x:c r="AQ197" s="226" t="n">
        <x:f>AP197*AO197</x:f>
        <x:v>625.8167389152001</x:v>
      </x:c>
      <x:c r="AR197" s="226" t="str">
        <x:v>EUR</x:v>
      </x:c>
      <x:c r="AS197" s="226" t="n">
        <x:v>3.8608</x:v>
      </x:c>
      <x:c r="AT197" s="226" t="n">
        <x:f>IF(AR197="EUR",AA197,IF(AR197="GBP",AB197,1))</x:f>
        <x:v>7.95</x:v>
      </x:c>
      <x:c r="AU197" s="226" t="n">
        <x:f>T197*AS197</x:f>
        <x:v>36.4440216</x:v>
      </x:c>
      <x:c r="AV197" s="226" t="n">
        <x:f>AU197*AT197</x:f>
        <x:v>289.72997172</x:v>
      </x:c>
      <x:c r="AW197" s="226" t="str">
        <x:v>EUR</x:v>
      </x:c>
      <x:c r="AX197" s="226" t="n">
        <x:v>2.3368</x:v>
      </x:c>
      <x:c r="AY197" s="226" t="n">
        <x:f>IF(AW197="EUR",AA197,IF(AW197="GBP",AB197,1))</x:f>
        <x:v>7.95</x:v>
      </x:c>
      <x:c r="AZ197" s="226" t="n">
        <x:f>V197*AX197</x:f>
        <x:v>6.670406816640001</x:v>
      </x:c>
      <x:c r="BA197" s="226" t="n">
        <x:f>AZ197*AY197</x:f>
        <x:v>53.02973419228801</x:v>
      </x:c>
      <x:c r="BB197" s="226" t="n">
        <x:f>AF197+AG197+AL197+AQ197+AV197+BA197</x:f>
        <x:v>7583.495972631264</x:v>
      </x:c>
      <x:c r="BC197" s="229" t="n">
        <x:v>0.965</x:v>
      </x:c>
      <x:c r="BD197" s="202" t="str">
        <x:v>UK promotion</x:v>
      </x:c>
      <x:c r="BE197" s="202" t="str">
        <x:v>为维持促销期间履约时效，提高德国仓至英国的空运和 Carrier C 份额</x:v>
      </x:c>
      <x:c r="BF197" s="202"/>
      <x:c r="BG197" s="202" t="str">
        <x:v>UNVERIFIED_UNLIMITED_FOR_MVP</x:v>
      </x:c>
    </x:row>
    <x:row r="198">
      <x:c r="A198" s="187" t="str">
        <x:v>ACTUAL_2026_08_CLOSE_V1</x:v>
      </x:c>
      <x:c r="B198" s="187" t="str">
        <x:v>ACTUAL</x:v>
      </x:c>
      <x:c r="C198" s="187"/>
      <x:c r="D198" s="217" t="n">
        <x:v>46235</x:v>
      </x:c>
      <x:c r="E198" s="187" t="str">
        <x:v>R_FR_FR_A_ROAD</x:v>
      </x:c>
      <x:c r="F198" s="187" t="str">
        <x:v>FR</x:v>
      </x:c>
      <x:c r="G198" s="187" t="str">
        <x:v>FR_FC</x:v>
      </x:c>
      <x:c r="H198" s="187" t="str">
        <x:v>CARRIER_A</x:v>
      </x:c>
      <x:c r="I198" s="187" t="str">
        <x:v>ROAD</x:v>
      </x:c>
      <x:c r="J198" s="220" t="n">
        <x:v>20300</x:v>
      </x:c>
      <x:c r="K198" s="223" t="n">
        <x:v>0.25</x:v>
      </x:c>
      <x:c r="L198" s="223" t="n">
        <x:v>1</x:v>
      </x:c>
      <x:c r="M198" s="223" t="n">
        <x:v>0.35</x:v>
      </x:c>
      <x:c r="N198" s="226" t="n">
        <x:f>J198*K198*L198*M198</x:f>
        <x:v>1776.25</x:v>
      </x:c>
      <x:c r="O198" s="220" t="n">
        <x:v>1.06</x:v>
      </x:c>
      <x:c r="P198" s="226" t="n">
        <x:f>N198*O198</x:f>
        <x:v>1882.825</x:v>
      </x:c>
      <x:c r="Q198" s="220" t="n">
        <x:v>0.76</x:v>
      </x:c>
      <x:c r="R198" s="226" t="n">
        <x:f>P198*Q198</x:f>
        <x:v>1430.9470000000001</x:v>
      </x:c>
      <x:c r="S198" s="220" t="n">
        <x:v>0.06</x:v>
      </x:c>
      <x:c r="T198" s="226" t="n">
        <x:f>N198*S198</x:f>
        <x:v>106.575</x:v>
      </x:c>
      <x:c r="U198" s="226" t="n">
        <x:v>0.017</x:v>
      </x:c>
      <x:c r="V198" s="226" t="n">
        <x:f>P198*U198</x:f>
        <x:v>32.008025</x:v>
      </x:c>
      <x:c r="W198" s="196" t="str">
        <x:v>EUR</x:v>
      </x:c>
      <x:c r="X198" s="220" t="n">
        <x:v>2.1336</x:v>
      </x:c>
      <x:c r="Y198" s="196" t="str">
        <x:v>PERCENTAGE_OF_BASE_FREIGHT</x:v>
      </x:c>
      <x:c r="Z198" s="220" t="n">
        <x:v>0.09144</x:v>
      </x:c>
      <x:c r="AA198" s="220" t="n">
        <x:v>7.95</x:v>
      </x:c>
      <x:c r="AB198" s="220" t="n">
        <x:v>9.22</x:v>
      </x:c>
      <x:c r="AC198" s="226" t="n">
        <x:f>IF(W198="EUR",AA198,IF(W198="GBP",AB198,1))</x:f>
        <x:v>7.95</x:v>
      </x:c>
      <x:c r="AD198" s="226" t="n">
        <x:f>R198*X198</x:f>
        <x:v>3053.0685192</x:v>
      </x:c>
      <x:c r="AE198" s="226" t="n">
        <x:f>IF(Y198="PERCENTAGE_OF_BASE_FREIGHT",AD198*Z198,IF(Y198="PER_CHARGEABLE_KG",R198*Z198,P198*Z198))</x:f>
        <x:v>279.172585395648</x:v>
      </x:c>
      <x:c r="AF198" s="226" t="n">
        <x:f>AD198*AC198</x:f>
        <x:v>24271.89472764</x:v>
      </x:c>
      <x:c r="AG198" s="226" t="n">
        <x:f>AE198*AC198</x:f>
        <x:v>2219.422053895402</x:v>
      </x:c>
      <x:c r="AH198" s="226" t="str">
        <x:v>EUR</x:v>
      </x:c>
      <x:c r="AI198" s="226" t="n">
        <x:v>1.0668</x:v>
      </x:c>
      <x:c r="AJ198" s="226" t="n">
        <x:f>IF(AH198="EUR",AA198,IF(AH198="GBP",AB198,1))</x:f>
        <x:v>7.95</x:v>
      </x:c>
      <x:c r="AK198" s="226" t="n">
        <x:f>N198*AI198</x:f>
        <x:v>1894.9035</x:v>
      </x:c>
      <x:c r="AL198" s="226" t="n">
        <x:f>AK198*AJ198</x:f>
        <x:v>15064.482825</x:v>
      </x:c>
      <x:c r="AM198" s="226" t="str">
        <x:v>EUR</x:v>
      </x:c>
      <x:c r="AN198" s="226" t="n">
        <x:v>0.38608</x:v>
      </x:c>
      <x:c r="AO198" s="226" t="n">
        <x:f>IF(AM198="EUR",AA198,IF(AM198="GBP",AB198,1))</x:f>
        <x:v>7.95</x:v>
      </x:c>
      <x:c r="AP198" s="226" t="n">
        <x:f>P198*AN198</x:f>
        <x:v>726.921076</x:v>
      </x:c>
      <x:c r="AQ198" s="226" t="n">
        <x:f>AP198*AO198</x:f>
        <x:v>5779.0225542</x:v>
      </x:c>
      <x:c r="AR198" s="226" t="str">
        <x:v>EUR</x:v>
      </x:c>
      <x:c r="AS198" s="226" t="n">
        <x:v>3.048</x:v>
      </x:c>
      <x:c r="AT198" s="226" t="n">
        <x:f>IF(AR198="EUR",AA198,IF(AR198="GBP",AB198,1))</x:f>
        <x:v>7.95</x:v>
      </x:c>
      <x:c r="AU198" s="226" t="n">
        <x:f>T198*AS198</x:f>
        <x:v>324.8406</x:v>
      </x:c>
      <x:c r="AV198" s="226" t="n">
        <x:f>AU198*AT198</x:f>
        <x:v>2582.48277</x:v>
      </x:c>
      <x:c r="AW198" s="226" t="str">
        <x:v>EUR</x:v>
      </x:c>
      <x:c r="AX198" s="226" t="n">
        <x:v>2.3368</x:v>
      </x:c>
      <x:c r="AY198" s="226" t="n">
        <x:f>IF(AW198="EUR",AA198,IF(AW198="GBP",AB198,1))</x:f>
        <x:v>7.95</x:v>
      </x:c>
      <x:c r="AZ198" s="226" t="n">
        <x:f>V198*AX198</x:f>
        <x:v>74.79635282000001</x:v>
      </x:c>
      <x:c r="BA198" s="226" t="n">
        <x:f>AZ198*AY198</x:f>
        <x:v>594.6310049190001</x:v>
      </x:c>
      <x:c r="BB198" s="226" t="n">
        <x:f>AF198+AG198+AL198+AQ198+AV198+BA198</x:f>
        <x:v>50511.9359356544</x:v>
      </x:c>
      <x:c r="BC198" s="229" t="n">
        <x:v>0.958</x:v>
      </x:c>
      <x:c r="BD198" s="202" t="str">
        <x:v>UK promotion</x:v>
      </x:c>
      <x:c r="BE198" s="202" t="str">
        <x:v>为维持促销期间履约时效，提高德国仓至英国的空运和 Carrier C 份额</x:v>
      </x:c>
      <x:c r="BF198" s="202"/>
      <x:c r="BG198" s="202" t="str">
        <x:v>UNVERIFIED_UNLIMITED_FOR_MVP</x:v>
      </x:c>
    </x:row>
    <x:row r="199">
      <x:c r="A199" s="187" t="str">
        <x:v>ACTUAL_2026_08_CLOSE_V1</x:v>
      </x:c>
      <x:c r="B199" s="187" t="str">
        <x:v>ACTUAL</x:v>
      </x:c>
      <x:c r="C199" s="187"/>
      <x:c r="D199" s="217" t="n">
        <x:v>46235</x:v>
      </x:c>
      <x:c r="E199" s="187" t="str">
        <x:v>R_FR_FR_B_ROAD</x:v>
      </x:c>
      <x:c r="F199" s="187" t="str">
        <x:v>FR</x:v>
      </x:c>
      <x:c r="G199" s="187" t="str">
        <x:v>FR_FC</x:v>
      </x:c>
      <x:c r="H199" s="187" t="str">
        <x:v>CARRIER_B</x:v>
      </x:c>
      <x:c r="I199" s="187" t="str">
        <x:v>ROAD</x:v>
      </x:c>
      <x:c r="J199" s="220" t="n">
        <x:v>20300</x:v>
      </x:c>
      <x:c r="K199" s="223" t="n">
        <x:v>0.25</x:v>
      </x:c>
      <x:c r="L199" s="223" t="n">
        <x:v>1</x:v>
      </x:c>
      <x:c r="M199" s="223" t="n">
        <x:v>0.65</x:v>
      </x:c>
      <x:c r="N199" s="226" t="n">
        <x:f>J199*K199*L199*M199</x:f>
        <x:v>3298.75</x:v>
      </x:c>
      <x:c r="O199" s="220" t="n">
        <x:v>1.06</x:v>
      </x:c>
      <x:c r="P199" s="226" t="n">
        <x:f>N199*O199</x:f>
        <x:v>3496.675</x:v>
      </x:c>
      <x:c r="Q199" s="220" t="n">
        <x:v>0.79</x:v>
      </x:c>
      <x:c r="R199" s="226" t="n">
        <x:f>P199*Q199</x:f>
        <x:v>2762.37325</x:v>
      </x:c>
      <x:c r="S199" s="220" t="n">
        <x:v>0.06</x:v>
      </x:c>
      <x:c r="T199" s="226" t="n">
        <x:f>N199*S199</x:f>
        <x:v>197.92499999999998</x:v>
      </x:c>
      <x:c r="U199" s="226" t="n">
        <x:v>0.014</x:v>
      </x:c>
      <x:c r="V199" s="226" t="n">
        <x:f>P199*U199</x:f>
        <x:v>48.953450000000004</x:v>
      </x:c>
      <x:c r="W199" s="196" t="str">
        <x:v>EUR</x:v>
      </x:c>
      <x:c r="X199" s="220" t="n">
        <x:v>2.6416</x:v>
      </x:c>
      <x:c r="Y199" s="196" t="str">
        <x:v>PER_CHARGEABLE_KG</x:v>
      </x:c>
      <x:c r="Z199" s="220" t="n">
        <x:v>0.2032</x:v>
      </x:c>
      <x:c r="AA199" s="220" t="n">
        <x:v>7.95</x:v>
      </x:c>
      <x:c r="AB199" s="220" t="n">
        <x:v>9.22</x:v>
      </x:c>
      <x:c r="AC199" s="226" t="n">
        <x:f>IF(W199="EUR",AA199,IF(W199="GBP",AB199,1))</x:f>
        <x:v>7.95</x:v>
      </x:c>
      <x:c r="AD199" s="226" t="n">
        <x:f>R199*X199</x:f>
        <x:v>7297.0851772000005</x:v>
      </x:c>
      <x:c r="AE199" s="226" t="n">
        <x:f>IF(Y199="PERCENTAGE_OF_BASE_FREIGHT",AD199*Z199,IF(Y199="PER_CHARGEABLE_KG",R199*Z199,P199*Z199))</x:f>
        <x:v>561.3142444</x:v>
      </x:c>
      <x:c r="AF199" s="226" t="n">
        <x:f>AD199*AC199</x:f>
        <x:v>58011.82715874001</x:v>
      </x:c>
      <x:c r="AG199" s="226" t="n">
        <x:f>AE199*AC199</x:f>
        <x:v>4462.44824298</x:v>
      </x:c>
      <x:c r="AH199" s="226" t="str">
        <x:v>EUR</x:v>
      </x:c>
      <x:c r="AI199" s="226" t="n">
        <x:v>1.0668</x:v>
      </x:c>
      <x:c r="AJ199" s="226" t="n">
        <x:f>IF(AH199="EUR",AA199,IF(AH199="GBP",AB199,1))</x:f>
        <x:v>7.95</x:v>
      </x:c>
      <x:c r="AK199" s="226" t="n">
        <x:f>N199*AI199</x:f>
        <x:v>3519.1065</x:v>
      </x:c>
      <x:c r="AL199" s="226" t="n">
        <x:f>AK199*AJ199</x:f>
        <x:v>27976.896675</x:v>
      </x:c>
      <x:c r="AM199" s="226" t="str">
        <x:v>EUR</x:v>
      </x:c>
      <x:c r="AN199" s="226" t="n">
        <x:v>0.38608</x:v>
      </x:c>
      <x:c r="AO199" s="226" t="n">
        <x:f>IF(AM199="EUR",AA199,IF(AM199="GBP",AB199,1))</x:f>
        <x:v>7.95</x:v>
      </x:c>
      <x:c r="AP199" s="226" t="n">
        <x:f>P199*AN199</x:f>
        <x:v>1349.996284</x:v>
      </x:c>
      <x:c r="AQ199" s="226" t="n">
        <x:f>AP199*AO199</x:f>
        <x:v>10732.4704578</x:v>
      </x:c>
      <x:c r="AR199" s="226" t="str">
        <x:v>EUR</x:v>
      </x:c>
      <x:c r="AS199" s="226" t="n">
        <x:v>3.048</x:v>
      </x:c>
      <x:c r="AT199" s="226" t="n">
        <x:f>IF(AR199="EUR",AA199,IF(AR199="GBP",AB199,1))</x:f>
        <x:v>7.95</x:v>
      </x:c>
      <x:c r="AU199" s="226" t="n">
        <x:f>T199*AS199</x:f>
        <x:v>603.2754</x:v>
      </x:c>
      <x:c r="AV199" s="226" t="n">
        <x:f>AU199*AT199</x:f>
        <x:v>4796.03943</x:v>
      </x:c>
      <x:c r="AW199" s="226" t="str">
        <x:v>EUR</x:v>
      </x:c>
      <x:c r="AX199" s="226" t="n">
        <x:v>2.3368</x:v>
      </x:c>
      <x:c r="AY199" s="226" t="n">
        <x:f>IF(AW199="EUR",AA199,IF(AW199="GBP",AB199,1))</x:f>
        <x:v>7.95</x:v>
      </x:c>
      <x:c r="AZ199" s="226" t="n">
        <x:f>V199*AX199</x:f>
        <x:v>114.39442196000002</x:v>
      </x:c>
      <x:c r="BA199" s="226" t="n">
        <x:f>AZ199*AY199</x:f>
        <x:v>909.4356545820001</x:v>
      </x:c>
      <x:c r="BB199" s="226" t="n">
        <x:f>AF199+AG199+AL199+AQ199+AV199+BA199</x:f>
        <x:v>106889.117619102</x:v>
      </x:c>
      <x:c r="BC199" s="229" t="n">
        <x:v>0.97</x:v>
      </x:c>
      <x:c r="BD199" s="202" t="str">
        <x:v>UK promotion</x:v>
      </x:c>
      <x:c r="BE199" s="202" t="str">
        <x:v>为维持促销期间履约时效，提高德国仓至英国的空运和 Carrier C 份额</x:v>
      </x:c>
      <x:c r="BF199" s="202"/>
      <x:c r="BG199" s="202" t="str">
        <x:v>UNVERIFIED_UNLIMITED_FOR_MVP</x:v>
      </x:c>
    </x:row>
    <x:row r="200">
      <x:c r="A200" s="187" t="str">
        <x:v>ACTUAL_2026_08_CLOSE_V1</x:v>
      </x:c>
      <x:c r="B200" s="187" t="str">
        <x:v>ACTUAL</x:v>
      </x:c>
      <x:c r="C200" s="187"/>
      <x:c r="D200" s="217" t="n">
        <x:v>46235</x:v>
      </x:c>
      <x:c r="E200" s="187" t="str">
        <x:v>R_GB_DE_A_ROAD</x:v>
      </x:c>
      <x:c r="F200" s="187" t="str">
        <x:v>GB</x:v>
      </x:c>
      <x:c r="G200" s="187" t="str">
        <x:v>DE_FC</x:v>
      </x:c>
      <x:c r="H200" s="187" t="str">
        <x:v>CARRIER_A</x:v>
      </x:c>
      <x:c r="I200" s="187" t="str">
        <x:v>ROAD</x:v>
      </x:c>
      <x:c r="J200" s="220" t="n">
        <x:v>20300</x:v>
      </x:c>
      <x:c r="K200" s="223" t="n">
        <x:v>0.44</x:v>
      </x:c>
      <x:c r="L200" s="223" t="n">
        <x:v>0.97</x:v>
      </x:c>
      <x:c r="M200" s="223" t="n">
        <x:v>0.22</x:v>
      </x:c>
      <x:c r="N200" s="226" t="n">
        <x:f>J200*K200*L200*M200</x:f>
        <x:v>1906.0887999999998</x:v>
      </x:c>
      <x:c r="O200" s="220" t="n">
        <x:v>1.22</x:v>
      </x:c>
      <x:c r="P200" s="226" t="n">
        <x:f>N200*O200</x:f>
        <x:v>2325.4283359999995</x:v>
      </x:c>
      <x:c r="Q200" s="220" t="n">
        <x:v>1.0506</x:v>
      </x:c>
      <x:c r="R200" s="226" t="n">
        <x:f>P200*Q200</x:f>
        <x:v>2443.095009801599</x:v>
      </x:c>
      <x:c r="S200" s="220" t="n">
        <x:v>0.105</x:v>
      </x:c>
      <x:c r="T200" s="226" t="n">
        <x:f>N200*S200</x:f>
        <x:v>200.13932399999996</x:v>
      </x:c>
      <x:c r="U200" s="226" t="n">
        <x:v>0.03</x:v>
      </x:c>
      <x:c r="V200" s="226" t="n">
        <x:f>P200*U200</x:f>
        <x:v>69.76285007999998</x:v>
      </x:c>
      <x:c r="W200" s="196" t="str">
        <x:v>GBP</x:v>
      </x:c>
      <x:c r="X200" s="220" t="n">
        <x:v>4.14528</x:v>
      </x:c>
      <x:c r="Y200" s="196" t="str">
        <x:v>PERCENTAGE_OF_BASE_FREIGHT</x:v>
      </x:c>
      <x:c r="Z200" s="220" t="n">
        <x:v>0.103632</x:v>
      </x:c>
      <x:c r="AA200" s="220" t="n">
        <x:v>7.95</x:v>
      </x:c>
      <x:c r="AB200" s="220" t="n">
        <x:v>9.22</x:v>
      </x:c>
      <x:c r="AC200" s="226" t="n">
        <x:f>IF(W200="EUR",AA200,IF(W200="GBP",AB200,1))</x:f>
        <x:v>9.22</x:v>
      </x:c>
      <x:c r="AD200" s="226" t="n">
        <x:f>R200*X200</x:f>
        <x:v>10127.312882230372</x:v>
      </x:c>
      <x:c r="AE200" s="226" t="n">
        <x:f>IF(Y200="PERCENTAGE_OF_BASE_FREIGHT",AD200*Z200,IF(Y200="PER_CHARGEABLE_KG",R200*Z200,P200*Z200))</x:f>
        <x:v>1049.513688611298</x:v>
      </x:c>
      <x:c r="AF200" s="226" t="n">
        <x:f>AD200*AC200</x:f>
        <x:v>93373.82477416404</x:v>
      </x:c>
      <x:c r="AG200" s="226" t="n">
        <x:f>AE200*AC200</x:f>
        <x:v>9676.516208996169</x:v>
      </x:c>
      <x:c r="AH200" s="226" t="str">
        <x:v>EUR</x:v>
      </x:c>
      <x:c r="AI200" s="226" t="n">
        <x:v>1.19888</x:v>
      </x:c>
      <x:c r="AJ200" s="226" t="n">
        <x:f>IF(AH200="EUR",AA200,IF(AH200="GBP",AB200,1))</x:f>
        <x:v>7.95</x:v>
      </x:c>
      <x:c r="AK200" s="226" t="n">
        <x:f>N200*AI200</x:f>
        <x:v>2285.1717405439995</x:v>
      </x:c>
      <x:c r="AL200" s="226" t="n">
        <x:f>AK200*AJ200</x:f>
        <x:v>18167.115337324798</x:v>
      </x:c>
      <x:c r="AM200" s="226" t="str">
        <x:v>EUR</x:v>
      </x:c>
      <x:c r="AN200" s="226" t="n">
        <x:v>0.42672</x:v>
      </x:c>
      <x:c r="AO200" s="226" t="n">
        <x:f>IF(AM200="EUR",AA200,IF(AM200="GBP",AB200,1))</x:f>
        <x:v>7.95</x:v>
      </x:c>
      <x:c r="AP200" s="226" t="n">
        <x:f>P200*AN200</x:f>
        <x:v>992.3067795379197</x:v>
      </x:c>
      <x:c r="AQ200" s="226" t="n">
        <x:f>AP200*AO200</x:f>
        <x:v>7888.838897326462</x:v>
      </x:c>
      <x:c r="AR200" s="226" t="str">
        <x:v>GBP</x:v>
      </x:c>
      <x:c r="AS200" s="226" t="n">
        <x:v>4.8768</x:v>
      </x:c>
      <x:c r="AT200" s="226" t="n">
        <x:f>IF(AR200="EUR",AA200,IF(AR200="GBP",AB200,1))</x:f>
        <x:v>9.22</x:v>
      </x:c>
      <x:c r="AU200" s="226" t="n">
        <x:f>T200*AS200</x:f>
        <x:v>976.0394552831998</x:v>
      </x:c>
      <x:c r="AV200" s="226" t="n">
        <x:f>AU200*AT200</x:f>
        <x:v>8999.083777711103</x:v>
      </x:c>
      <x:c r="AW200" s="226" t="str">
        <x:v>GBP</x:v>
      </x:c>
      <x:c r="AX200" s="226" t="n">
        <x:v>2.3368</x:v>
      </x:c>
      <x:c r="AY200" s="226" t="n">
        <x:f>IF(AW200="EUR",AA200,IF(AW200="GBP",AB200,1))</x:f>
        <x:v>9.22</x:v>
      </x:c>
      <x:c r="AZ200" s="226" t="n">
        <x:f>V200*AX200</x:f>
        <x:v>163.02182806694395</x:v>
      </x:c>
      <x:c r="BA200" s="226" t="n">
        <x:f>AZ200*AY200</x:f>
        <x:v>1503.0612547772234</x:v>
      </x:c>
      <x:c r="BB200" s="226" t="n">
        <x:f>AF200+AG200+AL200+AQ200+AV200+BA200</x:f>
        <x:v>139608.44025029978</x:v>
      </x:c>
      <x:c r="BC200" s="229" t="n">
        <x:v>0.918</x:v>
      </x:c>
      <x:c r="BD200" s="202" t="str">
        <x:v>UK promotion</x:v>
      </x:c>
      <x:c r="BE200" s="202" t="str">
        <x:v>为维持促销期间履约时效，提高德国仓至英国的空运和 Carrier C 份额</x:v>
      </x:c>
      <x:c r="BF200" s="202"/>
      <x:c r="BG200" s="202" t="str">
        <x:v>UNVERIFIED_UNLIMITED_FOR_MVP</x:v>
      </x:c>
    </x:row>
    <x:row r="201">
      <x:c r="A201" s="187" t="str">
        <x:v>ACTUAL_2026_08_CLOSE_V1</x:v>
      </x:c>
      <x:c r="B201" s="187" t="str">
        <x:v>ACTUAL</x:v>
      </x:c>
      <x:c r="C201" s="187"/>
      <x:c r="D201" s="217" t="n">
        <x:v>46235</x:v>
      </x:c>
      <x:c r="E201" s="187" t="str">
        <x:v>R_GB_DE_B_ROAD</x:v>
      </x:c>
      <x:c r="F201" s="187" t="str">
        <x:v>GB</x:v>
      </x:c>
      <x:c r="G201" s="187" t="str">
        <x:v>DE_FC</x:v>
      </x:c>
      <x:c r="H201" s="187" t="str">
        <x:v>CARRIER_B</x:v>
      </x:c>
      <x:c r="I201" s="187" t="str">
        <x:v>ROAD</x:v>
      </x:c>
      <x:c r="J201" s="220" t="n">
        <x:v>20300</x:v>
      </x:c>
      <x:c r="K201" s="223" t="n">
        <x:v>0.44</x:v>
      </x:c>
      <x:c r="L201" s="223" t="n">
        <x:v>0.97</x:v>
      </x:c>
      <x:c r="M201" s="223" t="n">
        <x:v>0.13</x:v>
      </x:c>
      <x:c r="N201" s="226" t="n">
        <x:f>J201*K201*L201*M201</x:f>
        <x:v>1126.3252</x:v>
      </x:c>
      <x:c r="O201" s="220" t="n">
        <x:v>1.22</x:v>
      </x:c>
      <x:c r="P201" s="226" t="n">
        <x:f>N201*O201</x:f>
        <x:v>1374.116744</x:v>
      </x:c>
      <x:c r="Q201" s="220" t="n">
        <x:v>1.03</x:v>
      </x:c>
      <x:c r="R201" s="226" t="n">
        <x:f>P201*Q201</x:f>
        <x:v>1415.34024632</x:v>
      </x:c>
      <x:c r="S201" s="220" t="n">
        <x:v>0.105</x:v>
      </x:c>
      <x:c r="T201" s="226" t="n">
        <x:f>N201*S201</x:f>
        <x:v>118.264146</x:v>
      </x:c>
      <x:c r="U201" s="226" t="n">
        <x:v>0.022</x:v>
      </x:c>
      <x:c r="V201" s="226" t="n">
        <x:f>P201*U201</x:f>
        <x:v>30.230568367999997</x:v>
      </x:c>
      <x:c r="W201" s="196" t="str">
        <x:v>GBP</x:v>
      </x:c>
      <x:c r="X201" s="220" t="n">
        <x:v>4.918456</x:v>
      </x:c>
      <x:c r="Y201" s="196" t="str">
        <x:v>PER_CHARGEABLE_KG</x:v>
      </x:c>
      <x:c r="Z201" s="220" t="n">
        <x:v>0.3453384</x:v>
      </x:c>
      <x:c r="AA201" s="220" t="n">
        <x:v>7.95</x:v>
      </x:c>
      <x:c r="AB201" s="220" t="n">
        <x:v>9.22</x:v>
      </x:c>
      <x:c r="AC201" s="226" t="n">
        <x:f>IF(W201="EUR",AA201,IF(W201="GBP",AB201,1))</x:f>
        <x:v>9.22</x:v>
      </x:c>
      <x:c r="AD201" s="226" t="n">
        <x:f>R201*X201</x:f>
        <x:v>6961.288726554082</x:v>
      </x:c>
      <x:c r="AE201" s="226" t="n">
        <x:f>IF(Y201="PERCENTAGE_OF_BASE_FREIGHT",AD201*Z201,IF(Y201="PER_CHARGEABLE_KG",R201*Z201,P201*Z201))</x:f>
        <x:v>488.77133611975466</x:v>
      </x:c>
      <x:c r="AF201" s="226" t="n">
        <x:f>AD201*AC201</x:f>
        <x:v>64183.082058828644</x:v>
      </x:c>
      <x:c r="AG201" s="226" t="n">
        <x:f>AE201*AC201</x:f>
        <x:v>4506.471719024138</x:v>
      </x:c>
      <x:c r="AH201" s="226" t="str">
        <x:v>EUR</x:v>
      </x:c>
      <x:c r="AI201" s="226" t="n">
        <x:v>1.19888</x:v>
      </x:c>
      <x:c r="AJ201" s="226" t="n">
        <x:f>IF(AH201="EUR",AA201,IF(AH201="GBP",AB201,1))</x:f>
        <x:v>7.95</x:v>
      </x:c>
      <x:c r="AK201" s="226" t="n">
        <x:f>N201*AI201</x:f>
        <x:v>1350.328755776</x:v>
      </x:c>
      <x:c r="AL201" s="226" t="n">
        <x:f>AK201*AJ201</x:f>
        <x:v>10735.1136084192</x:v>
      </x:c>
      <x:c r="AM201" s="226" t="str">
        <x:v>EUR</x:v>
      </x:c>
      <x:c r="AN201" s="226" t="n">
        <x:v>0.42672</x:v>
      </x:c>
      <x:c r="AO201" s="226" t="n">
        <x:f>IF(AM201="EUR",AA201,IF(AM201="GBP",AB201,1))</x:f>
        <x:v>7.95</x:v>
      </x:c>
      <x:c r="AP201" s="226" t="n">
        <x:f>P201*AN201</x:f>
        <x:v>586.3630969996799</x:v>
      </x:c>
      <x:c r="AQ201" s="226" t="n">
        <x:f>AP201*AO201</x:f>
        <x:v>4661.586621147455</x:v>
      </x:c>
      <x:c r="AR201" s="226" t="str">
        <x:v>GBP</x:v>
      </x:c>
      <x:c r="AS201" s="226" t="n">
        <x:v>4.8768</x:v>
      </x:c>
      <x:c r="AT201" s="226" t="n">
        <x:f>IF(AR201="EUR",AA201,IF(AR201="GBP",AB201,1))</x:f>
        <x:v>9.22</x:v>
      </x:c>
      <x:c r="AU201" s="226" t="n">
        <x:f>T201*AS201</x:f>
        <x:v>576.7505872128</x:v>
      </x:c>
      <x:c r="AV201" s="226" t="n">
        <x:f>AU201*AT201</x:f>
        <x:v>5317.640414102017</x:v>
      </x:c>
      <x:c r="AW201" s="226" t="str">
        <x:v>GBP</x:v>
      </x:c>
      <x:c r="AX201" s="226" t="n">
        <x:v>2.3368</x:v>
      </x:c>
      <x:c r="AY201" s="226" t="n">
        <x:f>IF(AW201="EUR",AA201,IF(AW201="GBP",AB201,1))</x:f>
        <x:v>9.22</x:v>
      </x:c>
      <x:c r="AZ201" s="226" t="n">
        <x:f>V201*AX201</x:f>
        <x:v>70.6427921623424</x:v>
      </x:c>
      <x:c r="BA201" s="226" t="n">
        <x:f>AZ201*AY201</x:f>
        <x:v>651.326543736797</x:v>
      </x:c>
      <x:c r="BB201" s="226" t="n">
        <x:f>AF201+AG201+AL201+AQ201+AV201+BA201</x:f>
        <x:v>90055.22096525824</x:v>
      </x:c>
      <x:c r="BC201" s="229" t="n">
        <x:v>0.944</x:v>
      </x:c>
      <x:c r="BD201" s="202" t="str">
        <x:v>UK promotion</x:v>
      </x:c>
      <x:c r="BE201" s="202" t="str">
        <x:v>为维持促销期间履约时效，提高德国仓至英国的空运和 Carrier C 份额</x:v>
      </x:c>
      <x:c r="BF201" s="202"/>
      <x:c r="BG201" s="202" t="str">
        <x:v>UNVERIFIED_UNLIMITED_FOR_MVP</x:v>
      </x:c>
    </x:row>
    <x:row r="202">
      <x:c r="A202" s="187" t="str">
        <x:v>ACTUAL_2026_08_CLOSE_V1</x:v>
      </x:c>
      <x:c r="B202" s="187" t="str">
        <x:v>ACTUAL</x:v>
      </x:c>
      <x:c r="C202" s="187"/>
      <x:c r="D202" s="217" t="n">
        <x:v>46235</x:v>
      </x:c>
      <x:c r="E202" s="187" t="str">
        <x:v>R_GB_DE_B_AIR</x:v>
      </x:c>
      <x:c r="F202" s="187" t="str">
        <x:v>GB</x:v>
      </x:c>
      <x:c r="G202" s="187" t="str">
        <x:v>DE_FC</x:v>
      </x:c>
      <x:c r="H202" s="187" t="str">
        <x:v>CARRIER_B</x:v>
      </x:c>
      <x:c r="I202" s="187" t="str">
        <x:v>AIR</x:v>
      </x:c>
      <x:c r="J202" s="220" t="n">
        <x:v>20300</x:v>
      </x:c>
      <x:c r="K202" s="223" t="n">
        <x:v>0.44</x:v>
      </x:c>
      <x:c r="L202" s="223" t="n">
        <x:v>0.97</x:v>
      </x:c>
      <x:c r="M202" s="223" t="n">
        <x:v>0.25</x:v>
      </x:c>
      <x:c r="N202" s="226" t="n">
        <x:f>J202*K202*L202*M202</x:f>
        <x:v>2166.0099999999998</x:v>
      </x:c>
      <x:c r="O202" s="220" t="n">
        <x:v>1.22</x:v>
      </x:c>
      <x:c r="P202" s="226" t="n">
        <x:f>N202*O202</x:f>
        <x:v>2642.5321999999996</x:v>
      </x:c>
      <x:c r="Q202" s="220" t="n">
        <x:v>0.9682</x:v>
      </x:c>
      <x:c r="R202" s="226" t="n">
        <x:f>P202*Q202</x:f>
        <x:v>2558.4996760399995</x:v>
      </x:c>
      <x:c r="S202" s="220" t="n">
        <x:v>0.105</x:v>
      </x:c>
      <x:c r="T202" s="226" t="n">
        <x:f>N202*S202</x:f>
        <x:v>227.43104999999997</x:v>
      </x:c>
      <x:c r="U202" s="226" t="n">
        <x:v>0.017</x:v>
      </x:c>
      <x:c r="V202" s="226" t="n">
        <x:f>P202*U202</x:f>
        <x:v>44.923047399999994</x:v>
      </x:c>
      <x:c r="W202" s="196" t="str">
        <x:v>GBP</x:v>
      </x:c>
      <x:c r="X202" s="220" t="n">
        <x:v>6.803136</x:v>
      </x:c>
      <x:c r="Y202" s="196" t="str">
        <x:v>PERCENTAGE_OF_BASE_FREIGHT</x:v>
      </x:c>
      <x:c r="Z202" s="220" t="n">
        <x:v>0.1261872</x:v>
      </x:c>
      <x:c r="AA202" s="220" t="n">
        <x:v>7.95</x:v>
      </x:c>
      <x:c r="AB202" s="220" t="n">
        <x:v>9.22</x:v>
      </x:c>
      <x:c r="AC202" s="226" t="n">
        <x:f>IF(W202="EUR",AA202,IF(W202="GBP",AB202,1))</x:f>
        <x:v>9.22</x:v>
      </x:c>
      <x:c r="AD202" s="226" t="n">
        <x:f>R202*X202</x:f>
        <x:v>17405.82125205606</x:v>
      </x:c>
      <x:c r="AE202" s="226" t="n">
        <x:f>IF(Y202="PERCENTAGE_OF_BASE_FREIGHT",AD202*Z202,IF(Y202="PER_CHARGEABLE_KG",R202*Z202,P202*Z202))</x:f>
        <x:v>2196.3918474974485</x:v>
      </x:c>
      <x:c r="AF202" s="226" t="n">
        <x:f>AD202*AC202</x:f>
        <x:v>160481.67194395687</x:v>
      </x:c>
      <x:c r="AG202" s="226" t="n">
        <x:f>AE202*AC202</x:f>
        <x:v>20250.732833926475</x:v>
      </x:c>
      <x:c r="AH202" s="226" t="str">
        <x:v>EUR</x:v>
      </x:c>
      <x:c r="AI202" s="226" t="n">
        <x:v>1.19888</x:v>
      </x:c>
      <x:c r="AJ202" s="226" t="n">
        <x:f>IF(AH202="EUR",AA202,IF(AH202="GBP",AB202,1))</x:f>
        <x:v>7.95</x:v>
      </x:c>
      <x:c r="AK202" s="226" t="n">
        <x:f>N202*AI202</x:f>
        <x:v>2596.7860687999996</x:v>
      </x:c>
      <x:c r="AL202" s="226" t="n">
        <x:f>AK202*AJ202</x:f>
        <x:v>20644.449246959997</x:v>
      </x:c>
      <x:c r="AM202" s="226" t="str">
        <x:v>EUR</x:v>
      </x:c>
      <x:c r="AN202" s="226" t="n">
        <x:v>0.42672</x:v>
      </x:c>
      <x:c r="AO202" s="226" t="n">
        <x:f>IF(AM202="EUR",AA202,IF(AM202="GBP",AB202,1))</x:f>
        <x:v>7.95</x:v>
      </x:c>
      <x:c r="AP202" s="226" t="n">
        <x:f>P202*AN202</x:f>
        <x:v>1127.6213403839997</x:v>
      </x:c>
      <x:c r="AQ202" s="226" t="n">
        <x:f>AP202*AO202</x:f>
        <x:v>8964.589656052798</x:v>
      </x:c>
      <x:c r="AR202" s="226" t="str">
        <x:v>GBP</x:v>
      </x:c>
      <x:c r="AS202" s="226" t="n">
        <x:v>4.8768</x:v>
      </x:c>
      <x:c r="AT202" s="226" t="n">
        <x:f>IF(AR202="EUR",AA202,IF(AR202="GBP",AB202,1))</x:f>
        <x:v>9.22</x:v>
      </x:c>
      <x:c r="AU202" s="226" t="n">
        <x:f>T202*AS202</x:f>
        <x:v>1109.13574464</x:v>
      </x:c>
      <x:c r="AV202" s="226" t="n">
        <x:f>AU202*AT202</x:f>
        <x:v>10226.2315655808</x:v>
      </x:c>
      <x:c r="AW202" s="226" t="str">
        <x:v>GBP</x:v>
      </x:c>
      <x:c r="AX202" s="226" t="n">
        <x:v>2.8448</x:v>
      </x:c>
      <x:c r="AY202" s="226" t="n">
        <x:f>IF(AW202="EUR",AA202,IF(AW202="GBP",AB202,1))</x:f>
        <x:v>9.22</x:v>
      </x:c>
      <x:c r="AZ202" s="226" t="n">
        <x:f>V202*AX202</x:f>
        <x:v>127.79708524351999</x:v>
      </x:c>
      <x:c r="BA202" s="226" t="n">
        <x:f>AZ202*AY202</x:f>
        <x:v>1178.2891259452545</x:v>
      </x:c>
      <x:c r="BB202" s="226" t="n">
        <x:f>AF202+AG202+AL202+AQ202+AV202+BA202</x:f>
        <x:v>221745.96437242217</x:v>
      </x:c>
      <x:c r="BC202" s="229" t="n">
        <x:v>0.971</x:v>
      </x:c>
      <x:c r="BD202" s="202" t="str">
        <x:v>UK promotion</x:v>
      </x:c>
      <x:c r="BE202" s="202" t="str">
        <x:v>为维持促销期间履约时效，提高德国仓至英国的空运和 Carrier C 份额</x:v>
      </x:c>
      <x:c r="BF202" s="202"/>
      <x:c r="BG202" s="202" t="str">
        <x:v>UNVERIFIED_UNLIMITED_FOR_MVP</x:v>
      </x:c>
    </x:row>
    <x:row r="203">
      <x:c r="A203" s="187" t="str">
        <x:v>ACTUAL_2026_08_CLOSE_V1</x:v>
      </x:c>
      <x:c r="B203" s="187" t="str">
        <x:v>ACTUAL</x:v>
      </x:c>
      <x:c r="C203" s="187"/>
      <x:c r="D203" s="217" t="n">
        <x:v>46235</x:v>
      </x:c>
      <x:c r="E203" s="187" t="str">
        <x:v>R_GB_DE_C_AIR</x:v>
      </x:c>
      <x:c r="F203" s="187" t="str">
        <x:v>GB</x:v>
      </x:c>
      <x:c r="G203" s="187" t="str">
        <x:v>DE_FC</x:v>
      </x:c>
      <x:c r="H203" s="187" t="str">
        <x:v>CARRIER_C</x:v>
      </x:c>
      <x:c r="I203" s="187" t="str">
        <x:v>AIR</x:v>
      </x:c>
      <x:c r="J203" s="220" t="n">
        <x:v>20300</x:v>
      </x:c>
      <x:c r="K203" s="223" t="n">
        <x:v>0.44</x:v>
      </x:c>
      <x:c r="L203" s="223" t="n">
        <x:v>0.97</x:v>
      </x:c>
      <x:c r="M203" s="223" t="n">
        <x:v>0.4</x:v>
      </x:c>
      <x:c r="N203" s="226" t="n">
        <x:f>J203*K203*L203*M203</x:f>
        <x:v>3465.616</x:v>
      </x:c>
      <x:c r="O203" s="220" t="n">
        <x:v>1.22</x:v>
      </x:c>
      <x:c r="P203" s="226" t="n">
        <x:f>N203*O203</x:f>
        <x:v>4228.05152</x:v>
      </x:c>
      <x:c r="Q203" s="220" t="n">
        <x:v>0.9476</x:v>
      </x:c>
      <x:c r="R203" s="226" t="n">
        <x:f>P203*Q203</x:f>
        <x:v>4006.501620352</x:v>
      </x:c>
      <x:c r="S203" s="220" t="n">
        <x:v>0.105</x:v>
      </x:c>
      <x:c r="T203" s="226" t="n">
        <x:f>N203*S203</x:f>
        <x:v>363.88968</x:v>
      </x:c>
      <x:c r="U203" s="226" t="n">
        <x:v>0.012</x:v>
      </x:c>
      <x:c r="V203" s="226" t="n">
        <x:f>P203*U203</x:f>
        <x:v>50.73661824</x:v>
      </x:c>
      <x:c r="W203" s="196" t="str">
        <x:v>GBP</x:v>
      </x:c>
      <x:c r="X203" s="220" t="n">
        <x:v>8.5344</x:v>
      </x:c>
      <x:c r="Y203" s="196" t="str">
        <x:v>PER_CHARGEABLE_KG</x:v>
      </x:c>
      <x:c r="Z203" s="220" t="n">
        <x:v>0.6599936</x:v>
      </x:c>
      <x:c r="AA203" s="220" t="n">
        <x:v>7.95</x:v>
      </x:c>
      <x:c r="AB203" s="220" t="n">
        <x:v>9.22</x:v>
      </x:c>
      <x:c r="AC203" s="226" t="n">
        <x:f>IF(W203="EUR",AA203,IF(W203="GBP",AB203,1))</x:f>
        <x:v>9.22</x:v>
      </x:c>
      <x:c r="AD203" s="226" t="n">
        <x:f>R203*X203</x:f>
        <x:v>34193.087428732106</x:v>
      </x:c>
      <x:c r="AE203" s="226" t="n">
        <x:f>IF(Y203="PERCENTAGE_OF_BASE_FREIGHT",AD203*Z203,IF(Y203="PER_CHARGEABLE_KG",R203*Z203,P203*Z203))</x:f>
        <x:v>2644.2654278219497</x:v>
      </x:c>
      <x:c r="AF203" s="226" t="n">
        <x:f>AD203*AC203</x:f>
        <x:v>315260.26609291</x:v>
      </x:c>
      <x:c r="AG203" s="226" t="n">
        <x:f>AE203*AC203</x:f>
        <x:v>24380.12724451838</x:v>
      </x:c>
      <x:c r="AH203" s="226" t="str">
        <x:v>EUR</x:v>
      </x:c>
      <x:c r="AI203" s="226" t="n">
        <x:v>1.19888</x:v>
      </x:c>
      <x:c r="AJ203" s="226" t="n">
        <x:f>IF(AH203="EUR",AA203,IF(AH203="GBP",AB203,1))</x:f>
        <x:v>7.95</x:v>
      </x:c>
      <x:c r="AK203" s="226" t="n">
        <x:f>N203*AI203</x:f>
        <x:v>4154.857710079999</x:v>
      </x:c>
      <x:c r="AL203" s="226" t="n">
        <x:f>AK203*AJ203</x:f>
        <x:v>33031.118795136</x:v>
      </x:c>
      <x:c r="AM203" s="226" t="str">
        <x:v>EUR</x:v>
      </x:c>
      <x:c r="AN203" s="226" t="n">
        <x:v>0.42672</x:v>
      </x:c>
      <x:c r="AO203" s="226" t="n">
        <x:f>IF(AM203="EUR",AA203,IF(AM203="GBP",AB203,1))</x:f>
        <x:v>7.95</x:v>
      </x:c>
      <x:c r="AP203" s="226" t="n">
        <x:f>P203*AN203</x:f>
        <x:v>1804.1941446143999</x:v>
      </x:c>
      <x:c r="AQ203" s="226" t="n">
        <x:f>AP203*AO203</x:f>
        <x:v>14343.34344968448</x:v>
      </x:c>
      <x:c r="AR203" s="226" t="str">
        <x:v>GBP</x:v>
      </x:c>
      <x:c r="AS203" s="226" t="n">
        <x:v>4.8768</x:v>
      </x:c>
      <x:c r="AT203" s="226" t="n">
        <x:f>IF(AR203="EUR",AA203,IF(AR203="GBP",AB203,1))</x:f>
        <x:v>9.22</x:v>
      </x:c>
      <x:c r="AU203" s="226" t="n">
        <x:f>T203*AS203</x:f>
        <x:v>1774.617191424</x:v>
      </x:c>
      <x:c r="AV203" s="226" t="n">
        <x:f>AU203*AT203</x:f>
        <x:v>16361.970504929282</x:v>
      </x:c>
      <x:c r="AW203" s="226" t="str">
        <x:v>GBP</x:v>
      </x:c>
      <x:c r="AX203" s="226" t="n">
        <x:v>3.6576</x:v>
      </x:c>
      <x:c r="AY203" s="226" t="n">
        <x:f>IF(AW203="EUR",AA203,IF(AW203="GBP",AB203,1))</x:f>
        <x:v>9.22</x:v>
      </x:c>
      <x:c r="AZ203" s="226" t="n">
        <x:f>V203*AX203</x:f>
        <x:v>185.574254874624</x:v>
      </x:c>
      <x:c r="BA203" s="226" t="n">
        <x:f>AZ203*AY203</x:f>
        <x:v>1710.9946299440332</x:v>
      </x:c>
      <x:c r="BB203" s="226" t="n">
        <x:f>AF203+AG203+AL203+AQ203+AV203+BA203</x:f>
        <x:v>405087.82071712223</x:v>
      </x:c>
      <x:c r="BC203" s="229" t="n">
        <x:v>0.985</x:v>
      </x:c>
      <x:c r="BD203" s="202" t="str">
        <x:v>UK promotion</x:v>
      </x:c>
      <x:c r="BE203" s="202" t="str">
        <x:v>为维持促销期间履约时效，提高德国仓至英国的空运和 Carrier C 份额</x:v>
      </x:c>
      <x:c r="BF203" s="202"/>
      <x:c r="BG203" s="202" t="str">
        <x:v>UNVERIFIED_UNLIMITED_FOR_MVP</x:v>
      </x:c>
    </x:row>
    <x:row r="204">
      <x:c r="A204" s="187" t="str">
        <x:v>ACTUAL_2026_08_CLOSE_V1</x:v>
      </x:c>
      <x:c r="B204" s="187" t="str">
        <x:v>ACTUAL</x:v>
      </x:c>
      <x:c r="C204" s="187"/>
      <x:c r="D204" s="217" t="n">
        <x:v>46235</x:v>
      </x:c>
      <x:c r="E204" s="187" t="str">
        <x:v>R_GB_FR_B_AIR</x:v>
      </x:c>
      <x:c r="F204" s="187" t="str">
        <x:v>GB</x:v>
      </x:c>
      <x:c r="G204" s="187" t="str">
        <x:v>FR_FC</x:v>
      </x:c>
      <x:c r="H204" s="187" t="str">
        <x:v>CARRIER_B</x:v>
      </x:c>
      <x:c r="I204" s="187" t="str">
        <x:v>AIR</x:v>
      </x:c>
      <x:c r="J204" s="220" t="n">
        <x:v>20300</x:v>
      </x:c>
      <x:c r="K204" s="223" t="n">
        <x:v>0.44</x:v>
      </x:c>
      <x:c r="L204" s="223" t="n">
        <x:v>0.03</x:v>
      </x:c>
      <x:c r="M204" s="223" t="n">
        <x:v>1</x:v>
      </x:c>
      <x:c r="N204" s="226" t="n">
        <x:f>J204*K204*L204*M204</x:f>
        <x:v>267.96</x:v>
      </x:c>
      <x:c r="O204" s="220" t="n">
        <x:v>1.18</x:v>
      </x:c>
      <x:c r="P204" s="226" t="n">
        <x:f>N204*O204</x:f>
        <x:v>316.1928</x:v>
      </x:c>
      <x:c r="Q204" s="220" t="n">
        <x:v>0.927</x:v>
      </x:c>
      <x:c r="R204" s="226" t="n">
        <x:f>P204*Q204</x:f>
        <x:v>293.11072559999997</x:v>
      </x:c>
      <x:c r="S204" s="220" t="n">
        <x:v>0.105</x:v>
      </x:c>
      <x:c r="T204" s="226" t="n">
        <x:f>N204*S204</x:f>
        <x:v>28.135799999999996</x:v>
      </x:c>
      <x:c r="U204" s="226" t="n">
        <x:v>0.015</x:v>
      </x:c>
      <x:c r="V204" s="226" t="n">
        <x:f>P204*U204</x:f>
        <x:v>4.742891999999999</x:v>
      </x:c>
      <x:c r="W204" s="196" t="str">
        <x:v>EUR</x:v>
      </x:c>
      <x:c r="X204" s="220" t="n">
        <x:v>6.8072</x:v>
      </x:c>
      <x:c r="Y204" s="196" t="str">
        <x:v>PERCENTAGE_OF_BASE_FREIGHT</x:v>
      </x:c>
      <x:c r="Z204" s="220" t="n">
        <x:v>0.10668</x:v>
      </x:c>
      <x:c r="AA204" s="220" t="n">
        <x:v>7.95</x:v>
      </x:c>
      <x:c r="AB204" s="220" t="n">
        <x:v>9.22</x:v>
      </x:c>
      <x:c r="AC204" s="226" t="n">
        <x:f>IF(W204="EUR",AA204,IF(W204="GBP",AB204,1))</x:f>
        <x:v>7.95</x:v>
      </x:c>
      <x:c r="AD204" s="226" t="n">
        <x:f>R204*X204</x:f>
        <x:v>1995.2633313043198</x:v>
      </x:c>
      <x:c r="AE204" s="226" t="n">
        <x:f>IF(Y204="PERCENTAGE_OF_BASE_FREIGHT",AD204*Z204,IF(Y204="PER_CHARGEABLE_KG",R204*Z204,P204*Z204))</x:f>
        <x:v>212.8546921835448</x:v>
      </x:c>
      <x:c r="AF204" s="226" t="n">
        <x:f>AD204*AC204</x:f>
        <x:v>15862.343483869343</x:v>
      </x:c>
      <x:c r="AG204" s="226" t="n">
        <x:f>AE204*AC204</x:f>
        <x:v>1692.1948028591812</x:v>
      </x:c>
      <x:c r="AH204" s="226" t="str">
        <x:v>EUR</x:v>
      </x:c>
      <x:c r="AI204" s="226" t="n">
        <x:v>1.0668</x:v>
      </x:c>
      <x:c r="AJ204" s="226" t="n">
        <x:f>IF(AH204="EUR",AA204,IF(AH204="GBP",AB204,1))</x:f>
        <x:v>7.95</x:v>
      </x:c>
      <x:c r="AK204" s="226" t="n">
        <x:f>N204*AI204</x:f>
        <x:v>285.85972799999996</x:v>
      </x:c>
      <x:c r="AL204" s="226" t="n">
        <x:f>AK204*AJ204</x:f>
        <x:v>2272.5848376</x:v>
      </x:c>
      <x:c r="AM204" s="226" t="str">
        <x:v>EUR</x:v>
      </x:c>
      <x:c r="AN204" s="226" t="n">
        <x:v>0.38608</x:v>
      </x:c>
      <x:c r="AO204" s="226" t="n">
        <x:f>IF(AM204="EUR",AA204,IF(AM204="GBP",AB204,1))</x:f>
        <x:v>7.95</x:v>
      </x:c>
      <x:c r="AP204" s="226" t="n">
        <x:f>P204*AN204</x:f>
        <x:v>122.07571622399999</x:v>
      </x:c>
      <x:c r="AQ204" s="226" t="n">
        <x:f>AP204*AO204</x:f>
        <x:v>970.5019439808</x:v>
      </x:c>
      <x:c r="AR204" s="226" t="str">
        <x:v>EUR</x:v>
      </x:c>
      <x:c r="AS204" s="226" t="n">
        <x:v>5.2832</x:v>
      </x:c>
      <x:c r="AT204" s="226" t="n">
        <x:f>IF(AR204="EUR",AA204,IF(AR204="GBP",AB204,1))</x:f>
        <x:v>7.95</x:v>
      </x:c>
      <x:c r="AU204" s="226" t="n">
        <x:f>T204*AS204</x:f>
        <x:v>148.64705855999998</x:v>
      </x:c>
      <x:c r="AV204" s="226" t="n">
        <x:f>AU204*AT204</x:f>
        <x:v>1181.7441155519998</x:v>
      </x:c>
      <x:c r="AW204" s="226" t="str">
        <x:v>EUR</x:v>
      </x:c>
      <x:c r="AX204" s="226" t="n">
        <x:v>2.8448</x:v>
      </x:c>
      <x:c r="AY204" s="226" t="n">
        <x:f>IF(AW204="EUR",AA204,IF(AW204="GBP",AB204,1))</x:f>
        <x:v>7.95</x:v>
      </x:c>
      <x:c r="AZ204" s="226" t="n">
        <x:f>V204*AX204</x:f>
        <x:v>13.4925791616</x:v>
      </x:c>
      <x:c r="BA204" s="226" t="n">
        <x:f>AZ204*AY204</x:f>
        <x:v>107.26600433472001</x:v>
      </x:c>
      <x:c r="BB204" s="226" t="n">
        <x:f>AF204+AG204+AL204+AQ204+AV204+BA204</x:f>
        <x:v>22086.63518819604</x:v>
      </x:c>
      <x:c r="BC204" s="229" t="n">
        <x:v>0.968</x:v>
      </x:c>
      <x:c r="BD204" s="202" t="str">
        <x:v>UK promotion</x:v>
      </x:c>
      <x:c r="BE204" s="202" t="str">
        <x:v>为维持促销期间履约时效，提高德国仓至英国的空运和 Carrier C 份额</x:v>
      </x:c>
      <x:c r="BF204" s="202"/>
      <x:c r="BG204" s="202" t="str">
        <x:v>UNVERIFIED_UNLIMITED_FOR_MVP</x:v>
      </x:c>
    </x:row>
    <x:row r="205">
      <x:c r="A205" s="187" t="str">
        <x:v>FORECAST_2026_08_V1</x:v>
      </x:c>
      <x:c r="B205" s="187" t="str">
        <x:v>FORECAST</x:v>
      </x:c>
      <x:c r="C205" s="187"/>
      <x:c r="D205" s="217" t="n">
        <x:v>46266</x:v>
      </x:c>
      <x:c r="E205" s="187" t="str">
        <x:v>R_DE_DE_A_ROAD</x:v>
      </x:c>
      <x:c r="F205" s="187" t="str">
        <x:v>DE</x:v>
      </x:c>
      <x:c r="G205" s="187" t="str">
        <x:v>DE_FC</x:v>
      </x:c>
      <x:c r="H205" s="187" t="str">
        <x:v>CARRIER_A</x:v>
      </x:c>
      <x:c r="I205" s="187" t="str">
        <x:v>ROAD</x:v>
      </x:c>
      <x:c r="J205" s="220" t="n">
        <x:v>17200</x:v>
      </x:c>
      <x:c r="K205" s="223" t="n">
        <x:v>0.36</x:v>
      </x:c>
      <x:c r="L205" s="223" t="n">
        <x:v>0.97</x:v>
      </x:c>
      <x:c r="M205" s="223" t="n">
        <x:v>0.6</x:v>
      </x:c>
      <x:c r="N205" s="226" t="n">
        <x:f>J205*K205*L205*M205</x:f>
        <x:v>3603.7439999999997</x:v>
      </x:c>
      <x:c r="O205" s="220" t="n">
        <x:v>1.05</x:v>
      </x:c>
      <x:c r="P205" s="226" t="n">
        <x:f>N205*O205</x:f>
        <x:v>3783.9312</x:v>
      </x:c>
      <x:c r="Q205" s="220" t="n">
        <x:v>0.78</x:v>
      </x:c>
      <x:c r="R205" s="226" t="n">
        <x:f>P205*Q205</x:f>
        <x:v>2951.466336</x:v>
      </x:c>
      <x:c r="S205" s="220" t="n">
        <x:v>0.05</x:v>
      </x:c>
      <x:c r="T205" s="226" t="n">
        <x:f>N205*S205</x:f>
        <x:v>180.1872</x:v>
      </x:c>
      <x:c r="U205" s="226" t="n">
        <x:v>0.016</x:v>
      </x:c>
      <x:c r="V205" s="226" t="n">
        <x:f>P205*U205</x:f>
        <x:v>60.5428992</x:v>
      </x:c>
      <x:c r="W205" s="196" t="str">
        <x:v>EUR</x:v>
      </x:c>
      <x:c r="X205" s="220" t="n">
        <x:v>2.277</x:v>
      </x:c>
      <x:c r="Y205" s="196" t="str">
        <x:v>PERCENTAGE_OF_BASE_FREIGHT</x:v>
      </x:c>
      <x:c r="Z205" s="220" t="n">
        <x:v>0.098325</x:v>
      </x:c>
      <x:c r="AA205" s="220" t="n">
        <x:v>7.92</x:v>
      </x:c>
      <x:c r="AB205" s="220" t="n">
        <x:v>9.15</x:v>
      </x:c>
      <x:c r="AC205" s="226" t="n">
        <x:f>IF(W205="EUR",AA205,IF(W205="GBP",AB205,1))</x:f>
        <x:v>7.92</x:v>
      </x:c>
      <x:c r="AD205" s="226" t="n">
        <x:f>R205*X205</x:f>
        <x:v>6720.488847072001</x:v>
      </x:c>
      <x:c r="AE205" s="226" t="n">
        <x:f>IF(Y205="PERCENTAGE_OF_BASE_FREIGHT",AD205*Z205,IF(Y205="PER_CHARGEABLE_KG",R205*Z205,P205*Z205))</x:f>
        <x:v>660.7920658883544</x:v>
      </x:c>
      <x:c r="AF205" s="226" t="n">
        <x:f>AD205*AC205</x:f>
        <x:v>53226.271668810245</x:v>
      </x:c>
      <x:c r="AG205" s="226" t="n">
        <x:f>AE205*AC205</x:f>
        <x:v>5233.473161835766</x:v>
      </x:c>
      <x:c r="AH205" s="226" t="str">
        <x:v>EUR</x:v>
      </x:c>
      <x:c r="AI205" s="226" t="n">
        <x:v>1.2213</x:v>
      </x:c>
      <x:c r="AJ205" s="226" t="n">
        <x:f>IF(AH205="EUR",AA205,IF(AH205="GBP",AB205,1))</x:f>
        <x:v>7.92</x:v>
      </x:c>
      <x:c r="AK205" s="226" t="n">
        <x:f>N205*AI205</x:f>
        <x:v>4401.2525472</x:v>
      </x:c>
      <x:c r="AL205" s="226" t="n">
        <x:f>AK205*AJ205</x:f>
        <x:v>34857.920173824</x:v>
      </x:c>
      <x:c r="AM205" s="226" t="str">
        <x:v>EUR</x:v>
      </x:c>
      <x:c r="AN205" s="226" t="n">
        <x:v>0.4347</x:v>
      </x:c>
      <x:c r="AO205" s="226" t="n">
        <x:f>IF(AM205="EUR",AA205,IF(AM205="GBP",AB205,1))</x:f>
        <x:v>7.92</x:v>
      </x:c>
      <x:c r="AP205" s="226" t="n">
        <x:f>P205*AN205</x:f>
        <x:v>1644.8748926399999</x:v>
      </x:c>
      <x:c r="AQ205" s="226" t="n">
        <x:f>AP205*AO205</x:f>
        <x:v>13027.4091497088</x:v>
      </x:c>
      <x:c r="AR205" s="226" t="str">
        <x:v>EUR</x:v>
      </x:c>
      <x:c r="AS205" s="226" t="n">
        <x:v>3.312</x:v>
      </x:c>
      <x:c r="AT205" s="226" t="n">
        <x:f>IF(AR205="EUR",AA205,IF(AR205="GBP",AB205,1))</x:f>
        <x:v>7.92</x:v>
      </x:c>
      <x:c r="AU205" s="226" t="n">
        <x:f>T205*AS205</x:f>
        <x:v>596.7800063999999</x:v>
      </x:c>
      <x:c r="AV205" s="226" t="n">
        <x:f>AU205*AT205</x:f>
        <x:v>4726.497650687999</x:v>
      </x:c>
      <x:c r="AW205" s="226" t="str">
        <x:v>EUR</x:v>
      </x:c>
      <x:c r="AX205" s="226" t="n">
        <x:v>2.3805</x:v>
      </x:c>
      <x:c r="AY205" s="226" t="n">
        <x:f>IF(AW205="EUR",AA205,IF(AW205="GBP",AB205,1))</x:f>
        <x:v>7.92</x:v>
      </x:c>
      <x:c r="AZ205" s="226" t="n">
        <x:f>V205*AX205</x:f>
        <x:v>144.1223715456</x:v>
      </x:c>
      <x:c r="BA205" s="226" t="n">
        <x:f>AZ205*AY205</x:f>
        <x:v>1141.449182641152</x:v>
      </x:c>
      <x:c r="BB205" s="226" t="n">
        <x:f>AF205+AG205+AL205+AQ205+AV205+BA205</x:f>
        <x:v>112213.02098750796</x:v>
      </x:c>
      <x:c r="BC205" s="229" t="n">
        <x:v>0.965</x:v>
      </x:c>
      <x:c r="BD205" s="202"/>
      <x:c r="BE205" s="202" t="str">
        <x:v>正式 Forecast 逐月降低英国空运及 Carrier C 份额，但仍高于 Budget</x:v>
      </x:c>
      <x:c r="BF205" s="202"/>
      <x:c r="BG205" s="202" t="str">
        <x:v>UNVERIFIED_UNLIMITED_FOR_MVP</x:v>
      </x:c>
    </x:row>
    <x:row r="206">
      <x:c r="A206" s="187" t="str">
        <x:v>FORECAST_2026_08_V1</x:v>
      </x:c>
      <x:c r="B206" s="187" t="str">
        <x:v>FORECAST</x:v>
      </x:c>
      <x:c r="C206" s="187"/>
      <x:c r="D206" s="217" t="n">
        <x:v>46266</x:v>
      </x:c>
      <x:c r="E206" s="187" t="str">
        <x:v>R_DE_DE_B_ROAD</x:v>
      </x:c>
      <x:c r="F206" s="187" t="str">
        <x:v>DE</x:v>
      </x:c>
      <x:c r="G206" s="187" t="str">
        <x:v>DE_FC</x:v>
      </x:c>
      <x:c r="H206" s="187" t="str">
        <x:v>CARRIER_B</x:v>
      </x:c>
      <x:c r="I206" s="187" t="str">
        <x:v>ROAD</x:v>
      </x:c>
      <x:c r="J206" s="220" t="n">
        <x:v>17200</x:v>
      </x:c>
      <x:c r="K206" s="223" t="n">
        <x:v>0.36</x:v>
      </x:c>
      <x:c r="L206" s="223" t="n">
        <x:v>0.97</x:v>
      </x:c>
      <x:c r="M206" s="223" t="n">
        <x:v>0.4</x:v>
      </x:c>
      <x:c r="N206" s="226" t="n">
        <x:f>J206*K206*L206*M206</x:f>
        <x:v>2402.496</x:v>
      </x:c>
      <x:c r="O206" s="220" t="n">
        <x:v>1.05</x:v>
      </x:c>
      <x:c r="P206" s="226" t="n">
        <x:f>N206*O206</x:f>
        <x:v>2522.6208</x:v>
      </x:c>
      <x:c r="Q206" s="220" t="n">
        <x:v>0.8</x:v>
      </x:c>
      <x:c r="R206" s="226" t="n">
        <x:f>P206*Q206</x:f>
        <x:v>2018.0966400000002</x:v>
      </x:c>
      <x:c r="S206" s="220" t="n">
        <x:v>0.05</x:v>
      </x:c>
      <x:c r="T206" s="226" t="n">
        <x:f>N206*S206</x:f>
        <x:v>120.12480000000001</x:v>
      </x:c>
      <x:c r="U206" s="226" t="n">
        <x:v>0.013</x:v>
      </x:c>
      <x:c r="V206" s="226" t="n">
        <x:f>P206*U206</x:f>
        <x:v>32.7940704</x:v>
      </x:c>
      <x:c r="W206" s="196" t="str">
        <x:v>EUR</x:v>
      </x:c>
      <x:c r="X206" s="220" t="n">
        <x:v>2.84625</x:v>
      </x:c>
      <x:c r="Y206" s="196" t="str">
        <x:v>PER_CHARGEABLE_KG</x:v>
      </x:c>
      <x:c r="Z206" s="220" t="n">
        <x:v>0.21735</x:v>
      </x:c>
      <x:c r="AA206" s="220" t="n">
        <x:v>7.92</x:v>
      </x:c>
      <x:c r="AB206" s="220" t="n">
        <x:v>9.15</x:v>
      </x:c>
      <x:c r="AC206" s="226" t="n">
        <x:f>IF(W206="EUR",AA206,IF(W206="GBP",AB206,1))</x:f>
        <x:v>7.92</x:v>
      </x:c>
      <x:c r="AD206" s="226" t="n">
        <x:f>R206*X206</x:f>
        <x:v>5744.0075616</x:v>
      </x:c>
      <x:c r="AE206" s="226" t="n">
        <x:f>IF(Y206="PERCENTAGE_OF_BASE_FREIGHT",AD206*Z206,IF(Y206="PER_CHARGEABLE_KG",R206*Z206,P206*Z206))</x:f>
        <x:v>438.633304704</x:v>
      </x:c>
      <x:c r="AF206" s="226" t="n">
        <x:f>AD206*AC206</x:f>
        <x:v>45492.539887872</x:v>
      </x:c>
      <x:c r="AG206" s="226" t="n">
        <x:f>AE206*AC206</x:f>
        <x:v>3473.97577325568</x:v>
      </x:c>
      <x:c r="AH206" s="226" t="str">
        <x:v>EUR</x:v>
      </x:c>
      <x:c r="AI206" s="226" t="n">
        <x:v>1.2213</x:v>
      </x:c>
      <x:c r="AJ206" s="226" t="n">
        <x:f>IF(AH206="EUR",AA206,IF(AH206="GBP",AB206,1))</x:f>
        <x:v>7.92</x:v>
      </x:c>
      <x:c r="AK206" s="226" t="n">
        <x:f>N206*AI206</x:f>
        <x:v>2934.1683648000003</x:v>
      </x:c>
      <x:c r="AL206" s="226" t="n">
        <x:f>AK206*AJ206</x:f>
        <x:v>23238.613449216</x:v>
      </x:c>
      <x:c r="AM206" s="226" t="str">
        <x:v>EUR</x:v>
      </x:c>
      <x:c r="AN206" s="226" t="n">
        <x:v>0.4347</x:v>
      </x:c>
      <x:c r="AO206" s="226" t="n">
        <x:f>IF(AM206="EUR",AA206,IF(AM206="GBP",AB206,1))</x:f>
        <x:v>7.92</x:v>
      </x:c>
      <x:c r="AP206" s="226" t="n">
        <x:f>P206*AN206</x:f>
        <x:v>1096.58326176</x:v>
      </x:c>
      <x:c r="AQ206" s="226" t="n">
        <x:f>AP206*AO206</x:f>
        <x:v>8684.9394331392</x:v>
      </x:c>
      <x:c r="AR206" s="226" t="str">
        <x:v>EUR</x:v>
      </x:c>
      <x:c r="AS206" s="226" t="n">
        <x:v>3.312</x:v>
      </x:c>
      <x:c r="AT206" s="226" t="n">
        <x:f>IF(AR206="EUR",AA206,IF(AR206="GBP",AB206,1))</x:f>
        <x:v>7.92</x:v>
      </x:c>
      <x:c r="AU206" s="226" t="n">
        <x:f>T206*AS206</x:f>
        <x:v>397.85333760000003</x:v>
      </x:c>
      <x:c r="AV206" s="226" t="n">
        <x:f>AU206*AT206</x:f>
        <x:v>3150.998433792</x:v>
      </x:c>
      <x:c r="AW206" s="226" t="str">
        <x:v>EUR</x:v>
      </x:c>
      <x:c r="AX206" s="226" t="n">
        <x:v>2.3805</x:v>
      </x:c>
      <x:c r="AY206" s="226" t="n">
        <x:f>IF(AW206="EUR",AA206,IF(AW206="GBP",AB206,1))</x:f>
        <x:v>7.92</x:v>
      </x:c>
      <x:c r="AZ206" s="226" t="n">
        <x:f>V206*AX206</x:f>
        <x:v>78.0662845872</x:v>
      </x:c>
      <x:c r="BA206" s="226" t="n">
        <x:f>AZ206*AY206</x:f>
        <x:v>618.284973930624</x:v>
      </x:c>
      <x:c r="BB206" s="226" t="n">
        <x:f>AF206+AG206+AL206+AQ206+AV206+BA206</x:f>
        <x:v>84659.3519512055</x:v>
      </x:c>
      <x:c r="BC206" s="229" t="n">
        <x:v>0.976</x:v>
      </x:c>
      <x:c r="BD206" s="202"/>
      <x:c r="BE206" s="202" t="str">
        <x:v>正式 Forecast 逐月降低英国空运及 Carrier C 份额，但仍高于 Budget</x:v>
      </x:c>
      <x:c r="BF206" s="202"/>
      <x:c r="BG206" s="202" t="str">
        <x:v>UNVERIFIED_UNLIMITED_FOR_MVP</x:v>
      </x:c>
    </x:row>
    <x:row r="207">
      <x:c r="A207" s="187" t="str">
        <x:v>FORECAST_2026_08_V1</x:v>
      </x:c>
      <x:c r="B207" s="187" t="str">
        <x:v>FORECAST</x:v>
      </x:c>
      <x:c r="C207" s="187"/>
      <x:c r="D207" s="217" t="n">
        <x:v>46266</x:v>
      </x:c>
      <x:c r="E207" s="187" t="str">
        <x:v>R_DE_FR_B_ROAD</x:v>
      </x:c>
      <x:c r="F207" s="187" t="str">
        <x:v>DE</x:v>
      </x:c>
      <x:c r="G207" s="187" t="str">
        <x:v>FR_FC</x:v>
      </x:c>
      <x:c r="H207" s="187" t="str">
        <x:v>CARRIER_B</x:v>
      </x:c>
      <x:c r="I207" s="187" t="str">
        <x:v>ROAD</x:v>
      </x:c>
      <x:c r="J207" s="220" t="n">
        <x:v>17200</x:v>
      </x:c>
      <x:c r="K207" s="223" t="n">
        <x:v>0.36</x:v>
      </x:c>
      <x:c r="L207" s="223" t="n">
        <x:v>0.03</x:v>
      </x:c>
      <x:c r="M207" s="223" t="n">
        <x:v>1</x:v>
      </x:c>
      <x:c r="N207" s="226" t="n">
        <x:f>J207*K207*L207*M207</x:f>
        <x:v>185.76</x:v>
      </x:c>
      <x:c r="O207" s="220" t="n">
        <x:v>1.08</x:v>
      </x:c>
      <x:c r="P207" s="226" t="n">
        <x:f>N207*O207</x:f>
        <x:v>200.6208</x:v>
      </x:c>
      <x:c r="Q207" s="220" t="n">
        <x:v>0.86</x:v>
      </x:c>
      <x:c r="R207" s="226" t="n">
        <x:f>P207*Q207</x:f>
        <x:v>172.533888</x:v>
      </x:c>
      <x:c r="S207" s="220" t="n">
        <x:v>0.05</x:v>
      </x:c>
      <x:c r="T207" s="226" t="n">
        <x:f>N207*S207</x:f>
        <x:v>9.288</x:v>
      </x:c>
      <x:c r="U207" s="226" t="n">
        <x:v>0.014</x:v>
      </x:c>
      <x:c r="V207" s="226" t="n">
        <x:f>P207*U207</x:f>
        <x:v>2.8086912</x:v>
      </x:c>
      <x:c r="W207" s="196" t="str">
        <x:v>EUR</x:v>
      </x:c>
      <x:c r="X207" s="220" t="n">
        <x:v>3.4155</x:v>
      </x:c>
      <x:c r="Y207" s="196" t="str">
        <x:v>PER_CHARGEABLE_KG</x:v>
      </x:c>
      <x:c r="Z207" s="220" t="n">
        <x:v>0.2484</x:v>
      </x:c>
      <x:c r="AA207" s="220" t="n">
        <x:v>7.92</x:v>
      </x:c>
      <x:c r="AB207" s="220" t="n">
        <x:v>9.15</x:v>
      </x:c>
      <x:c r="AC207" s="226" t="n">
        <x:f>IF(W207="EUR",AA207,IF(W207="GBP",AB207,1))</x:f>
        <x:v>7.92</x:v>
      </x:c>
      <x:c r="AD207" s="226" t="n">
        <x:f>R207*X207</x:f>
        <x:v>589.289494464</x:v>
      </x:c>
      <x:c r="AE207" s="226" t="n">
        <x:f>IF(Y207="PERCENTAGE_OF_BASE_FREIGHT",AD207*Z207,IF(Y207="PER_CHARGEABLE_KG",R207*Z207,P207*Z207))</x:f>
        <x:v>42.8574177792</x:v>
      </x:c>
      <x:c r="AF207" s="226" t="n">
        <x:f>AD207*AC207</x:f>
        <x:v>4667.1727961548795</x:v>
      </x:c>
      <x:c r="AG207" s="226" t="n">
        <x:f>AE207*AC207</x:f>
        <x:v>339.430748811264</x:v>
      </x:c>
      <x:c r="AH207" s="226" t="str">
        <x:v>EUR</x:v>
      </x:c>
      <x:c r="AI207" s="226" t="n">
        <x:v>1.08675</x:v>
      </x:c>
      <x:c r="AJ207" s="226" t="n">
        <x:f>IF(AH207="EUR",AA207,IF(AH207="GBP",AB207,1))</x:f>
        <x:v>7.92</x:v>
      </x:c>
      <x:c r="AK207" s="226" t="n">
        <x:f>N207*AI207</x:f>
        <x:v>201.87468</x:v>
      </x:c>
      <x:c r="AL207" s="226" t="n">
        <x:f>AK207*AJ207</x:f>
        <x:v>1598.8474656</x:v>
      </x:c>
      <x:c r="AM207" s="226" t="str">
        <x:v>EUR</x:v>
      </x:c>
      <x:c r="AN207" s="226" t="n">
        <x:v>0.3933</x:v>
      </x:c>
      <x:c r="AO207" s="226" t="n">
        <x:f>IF(AM207="EUR",AA207,IF(AM207="GBP",AB207,1))</x:f>
        <x:v>7.92</x:v>
      </x:c>
      <x:c r="AP207" s="226" t="n">
        <x:f>P207*AN207</x:f>
        <x:v>78.90416064</x:v>
      </x:c>
      <x:c r="AQ207" s="226" t="n">
        <x:f>AP207*AO207</x:f>
        <x:v>624.9209522688</x:v>
      </x:c>
      <x:c r="AR207" s="226" t="str">
        <x:v>EUR</x:v>
      </x:c>
      <x:c r="AS207" s="226" t="n">
        <x:v>3.933</x:v>
      </x:c>
      <x:c r="AT207" s="226" t="n">
        <x:f>IF(AR207="EUR",AA207,IF(AR207="GBP",AB207,1))</x:f>
        <x:v>7.92</x:v>
      </x:c>
      <x:c r="AU207" s="226" t="n">
        <x:f>T207*AS207</x:f>
        <x:v>36.529704</x:v>
      </x:c>
      <x:c r="AV207" s="226" t="n">
        <x:f>AU207*AT207</x:f>
        <x:v>289.31525568</x:v>
      </x:c>
      <x:c r="AW207" s="226" t="str">
        <x:v>EUR</x:v>
      </x:c>
      <x:c r="AX207" s="226" t="n">
        <x:v>2.3805</x:v>
      </x:c>
      <x:c r="AY207" s="226" t="n">
        <x:f>IF(AW207="EUR",AA207,IF(AW207="GBP",AB207,1))</x:f>
        <x:v>7.92</x:v>
      </x:c>
      <x:c r="AZ207" s="226" t="n">
        <x:f>V207*AX207</x:f>
        <x:v>6.6860894016</x:v>
      </x:c>
      <x:c r="BA207" s="226" t="n">
        <x:f>AZ207*AY207</x:f>
        <x:v>52.953828060672</x:v>
      </x:c>
      <x:c r="BB207" s="226" t="n">
        <x:f>AF207+AG207+AL207+AQ207+AV207+BA207</x:f>
        <x:v>7572.641046575614</x:v>
      </x:c>
      <x:c r="BC207" s="229" t="n">
        <x:v>0.968</x:v>
      </x:c>
      <x:c r="BD207" s="202"/>
      <x:c r="BE207" s="202" t="str">
        <x:v>正式 Forecast 逐月降低英国空运及 Carrier C 份额，但仍高于 Budget</x:v>
      </x:c>
      <x:c r="BF207" s="202"/>
      <x:c r="BG207" s="202" t="str">
        <x:v>UNVERIFIED_UNLIMITED_FOR_MVP</x:v>
      </x:c>
    </x:row>
    <x:row r="208">
      <x:c r="A208" s="187" t="str">
        <x:v>FORECAST_2026_08_V1</x:v>
      </x:c>
      <x:c r="B208" s="187" t="str">
        <x:v>FORECAST</x:v>
      </x:c>
      <x:c r="C208" s="187"/>
      <x:c r="D208" s="217" t="n">
        <x:v>46266</x:v>
      </x:c>
      <x:c r="E208" s="187" t="str">
        <x:v>R_FR_FR_A_ROAD</x:v>
      </x:c>
      <x:c r="F208" s="187" t="str">
        <x:v>FR</x:v>
      </x:c>
      <x:c r="G208" s="187" t="str">
        <x:v>FR_FC</x:v>
      </x:c>
      <x:c r="H208" s="187" t="str">
        <x:v>CARRIER_A</x:v>
      </x:c>
      <x:c r="I208" s="187" t="str">
        <x:v>ROAD</x:v>
      </x:c>
      <x:c r="J208" s="220" t="n">
        <x:v>17200</x:v>
      </x:c>
      <x:c r="K208" s="223" t="n">
        <x:v>0.3</x:v>
      </x:c>
      <x:c r="L208" s="223" t="n">
        <x:v>1</x:v>
      </x:c>
      <x:c r="M208" s="223" t="n">
        <x:v>0.35</x:v>
      </x:c>
      <x:c r="N208" s="226" t="n">
        <x:f>J208*K208*L208*M208</x:f>
        <x:v>1805.9999999999998</x:v>
      </x:c>
      <x:c r="O208" s="220" t="n">
        <x:v>1.06</x:v>
      </x:c>
      <x:c r="P208" s="226" t="n">
        <x:f>N208*O208</x:f>
        <x:v>1914.36</x:v>
      </x:c>
      <x:c r="Q208" s="220" t="n">
        <x:v>0.76</x:v>
      </x:c>
      <x:c r="R208" s="226" t="n">
        <x:f>P208*Q208</x:f>
        <x:v>1454.9135999999999</x:v>
      </x:c>
      <x:c r="S208" s="220" t="n">
        <x:v>0.06</x:v>
      </x:c>
      <x:c r="T208" s="226" t="n">
        <x:f>N208*S208</x:f>
        <x:v>108.35999999999999</x:v>
      </x:c>
      <x:c r="U208" s="226" t="n">
        <x:v>0.017</x:v>
      </x:c>
      <x:c r="V208" s="226" t="n">
        <x:f>P208*U208</x:f>
        <x:v>32.54412</x:v>
      </x:c>
      <x:c r="W208" s="196" t="str">
        <x:v>EUR</x:v>
      </x:c>
      <x:c r="X208" s="220" t="n">
        <x:v>2.1735</x:v>
      </x:c>
      <x:c r="Y208" s="196" t="str">
        <x:v>PERCENTAGE_OF_BASE_FREIGHT</x:v>
      </x:c>
      <x:c r="Z208" s="220" t="n">
        <x:v>0.09315</x:v>
      </x:c>
      <x:c r="AA208" s="220" t="n">
        <x:v>7.92</x:v>
      </x:c>
      <x:c r="AB208" s="220" t="n">
        <x:v>9.15</x:v>
      </x:c>
      <x:c r="AC208" s="226" t="n">
        <x:f>IF(W208="EUR",AA208,IF(W208="GBP",AB208,1))</x:f>
        <x:v>7.92</x:v>
      </x:c>
      <x:c r="AD208" s="226" t="n">
        <x:f>R208*X208</x:f>
        <x:v>3162.2547096</x:v>
      </x:c>
      <x:c r="AE208" s="226" t="n">
        <x:f>IF(Y208="PERCENTAGE_OF_BASE_FREIGHT",AD208*Z208,IF(Y208="PER_CHARGEABLE_KG",R208*Z208,P208*Z208))</x:f>
        <x:v>294.56402619923995</x:v>
      </x:c>
      <x:c r="AF208" s="226" t="n">
        <x:f>AD208*AC208</x:f>
        <x:v>25045.057300032</x:v>
      </x:c>
      <x:c r="AG208" s="226" t="n">
        <x:f>AE208*AC208</x:f>
        <x:v>2332.94708749798</x:v>
      </x:c>
      <x:c r="AH208" s="226" t="str">
        <x:v>EUR</x:v>
      </x:c>
      <x:c r="AI208" s="226" t="n">
        <x:v>1.08675</x:v>
      </x:c>
      <x:c r="AJ208" s="226" t="n">
        <x:f>IF(AH208="EUR",AA208,IF(AH208="GBP",AB208,1))</x:f>
        <x:v>7.92</x:v>
      </x:c>
      <x:c r="AK208" s="226" t="n">
        <x:f>N208*AI208</x:f>
        <x:v>1962.6705</x:v>
      </x:c>
      <x:c r="AL208" s="226" t="n">
        <x:f>AK208*AJ208</x:f>
        <x:v>15544.350359999999</x:v>
      </x:c>
      <x:c r="AM208" s="226" t="str">
        <x:v>EUR</x:v>
      </x:c>
      <x:c r="AN208" s="226" t="n">
        <x:v>0.3933</x:v>
      </x:c>
      <x:c r="AO208" s="226" t="n">
        <x:f>IF(AM208="EUR",AA208,IF(AM208="GBP",AB208,1))</x:f>
        <x:v>7.92</x:v>
      </x:c>
      <x:c r="AP208" s="226" t="n">
        <x:f>P208*AN208</x:f>
        <x:v>752.917788</x:v>
      </x:c>
      <x:c r="AQ208" s="226" t="n">
        <x:f>AP208*AO208</x:f>
        <x:v>5963.10888096</x:v>
      </x:c>
      <x:c r="AR208" s="226" t="str">
        <x:v>EUR</x:v>
      </x:c>
      <x:c r="AS208" s="226" t="n">
        <x:v>3.105</x:v>
      </x:c>
      <x:c r="AT208" s="226" t="n">
        <x:f>IF(AR208="EUR",AA208,IF(AR208="GBP",AB208,1))</x:f>
        <x:v>7.92</x:v>
      </x:c>
      <x:c r="AU208" s="226" t="n">
        <x:f>T208*AS208</x:f>
        <x:v>336.45779999999996</x:v>
      </x:c>
      <x:c r="AV208" s="226" t="n">
        <x:f>AU208*AT208</x:f>
        <x:v>2664.7457759999998</x:v>
      </x:c>
      <x:c r="AW208" s="226" t="str">
        <x:v>EUR</x:v>
      </x:c>
      <x:c r="AX208" s="226" t="n">
        <x:v>2.3805</x:v>
      </x:c>
      <x:c r="AY208" s="226" t="n">
        <x:f>IF(AW208="EUR",AA208,IF(AW208="GBP",AB208,1))</x:f>
        <x:v>7.92</x:v>
      </x:c>
      <x:c r="AZ208" s="226" t="n">
        <x:f>V208*AX208</x:f>
        <x:v>77.47127766</x:v>
      </x:c>
      <x:c r="BA208" s="226" t="n">
        <x:f>AZ208*AY208</x:f>
        <x:v>613.5725190672</x:v>
      </x:c>
      <x:c r="BB208" s="226" t="n">
        <x:f>AF208+AG208+AL208+AQ208+AV208+BA208</x:f>
        <x:v>52163.78192355717</x:v>
      </x:c>
      <x:c r="BC208" s="229" t="n">
        <x:v>0.961</x:v>
      </x:c>
      <x:c r="BD208" s="202"/>
      <x:c r="BE208" s="202" t="str">
        <x:v>正式 Forecast 逐月降低英国空运及 Carrier C 份额，但仍高于 Budget</x:v>
      </x:c>
      <x:c r="BF208" s="202"/>
      <x:c r="BG208" s="202" t="str">
        <x:v>UNVERIFIED_UNLIMITED_FOR_MVP</x:v>
      </x:c>
    </x:row>
    <x:row r="209">
      <x:c r="A209" s="187" t="str">
        <x:v>FORECAST_2026_08_V1</x:v>
      </x:c>
      <x:c r="B209" s="187" t="str">
        <x:v>FORECAST</x:v>
      </x:c>
      <x:c r="C209" s="187"/>
      <x:c r="D209" s="217" t="n">
        <x:v>46266</x:v>
      </x:c>
      <x:c r="E209" s="187" t="str">
        <x:v>R_FR_FR_B_ROAD</x:v>
      </x:c>
      <x:c r="F209" s="187" t="str">
        <x:v>FR</x:v>
      </x:c>
      <x:c r="G209" s="187" t="str">
        <x:v>FR_FC</x:v>
      </x:c>
      <x:c r="H209" s="187" t="str">
        <x:v>CARRIER_B</x:v>
      </x:c>
      <x:c r="I209" s="187" t="str">
        <x:v>ROAD</x:v>
      </x:c>
      <x:c r="J209" s="220" t="n">
        <x:v>17200</x:v>
      </x:c>
      <x:c r="K209" s="223" t="n">
        <x:v>0.3</x:v>
      </x:c>
      <x:c r="L209" s="223" t="n">
        <x:v>1</x:v>
      </x:c>
      <x:c r="M209" s="223" t="n">
        <x:v>0.65</x:v>
      </x:c>
      <x:c r="N209" s="226" t="n">
        <x:f>J209*K209*L209*M209</x:f>
        <x:v>3354</x:v>
      </x:c>
      <x:c r="O209" s="220" t="n">
        <x:v>1.06</x:v>
      </x:c>
      <x:c r="P209" s="226" t="n">
        <x:f>N209*O209</x:f>
        <x:v>3555.2400000000002</x:v>
      </x:c>
      <x:c r="Q209" s="220" t="n">
        <x:v>0.79</x:v>
      </x:c>
      <x:c r="R209" s="226" t="n">
        <x:f>P209*Q209</x:f>
        <x:v>2808.6396000000004</x:v>
      </x:c>
      <x:c r="S209" s="220" t="n">
        <x:v>0.06</x:v>
      </x:c>
      <x:c r="T209" s="226" t="n">
        <x:f>N209*S209</x:f>
        <x:v>201.23999999999998</x:v>
      </x:c>
      <x:c r="U209" s="226" t="n">
        <x:v>0.014</x:v>
      </x:c>
      <x:c r="V209" s="226" t="n">
        <x:f>P209*U209</x:f>
        <x:v>49.773360000000004</x:v>
      </x:c>
      <x:c r="W209" s="196" t="str">
        <x:v>EUR</x:v>
      </x:c>
      <x:c r="X209" s="220" t="n">
        <x:v>2.691</x:v>
      </x:c>
      <x:c r="Y209" s="196" t="str">
        <x:v>PER_CHARGEABLE_KG</x:v>
      </x:c>
      <x:c r="Z209" s="220" t="n">
        <x:v>0.207</x:v>
      </x:c>
      <x:c r="AA209" s="220" t="n">
        <x:v>7.92</x:v>
      </x:c>
      <x:c r="AB209" s="220" t="n">
        <x:v>9.15</x:v>
      </x:c>
      <x:c r="AC209" s="226" t="n">
        <x:f>IF(W209="EUR",AA209,IF(W209="GBP",AB209,1))</x:f>
        <x:v>7.92</x:v>
      </x:c>
      <x:c r="AD209" s="226" t="n">
        <x:f>R209*X209</x:f>
        <x:v>7558.049163600001</x:v>
      </x:c>
      <x:c r="AE209" s="226" t="n">
        <x:f>IF(Y209="PERCENTAGE_OF_BASE_FREIGHT",AD209*Z209,IF(Y209="PER_CHARGEABLE_KG",R209*Z209,P209*Z209))</x:f>
        <x:v>581.3883972000001</x:v>
      </x:c>
      <x:c r="AF209" s="226" t="n">
        <x:f>AD209*AC209</x:f>
        <x:v>59859.749375712</x:v>
      </x:c>
      <x:c r="AG209" s="226" t="n">
        <x:f>AE209*AC209</x:f>
        <x:v>4604.596105824001</x:v>
      </x:c>
      <x:c r="AH209" s="226" t="str">
        <x:v>EUR</x:v>
      </x:c>
      <x:c r="AI209" s="226" t="n">
        <x:v>1.08675</x:v>
      </x:c>
      <x:c r="AJ209" s="226" t="n">
        <x:f>IF(AH209="EUR",AA209,IF(AH209="GBP",AB209,1))</x:f>
        <x:v>7.92</x:v>
      </x:c>
      <x:c r="AK209" s="226" t="n">
        <x:f>N209*AI209</x:f>
        <x:v>3644.9595000000004</x:v>
      </x:c>
      <x:c r="AL209" s="226" t="n">
        <x:f>AK209*AJ209</x:f>
        <x:v>28868.079240000003</x:v>
      </x:c>
      <x:c r="AM209" s="226" t="str">
        <x:v>EUR</x:v>
      </x:c>
      <x:c r="AN209" s="226" t="n">
        <x:v>0.3933</x:v>
      </x:c>
      <x:c r="AO209" s="226" t="n">
        <x:f>IF(AM209="EUR",AA209,IF(AM209="GBP",AB209,1))</x:f>
        <x:v>7.92</x:v>
      </x:c>
      <x:c r="AP209" s="226" t="n">
        <x:f>P209*AN209</x:f>
        <x:v>1398.275892</x:v>
      </x:c>
      <x:c r="AQ209" s="226" t="n">
        <x:f>AP209*AO209</x:f>
        <x:v>11074.345064640002</x:v>
      </x:c>
      <x:c r="AR209" s="226" t="str">
        <x:v>EUR</x:v>
      </x:c>
      <x:c r="AS209" s="226" t="n">
        <x:v>3.105</x:v>
      </x:c>
      <x:c r="AT209" s="226" t="n">
        <x:f>IF(AR209="EUR",AA209,IF(AR209="GBP",AB209,1))</x:f>
        <x:v>7.92</x:v>
      </x:c>
      <x:c r="AU209" s="226" t="n">
        <x:f>T209*AS209</x:f>
        <x:v>624.8502</x:v>
      </x:c>
      <x:c r="AV209" s="226" t="n">
        <x:f>AU209*AT209</x:f>
        <x:v>4948.8135839999995</x:v>
      </x:c>
      <x:c r="AW209" s="226" t="str">
        <x:v>EUR</x:v>
      </x:c>
      <x:c r="AX209" s="226" t="n">
        <x:v>2.3805</x:v>
      </x:c>
      <x:c r="AY209" s="226" t="n">
        <x:f>IF(AW209="EUR",AA209,IF(AW209="GBP",AB209,1))</x:f>
        <x:v>7.92</x:v>
      </x:c>
      <x:c r="AZ209" s="226" t="n">
        <x:f>V209*AX209</x:f>
        <x:v>118.48548348000001</x:v>
      </x:c>
      <x:c r="BA209" s="226" t="n">
        <x:f>AZ209*AY209</x:f>
        <x:v>938.4050291616</x:v>
      </x:c>
      <x:c r="BB209" s="226" t="n">
        <x:f>AF209+AG209+AL209+AQ209+AV209+BA209</x:f>
        <x:v>110293.98839933761</x:v>
      </x:c>
      <x:c r="BC209" s="229" t="n">
        <x:v>0.973</x:v>
      </x:c>
      <x:c r="BD209" s="202"/>
      <x:c r="BE209" s="202" t="str">
        <x:v>正式 Forecast 逐月降低英国空运及 Carrier C 份额，但仍高于 Budget</x:v>
      </x:c>
      <x:c r="BF209" s="202"/>
      <x:c r="BG209" s="202" t="str">
        <x:v>UNVERIFIED_UNLIMITED_FOR_MVP</x:v>
      </x:c>
    </x:row>
    <x:row r="210">
      <x:c r="A210" s="187" t="str">
        <x:v>FORECAST_2026_08_V1</x:v>
      </x:c>
      <x:c r="B210" s="187" t="str">
        <x:v>FORECAST</x:v>
      </x:c>
      <x:c r="C210" s="187"/>
      <x:c r="D210" s="217" t="n">
        <x:v>46266</x:v>
      </x:c>
      <x:c r="E210" s="187" t="str">
        <x:v>R_GB_DE_A_ROAD</x:v>
      </x:c>
      <x:c r="F210" s="187" t="str">
        <x:v>GB</x:v>
      </x:c>
      <x:c r="G210" s="187" t="str">
        <x:v>DE_FC</x:v>
      </x:c>
      <x:c r="H210" s="187" t="str">
        <x:v>CARRIER_A</x:v>
      </x:c>
      <x:c r="I210" s="187" t="str">
        <x:v>ROAD</x:v>
      </x:c>
      <x:c r="J210" s="220" t="n">
        <x:v>17200</x:v>
      </x:c>
      <x:c r="K210" s="223" t="n">
        <x:v>0.34</x:v>
      </x:c>
      <x:c r="L210" s="223" t="n">
        <x:v>0.96</x:v>
      </x:c>
      <x:c r="M210" s="223" t="n">
        <x:v>0.3</x:v>
      </x:c>
      <x:c r="N210" s="226" t="n">
        <x:f>J210*K210*L210*M210</x:f>
        <x:v>1684.224</x:v>
      </x:c>
      <x:c r="O210" s="220" t="n">
        <x:v>1.19</x:v>
      </x:c>
      <x:c r="P210" s="226" t="n">
        <x:f>N210*O210</x:f>
        <x:v>2004.2265599999998</x:v>
      </x:c>
      <x:c r="Q210" s="220" t="n">
        <x:v>1.0404</x:v>
      </x:c>
      <x:c r="R210" s="226" t="n">
        <x:f>P210*Q210</x:f>
        <x:v>2085.197313024</x:v>
      </x:c>
      <x:c r="S210" s="220" t="n">
        <x:v>0.095</x:v>
      </x:c>
      <x:c r="T210" s="226" t="n">
        <x:f>N210*S210</x:f>
        <x:v>160.00128</x:v>
      </x:c>
      <x:c r="U210" s="226" t="n">
        <x:v>0.027</x:v>
      </x:c>
      <x:c r="V210" s="226" t="n">
        <x:f>P210*U210</x:f>
        <x:v>54.114117119999996</x:v>
      </x:c>
      <x:c r="W210" s="196" t="str">
        <x:v>GBP</x:v>
      </x:c>
      <x:c r="X210" s="220" t="n">
        <x:v>4.14</x:v>
      </x:c>
      <x:c r="Y210" s="196" t="str">
        <x:v>PERCENTAGE_OF_BASE_FREIGHT</x:v>
      </x:c>
      <x:c r="Z210" s="220" t="n">
        <x:v>0.1035</x:v>
      </x:c>
      <x:c r="AA210" s="220" t="n">
        <x:v>7.92</x:v>
      </x:c>
      <x:c r="AB210" s="220" t="n">
        <x:v>9.15</x:v>
      </x:c>
      <x:c r="AC210" s="226" t="n">
        <x:f>IF(W210="EUR",AA210,IF(W210="GBP",AB210,1))</x:f>
        <x:v>9.15</x:v>
      </x:c>
      <x:c r="AD210" s="226" t="n">
        <x:f>R210*X210</x:f>
        <x:v>8632.71687591936</x:v>
      </x:c>
      <x:c r="AE210" s="226" t="n">
        <x:f>IF(Y210="PERCENTAGE_OF_BASE_FREIGHT",AD210*Z210,IF(Y210="PER_CHARGEABLE_KG",R210*Z210,P210*Z210))</x:f>
        <x:v>893.4861966576536</x:v>
      </x:c>
      <x:c r="AF210" s="226" t="n">
        <x:f>AD210*AC210</x:f>
        <x:v>78989.35941466213</x:v>
      </x:c>
      <x:c r="AG210" s="226" t="n">
        <x:f>AE210*AC210</x:f>
        <x:v>8175.398699417531</x:v>
      </x:c>
      <x:c r="AH210" s="226" t="str">
        <x:v>EUR</x:v>
      </x:c>
      <x:c r="AI210" s="226" t="n">
        <x:v>1.2213</x:v>
      </x:c>
      <x:c r="AJ210" s="226" t="n">
        <x:f>IF(AH210="EUR",AA210,IF(AH210="GBP",AB210,1))</x:f>
        <x:v>7.92</x:v>
      </x:c>
      <x:c r="AK210" s="226" t="n">
        <x:f>N210*AI210</x:f>
        <x:v>2056.9427712</x:v>
      </x:c>
      <x:c r="AL210" s="226" t="n">
        <x:f>AK210*AJ210</x:f>
        <x:v>16290.986747904</x:v>
      </x:c>
      <x:c r="AM210" s="226" t="str">
        <x:v>EUR</x:v>
      </x:c>
      <x:c r="AN210" s="226" t="n">
        <x:v>0.4347</x:v>
      </x:c>
      <x:c r="AO210" s="226" t="n">
        <x:f>IF(AM210="EUR",AA210,IF(AM210="GBP",AB210,1))</x:f>
        <x:v>7.92</x:v>
      </x:c>
      <x:c r="AP210" s="226" t="n">
        <x:f>P210*AN210</x:f>
        <x:v>871.2372856319998</x:v>
      </x:c>
      <x:c r="AQ210" s="226" t="n">
        <x:f>AP210*AO210</x:f>
        <x:v>6900.1993022054385</x:v>
      </x:c>
      <x:c r="AR210" s="226" t="str">
        <x:v>GBP</x:v>
      </x:c>
      <x:c r="AS210" s="226" t="n">
        <x:v>4.968</x:v>
      </x:c>
      <x:c r="AT210" s="226" t="n">
        <x:f>IF(AR210="EUR",AA210,IF(AR210="GBP",AB210,1))</x:f>
        <x:v>9.15</x:v>
      </x:c>
      <x:c r="AU210" s="226" t="n">
        <x:f>T210*AS210</x:f>
        <x:v>794.88635904</x:v>
      </x:c>
      <x:c r="AV210" s="226" t="n">
        <x:f>AU210*AT210</x:f>
        <x:v>7273.210185216</x:v>
      </x:c>
      <x:c r="AW210" s="226" t="str">
        <x:v>GBP</x:v>
      </x:c>
      <x:c r="AX210" s="226" t="n">
        <x:v>2.3805</x:v>
      </x:c>
      <x:c r="AY210" s="226" t="n">
        <x:f>IF(AW210="EUR",AA210,IF(AW210="GBP",AB210,1))</x:f>
        <x:v>9.15</x:v>
      </x:c>
      <x:c r="AZ210" s="226" t="n">
        <x:f>V210*AX210</x:f>
        <x:v>128.81865580416</x:v>
      </x:c>
      <x:c r="BA210" s="226" t="n">
        <x:f>AZ210*AY210</x:f>
        <x:v>1178.690700608064</x:v>
      </x:c>
      <x:c r="BB210" s="226" t="n">
        <x:f>AF210+AG210+AL210+AQ210+AV210+BA210</x:f>
        <x:v>118807.84505001316</x:v>
      </x:c>
      <x:c r="BC210" s="229" t="n">
        <x:v>0.93</x:v>
      </x:c>
      <x:c r="BD210" s="202"/>
      <x:c r="BE210" s="202" t="str">
        <x:v>正式 Forecast 逐月降低英国空运及 Carrier C 份额，但仍高于 Budget</x:v>
      </x:c>
      <x:c r="BF210" s="202"/>
      <x:c r="BG210" s="202" t="str">
        <x:v>UNVERIFIED_UNLIMITED_FOR_MVP</x:v>
      </x:c>
    </x:row>
    <x:row r="211">
      <x:c r="A211" s="187" t="str">
        <x:v>FORECAST_2026_08_V1</x:v>
      </x:c>
      <x:c r="B211" s="187" t="str">
        <x:v>FORECAST</x:v>
      </x:c>
      <x:c r="C211" s="187"/>
      <x:c r="D211" s="217" t="n">
        <x:v>46266</x:v>
      </x:c>
      <x:c r="E211" s="187" t="str">
        <x:v>R_GB_DE_B_ROAD</x:v>
      </x:c>
      <x:c r="F211" s="187" t="str">
        <x:v>GB</x:v>
      </x:c>
      <x:c r="G211" s="187" t="str">
        <x:v>DE_FC</x:v>
      </x:c>
      <x:c r="H211" s="187" t="str">
        <x:v>CARRIER_B</x:v>
      </x:c>
      <x:c r="I211" s="187" t="str">
        <x:v>ROAD</x:v>
      </x:c>
      <x:c r="J211" s="220" t="n">
        <x:v>17200</x:v>
      </x:c>
      <x:c r="K211" s="223" t="n">
        <x:v>0.34</x:v>
      </x:c>
      <x:c r="L211" s="223" t="n">
        <x:v>0.96</x:v>
      </x:c>
      <x:c r="M211" s="223" t="n">
        <x:v>0.17</x:v>
      </x:c>
      <x:c r="N211" s="226" t="n">
        <x:f>J211*K211*L211*M211</x:f>
        <x:v>954.3936000000001</x:v>
      </x:c>
      <x:c r="O211" s="220" t="n">
        <x:v>1.19</x:v>
      </x:c>
      <x:c r="P211" s="226" t="n">
        <x:f>N211*O211</x:f>
        <x:v>1135.728384</x:v>
      </x:c>
      <x:c r="Q211" s="220" t="n">
        <x:v>1.02</x:v>
      </x:c>
      <x:c r="R211" s="226" t="n">
        <x:f>P211*Q211</x:f>
        <x:v>1158.44295168</x:v>
      </x:c>
      <x:c r="S211" s="220" t="n">
        <x:v>0.095</x:v>
      </x:c>
      <x:c r="T211" s="226" t="n">
        <x:f>N211*S211</x:f>
        <x:v>90.667392</x:v>
      </x:c>
      <x:c r="U211" s="226" t="n">
        <x:v>0.02</x:v>
      </x:c>
      <x:c r="V211" s="226" t="n">
        <x:f>P211*U211</x:f>
        <x:v>22.714567680000002</x:v>
      </x:c>
      <x:c r="W211" s="196" t="str">
        <x:v>GBP</x:v>
      </x:c>
      <x:c r="X211" s="220" t="n">
        <x:v>4.8645</x:v>
      </x:c>
      <x:c r="Y211" s="196" t="str">
        <x:v>PER_CHARGEABLE_KG</x:v>
      </x:c>
      <x:c r="Z211" s="220" t="n">
        <x:v>0.34155</x:v>
      </x:c>
      <x:c r="AA211" s="220" t="n">
        <x:v>7.92</x:v>
      </x:c>
      <x:c r="AB211" s="220" t="n">
        <x:v>9.15</x:v>
      </x:c>
      <x:c r="AC211" s="226" t="n">
        <x:f>IF(W211="EUR",AA211,IF(W211="GBP",AB211,1))</x:f>
        <x:v>9.15</x:v>
      </x:c>
      <x:c r="AD211" s="226" t="n">
        <x:f>R211*X211</x:f>
        <x:v>5635.24573844736</x:v>
      </x:c>
      <x:c r="AE211" s="226" t="n">
        <x:f>IF(Y211="PERCENTAGE_OF_BASE_FREIGHT",AD211*Z211,IF(Y211="PER_CHARGEABLE_KG",R211*Z211,P211*Z211))</x:f>
        <x:v>395.6661901463041</x:v>
      </x:c>
      <x:c r="AF211" s="226" t="n">
        <x:f>AD211*AC211</x:f>
        <x:v>51562.498506793345</x:v>
      </x:c>
      <x:c r="AG211" s="226" t="n">
        <x:f>AE211*AC211</x:f>
        <x:v>3620.3456398386825</x:v>
      </x:c>
      <x:c r="AH211" s="226" t="str">
        <x:v>EUR</x:v>
      </x:c>
      <x:c r="AI211" s="226" t="n">
        <x:v>1.2213</x:v>
      </x:c>
      <x:c r="AJ211" s="226" t="n">
        <x:f>IF(AH211="EUR",AA211,IF(AH211="GBP",AB211,1))</x:f>
        <x:v>7.92</x:v>
      </x:c>
      <x:c r="AK211" s="226" t="n">
        <x:f>N211*AI211</x:f>
        <x:v>1165.60090368</x:v>
      </x:c>
      <x:c r="AL211" s="226" t="n">
        <x:f>AK211*AJ211</x:f>
        <x:v>9231.5591571456</x:v>
      </x:c>
      <x:c r="AM211" s="226" t="str">
        <x:v>EUR</x:v>
      </x:c>
      <x:c r="AN211" s="226" t="n">
        <x:v>0.4347</x:v>
      </x:c>
      <x:c r="AO211" s="226" t="n">
        <x:f>IF(AM211="EUR",AA211,IF(AM211="GBP",AB211,1))</x:f>
        <x:v>7.92</x:v>
      </x:c>
      <x:c r="AP211" s="226" t="n">
        <x:f>P211*AN211</x:f>
        <x:v>493.70112852479997</x:v>
      </x:c>
      <x:c r="AQ211" s="226" t="n">
        <x:f>AP211*AO211</x:f>
        <x:v>3910.112937916416</x:v>
      </x:c>
      <x:c r="AR211" s="226" t="str">
        <x:v>GBP</x:v>
      </x:c>
      <x:c r="AS211" s="226" t="n">
        <x:v>4.968</x:v>
      </x:c>
      <x:c r="AT211" s="226" t="n">
        <x:f>IF(AR211="EUR",AA211,IF(AR211="GBP",AB211,1))</x:f>
        <x:v>9.15</x:v>
      </x:c>
      <x:c r="AU211" s="226" t="n">
        <x:f>T211*AS211</x:f>
        <x:v>450.435603456</x:v>
      </x:c>
      <x:c r="AV211" s="226" t="n">
        <x:f>AU211*AT211</x:f>
        <x:v>4121.4857716224005</x:v>
      </x:c>
      <x:c r="AW211" s="226" t="str">
        <x:v>GBP</x:v>
      </x:c>
      <x:c r="AX211" s="226" t="n">
        <x:v>2.3805</x:v>
      </x:c>
      <x:c r="AY211" s="226" t="n">
        <x:f>IF(AW211="EUR",AA211,IF(AW211="GBP",AB211,1))</x:f>
        <x:v>9.15</x:v>
      </x:c>
      <x:c r="AZ211" s="226" t="n">
        <x:f>V211*AX211</x:f>
        <x:v>54.072028362240005</x:v>
      </x:c>
      <x:c r="BA211" s="226" t="n">
        <x:f>AZ211*AY211</x:f>
        <x:v>494.7590595144961</x:v>
      </x:c>
      <x:c r="BB211" s="226" t="n">
        <x:f>AF211+AG211+AL211+AQ211+AV211+BA211</x:f>
        <x:v>72940.76107283095</x:v>
      </x:c>
      <x:c r="BC211" s="229" t="n">
        <x:v>0.95</x:v>
      </x:c>
      <x:c r="BD211" s="202"/>
      <x:c r="BE211" s="202" t="str">
        <x:v>正式 Forecast 逐月降低英国空运及 Carrier C 份额，但仍高于 Budget</x:v>
      </x:c>
      <x:c r="BF211" s="202"/>
      <x:c r="BG211" s="202" t="str">
        <x:v>UNVERIFIED_UNLIMITED_FOR_MVP</x:v>
      </x:c>
    </x:row>
    <x:row r="212">
      <x:c r="A212" s="187" t="str">
        <x:v>FORECAST_2026_08_V1</x:v>
      </x:c>
      <x:c r="B212" s="187" t="str">
        <x:v>FORECAST</x:v>
      </x:c>
      <x:c r="C212" s="187"/>
      <x:c r="D212" s="217" t="n">
        <x:v>46266</x:v>
      </x:c>
      <x:c r="E212" s="187" t="str">
        <x:v>R_GB_DE_B_AIR</x:v>
      </x:c>
      <x:c r="F212" s="187" t="str">
        <x:v>GB</x:v>
      </x:c>
      <x:c r="G212" s="187" t="str">
        <x:v>DE_FC</x:v>
      </x:c>
      <x:c r="H212" s="187" t="str">
        <x:v>CARRIER_B</x:v>
      </x:c>
      <x:c r="I212" s="187" t="str">
        <x:v>AIR</x:v>
      </x:c>
      <x:c r="J212" s="220" t="n">
        <x:v>17200</x:v>
      </x:c>
      <x:c r="K212" s="223" t="n">
        <x:v>0.34</x:v>
      </x:c>
      <x:c r="L212" s="223" t="n">
        <x:v>0.96</x:v>
      </x:c>
      <x:c r="M212" s="223" t="n">
        <x:v>0.25</x:v>
      </x:c>
      <x:c r="N212" s="226" t="n">
        <x:f>J212*K212*L212*M212</x:f>
        <x:v>1403.52</x:v>
      </x:c>
      <x:c r="O212" s="220" t="n">
        <x:v>1.19</x:v>
      </x:c>
      <x:c r="P212" s="226" t="n">
        <x:f>N212*O212</x:f>
        <x:v>1670.1888</x:v>
      </x:c>
      <x:c r="Q212" s="220" t="n">
        <x:v>0.9588</x:v>
      </x:c>
      <x:c r="R212" s="226" t="n">
        <x:f>P212*Q212</x:f>
        <x:v>1601.37702144</x:v>
      </x:c>
      <x:c r="S212" s="220" t="n">
        <x:v>0.095</x:v>
      </x:c>
      <x:c r="T212" s="226" t="n">
        <x:f>N212*S212</x:f>
        <x:v>133.3344</x:v>
      </x:c>
      <x:c r="U212" s="226" t="n">
        <x:v>0.016</x:v>
      </x:c>
      <x:c r="V212" s="226" t="n">
        <x:f>P212*U212</x:f>
        <x:v>26.7230208</x:v>
      </x:c>
      <x:c r="W212" s="196" t="str">
        <x:v>GBP</x:v>
      </x:c>
      <x:c r="X212" s="220" t="n">
        <x:v>6.67368</x:v>
      </x:c>
      <x:c r="Y212" s="196" t="str">
        <x:v>PERCENTAGE_OF_BASE_FREIGHT</x:v>
      </x:c>
      <x:c r="Z212" s="220" t="n">
        <x:v>0.123786</x:v>
      </x:c>
      <x:c r="AA212" s="220" t="n">
        <x:v>7.92</x:v>
      </x:c>
      <x:c r="AB212" s="220" t="n">
        <x:v>9.15</x:v>
      </x:c>
      <x:c r="AC212" s="226" t="n">
        <x:f>IF(W212="EUR",AA212,IF(W212="GBP",AB212,1))</x:f>
        <x:v>9.15</x:v>
      </x:c>
      <x:c r="AD212" s="226" t="n">
        <x:f>R212*X212</x:f>
        <x:v>10687.077800443698</x:v>
      </x:c>
      <x:c r="AE212" s="226" t="n">
        <x:f>IF(Y212="PERCENTAGE_OF_BASE_FREIGHT",AD212*Z212,IF(Y212="PER_CHARGEABLE_KG",R212*Z212,P212*Z212))</x:f>
        <x:v>1322.9106126057236</x:v>
      </x:c>
      <x:c r="AF212" s="226" t="n">
        <x:f>AD212*AC212</x:f>
        <x:v>97786.76187405984</x:v>
      </x:c>
      <x:c r="AG212" s="226" t="n">
        <x:f>AE212*AC212</x:f>
        <x:v>12104.63210534237</x:v>
      </x:c>
      <x:c r="AH212" s="226" t="str">
        <x:v>EUR</x:v>
      </x:c>
      <x:c r="AI212" s="226" t="n">
        <x:v>1.2213</x:v>
      </x:c>
      <x:c r="AJ212" s="226" t="n">
        <x:f>IF(AH212="EUR",AA212,IF(AH212="GBP",AB212,1))</x:f>
        <x:v>7.92</x:v>
      </x:c>
      <x:c r="AK212" s="226" t="n">
        <x:f>N212*AI212</x:f>
        <x:v>1714.118976</x:v>
      </x:c>
      <x:c r="AL212" s="226" t="n">
        <x:f>AK212*AJ212</x:f>
        <x:v>13575.82228992</x:v>
      </x:c>
      <x:c r="AM212" s="226" t="str">
        <x:v>EUR</x:v>
      </x:c>
      <x:c r="AN212" s="226" t="n">
        <x:v>0.4347</x:v>
      </x:c>
      <x:c r="AO212" s="226" t="n">
        <x:f>IF(AM212="EUR",AA212,IF(AM212="GBP",AB212,1))</x:f>
        <x:v>7.92</x:v>
      </x:c>
      <x:c r="AP212" s="226" t="n">
        <x:f>P212*AN212</x:f>
        <x:v>726.0310713599999</x:v>
      </x:c>
      <x:c r="AQ212" s="226" t="n">
        <x:f>AP212*AO212</x:f>
        <x:v>5750.1660851711995</x:v>
      </x:c>
      <x:c r="AR212" s="226" t="str">
        <x:v>GBP</x:v>
      </x:c>
      <x:c r="AS212" s="226" t="n">
        <x:v>4.968</x:v>
      </x:c>
      <x:c r="AT212" s="226" t="n">
        <x:f>IF(AR212="EUR",AA212,IF(AR212="GBP",AB212,1))</x:f>
        <x:v>9.15</x:v>
      </x:c>
      <x:c r="AU212" s="226" t="n">
        <x:f>T212*AS212</x:f>
        <x:v>662.4052992</x:v>
      </x:c>
      <x:c r="AV212" s="226" t="n">
        <x:f>AU212*AT212</x:f>
        <x:v>6061.00848768</x:v>
      </x:c>
      <x:c r="AW212" s="226" t="str">
        <x:v>GBP</x:v>
      </x:c>
      <x:c r="AX212" s="226" t="n">
        <x:v>2.898</x:v>
      </x:c>
      <x:c r="AY212" s="226" t="n">
        <x:f>IF(AW212="EUR",AA212,IF(AW212="GBP",AB212,1))</x:f>
        <x:v>9.15</x:v>
      </x:c>
      <x:c r="AZ212" s="226" t="n">
        <x:f>V212*AX212</x:f>
        <x:v>77.44331427840001</x:v>
      </x:c>
      <x:c r="BA212" s="226" t="n">
        <x:f>AZ212*AY212</x:f>
        <x:v>708.6063256473601</x:v>
      </x:c>
      <x:c r="BB212" s="226" t="n">
        <x:f>AF212+AG212+AL212+AQ212+AV212+BA212</x:f>
        <x:v>135986.99716782078</x:v>
      </x:c>
      <x:c r="BC212" s="229" t="n">
        <x:v>0.974</x:v>
      </x:c>
      <x:c r="BD212" s="202"/>
      <x:c r="BE212" s="202" t="str">
        <x:v>正式 Forecast 逐月降低英国空运及 Carrier C 份额，但仍高于 Budget</x:v>
      </x:c>
      <x:c r="BF212" s="202"/>
      <x:c r="BG212" s="202" t="str">
        <x:v>UNVERIFIED_UNLIMITED_FOR_MVP</x:v>
      </x:c>
    </x:row>
    <x:row r="213">
      <x:c r="A213" s="187" t="str">
        <x:v>FORECAST_2026_08_V1</x:v>
      </x:c>
      <x:c r="B213" s="187" t="str">
        <x:v>FORECAST</x:v>
      </x:c>
      <x:c r="C213" s="187"/>
      <x:c r="D213" s="217" t="n">
        <x:v>46266</x:v>
      </x:c>
      <x:c r="E213" s="187" t="str">
        <x:v>R_GB_DE_C_AIR</x:v>
      </x:c>
      <x:c r="F213" s="187" t="str">
        <x:v>GB</x:v>
      </x:c>
      <x:c r="G213" s="187" t="str">
        <x:v>DE_FC</x:v>
      </x:c>
      <x:c r="H213" s="187" t="str">
        <x:v>CARRIER_C</x:v>
      </x:c>
      <x:c r="I213" s="187" t="str">
        <x:v>AIR</x:v>
      </x:c>
      <x:c r="J213" s="220" t="n">
        <x:v>17200</x:v>
      </x:c>
      <x:c r="K213" s="223" t="n">
        <x:v>0.34</x:v>
      </x:c>
      <x:c r="L213" s="223" t="n">
        <x:v>0.96</x:v>
      </x:c>
      <x:c r="M213" s="223" t="n">
        <x:v>0.28</x:v>
      </x:c>
      <x:c r="N213" s="226" t="n">
        <x:f>J213*K213*L213*M213</x:f>
        <x:v>1571.9424000000001</x:v>
      </x:c>
      <x:c r="O213" s="220" t="n">
        <x:v>1.19</x:v>
      </x:c>
      <x:c r="P213" s="226" t="n">
        <x:f>N213*O213</x:f>
        <x:v>1870.611456</x:v>
      </x:c>
      <x:c r="Q213" s="220" t="n">
        <x:v>0.9384</x:v>
      </x:c>
      <x:c r="R213" s="226" t="n">
        <x:f>P213*Q213</x:f>
        <x:v>1755.3817903104</x:v>
      </x:c>
      <x:c r="S213" s="220" t="n">
        <x:v>0.095</x:v>
      </x:c>
      <x:c r="T213" s="226" t="n">
        <x:f>N213*S213</x:f>
        <x:v>149.334528</x:v>
      </x:c>
      <x:c r="U213" s="226" t="n">
        <x:v>0.011</x:v>
      </x:c>
      <x:c r="V213" s="226" t="n">
        <x:f>P213*U213</x:f>
        <x:v>20.576726016</x:v>
      </x:c>
      <x:c r="W213" s="196" t="str">
        <x:v>GBP</x:v>
      </x:c>
      <x:c r="X213" s="220" t="n">
        <x:v>8.22825</x:v>
      </x:c>
      <x:c r="Y213" s="196" t="str">
        <x:v>PER_CHARGEABLE_KG</x:v>
      </x:c>
      <x:c r="Z213" s="220" t="n">
        <x:v>0.636318</x:v>
      </x:c>
      <x:c r="AA213" s="220" t="n">
        <x:v>7.92</x:v>
      </x:c>
      <x:c r="AB213" s="220" t="n">
        <x:v>9.15</x:v>
      </x:c>
      <x:c r="AC213" s="226" t="n">
        <x:f>IF(W213="EUR",AA213,IF(W213="GBP",AB213,1))</x:f>
        <x:v>9.15</x:v>
      </x:c>
      <x:c r="AD213" s="226" t="n">
        <x:f>R213*X213</x:f>
        <x:v>14443.720216121546</x:v>
      </x:c>
      <x:c r="AE213" s="226" t="n">
        <x:f>IF(Y213="PERCENTAGE_OF_BASE_FREIGHT",AD213*Z213,IF(Y213="PER_CHARGEABLE_KG",R213*Z213,P213*Z213))</x:f>
        <x:v>1116.9810300467332</x:v>
      </x:c>
      <x:c r="AF213" s="226" t="n">
        <x:f>AD213*AC213</x:f>
        <x:v>132160.03997751215</x:v>
      </x:c>
      <x:c r="AG213" s="226" t="n">
        <x:f>AE213*AC213</x:f>
        <x:v>10220.376424927608</x:v>
      </x:c>
      <x:c r="AH213" s="226" t="str">
        <x:v>EUR</x:v>
      </x:c>
      <x:c r="AI213" s="226" t="n">
        <x:v>1.2213</x:v>
      </x:c>
      <x:c r="AJ213" s="226" t="n">
        <x:f>IF(AH213="EUR",AA213,IF(AH213="GBP",AB213,1))</x:f>
        <x:v>7.92</x:v>
      </x:c>
      <x:c r="AK213" s="226" t="n">
        <x:f>N213*AI213</x:f>
        <x:v>1919.8132531200004</x:v>
      </x:c>
      <x:c r="AL213" s="226" t="n">
        <x:f>AK213*AJ213</x:f>
        <x:v>15204.920964710403</x:v>
      </x:c>
      <x:c r="AM213" s="226" t="str">
        <x:v>EUR</x:v>
      </x:c>
      <x:c r="AN213" s="226" t="n">
        <x:v>0.4347</x:v>
      </x:c>
      <x:c r="AO213" s="226" t="n">
        <x:f>IF(AM213="EUR",AA213,IF(AM213="GBP",AB213,1))</x:f>
        <x:v>7.92</x:v>
      </x:c>
      <x:c r="AP213" s="226" t="n">
        <x:f>P213*AN213</x:f>
        <x:v>813.1547999232</x:v>
      </x:c>
      <x:c r="AQ213" s="226" t="n">
        <x:f>AP213*AO213</x:f>
        <x:v>6440.186015391744</x:v>
      </x:c>
      <x:c r="AR213" s="226" t="str">
        <x:v>GBP</x:v>
      </x:c>
      <x:c r="AS213" s="226" t="n">
        <x:v>4.968</x:v>
      </x:c>
      <x:c r="AT213" s="226" t="n">
        <x:f>IF(AR213="EUR",AA213,IF(AR213="GBP",AB213,1))</x:f>
        <x:v>9.15</x:v>
      </x:c>
      <x:c r="AU213" s="226" t="n">
        <x:f>T213*AS213</x:f>
        <x:v>741.893935104</x:v>
      </x:c>
      <x:c r="AV213" s="226" t="n">
        <x:f>AU213*AT213</x:f>
        <x:v>6788.3295062016</x:v>
      </x:c>
      <x:c r="AW213" s="226" t="str">
        <x:v>GBP</x:v>
      </x:c>
      <x:c r="AX213" s="226" t="n">
        <x:v>3.726</x:v>
      </x:c>
      <x:c r="AY213" s="226" t="n">
        <x:f>IF(AW213="EUR",AA213,IF(AW213="GBP",AB213,1))</x:f>
        <x:v>9.15</x:v>
      </x:c>
      <x:c r="AZ213" s="226" t="n">
        <x:f>V213*AX213</x:f>
        <x:v>76.66888113561599</x:v>
      </x:c>
      <x:c r="BA213" s="226" t="n">
        <x:f>AZ213*AY213</x:f>
        <x:v>701.5202623908864</x:v>
      </x:c>
      <x:c r="BB213" s="226" t="n">
        <x:f>AF213+AG213+AL213+AQ213+AV213+BA213</x:f>
        <x:v>171515.37315113444</x:v>
      </x:c>
      <x:c r="BC213" s="229" t="n">
        <x:v>0.988</x:v>
      </x:c>
      <x:c r="BD213" s="202"/>
      <x:c r="BE213" s="202" t="str">
        <x:v>正式 Forecast 逐月降低英国空运及 Carrier C 份额，但仍高于 Budget</x:v>
      </x:c>
      <x:c r="BF213" s="202"/>
      <x:c r="BG213" s="202" t="str">
        <x:v>UNVERIFIED_UNLIMITED_FOR_MVP</x:v>
      </x:c>
    </x:row>
    <x:row r="214">
      <x:c r="A214" s="187" t="str">
        <x:v>FORECAST_2026_08_V1</x:v>
      </x:c>
      <x:c r="B214" s="187" t="str">
        <x:v>FORECAST</x:v>
      </x:c>
      <x:c r="C214" s="187"/>
      <x:c r="D214" s="217" t="n">
        <x:v>46266</x:v>
      </x:c>
      <x:c r="E214" s="187" t="str">
        <x:v>R_GB_FR_B_AIR</x:v>
      </x:c>
      <x:c r="F214" s="187" t="str">
        <x:v>GB</x:v>
      </x:c>
      <x:c r="G214" s="187" t="str">
        <x:v>FR_FC</x:v>
      </x:c>
      <x:c r="H214" s="187" t="str">
        <x:v>CARRIER_B</x:v>
      </x:c>
      <x:c r="I214" s="187" t="str">
        <x:v>AIR</x:v>
      </x:c>
      <x:c r="J214" s="220" t="n">
        <x:v>17200</x:v>
      </x:c>
      <x:c r="K214" s="223" t="n">
        <x:v>0.34</x:v>
      </x:c>
      <x:c r="L214" s="223" t="n">
        <x:v>0.04</x:v>
      </x:c>
      <x:c r="M214" s="223" t="n">
        <x:v>1</x:v>
      </x:c>
      <x:c r="N214" s="226" t="n">
        <x:f>J214*K214*L214*M214</x:f>
        <x:v>233.92000000000002</x:v>
      </x:c>
      <x:c r="O214" s="220" t="n">
        <x:v>1.17</x:v>
      </x:c>
      <x:c r="P214" s="226" t="n">
        <x:f>N214*O214</x:f>
        <x:v>273.6864</x:v>
      </x:c>
      <x:c r="Q214" s="220" t="n">
        <x:v>0.918</x:v>
      </x:c>
      <x:c r="R214" s="226" t="n">
        <x:f>P214*Q214</x:f>
        <x:v>251.2441152</x:v>
      </x:c>
      <x:c r="S214" s="220" t="n">
        <x:v>0.095</x:v>
      </x:c>
      <x:c r="T214" s="226" t="n">
        <x:f>N214*S214</x:f>
        <x:v>22.2224</x:v>
      </x:c>
      <x:c r="U214" s="226" t="n">
        <x:v>0.014</x:v>
      </x:c>
      <x:c r="V214" s="226" t="n">
        <x:f>P214*U214</x:f>
        <x:v>3.8316096</x:v>
      </x:c>
      <x:c r="W214" s="196" t="str">
        <x:v>EUR</x:v>
      </x:c>
      <x:c r="X214" s="220" t="n">
        <x:v>6.9345</x:v>
      </x:c>
      <x:c r="Y214" s="196" t="str">
        <x:v>PERCENTAGE_OF_BASE_FREIGHT</x:v>
      </x:c>
      <x:c r="Z214" s="220" t="n">
        <x:v>0.108675</x:v>
      </x:c>
      <x:c r="AA214" s="220" t="n">
        <x:v>7.92</x:v>
      </x:c>
      <x:c r="AB214" s="220" t="n">
        <x:v>9.15</x:v>
      </x:c>
      <x:c r="AC214" s="226" t="n">
        <x:f>IF(W214="EUR",AA214,IF(W214="GBP",AB214,1))</x:f>
        <x:v>7.92</x:v>
      </x:c>
      <x:c r="AD214" s="226" t="n">
        <x:f>R214*X214</x:f>
        <x:v>1742.2523168544</x:v>
      </x:c>
      <x:c r="AE214" s="226" t="n">
        <x:f>IF(Y214="PERCENTAGE_OF_BASE_FREIGHT",AD214*Z214,IF(Y214="PER_CHARGEABLE_KG",R214*Z214,P214*Z214))</x:f>
        <x:v>189.33927053415192</x:v>
      </x:c>
      <x:c r="AF214" s="226" t="n">
        <x:f>AD214*AC214</x:f>
        <x:v>13798.638349486848</x:v>
      </x:c>
      <x:c r="AG214" s="226" t="n">
        <x:f>AE214*AC214</x:f>
        <x:v>1499.5670226304833</x:v>
      </x:c>
      <x:c r="AH214" s="226" t="str">
        <x:v>EUR</x:v>
      </x:c>
      <x:c r="AI214" s="226" t="n">
        <x:v>1.08675</x:v>
      </x:c>
      <x:c r="AJ214" s="226" t="n">
        <x:f>IF(AH214="EUR",AA214,IF(AH214="GBP",AB214,1))</x:f>
        <x:v>7.92</x:v>
      </x:c>
      <x:c r="AK214" s="226" t="n">
        <x:f>N214*AI214</x:f>
        <x:v>254.21256000000005</x:v>
      </x:c>
      <x:c r="AL214" s="226" t="n">
        <x:f>AK214*AJ214</x:f>
        <x:v>2013.3634752000005</x:v>
      </x:c>
      <x:c r="AM214" s="226" t="str">
        <x:v>EUR</x:v>
      </x:c>
      <x:c r="AN214" s="226" t="n">
        <x:v>0.3933</x:v>
      </x:c>
      <x:c r="AO214" s="226" t="n">
        <x:f>IF(AM214="EUR",AA214,IF(AM214="GBP",AB214,1))</x:f>
        <x:v>7.92</x:v>
      </x:c>
      <x:c r="AP214" s="226" t="n">
        <x:f>P214*AN214</x:f>
        <x:v>107.64086112</x:v>
      </x:c>
      <x:c r="AQ214" s="226" t="n">
        <x:f>AP214*AO214</x:f>
        <x:v>852.5156200704</x:v>
      </x:c>
      <x:c r="AR214" s="226" t="str">
        <x:v>EUR</x:v>
      </x:c>
      <x:c r="AS214" s="226" t="n">
        <x:v>5.382</x:v>
      </x:c>
      <x:c r="AT214" s="226" t="n">
        <x:f>IF(AR214="EUR",AA214,IF(AR214="GBP",AB214,1))</x:f>
        <x:v>7.92</x:v>
      </x:c>
      <x:c r="AU214" s="226" t="n">
        <x:f>T214*AS214</x:f>
        <x:v>119.60095679999999</x:v>
      </x:c>
      <x:c r="AV214" s="226" t="n">
        <x:f>AU214*AT214</x:f>
        <x:v>947.2395778559999</x:v>
      </x:c>
      <x:c r="AW214" s="226" t="str">
        <x:v>EUR</x:v>
      </x:c>
      <x:c r="AX214" s="226" t="n">
        <x:v>2.898</x:v>
      </x:c>
      <x:c r="AY214" s="226" t="n">
        <x:f>IF(AW214="EUR",AA214,IF(AW214="GBP",AB214,1))</x:f>
        <x:v>7.92</x:v>
      </x:c>
      <x:c r="AZ214" s="226" t="n">
        <x:f>V214*AX214</x:f>
        <x:v>11.104004620800001</x:v>
      </x:c>
      <x:c r="BA214" s="226" t="n">
        <x:f>AZ214*AY214</x:f>
        <x:v>87.94371659673601</x:v>
      </x:c>
      <x:c r="BB214" s="226" t="n">
        <x:f>AF214+AG214+AL214+AQ214+AV214+BA214</x:f>
        <x:v>19199.267761840467</x:v>
      </x:c>
      <x:c r="BC214" s="229" t="n">
        <x:v>0.971</x:v>
      </x:c>
      <x:c r="BD214" s="202"/>
      <x:c r="BE214" s="202" t="str">
        <x:v>正式 Forecast 逐月降低英国空运及 Carrier C 份额，但仍高于 Budget</x:v>
      </x:c>
      <x:c r="BF214" s="202"/>
      <x:c r="BG214" s="202" t="str">
        <x:v>UNVERIFIED_UNLIMITED_FOR_MVP</x:v>
      </x:c>
    </x:row>
    <x:row r="215">
      <x:c r="A215" s="187" t="str">
        <x:v>FORECAST_2026_08_V1</x:v>
      </x:c>
      <x:c r="B215" s="187" t="str">
        <x:v>FORECAST</x:v>
      </x:c>
      <x:c r="C215" s="187"/>
      <x:c r="D215" s="217" t="n">
        <x:v>46296</x:v>
      </x:c>
      <x:c r="E215" s="187" t="str">
        <x:v>R_DE_DE_A_ROAD</x:v>
      </x:c>
      <x:c r="F215" s="187" t="str">
        <x:v>DE</x:v>
      </x:c>
      <x:c r="G215" s="187" t="str">
        <x:v>DE_FC</x:v>
      </x:c>
      <x:c r="H215" s="187" t="str">
        <x:v>CARRIER_A</x:v>
      </x:c>
      <x:c r="I215" s="187" t="str">
        <x:v>ROAD</x:v>
      </x:c>
      <x:c r="J215" s="220" t="n">
        <x:v>19500</x:v>
      </x:c>
      <x:c r="K215" s="223" t="n">
        <x:v>0.34</x:v>
      </x:c>
      <x:c r="L215" s="223" t="n">
        <x:v>0.97</x:v>
      </x:c>
      <x:c r="M215" s="223" t="n">
        <x:v>0.6</x:v>
      </x:c>
      <x:c r="N215" s="226" t="n">
        <x:f>J215*K215*L215*M215</x:f>
        <x:v>3858.66</x:v>
      </x:c>
      <x:c r="O215" s="220" t="n">
        <x:v>1.05</x:v>
      </x:c>
      <x:c r="P215" s="226" t="n">
        <x:f>N215*O215</x:f>
        <x:v>4051.593</x:v>
      </x:c>
      <x:c r="Q215" s="220" t="n">
        <x:v>0.7878</x:v>
      </x:c>
      <x:c r="R215" s="226" t="n">
        <x:f>P215*Q215</x:f>
        <x:v>3191.8449653999996</x:v>
      </x:c>
      <x:c r="S215" s="220" t="n">
        <x:v>0.05</x:v>
      </x:c>
      <x:c r="T215" s="226" t="n">
        <x:f>N215*S215</x:f>
        <x:v>192.933</x:v>
      </x:c>
      <x:c r="U215" s="226" t="n">
        <x:v>0.016</x:v>
      </x:c>
      <x:c r="V215" s="226" t="n">
        <x:f>P215*U215</x:f>
        <x:v>64.82548799999999</x:v>
      </x:c>
      <x:c r="W215" s="196" t="str">
        <x:v>EUR</x:v>
      </x:c>
      <x:c r="X215" s="220" t="n">
        <x:v>2.277</x:v>
      </x:c>
      <x:c r="Y215" s="196" t="str">
        <x:v>PERCENTAGE_OF_BASE_FREIGHT</x:v>
      </x:c>
      <x:c r="Z215" s="220" t="n">
        <x:v>0.098325</x:v>
      </x:c>
      <x:c r="AA215" s="220" t="n">
        <x:v>7.9</x:v>
      </x:c>
      <x:c r="AB215" s="220" t="n">
        <x:v>9.1</x:v>
      </x:c>
      <x:c r="AC215" s="226" t="n">
        <x:f>IF(W215="EUR",AA215,IF(W215="GBP",AB215,1))</x:f>
        <x:v>7.9</x:v>
      </x:c>
      <x:c r="AD215" s="226" t="n">
        <x:f>R215*X215</x:f>
        <x:v>7267.830986215799</x:v>
      </x:c>
      <x:c r="AE215" s="226" t="n">
        <x:f>IF(Y215="PERCENTAGE_OF_BASE_FREIGHT",AD215*Z215,IF(Y215="PER_CHARGEABLE_KG",R215*Z215,P215*Z215))</x:f>
        <x:v>714.6094817196685</x:v>
      </x:c>
      <x:c r="AF215" s="226" t="n">
        <x:f>AD215*AC215</x:f>
        <x:v>57415.86479110482</x:v>
      </x:c>
      <x:c r="AG215" s="226" t="n">
        <x:f>AE215*AC215</x:f>
        <x:v>5645.414905585381</x:v>
      </x:c>
      <x:c r="AH215" s="226" t="str">
        <x:v>EUR</x:v>
      </x:c>
      <x:c r="AI215" s="226" t="n">
        <x:v>1.2213</x:v>
      </x:c>
      <x:c r="AJ215" s="226" t="n">
        <x:f>IF(AH215="EUR",AA215,IF(AH215="GBP",AB215,1))</x:f>
        <x:v>7.9</x:v>
      </x:c>
      <x:c r="AK215" s="226" t="n">
        <x:f>N215*AI215</x:f>
        <x:v>4712.581458</x:v>
      </x:c>
      <x:c r="AL215" s="226" t="n">
        <x:f>AK215*AJ215</x:f>
        <x:v>37229.3935182</x:v>
      </x:c>
      <x:c r="AM215" s="226" t="str">
        <x:v>EUR</x:v>
      </x:c>
      <x:c r="AN215" s="226" t="n">
        <x:v>0.4347</x:v>
      </x:c>
      <x:c r="AO215" s="226" t="n">
        <x:f>IF(AM215="EUR",AA215,IF(AM215="GBP",AB215,1))</x:f>
        <x:v>7.9</x:v>
      </x:c>
      <x:c r="AP215" s="226" t="n">
        <x:f>P215*AN215</x:f>
        <x:v>1761.2274770999998</x:v>
      </x:c>
      <x:c r="AQ215" s="226" t="n">
        <x:f>AP215*AO215</x:f>
        <x:v>13913.697069089998</x:v>
      </x:c>
      <x:c r="AR215" s="226" t="str">
        <x:v>EUR</x:v>
      </x:c>
      <x:c r="AS215" s="226" t="n">
        <x:v>3.312</x:v>
      </x:c>
      <x:c r="AT215" s="226" t="n">
        <x:f>IF(AR215="EUR",AA215,IF(AR215="GBP",AB215,1))</x:f>
        <x:v>7.9</x:v>
      </x:c>
      <x:c r="AU215" s="226" t="n">
        <x:f>T215*AS215</x:f>
        <x:v>638.9940959999999</x:v>
      </x:c>
      <x:c r="AV215" s="226" t="n">
        <x:f>AU215*AT215</x:f>
        <x:v>5048.0533583999995</x:v>
      </x:c>
      <x:c r="AW215" s="226" t="str">
        <x:v>EUR</x:v>
      </x:c>
      <x:c r="AX215" s="226" t="n">
        <x:v>2.3805</x:v>
      </x:c>
      <x:c r="AY215" s="226" t="n">
        <x:f>IF(AW215="EUR",AA215,IF(AW215="GBP",AB215,1))</x:f>
        <x:v>7.9</x:v>
      </x:c>
      <x:c r="AZ215" s="226" t="n">
        <x:f>V215*AX215</x:f>
        <x:v>154.31707418399998</x:v>
      </x:c>
      <x:c r="BA215" s="226" t="n">
        <x:f>AZ215*AY215</x:f>
        <x:v>1219.1048860535998</x:v>
      </x:c>
      <x:c r="BB215" s="226" t="n">
        <x:f>AF215+AG215+AL215+AQ215+AV215+BA215</x:f>
        <x:v>120471.52852843377</x:v>
      </x:c>
      <x:c r="BC215" s="229" t="n">
        <x:v>0.965</x:v>
      </x:c>
      <x:c r="BD215" s="202"/>
      <x:c r="BE215" s="202" t="str">
        <x:v>正式 Forecast 逐月降低英国空运及 Carrier C 份额，但仍高于 Budget</x:v>
      </x:c>
      <x:c r="BF215" s="202"/>
      <x:c r="BG215" s="202" t="str">
        <x:v>UNVERIFIED_UNLIMITED_FOR_MVP</x:v>
      </x:c>
    </x:row>
    <x:row r="216">
      <x:c r="A216" s="187" t="str">
        <x:v>FORECAST_2026_08_V1</x:v>
      </x:c>
      <x:c r="B216" s="187" t="str">
        <x:v>FORECAST</x:v>
      </x:c>
      <x:c r="C216" s="187"/>
      <x:c r="D216" s="217" t="n">
        <x:v>46296</x:v>
      </x:c>
      <x:c r="E216" s="187" t="str">
        <x:v>R_DE_DE_B_ROAD</x:v>
      </x:c>
      <x:c r="F216" s="187" t="str">
        <x:v>DE</x:v>
      </x:c>
      <x:c r="G216" s="187" t="str">
        <x:v>DE_FC</x:v>
      </x:c>
      <x:c r="H216" s="187" t="str">
        <x:v>CARRIER_B</x:v>
      </x:c>
      <x:c r="I216" s="187" t="str">
        <x:v>ROAD</x:v>
      </x:c>
      <x:c r="J216" s="220" t="n">
        <x:v>19500</x:v>
      </x:c>
      <x:c r="K216" s="223" t="n">
        <x:v>0.34</x:v>
      </x:c>
      <x:c r="L216" s="223" t="n">
        <x:v>0.97</x:v>
      </x:c>
      <x:c r="M216" s="223" t="n">
        <x:v>0.4</x:v>
      </x:c>
      <x:c r="N216" s="226" t="n">
        <x:f>J216*K216*L216*M216</x:f>
        <x:v>2572.4400000000005</x:v>
      </x:c>
      <x:c r="O216" s="220" t="n">
        <x:v>1.05</x:v>
      </x:c>
      <x:c r="P216" s="226" t="n">
        <x:f>N216*O216</x:f>
        <x:v>2701.062000000001</x:v>
      </x:c>
      <x:c r="Q216" s="220" t="n">
        <x:v>0.808</x:v>
      </x:c>
      <x:c r="R216" s="226" t="n">
        <x:f>P216*Q216</x:f>
        <x:v>2182.4580960000008</x:v>
      </x:c>
      <x:c r="S216" s="220" t="n">
        <x:v>0.05</x:v>
      </x:c>
      <x:c r="T216" s="226" t="n">
        <x:f>N216*S216</x:f>
        <x:v>128.62200000000004</x:v>
      </x:c>
      <x:c r="U216" s="226" t="n">
        <x:v>0.013</x:v>
      </x:c>
      <x:c r="V216" s="226" t="n">
        <x:f>P216*U216</x:f>
        <x:v>35.11380600000001</x:v>
      </x:c>
      <x:c r="W216" s="196" t="str">
        <x:v>EUR</x:v>
      </x:c>
      <x:c r="X216" s="220" t="n">
        <x:v>2.84625</x:v>
      </x:c>
      <x:c r="Y216" s="196" t="str">
        <x:v>PER_CHARGEABLE_KG</x:v>
      </x:c>
      <x:c r="Z216" s="220" t="n">
        <x:v>0.21735</x:v>
      </x:c>
      <x:c r="AA216" s="220" t="n">
        <x:v>7.9</x:v>
      </x:c>
      <x:c r="AB216" s="220" t="n">
        <x:v>9.1</x:v>
      </x:c>
      <x:c r="AC216" s="226" t="n">
        <x:f>IF(W216="EUR",AA216,IF(W216="GBP",AB216,1))</x:f>
        <x:v>7.9</x:v>
      </x:c>
      <x:c r="AD216" s="226" t="n">
        <x:f>R216*X216</x:f>
        <x:v>6211.821355740002</x:v>
      </x:c>
      <x:c r="AE216" s="226" t="n">
        <x:f>IF(Y216="PERCENTAGE_OF_BASE_FREIGHT",AD216*Z216,IF(Y216="PER_CHARGEABLE_KG",R216*Z216,P216*Z216))</x:f>
        <x:v>474.35726716560015</x:v>
      </x:c>
      <x:c r="AF216" s="226" t="n">
        <x:f>AD216*AC216</x:f>
        <x:v>49073.38871034602</x:v>
      </x:c>
      <x:c r="AG216" s="226" t="n">
        <x:f>AE216*AC216</x:f>
        <x:v>3747.4224106082415</x:v>
      </x:c>
      <x:c r="AH216" s="226" t="str">
        <x:v>EUR</x:v>
      </x:c>
      <x:c r="AI216" s="226" t="n">
        <x:v>1.2213</x:v>
      </x:c>
      <x:c r="AJ216" s="226" t="n">
        <x:f>IF(AH216="EUR",AA216,IF(AH216="GBP",AB216,1))</x:f>
        <x:v>7.9</x:v>
      </x:c>
      <x:c r="AK216" s="226" t="n">
        <x:f>N216*AI216</x:f>
        <x:v>3141.7209720000005</x:v>
      </x:c>
      <x:c r="AL216" s="226" t="n">
        <x:f>AK216*AJ216</x:f>
        <x:v>24819.595678800004</x:v>
      </x:c>
      <x:c r="AM216" s="226" t="str">
        <x:v>EUR</x:v>
      </x:c>
      <x:c r="AN216" s="226" t="n">
        <x:v>0.4347</x:v>
      </x:c>
      <x:c r="AO216" s="226" t="n">
        <x:f>IF(AM216="EUR",AA216,IF(AM216="GBP",AB216,1))</x:f>
        <x:v>7.9</x:v>
      </x:c>
      <x:c r="AP216" s="226" t="n">
        <x:f>P216*AN216</x:f>
        <x:v>1174.1516514000002</x:v>
      </x:c>
      <x:c r="AQ216" s="226" t="n">
        <x:f>AP216*AO216</x:f>
        <x:v>9275.798046060003</x:v>
      </x:c>
      <x:c r="AR216" s="226" t="str">
        <x:v>EUR</x:v>
      </x:c>
      <x:c r="AS216" s="226" t="n">
        <x:v>3.312</x:v>
      </x:c>
      <x:c r="AT216" s="226" t="n">
        <x:f>IF(AR216="EUR",AA216,IF(AR216="GBP",AB216,1))</x:f>
        <x:v>7.9</x:v>
      </x:c>
      <x:c r="AU216" s="226" t="n">
        <x:f>T216*AS216</x:f>
        <x:v>425.9960640000001</x:v>
      </x:c>
      <x:c r="AV216" s="226" t="n">
        <x:f>AU216*AT216</x:f>
        <x:v>3365.3689056000007</x:v>
      </x:c>
      <x:c r="AW216" s="226" t="str">
        <x:v>EUR</x:v>
      </x:c>
      <x:c r="AX216" s="226" t="n">
        <x:v>2.3805</x:v>
      </x:c>
      <x:c r="AY216" s="226" t="n">
        <x:f>IF(AW216="EUR",AA216,IF(AW216="GBP",AB216,1))</x:f>
        <x:v>7.9</x:v>
      </x:c>
      <x:c r="AZ216" s="226" t="n">
        <x:f>V216*AX216</x:f>
        <x:v>83.58841518300002</x:v>
      </x:c>
      <x:c r="BA216" s="226" t="n">
        <x:f>AZ216*AY216</x:f>
        <x:v>660.3484799457002</x:v>
      </x:c>
      <x:c r="BB216" s="226" t="n">
        <x:f>AF216+AG216+AL216+AQ216+AV216+BA216</x:f>
        <x:v>90941.92223135999</x:v>
      </x:c>
      <x:c r="BC216" s="229" t="n">
        <x:v>0.976</x:v>
      </x:c>
      <x:c r="BD216" s="202"/>
      <x:c r="BE216" s="202" t="str">
        <x:v>正式 Forecast 逐月降低英国空运及 Carrier C 份额，但仍高于 Budget</x:v>
      </x:c>
      <x:c r="BF216" s="202"/>
      <x:c r="BG216" s="202" t="str">
        <x:v>UNVERIFIED_UNLIMITED_FOR_MVP</x:v>
      </x:c>
    </x:row>
    <x:row r="217">
      <x:c r="A217" s="187" t="str">
        <x:v>FORECAST_2026_08_V1</x:v>
      </x:c>
      <x:c r="B217" s="187" t="str">
        <x:v>FORECAST</x:v>
      </x:c>
      <x:c r="C217" s="187"/>
      <x:c r="D217" s="217" t="n">
        <x:v>46296</x:v>
      </x:c>
      <x:c r="E217" s="187" t="str">
        <x:v>R_DE_FR_B_ROAD</x:v>
      </x:c>
      <x:c r="F217" s="187" t="str">
        <x:v>DE</x:v>
      </x:c>
      <x:c r="G217" s="187" t="str">
        <x:v>FR_FC</x:v>
      </x:c>
      <x:c r="H217" s="187" t="str">
        <x:v>CARRIER_B</x:v>
      </x:c>
      <x:c r="I217" s="187" t="str">
        <x:v>ROAD</x:v>
      </x:c>
      <x:c r="J217" s="220" t="n">
        <x:v>19500</x:v>
      </x:c>
      <x:c r="K217" s="223" t="n">
        <x:v>0.34</x:v>
      </x:c>
      <x:c r="L217" s="223" t="n">
        <x:v>0.03</x:v>
      </x:c>
      <x:c r="M217" s="223" t="n">
        <x:v>1</x:v>
      </x:c>
      <x:c r="N217" s="226" t="n">
        <x:f>J217*K217*L217*M217</x:f>
        <x:v>198.90000000000003</x:v>
      </x:c>
      <x:c r="O217" s="220" t="n">
        <x:v>1.08</x:v>
      </x:c>
      <x:c r="P217" s="226" t="n">
        <x:f>N217*O217</x:f>
        <x:v>214.81200000000004</x:v>
      </x:c>
      <x:c r="Q217" s="220" t="n">
        <x:v>0.8686</x:v>
      </x:c>
      <x:c r="R217" s="226" t="n">
        <x:f>P217*Q217</x:f>
        <x:v>186.58570320000004</x:v>
      </x:c>
      <x:c r="S217" s="220" t="n">
        <x:v>0.05</x:v>
      </x:c>
      <x:c r="T217" s="226" t="n">
        <x:f>N217*S217</x:f>
        <x:v>9.945000000000002</x:v>
      </x:c>
      <x:c r="U217" s="226" t="n">
        <x:v>0.014</x:v>
      </x:c>
      <x:c r="V217" s="226" t="n">
        <x:f>P217*U217</x:f>
        <x:v>3.0073680000000005</x:v>
      </x:c>
      <x:c r="W217" s="196" t="str">
        <x:v>EUR</x:v>
      </x:c>
      <x:c r="X217" s="220" t="n">
        <x:v>3.4155</x:v>
      </x:c>
      <x:c r="Y217" s="196" t="str">
        <x:v>PER_CHARGEABLE_KG</x:v>
      </x:c>
      <x:c r="Z217" s="220" t="n">
        <x:v>0.2484</x:v>
      </x:c>
      <x:c r="AA217" s="220" t="n">
        <x:v>7.9</x:v>
      </x:c>
      <x:c r="AB217" s="220" t="n">
        <x:v>9.1</x:v>
      </x:c>
      <x:c r="AC217" s="226" t="n">
        <x:f>IF(W217="EUR",AA217,IF(W217="GBP",AB217,1))</x:f>
        <x:v>7.9</x:v>
      </x:c>
      <x:c r="AD217" s="226" t="n">
        <x:f>R217*X217</x:f>
        <x:v>637.2834692796001</x:v>
      </x:c>
      <x:c r="AE217" s="226" t="n">
        <x:f>IF(Y217="PERCENTAGE_OF_BASE_FREIGHT",AD217*Z217,IF(Y217="PER_CHARGEABLE_KG",R217*Z217,P217*Z217))</x:f>
        <x:v>46.34788867488001</x:v>
      </x:c>
      <x:c r="AF217" s="226" t="n">
        <x:f>AD217*AC217</x:f>
        <x:v>5034.539407308841</x:v>
      </x:c>
      <x:c r="AG217" s="226" t="n">
        <x:f>AE217*AC217</x:f>
        <x:v>366.1483205315521</x:v>
      </x:c>
      <x:c r="AH217" s="226" t="str">
        <x:v>EUR</x:v>
      </x:c>
      <x:c r="AI217" s="226" t="n">
        <x:v>1.08675</x:v>
      </x:c>
      <x:c r="AJ217" s="226" t="n">
        <x:f>IF(AH217="EUR",AA217,IF(AH217="GBP",AB217,1))</x:f>
        <x:v>7.9</x:v>
      </x:c>
      <x:c r="AK217" s="226" t="n">
        <x:f>N217*AI217</x:f>
        <x:v>216.15457500000005</x:v>
      </x:c>
      <x:c r="AL217" s="226" t="n">
        <x:f>AK217*AJ217</x:f>
        <x:v>1707.6211425000006</x:v>
      </x:c>
      <x:c r="AM217" s="226" t="str">
        <x:v>EUR</x:v>
      </x:c>
      <x:c r="AN217" s="226" t="n">
        <x:v>0.3933</x:v>
      </x:c>
      <x:c r="AO217" s="226" t="n">
        <x:f>IF(AM217="EUR",AA217,IF(AM217="GBP",AB217,1))</x:f>
        <x:v>7.9</x:v>
      </x:c>
      <x:c r="AP217" s="226" t="n">
        <x:f>P217*AN217</x:f>
        <x:v>84.48555960000002</x:v>
      </x:c>
      <x:c r="AQ217" s="226" t="n">
        <x:f>AP217*AO217</x:f>
        <x:v>667.4359208400001</x:v>
      </x:c>
      <x:c r="AR217" s="226" t="str">
        <x:v>EUR</x:v>
      </x:c>
      <x:c r="AS217" s="226" t="n">
        <x:v>3.933</x:v>
      </x:c>
      <x:c r="AT217" s="226" t="n">
        <x:f>IF(AR217="EUR",AA217,IF(AR217="GBP",AB217,1))</x:f>
        <x:v>7.9</x:v>
      </x:c>
      <x:c r="AU217" s="226" t="n">
        <x:f>T217*AS217</x:f>
        <x:v>39.113685000000004</x:v>
      </x:c>
      <x:c r="AV217" s="226" t="n">
        <x:f>AU217*AT217</x:f>
        <x:v>308.99811150000005</x:v>
      </x:c>
      <x:c r="AW217" s="226" t="str">
        <x:v>EUR</x:v>
      </x:c>
      <x:c r="AX217" s="226" t="n">
        <x:v>2.3805</x:v>
      </x:c>
      <x:c r="AY217" s="226" t="n">
        <x:f>IF(AW217="EUR",AA217,IF(AW217="GBP",AB217,1))</x:f>
        <x:v>7.9</x:v>
      </x:c>
      <x:c r="AZ217" s="226" t="n">
        <x:f>V217*AX217</x:f>
        <x:v>7.1590395240000015</x:v>
      </x:c>
      <x:c r="BA217" s="226" t="n">
        <x:f>AZ217*AY217</x:f>
        <x:v>56.556412239600014</x:v>
      </x:c>
      <x:c r="BB217" s="226" t="n">
        <x:f>AF217+AG217+AL217+AQ217+AV217+BA217</x:f>
        <x:v>8141.299314919994</x:v>
      </x:c>
      <x:c r="BC217" s="229" t="n">
        <x:v>0.968</x:v>
      </x:c>
      <x:c r="BD217" s="202"/>
      <x:c r="BE217" s="202" t="str">
        <x:v>正式 Forecast 逐月降低英国空运及 Carrier C 份额，但仍高于 Budget</x:v>
      </x:c>
      <x:c r="BF217" s="202"/>
      <x:c r="BG217" s="202" t="str">
        <x:v>UNVERIFIED_UNLIMITED_FOR_MVP</x:v>
      </x:c>
    </x:row>
    <x:row r="218">
      <x:c r="A218" s="187" t="str">
        <x:v>FORECAST_2026_08_V1</x:v>
      </x:c>
      <x:c r="B218" s="187" t="str">
        <x:v>FORECAST</x:v>
      </x:c>
      <x:c r="C218" s="187"/>
      <x:c r="D218" s="217" t="n">
        <x:v>46296</x:v>
      </x:c>
      <x:c r="E218" s="187" t="str">
        <x:v>R_FR_FR_A_ROAD</x:v>
      </x:c>
      <x:c r="F218" s="187" t="str">
        <x:v>FR</x:v>
      </x:c>
      <x:c r="G218" s="187" t="str">
        <x:v>FR_FC</x:v>
      </x:c>
      <x:c r="H218" s="187" t="str">
        <x:v>CARRIER_A</x:v>
      </x:c>
      <x:c r="I218" s="187" t="str">
        <x:v>ROAD</x:v>
      </x:c>
      <x:c r="J218" s="220" t="n">
        <x:v>19500</x:v>
      </x:c>
      <x:c r="K218" s="223" t="n">
        <x:v>0.3</x:v>
      </x:c>
      <x:c r="L218" s="223" t="n">
        <x:v>1</x:v>
      </x:c>
      <x:c r="M218" s="223" t="n">
        <x:v>0.35</x:v>
      </x:c>
      <x:c r="N218" s="226" t="n">
        <x:f>J218*K218*L218*M218</x:f>
        <x:v>2047.4999999999998</x:v>
      </x:c>
      <x:c r="O218" s="220" t="n">
        <x:v>1.06</x:v>
      </x:c>
      <x:c r="P218" s="226" t="n">
        <x:f>N218*O218</x:f>
        <x:v>2170.35</x:v>
      </x:c>
      <x:c r="Q218" s="220" t="n">
        <x:v>0.7676</x:v>
      </x:c>
      <x:c r="R218" s="226" t="n">
        <x:f>P218*Q218</x:f>
        <x:v>1665.9606599999997</x:v>
      </x:c>
      <x:c r="S218" s="220" t="n">
        <x:v>0.06</x:v>
      </x:c>
      <x:c r="T218" s="226" t="n">
        <x:f>N218*S218</x:f>
        <x:v>122.84999999999998</x:v>
      </x:c>
      <x:c r="U218" s="226" t="n">
        <x:v>0.017</x:v>
      </x:c>
      <x:c r="V218" s="226" t="n">
        <x:f>P218*U218</x:f>
        <x:v>36.89595</x:v>
      </x:c>
      <x:c r="W218" s="196" t="str">
        <x:v>EUR</x:v>
      </x:c>
      <x:c r="X218" s="220" t="n">
        <x:v>2.1735</x:v>
      </x:c>
      <x:c r="Y218" s="196" t="str">
        <x:v>PERCENTAGE_OF_BASE_FREIGHT</x:v>
      </x:c>
      <x:c r="Z218" s="220" t="n">
        <x:v>0.09315</x:v>
      </x:c>
      <x:c r="AA218" s="220" t="n">
        <x:v>7.9</x:v>
      </x:c>
      <x:c r="AB218" s="220" t="n">
        <x:v>9.1</x:v>
      </x:c>
      <x:c r="AC218" s="226" t="n">
        <x:f>IF(W218="EUR",AA218,IF(W218="GBP",AB218,1))</x:f>
        <x:v>7.9</x:v>
      </x:c>
      <x:c r="AD218" s="226" t="n">
        <x:f>R218*X218</x:f>
        <x:v>3620.9654945099996</x:v>
      </x:c>
      <x:c r="AE218" s="226" t="n">
        <x:f>IF(Y218="PERCENTAGE_OF_BASE_FREIGHT",AD218*Z218,IF(Y218="PER_CHARGEABLE_KG",R218*Z218,P218*Z218))</x:f>
        <x:v>337.29293581360645</x:v>
      </x:c>
      <x:c r="AF218" s="226" t="n">
        <x:f>AD218*AC218</x:f>
        <x:v>28605.627406629</x:v>
      </x:c>
      <x:c r="AG218" s="226" t="n">
        <x:f>AE218*AC218</x:f>
        <x:v>2664.614192927491</x:v>
      </x:c>
      <x:c r="AH218" s="226" t="str">
        <x:v>EUR</x:v>
      </x:c>
      <x:c r="AI218" s="226" t="n">
        <x:v>1.08675</x:v>
      </x:c>
      <x:c r="AJ218" s="226" t="n">
        <x:f>IF(AH218="EUR",AA218,IF(AH218="GBP",AB218,1))</x:f>
        <x:v>7.9</x:v>
      </x:c>
      <x:c r="AK218" s="226" t="n">
        <x:f>N218*AI218</x:f>
        <x:v>2225.120625</x:v>
      </x:c>
      <x:c r="AL218" s="226" t="n">
        <x:f>AK218*AJ218</x:f>
        <x:v>17578.452937500002</x:v>
      </x:c>
      <x:c r="AM218" s="226" t="str">
        <x:v>EUR</x:v>
      </x:c>
      <x:c r="AN218" s="226" t="n">
        <x:v>0.3933</x:v>
      </x:c>
      <x:c r="AO218" s="226" t="n">
        <x:f>IF(AM218="EUR",AA218,IF(AM218="GBP",AB218,1))</x:f>
        <x:v>7.9</x:v>
      </x:c>
      <x:c r="AP218" s="226" t="n">
        <x:f>P218*AN218</x:f>
        <x:v>853.5986549999999</x:v>
      </x:c>
      <x:c r="AQ218" s="226" t="n">
        <x:f>AP218*AO218</x:f>
        <x:v>6743.4293744999995</x:v>
      </x:c>
      <x:c r="AR218" s="226" t="str">
        <x:v>EUR</x:v>
      </x:c>
      <x:c r="AS218" s="226" t="n">
        <x:v>3.105</x:v>
      </x:c>
      <x:c r="AT218" s="226" t="n">
        <x:f>IF(AR218="EUR",AA218,IF(AR218="GBP",AB218,1))</x:f>
        <x:v>7.9</x:v>
      </x:c>
      <x:c r="AU218" s="226" t="n">
        <x:f>T218*AS218</x:f>
        <x:v>381.44924999999995</x:v>
      </x:c>
      <x:c r="AV218" s="226" t="n">
        <x:f>AU218*AT218</x:f>
        <x:v>3013.4490749999995</x:v>
      </x:c>
      <x:c r="AW218" s="226" t="str">
        <x:v>EUR</x:v>
      </x:c>
      <x:c r="AX218" s="226" t="n">
        <x:v>2.3805</x:v>
      </x:c>
      <x:c r="AY218" s="226" t="n">
        <x:f>IF(AW218="EUR",AA218,IF(AW218="GBP",AB218,1))</x:f>
        <x:v>7.9</x:v>
      </x:c>
      <x:c r="AZ218" s="226" t="n">
        <x:f>V218*AX218</x:f>
        <x:v>87.830808975</x:v>
      </x:c>
      <x:c r="BA218" s="226" t="n">
        <x:f>AZ218*AY218</x:f>
        <x:v>693.8633909025</x:v>
      </x:c>
      <x:c r="BB218" s="226" t="n">
        <x:f>AF218+AG218+AL218+AQ218+AV218+BA218</x:f>
        <x:v>59299.436377458995</x:v>
      </x:c>
      <x:c r="BC218" s="229" t="n">
        <x:v>0.961</x:v>
      </x:c>
      <x:c r="BD218" s="202"/>
      <x:c r="BE218" s="202" t="str">
        <x:v>正式 Forecast 逐月降低英国空运及 Carrier C 份额，但仍高于 Budget</x:v>
      </x:c>
      <x:c r="BF218" s="202"/>
      <x:c r="BG218" s="202" t="str">
        <x:v>UNVERIFIED_UNLIMITED_FOR_MVP</x:v>
      </x:c>
    </x:row>
    <x:row r="219">
      <x:c r="A219" s="187" t="str">
        <x:v>FORECAST_2026_08_V1</x:v>
      </x:c>
      <x:c r="B219" s="187" t="str">
        <x:v>FORECAST</x:v>
      </x:c>
      <x:c r="C219" s="187"/>
      <x:c r="D219" s="217" t="n">
        <x:v>46296</x:v>
      </x:c>
      <x:c r="E219" s="187" t="str">
        <x:v>R_FR_FR_B_ROAD</x:v>
      </x:c>
      <x:c r="F219" s="187" t="str">
        <x:v>FR</x:v>
      </x:c>
      <x:c r="G219" s="187" t="str">
        <x:v>FR_FC</x:v>
      </x:c>
      <x:c r="H219" s="187" t="str">
        <x:v>CARRIER_B</x:v>
      </x:c>
      <x:c r="I219" s="187" t="str">
        <x:v>ROAD</x:v>
      </x:c>
      <x:c r="J219" s="220" t="n">
        <x:v>19500</x:v>
      </x:c>
      <x:c r="K219" s="223" t="n">
        <x:v>0.3</x:v>
      </x:c>
      <x:c r="L219" s="223" t="n">
        <x:v>1</x:v>
      </x:c>
      <x:c r="M219" s="223" t="n">
        <x:v>0.65</x:v>
      </x:c>
      <x:c r="N219" s="226" t="n">
        <x:f>J219*K219*L219*M219</x:f>
        <x:v>3802.5</x:v>
      </x:c>
      <x:c r="O219" s="220" t="n">
        <x:v>1.06</x:v>
      </x:c>
      <x:c r="P219" s="226" t="n">
        <x:f>N219*O219</x:f>
        <x:v>4030.65</x:v>
      </x:c>
      <x:c r="Q219" s="220" t="n">
        <x:v>0.7979</x:v>
      </x:c>
      <x:c r="R219" s="226" t="n">
        <x:f>P219*Q219</x:f>
        <x:v>3216.055635</x:v>
      </x:c>
      <x:c r="S219" s="220" t="n">
        <x:v>0.06</x:v>
      </x:c>
      <x:c r="T219" s="226" t="n">
        <x:f>N219*S219</x:f>
        <x:v>228.15</x:v>
      </x:c>
      <x:c r="U219" s="226" t="n">
        <x:v>0.014</x:v>
      </x:c>
      <x:c r="V219" s="226" t="n">
        <x:f>P219*U219</x:f>
        <x:v>56.429100000000005</x:v>
      </x:c>
      <x:c r="W219" s="196" t="str">
        <x:v>EUR</x:v>
      </x:c>
      <x:c r="X219" s="220" t="n">
        <x:v>2.691</x:v>
      </x:c>
      <x:c r="Y219" s="196" t="str">
        <x:v>PER_CHARGEABLE_KG</x:v>
      </x:c>
      <x:c r="Z219" s="220" t="n">
        <x:v>0.207</x:v>
      </x:c>
      <x:c r="AA219" s="220" t="n">
        <x:v>7.9</x:v>
      </x:c>
      <x:c r="AB219" s="220" t="n">
        <x:v>9.1</x:v>
      </x:c>
      <x:c r="AC219" s="226" t="n">
        <x:f>IF(W219="EUR",AA219,IF(W219="GBP",AB219,1))</x:f>
        <x:v>7.9</x:v>
      </x:c>
      <x:c r="AD219" s="226" t="n">
        <x:f>R219*X219</x:f>
        <x:v>8654.405713785</x:v>
      </x:c>
      <x:c r="AE219" s="226" t="n">
        <x:f>IF(Y219="PERCENTAGE_OF_BASE_FREIGHT",AD219*Z219,IF(Y219="PER_CHARGEABLE_KG",R219*Z219,P219*Z219))</x:f>
        <x:v>665.723516445</x:v>
      </x:c>
      <x:c r="AF219" s="226" t="n">
        <x:f>AD219*AC219</x:f>
        <x:v>68369.8051389015</x:v>
      </x:c>
      <x:c r="AG219" s="226" t="n">
        <x:f>AE219*AC219</x:f>
        <x:v>5259.2157799155</x:v>
      </x:c>
      <x:c r="AH219" s="226" t="str">
        <x:v>EUR</x:v>
      </x:c>
      <x:c r="AI219" s="226" t="n">
        <x:v>1.08675</x:v>
      </x:c>
      <x:c r="AJ219" s="226" t="n">
        <x:f>IF(AH219="EUR",AA219,IF(AH219="GBP",AB219,1))</x:f>
        <x:v>7.9</x:v>
      </x:c>
      <x:c r="AK219" s="226" t="n">
        <x:f>N219*AI219</x:f>
        <x:v>4132.366875000001</x:v>
      </x:c>
      <x:c r="AL219" s="226" t="n">
        <x:f>AK219*AJ219</x:f>
        <x:v>32645.698312500008</x:v>
      </x:c>
      <x:c r="AM219" s="226" t="str">
        <x:v>EUR</x:v>
      </x:c>
      <x:c r="AN219" s="226" t="n">
        <x:v>0.3933</x:v>
      </x:c>
      <x:c r="AO219" s="226" t="n">
        <x:f>IF(AM219="EUR",AA219,IF(AM219="GBP",AB219,1))</x:f>
        <x:v>7.9</x:v>
      </x:c>
      <x:c r="AP219" s="226" t="n">
        <x:f>P219*AN219</x:f>
        <x:v>1585.254645</x:v>
      </x:c>
      <x:c r="AQ219" s="226" t="n">
        <x:f>AP219*AO219</x:f>
        <x:v>12523.511695500001</x:v>
      </x:c>
      <x:c r="AR219" s="226" t="str">
        <x:v>EUR</x:v>
      </x:c>
      <x:c r="AS219" s="226" t="n">
        <x:v>3.105</x:v>
      </x:c>
      <x:c r="AT219" s="226" t="n">
        <x:f>IF(AR219="EUR",AA219,IF(AR219="GBP",AB219,1))</x:f>
        <x:v>7.9</x:v>
      </x:c>
      <x:c r="AU219" s="226" t="n">
        <x:f>T219*AS219</x:f>
        <x:v>708.40575</x:v>
      </x:c>
      <x:c r="AV219" s="226" t="n">
        <x:f>AU219*AT219</x:f>
        <x:v>5596.405425</x:v>
      </x:c>
      <x:c r="AW219" s="226" t="str">
        <x:v>EUR</x:v>
      </x:c>
      <x:c r="AX219" s="226" t="n">
        <x:v>2.3805</x:v>
      </x:c>
      <x:c r="AY219" s="226" t="n">
        <x:f>IF(AW219="EUR",AA219,IF(AW219="GBP",AB219,1))</x:f>
        <x:v>7.9</x:v>
      </x:c>
      <x:c r="AZ219" s="226" t="n">
        <x:f>V219*AX219</x:f>
        <x:v>134.32947255000002</x:v>
      </x:c>
      <x:c r="BA219" s="226" t="n">
        <x:f>AZ219*AY219</x:f>
        <x:v>1061.202833145</x:v>
      </x:c>
      <x:c r="BB219" s="226" t="n">
        <x:f>AF219+AG219+AL219+AQ219+AV219+BA219</x:f>
        <x:v>125455.83918496201</x:v>
      </x:c>
      <x:c r="BC219" s="229" t="n">
        <x:v>0.973</x:v>
      </x:c>
      <x:c r="BD219" s="202"/>
      <x:c r="BE219" s="202" t="str">
        <x:v>正式 Forecast 逐月降低英国空运及 Carrier C 份额，但仍高于 Budget</x:v>
      </x:c>
      <x:c r="BF219" s="202"/>
      <x:c r="BG219" s="202" t="str">
        <x:v>UNVERIFIED_UNLIMITED_FOR_MVP</x:v>
      </x:c>
    </x:row>
    <x:row r="220">
      <x:c r="A220" s="187" t="str">
        <x:v>FORECAST_2026_08_V1</x:v>
      </x:c>
      <x:c r="B220" s="187" t="str">
        <x:v>FORECAST</x:v>
      </x:c>
      <x:c r="C220" s="187"/>
      <x:c r="D220" s="217" t="n">
        <x:v>46296</x:v>
      </x:c>
      <x:c r="E220" s="187" t="str">
        <x:v>R_GB_DE_A_ROAD</x:v>
      </x:c>
      <x:c r="F220" s="187" t="str">
        <x:v>GB</x:v>
      </x:c>
      <x:c r="G220" s="187" t="str">
        <x:v>DE_FC</x:v>
      </x:c>
      <x:c r="H220" s="187" t="str">
        <x:v>CARRIER_A</x:v>
      </x:c>
      <x:c r="I220" s="187" t="str">
        <x:v>ROAD</x:v>
      </x:c>
      <x:c r="J220" s="220" t="n">
        <x:v>19500</x:v>
      </x:c>
      <x:c r="K220" s="223" t="n">
        <x:v>0.36</x:v>
      </x:c>
      <x:c r="L220" s="223" t="n">
        <x:v>0.96</x:v>
      </x:c>
      <x:c r="M220" s="223" t="n">
        <x:v>0.36</x:v>
      </x:c>
      <x:c r="N220" s="226" t="n">
        <x:f>J220*K220*L220*M220</x:f>
        <x:v>2426.1119999999996</x:v>
      </x:c>
      <x:c r="O220" s="220" t="n">
        <x:v>1.17</x:v>
      </x:c>
      <x:c r="P220" s="226" t="n">
        <x:f>N220*O220</x:f>
        <x:v>2838.5510399999994</x:v>
      </x:c>
      <x:c r="Q220" s="220" t="n">
        <x:v>1.050804</x:v>
      </x:c>
      <x:c r="R220" s="226" t="n">
        <x:f>P220*Q220</x:f>
        <x:v>2982.7607870361594</x:v>
      </x:c>
      <x:c r="S220" s="220" t="n">
        <x:v>0.09</x:v>
      </x:c>
      <x:c r="T220" s="226" t="n">
        <x:f>N220*S220</x:f>
        <x:v>218.35007999999996</x:v>
      </x:c>
      <x:c r="U220" s="226" t="n">
        <x:v>0.027</x:v>
      </x:c>
      <x:c r="V220" s="226" t="n">
        <x:f>P220*U220</x:f>
        <x:v>76.64087807999998</x:v>
      </x:c>
      <x:c r="W220" s="196" t="str">
        <x:v>GBP</x:v>
      </x:c>
      <x:c r="X220" s="220" t="n">
        <x:v>4.14</x:v>
      </x:c>
      <x:c r="Y220" s="196" t="str">
        <x:v>PERCENTAGE_OF_BASE_FREIGHT</x:v>
      </x:c>
      <x:c r="Z220" s="220" t="n">
        <x:v>0.1035</x:v>
      </x:c>
      <x:c r="AA220" s="220" t="n">
        <x:v>7.9</x:v>
      </x:c>
      <x:c r="AB220" s="220" t="n">
        <x:v>9.1</x:v>
      </x:c>
      <x:c r="AC220" s="226" t="n">
        <x:f>IF(W220="EUR",AA220,IF(W220="GBP",AB220,1))</x:f>
        <x:v>9.1</x:v>
      </x:c>
      <x:c r="AD220" s="226" t="n">
        <x:f>R220*X220</x:f>
        <x:v>12348.629658329699</x:v>
      </x:c>
      <x:c r="AE220" s="226" t="n">
        <x:f>IF(Y220="PERCENTAGE_OF_BASE_FREIGHT",AD220*Z220,IF(Y220="PER_CHARGEABLE_KG",R220*Z220,P220*Z220))</x:f>
        <x:v>1278.0831696371238</x:v>
      </x:c>
      <x:c r="AF220" s="226" t="n">
        <x:f>AD220*AC220</x:f>
        <x:v>112372.52989080026</x:v>
      </x:c>
      <x:c r="AG220" s="226" t="n">
        <x:f>AE220*AC220</x:f>
        <x:v>11630.556843697826</x:v>
      </x:c>
      <x:c r="AH220" s="226" t="str">
        <x:v>EUR</x:v>
      </x:c>
      <x:c r="AI220" s="226" t="n">
        <x:v>1.2213</x:v>
      </x:c>
      <x:c r="AJ220" s="226" t="n">
        <x:f>IF(AH220="EUR",AA220,IF(AH220="GBP",AB220,1))</x:f>
        <x:v>7.9</x:v>
      </x:c>
      <x:c r="AK220" s="226" t="n">
        <x:f>N220*AI220</x:f>
        <x:v>2963.0105855999996</x:v>
      </x:c>
      <x:c r="AL220" s="226" t="n">
        <x:f>AK220*AJ220</x:f>
        <x:v>23407.783626239998</x:v>
      </x:c>
      <x:c r="AM220" s="226" t="str">
        <x:v>EUR</x:v>
      </x:c>
      <x:c r="AN220" s="226" t="n">
        <x:v>0.4347</x:v>
      </x:c>
      <x:c r="AO220" s="226" t="n">
        <x:f>IF(AM220="EUR",AA220,IF(AM220="GBP",AB220,1))</x:f>
        <x:v>7.9</x:v>
      </x:c>
      <x:c r="AP220" s="226" t="n">
        <x:f>P220*AN220</x:f>
        <x:v>1233.9181370879996</x:v>
      </x:c>
      <x:c r="AQ220" s="226" t="n">
        <x:f>AP220*AO220</x:f>
        <x:v>9747.953282995197</x:v>
      </x:c>
      <x:c r="AR220" s="226" t="str">
        <x:v>GBP</x:v>
      </x:c>
      <x:c r="AS220" s="226" t="n">
        <x:v>4.968</x:v>
      </x:c>
      <x:c r="AT220" s="226" t="n">
        <x:f>IF(AR220="EUR",AA220,IF(AR220="GBP",AB220,1))</x:f>
        <x:v>9.1</x:v>
      </x:c>
      <x:c r="AU220" s="226" t="n">
        <x:f>T220*AS220</x:f>
        <x:v>1084.7631974399999</x:v>
      </x:c>
      <x:c r="AV220" s="226" t="n">
        <x:f>AU220*AT220</x:f>
        <x:v>9871.345096703999</x:v>
      </x:c>
      <x:c r="AW220" s="226" t="str">
        <x:v>GBP</x:v>
      </x:c>
      <x:c r="AX220" s="226" t="n">
        <x:v>2.3805</x:v>
      </x:c>
      <x:c r="AY220" s="226" t="n">
        <x:f>IF(AW220="EUR",AA220,IF(AW220="GBP",AB220,1))</x:f>
        <x:v>9.1</x:v>
      </x:c>
      <x:c r="AZ220" s="226" t="n">
        <x:f>V220*AX220</x:f>
        <x:v>182.44361026943994</x:v>
      </x:c>
      <x:c r="BA220" s="226" t="n">
        <x:f>AZ220*AY220</x:f>
        <x:v>1660.2368534519035</x:v>
      </x:c>
      <x:c r="BB220" s="226" t="n">
        <x:f>AF220+AG220+AL220+AQ220+AV220+BA220</x:f>
        <x:v>168690.40559388918</x:v>
      </x:c>
      <x:c r="BC220" s="229" t="n">
        <x:v>0.93</x:v>
      </x:c>
      <x:c r="BD220" s="202"/>
      <x:c r="BE220" s="202" t="str">
        <x:v>正式 Forecast 逐月降低英国空运及 Carrier C 份额，但仍高于 Budget</x:v>
      </x:c>
      <x:c r="BF220" s="202"/>
      <x:c r="BG220" s="202" t="str">
        <x:v>UNVERIFIED_UNLIMITED_FOR_MVP</x:v>
      </x:c>
    </x:row>
    <x:row r="221">
      <x:c r="A221" s="187" t="str">
        <x:v>FORECAST_2026_08_V1</x:v>
      </x:c>
      <x:c r="B221" s="187" t="str">
        <x:v>FORECAST</x:v>
      </x:c>
      <x:c r="C221" s="187"/>
      <x:c r="D221" s="217" t="n">
        <x:v>46296</x:v>
      </x:c>
      <x:c r="E221" s="187" t="str">
        <x:v>R_GB_DE_B_ROAD</x:v>
      </x:c>
      <x:c r="F221" s="187" t="str">
        <x:v>GB</x:v>
      </x:c>
      <x:c r="G221" s="187" t="str">
        <x:v>DE_FC</x:v>
      </x:c>
      <x:c r="H221" s="187" t="str">
        <x:v>CARRIER_B</x:v>
      </x:c>
      <x:c r="I221" s="187" t="str">
        <x:v>ROAD</x:v>
      </x:c>
      <x:c r="J221" s="220" t="n">
        <x:v>19500</x:v>
      </x:c>
      <x:c r="K221" s="223" t="n">
        <x:v>0.36</x:v>
      </x:c>
      <x:c r="L221" s="223" t="n">
        <x:v>0.96</x:v>
      </x:c>
      <x:c r="M221" s="223" t="n">
        <x:v>0.2</x:v>
      </x:c>
      <x:c r="N221" s="226" t="n">
        <x:f>J221*K221*L221*M221</x:f>
        <x:v>1347.8400000000001</x:v>
      </x:c>
      <x:c r="O221" s="220" t="n">
        <x:v>1.17</x:v>
      </x:c>
      <x:c r="P221" s="226" t="n">
        <x:f>N221*O221</x:f>
        <x:v>1576.9728</x:v>
      </x:c>
      <x:c r="Q221" s="220" t="n">
        <x:v>1.0302</x:v>
      </x:c>
      <x:c r="R221" s="226" t="n">
        <x:f>P221*Q221</x:f>
        <x:v>1624.59737856</x:v>
      </x:c>
      <x:c r="S221" s="220" t="n">
        <x:v>0.09</x:v>
      </x:c>
      <x:c r="T221" s="226" t="n">
        <x:f>N221*S221</x:f>
        <x:v>121.30560000000001</x:v>
      </x:c>
      <x:c r="U221" s="226" t="n">
        <x:v>0.02</x:v>
      </x:c>
      <x:c r="V221" s="226" t="n">
        <x:f>P221*U221</x:f>
        <x:v>31.539456</x:v>
      </x:c>
      <x:c r="W221" s="196" t="str">
        <x:v>GBP</x:v>
      </x:c>
      <x:c r="X221" s="220" t="n">
        <x:v>4.8645</x:v>
      </x:c>
      <x:c r="Y221" s="196" t="str">
        <x:v>PER_CHARGEABLE_KG</x:v>
      </x:c>
      <x:c r="Z221" s="220" t="n">
        <x:v>0.34155</x:v>
      </x:c>
      <x:c r="AA221" s="220" t="n">
        <x:v>7.9</x:v>
      </x:c>
      <x:c r="AB221" s="220" t="n">
        <x:v>9.1</x:v>
      </x:c>
      <x:c r="AC221" s="226" t="n">
        <x:f>IF(W221="EUR",AA221,IF(W221="GBP",AB221,1))</x:f>
        <x:v>9.1</x:v>
      </x:c>
      <x:c r="AD221" s="226" t="n">
        <x:f>R221*X221</x:f>
        <x:v>7902.853948005119</x:v>
      </x:c>
      <x:c r="AE221" s="226" t="n">
        <x:f>IF(Y221="PERCENTAGE_OF_BASE_FREIGHT",AD221*Z221,IF(Y221="PER_CHARGEABLE_KG",R221*Z221,P221*Z221))</x:f>
        <x:v>554.881234647168</x:v>
      </x:c>
      <x:c r="AF221" s="226" t="n">
        <x:f>AD221*AC221</x:f>
        <x:v>71915.97092684658</x:v>
      </x:c>
      <x:c r="AG221" s="226" t="n">
        <x:f>AE221*AC221</x:f>
        <x:v>5049.419235289228</x:v>
      </x:c>
      <x:c r="AH221" s="226" t="str">
        <x:v>EUR</x:v>
      </x:c>
      <x:c r="AI221" s="226" t="n">
        <x:v>1.2213</x:v>
      </x:c>
      <x:c r="AJ221" s="226" t="n">
        <x:f>IF(AH221="EUR",AA221,IF(AH221="GBP",AB221,1))</x:f>
        <x:v>7.9</x:v>
      </x:c>
      <x:c r="AK221" s="226" t="n">
        <x:f>N221*AI221</x:f>
        <x:v>1646.1169920000002</x:v>
      </x:c>
      <x:c r="AL221" s="226" t="n">
        <x:f>AK221*AJ221</x:f>
        <x:v>13004.324236800003</x:v>
      </x:c>
      <x:c r="AM221" s="226" t="str">
        <x:v>EUR</x:v>
      </x:c>
      <x:c r="AN221" s="226" t="n">
        <x:v>0.4347</x:v>
      </x:c>
      <x:c r="AO221" s="226" t="n">
        <x:f>IF(AM221="EUR",AA221,IF(AM221="GBP",AB221,1))</x:f>
        <x:v>7.9</x:v>
      </x:c>
      <x:c r="AP221" s="226" t="n">
        <x:f>P221*AN221</x:f>
        <x:v>685.5100761599999</x:v>
      </x:c>
      <x:c r="AQ221" s="226" t="n">
        <x:f>AP221*AO221</x:f>
        <x:v>5415.5296016639995</x:v>
      </x:c>
      <x:c r="AR221" s="226" t="str">
        <x:v>GBP</x:v>
      </x:c>
      <x:c r="AS221" s="226" t="n">
        <x:v>4.968</x:v>
      </x:c>
      <x:c r="AT221" s="226" t="n">
        <x:f>IF(AR221="EUR",AA221,IF(AR221="GBP",AB221,1))</x:f>
        <x:v>9.1</x:v>
      </x:c>
      <x:c r="AU221" s="226" t="n">
        <x:f>T221*AS221</x:f>
        <x:v>602.6462208</x:v>
      </x:c>
      <x:c r="AV221" s="226" t="n">
        <x:f>AU221*AT221</x:f>
        <x:v>5484.08060928</x:v>
      </x:c>
      <x:c r="AW221" s="226" t="str">
        <x:v>GBP</x:v>
      </x:c>
      <x:c r="AX221" s="226" t="n">
        <x:v>2.3805</x:v>
      </x:c>
      <x:c r="AY221" s="226" t="n">
        <x:f>IF(AW221="EUR",AA221,IF(AW221="GBP",AB221,1))</x:f>
        <x:v>9.1</x:v>
      </x:c>
      <x:c r="AZ221" s="226" t="n">
        <x:f>V221*AX221</x:f>
        <x:v>75.07967500800001</x:v>
      </x:c>
      <x:c r="BA221" s="226" t="n">
        <x:f>AZ221*AY221</x:f>
        <x:v>683.2250425728</x:v>
      </x:c>
      <x:c r="BB221" s="226" t="n">
        <x:f>AF221+AG221+AL221+AQ221+AV221+BA221</x:f>
        <x:v>101552.54965245262</x:v>
      </x:c>
      <x:c r="BC221" s="229" t="n">
        <x:v>0.95</x:v>
      </x:c>
      <x:c r="BD221" s="202"/>
      <x:c r="BE221" s="202" t="str">
        <x:v>正式 Forecast 逐月降低英国空运及 Carrier C 份额，但仍高于 Budget</x:v>
      </x:c>
      <x:c r="BF221" s="202"/>
      <x:c r="BG221" s="202" t="str">
        <x:v>UNVERIFIED_UNLIMITED_FOR_MVP</x:v>
      </x:c>
    </x:row>
    <x:row r="222">
      <x:c r="A222" s="187" t="str">
        <x:v>FORECAST_2026_08_V1</x:v>
      </x:c>
      <x:c r="B222" s="187" t="str">
        <x:v>FORECAST</x:v>
      </x:c>
      <x:c r="C222" s="187"/>
      <x:c r="D222" s="217" t="n">
        <x:v>46296</x:v>
      </x:c>
      <x:c r="E222" s="187" t="str">
        <x:v>R_GB_DE_B_AIR</x:v>
      </x:c>
      <x:c r="F222" s="187" t="str">
        <x:v>GB</x:v>
      </x:c>
      <x:c r="G222" s="187" t="str">
        <x:v>DE_FC</x:v>
      </x:c>
      <x:c r="H222" s="187" t="str">
        <x:v>CARRIER_B</x:v>
      </x:c>
      <x:c r="I222" s="187" t="str">
        <x:v>AIR</x:v>
      </x:c>
      <x:c r="J222" s="220" t="n">
        <x:v>19500</x:v>
      </x:c>
      <x:c r="K222" s="223" t="n">
        <x:v>0.36</x:v>
      </x:c>
      <x:c r="L222" s="223" t="n">
        <x:v>0.96</x:v>
      </x:c>
      <x:c r="M222" s="223" t="n">
        <x:v>0.24</x:v>
      </x:c>
      <x:c r="N222" s="226" t="n">
        <x:f>J222*K222*L222*M222</x:f>
        <x:v>1617.408</x:v>
      </x:c>
      <x:c r="O222" s="220" t="n">
        <x:v>1.17</x:v>
      </x:c>
      <x:c r="P222" s="226" t="n">
        <x:f>N222*O222</x:f>
        <x:v>1892.3673599999997</x:v>
      </x:c>
      <x:c r="Q222" s="220" t="n">
        <x:v>0.968388</x:v>
      </x:c>
      <x:c r="R222" s="226" t="n">
        <x:f>P222*Q222</x:f>
        <x:v>1832.5458430156798</x:v>
      </x:c>
      <x:c r="S222" s="220" t="n">
        <x:v>0.09</x:v>
      </x:c>
      <x:c r="T222" s="226" t="n">
        <x:f>N222*S222</x:f>
        <x:v>145.56671999999998</x:v>
      </x:c>
      <x:c r="U222" s="226" t="n">
        <x:v>0.016</x:v>
      </x:c>
      <x:c r="V222" s="226" t="n">
        <x:f>P222*U222</x:f>
        <x:v>30.277877759999996</x:v>
      </x:c>
      <x:c r="W222" s="196" t="str">
        <x:v>GBP</x:v>
      </x:c>
      <x:c r="X222" s="220" t="n">
        <x:v>6.67368</x:v>
      </x:c>
      <x:c r="Y222" s="196" t="str">
        <x:v>PERCENTAGE_OF_BASE_FREIGHT</x:v>
      </x:c>
      <x:c r="Z222" s="220" t="n">
        <x:v>0.123786</x:v>
      </x:c>
      <x:c r="AA222" s="220" t="n">
        <x:v>7.9</x:v>
      </x:c>
      <x:c r="AB222" s="220" t="n">
        <x:v>9.1</x:v>
      </x:c>
      <x:c r="AC222" s="226" t="n">
        <x:f>IF(W222="EUR",AA222,IF(W222="GBP",AB222,1))</x:f>
        <x:v>9.1</x:v>
      </x:c>
      <x:c r="AD222" s="226" t="n">
        <x:f>R222*X222</x:f>
        <x:v>12229.824541616883</x:v>
      </x:c>
      <x:c r="AE222" s="226" t="n">
        <x:f>IF(Y222="PERCENTAGE_OF_BASE_FREIGHT",AD222*Z222,IF(Y222="PER_CHARGEABLE_KG",R222*Z222,P222*Z222))</x:f>
        <x:v>1513.8810607085875</x:v>
      </x:c>
      <x:c r="AF222" s="226" t="n">
        <x:f>AD222*AC222</x:f>
        <x:v>111291.40332871363</x:v>
      </x:c>
      <x:c r="AG222" s="226" t="n">
        <x:f>AE222*AC222</x:f>
        <x:v>13776.317652448146</x:v>
      </x:c>
      <x:c r="AH222" s="226" t="str">
        <x:v>EUR</x:v>
      </x:c>
      <x:c r="AI222" s="226" t="n">
        <x:v>1.2213</x:v>
      </x:c>
      <x:c r="AJ222" s="226" t="n">
        <x:f>IF(AH222="EUR",AA222,IF(AH222="GBP",AB222,1))</x:f>
        <x:v>7.9</x:v>
      </x:c>
      <x:c r="AK222" s="226" t="n">
        <x:f>N222*AI222</x:f>
        <x:v>1975.3403904</x:v>
      </x:c>
      <x:c r="AL222" s="226" t="n">
        <x:f>AK222*AJ222</x:f>
        <x:v>15605.18908416</x:v>
      </x:c>
      <x:c r="AM222" s="226" t="str">
        <x:v>EUR</x:v>
      </x:c>
      <x:c r="AN222" s="226" t="n">
        <x:v>0.4347</x:v>
      </x:c>
      <x:c r="AO222" s="226" t="n">
        <x:f>IF(AM222="EUR",AA222,IF(AM222="GBP",AB222,1))</x:f>
        <x:v>7.9</x:v>
      </x:c>
      <x:c r="AP222" s="226" t="n">
        <x:f>P222*AN222</x:f>
        <x:v>822.6120913919998</x:v>
      </x:c>
      <x:c r="AQ222" s="226" t="n">
        <x:f>AP222*AO222</x:f>
        <x:v>6498.635521996799</x:v>
      </x:c>
      <x:c r="AR222" s="226" t="str">
        <x:v>GBP</x:v>
      </x:c>
      <x:c r="AS222" s="226" t="n">
        <x:v>4.968</x:v>
      </x:c>
      <x:c r="AT222" s="226" t="n">
        <x:f>IF(AR222="EUR",AA222,IF(AR222="GBP",AB222,1))</x:f>
        <x:v>9.1</x:v>
      </x:c>
      <x:c r="AU222" s="226" t="n">
        <x:f>T222*AS222</x:f>
        <x:v>723.1754649599999</x:v>
      </x:c>
      <x:c r="AV222" s="226" t="n">
        <x:f>AU222*AT222</x:f>
        <x:v>6580.896731135998</x:v>
      </x:c>
      <x:c r="AW222" s="226" t="str">
        <x:v>GBP</x:v>
      </x:c>
      <x:c r="AX222" s="226" t="n">
        <x:v>2.898</x:v>
      </x:c>
      <x:c r="AY222" s="226" t="n">
        <x:f>IF(AW222="EUR",AA222,IF(AW222="GBP",AB222,1))</x:f>
        <x:v>9.1</x:v>
      </x:c>
      <x:c r="AZ222" s="226" t="n">
        <x:f>V222*AX222</x:f>
        <x:v>87.74528974847999</x:v>
      </x:c>
      <x:c r="BA222" s="226" t="n">
        <x:f>AZ222*AY222</x:f>
        <x:v>798.4821367111679</x:v>
      </x:c>
      <x:c r="BB222" s="226" t="n">
        <x:f>AF222+AG222+AL222+AQ222+AV222+BA222</x:f>
        <x:v>154550.92445516572</x:v>
      </x:c>
      <x:c r="BC222" s="229" t="n">
        <x:v>0.974</x:v>
      </x:c>
      <x:c r="BD222" s="202"/>
      <x:c r="BE222" s="202" t="str">
        <x:v>正式 Forecast 逐月降低英国空运及 Carrier C 份额，但仍高于 Budget</x:v>
      </x:c>
      <x:c r="BF222" s="202"/>
      <x:c r="BG222" s="202" t="str">
        <x:v>UNVERIFIED_UNLIMITED_FOR_MVP</x:v>
      </x:c>
    </x:row>
    <x:row r="223">
      <x:c r="A223" s="187" t="str">
        <x:v>FORECAST_2026_08_V1</x:v>
      </x:c>
      <x:c r="B223" s="187" t="str">
        <x:v>FORECAST</x:v>
      </x:c>
      <x:c r="C223" s="187"/>
      <x:c r="D223" s="217" t="n">
        <x:v>46296</x:v>
      </x:c>
      <x:c r="E223" s="187" t="str">
        <x:v>R_GB_DE_C_AIR</x:v>
      </x:c>
      <x:c r="F223" s="187" t="str">
        <x:v>GB</x:v>
      </x:c>
      <x:c r="G223" s="187" t="str">
        <x:v>DE_FC</x:v>
      </x:c>
      <x:c r="H223" s="187" t="str">
        <x:v>CARRIER_C</x:v>
      </x:c>
      <x:c r="I223" s="187" t="str">
        <x:v>AIR</x:v>
      </x:c>
      <x:c r="J223" s="220" t="n">
        <x:v>19500</x:v>
      </x:c>
      <x:c r="K223" s="223" t="n">
        <x:v>0.36</x:v>
      </x:c>
      <x:c r="L223" s="223" t="n">
        <x:v>0.96</x:v>
      </x:c>
      <x:c r="M223" s="223" t="n">
        <x:v>0.2</x:v>
      </x:c>
      <x:c r="N223" s="226" t="n">
        <x:f>J223*K223*L223*M223</x:f>
        <x:v>1347.8400000000001</x:v>
      </x:c>
      <x:c r="O223" s="220" t="n">
        <x:v>1.17</x:v>
      </x:c>
      <x:c r="P223" s="226" t="n">
        <x:f>N223*O223</x:f>
        <x:v>1576.9728</x:v>
      </x:c>
      <x:c r="Q223" s="220" t="n">
        <x:v>0.947784</x:v>
      </x:c>
      <x:c r="R223" s="226" t="n">
        <x:f>P223*Q223</x:f>
        <x:v>1494.6295882752</x:v>
      </x:c>
      <x:c r="S223" s="220" t="n">
        <x:v>0.09</x:v>
      </x:c>
      <x:c r="T223" s="226" t="n">
        <x:f>N223*S223</x:f>
        <x:v>121.30560000000001</x:v>
      </x:c>
      <x:c r="U223" s="226" t="n">
        <x:v>0.011</x:v>
      </x:c>
      <x:c r="V223" s="226" t="n">
        <x:f>P223*U223</x:f>
        <x:v>17.3467008</x:v>
      </x:c>
      <x:c r="W223" s="196" t="str">
        <x:v>GBP</x:v>
      </x:c>
      <x:c r="X223" s="220" t="n">
        <x:v>8.22825</x:v>
      </x:c>
      <x:c r="Y223" s="196" t="str">
        <x:v>PER_CHARGEABLE_KG</x:v>
      </x:c>
      <x:c r="Z223" s="220" t="n">
        <x:v>0.636318</x:v>
      </x:c>
      <x:c r="AA223" s="220" t="n">
        <x:v>7.9</x:v>
      </x:c>
      <x:c r="AB223" s="220" t="n">
        <x:v>9.1</x:v>
      </x:c>
      <x:c r="AC223" s="226" t="n">
        <x:f>IF(W223="EUR",AA223,IF(W223="GBP",AB223,1))</x:f>
        <x:v>9.1</x:v>
      </x:c>
      <x:c r="AD223" s="226" t="n">
        <x:f>R223*X223</x:f>
        <x:v>12298.185909725413</x:v>
      </x:c>
      <x:c r="AE223" s="226" t="n">
        <x:f>IF(Y223="PERCENTAGE_OF_BASE_FREIGHT",AD223*Z223,IF(Y223="PER_CHARGEABLE_KG",R223*Z223,P223*Z223))</x:f>
        <x:v>951.0597103520987</x:v>
      </x:c>
      <x:c r="AF223" s="226" t="n">
        <x:f>AD223*AC223</x:f>
        <x:v>111913.49177850125</x:v>
      </x:c>
      <x:c r="AG223" s="226" t="n">
        <x:f>AE223*AC223</x:f>
        <x:v>8654.643364204097</x:v>
      </x:c>
      <x:c r="AH223" s="226" t="str">
        <x:v>EUR</x:v>
      </x:c>
      <x:c r="AI223" s="226" t="n">
        <x:v>1.2213</x:v>
      </x:c>
      <x:c r="AJ223" s="226" t="n">
        <x:f>IF(AH223="EUR",AA223,IF(AH223="GBP",AB223,1))</x:f>
        <x:v>7.9</x:v>
      </x:c>
      <x:c r="AK223" s="226" t="n">
        <x:f>N223*AI223</x:f>
        <x:v>1646.1169920000002</x:v>
      </x:c>
      <x:c r="AL223" s="226" t="n">
        <x:f>AK223*AJ223</x:f>
        <x:v>13004.324236800003</x:v>
      </x:c>
      <x:c r="AM223" s="226" t="str">
        <x:v>EUR</x:v>
      </x:c>
      <x:c r="AN223" s="226" t="n">
        <x:v>0.4347</x:v>
      </x:c>
      <x:c r="AO223" s="226" t="n">
        <x:f>IF(AM223="EUR",AA223,IF(AM223="GBP",AB223,1))</x:f>
        <x:v>7.9</x:v>
      </x:c>
      <x:c r="AP223" s="226" t="n">
        <x:f>P223*AN223</x:f>
        <x:v>685.5100761599999</x:v>
      </x:c>
      <x:c r="AQ223" s="226" t="n">
        <x:f>AP223*AO223</x:f>
        <x:v>5415.5296016639995</x:v>
      </x:c>
      <x:c r="AR223" s="226" t="str">
        <x:v>GBP</x:v>
      </x:c>
      <x:c r="AS223" s="226" t="n">
        <x:v>4.968</x:v>
      </x:c>
      <x:c r="AT223" s="226" t="n">
        <x:f>IF(AR223="EUR",AA223,IF(AR223="GBP",AB223,1))</x:f>
        <x:v>9.1</x:v>
      </x:c>
      <x:c r="AU223" s="226" t="n">
        <x:f>T223*AS223</x:f>
        <x:v>602.6462208</x:v>
      </x:c>
      <x:c r="AV223" s="226" t="n">
        <x:f>AU223*AT223</x:f>
        <x:v>5484.08060928</x:v>
      </x:c>
      <x:c r="AW223" s="226" t="str">
        <x:v>GBP</x:v>
      </x:c>
      <x:c r="AX223" s="226" t="n">
        <x:v>3.726</x:v>
      </x:c>
      <x:c r="AY223" s="226" t="n">
        <x:f>IF(AW223="EUR",AA223,IF(AW223="GBP",AB223,1))</x:f>
        <x:v>9.1</x:v>
      </x:c>
      <x:c r="AZ223" s="226" t="n">
        <x:f>V223*AX223</x:f>
        <x:v>64.6338071808</x:v>
      </x:c>
      <x:c r="BA223" s="226" t="n">
        <x:f>AZ223*AY223</x:f>
        <x:v>588.16764534528</x:v>
      </x:c>
      <x:c r="BB223" s="226" t="n">
        <x:f>AF223+AG223+AL223+AQ223+AV223+BA223</x:f>
        <x:v>145060.2372357946</x:v>
      </x:c>
      <x:c r="BC223" s="229" t="n">
        <x:v>0.988</x:v>
      </x:c>
      <x:c r="BD223" s="202"/>
      <x:c r="BE223" s="202" t="str">
        <x:v>正式 Forecast 逐月降低英国空运及 Carrier C 份额，但仍高于 Budget</x:v>
      </x:c>
      <x:c r="BF223" s="202"/>
      <x:c r="BG223" s="202" t="str">
        <x:v>UNVERIFIED_UNLIMITED_FOR_MVP</x:v>
      </x:c>
    </x:row>
    <x:row r="224">
      <x:c r="A224" s="187" t="str">
        <x:v>FORECAST_2026_08_V1</x:v>
      </x:c>
      <x:c r="B224" s="187" t="str">
        <x:v>FORECAST</x:v>
      </x:c>
      <x:c r="C224" s="187"/>
      <x:c r="D224" s="217" t="n">
        <x:v>46296</x:v>
      </x:c>
      <x:c r="E224" s="187" t="str">
        <x:v>R_GB_FR_B_AIR</x:v>
      </x:c>
      <x:c r="F224" s="187" t="str">
        <x:v>GB</x:v>
      </x:c>
      <x:c r="G224" s="187" t="str">
        <x:v>FR_FC</x:v>
      </x:c>
      <x:c r="H224" s="187" t="str">
        <x:v>CARRIER_B</x:v>
      </x:c>
      <x:c r="I224" s="187" t="str">
        <x:v>AIR</x:v>
      </x:c>
      <x:c r="J224" s="220" t="n">
        <x:v>19500</x:v>
      </x:c>
      <x:c r="K224" s="223" t="n">
        <x:v>0.36</x:v>
      </x:c>
      <x:c r="L224" s="223" t="n">
        <x:v>0.04</x:v>
      </x:c>
      <x:c r="M224" s="223" t="n">
        <x:v>1</x:v>
      </x:c>
      <x:c r="N224" s="226" t="n">
        <x:f>J224*K224*L224*M224</x:f>
        <x:v>280.8</x:v>
      </x:c>
      <x:c r="O224" s="220" t="n">
        <x:v>1.17</x:v>
      </x:c>
      <x:c r="P224" s="226" t="n">
        <x:f>N224*O224</x:f>
        <x:v>328.536</x:v>
      </x:c>
      <x:c r="Q224" s="220" t="n">
        <x:v>0.92718</x:v>
      </x:c>
      <x:c r="R224" s="226" t="n">
        <x:f>P224*Q224</x:f>
        <x:v>304.61200848</x:v>
      </x:c>
      <x:c r="S224" s="220" t="n">
        <x:v>0.09</x:v>
      </x:c>
      <x:c r="T224" s="226" t="n">
        <x:f>N224*S224</x:f>
        <x:v>25.272</x:v>
      </x:c>
      <x:c r="U224" s="226" t="n">
        <x:v>0.014</x:v>
      </x:c>
      <x:c r="V224" s="226" t="n">
        <x:f>P224*U224</x:f>
        <x:v>4.5995040000000005</x:v>
      </x:c>
      <x:c r="W224" s="196" t="str">
        <x:v>EUR</x:v>
      </x:c>
      <x:c r="X224" s="220" t="n">
        <x:v>6.9345</x:v>
      </x:c>
      <x:c r="Y224" s="196" t="str">
        <x:v>PERCENTAGE_OF_BASE_FREIGHT</x:v>
      </x:c>
      <x:c r="Z224" s="220" t="n">
        <x:v>0.108675</x:v>
      </x:c>
      <x:c r="AA224" s="220" t="n">
        <x:v>7.9</x:v>
      </x:c>
      <x:c r="AB224" s="220" t="n">
        <x:v>9.1</x:v>
      </x:c>
      <x:c r="AC224" s="226" t="n">
        <x:f>IF(W224="EUR",AA224,IF(W224="GBP",AB224,1))</x:f>
        <x:v>7.9</x:v>
      </x:c>
      <x:c r="AD224" s="226" t="n">
        <x:f>R224*X224</x:f>
        <x:v>2112.33197280456</x:v>
      </x:c>
      <x:c r="AE224" s="226" t="n">
        <x:f>IF(Y224="PERCENTAGE_OF_BASE_FREIGHT",AD224*Z224,IF(Y224="PER_CHARGEABLE_KG",R224*Z224,P224*Z224))</x:f>
        <x:v>229.55767714453555</x:v>
      </x:c>
      <x:c r="AF224" s="226" t="n">
        <x:f>AD224*AC224</x:f>
        <x:v>16687.422585156022</x:v>
      </x:c>
      <x:c r="AG224" s="226" t="n">
        <x:f>AE224*AC224</x:f>
        <x:v>1813.5056494418309</x:v>
      </x:c>
      <x:c r="AH224" s="226" t="str">
        <x:v>EUR</x:v>
      </x:c>
      <x:c r="AI224" s="226" t="n">
        <x:v>1.08675</x:v>
      </x:c>
      <x:c r="AJ224" s="226" t="n">
        <x:f>IF(AH224="EUR",AA224,IF(AH224="GBP",AB224,1))</x:f>
        <x:v>7.9</x:v>
      </x:c>
      <x:c r="AK224" s="226" t="n">
        <x:f>N224*AI224</x:f>
        <x:v>305.15940000000006</x:v>
      </x:c>
      <x:c r="AL224" s="226" t="n">
        <x:f>AK224*AJ224</x:f>
        <x:v>2410.7592600000007</x:v>
      </x:c>
      <x:c r="AM224" s="226" t="str">
        <x:v>EUR</x:v>
      </x:c>
      <x:c r="AN224" s="226" t="n">
        <x:v>0.3933</x:v>
      </x:c>
      <x:c r="AO224" s="226" t="n">
        <x:f>IF(AM224="EUR",AA224,IF(AM224="GBP",AB224,1))</x:f>
        <x:v>7.9</x:v>
      </x:c>
      <x:c r="AP224" s="226" t="n">
        <x:f>P224*AN224</x:f>
        <x:v>129.2132088</x:v>
      </x:c>
      <x:c r="AQ224" s="226" t="n">
        <x:f>AP224*AO224</x:f>
        <x:v>1020.78434952</x:v>
      </x:c>
      <x:c r="AR224" s="226" t="str">
        <x:v>EUR</x:v>
      </x:c>
      <x:c r="AS224" s="226" t="n">
        <x:v>5.382</x:v>
      </x:c>
      <x:c r="AT224" s="226" t="n">
        <x:f>IF(AR224="EUR",AA224,IF(AR224="GBP",AB224,1))</x:f>
        <x:v>7.9</x:v>
      </x:c>
      <x:c r="AU224" s="226" t="n">
        <x:f>T224*AS224</x:f>
        <x:v>136.013904</x:v>
      </x:c>
      <x:c r="AV224" s="226" t="n">
        <x:f>AU224*AT224</x:f>
        <x:v>1074.5098416</x:v>
      </x:c>
      <x:c r="AW224" s="226" t="str">
        <x:v>EUR</x:v>
      </x:c>
      <x:c r="AX224" s="226" t="n">
        <x:v>2.898</x:v>
      </x:c>
      <x:c r="AY224" s="226" t="n">
        <x:f>IF(AW224="EUR",AA224,IF(AW224="GBP",AB224,1))</x:f>
        <x:v>7.9</x:v>
      </x:c>
      <x:c r="AZ224" s="226" t="n">
        <x:f>V224*AX224</x:f>
        <x:v>13.329362592000003</x:v>
      </x:c>
      <x:c r="BA224" s="226" t="n">
        <x:f>AZ224*AY224</x:f>
        <x:v>105.30196447680002</x:v>
      </x:c>
      <x:c r="BB224" s="226" t="n">
        <x:f>AF224+AG224+AL224+AQ224+AV224+BA224</x:f>
        <x:v>23112.283650194655</x:v>
      </x:c>
      <x:c r="BC224" s="229" t="n">
        <x:v>0.971</x:v>
      </x:c>
      <x:c r="BD224" s="202"/>
      <x:c r="BE224" s="202" t="str">
        <x:v>正式 Forecast 逐月降低英国空运及 Carrier C 份额，但仍高于 Budget</x:v>
      </x:c>
      <x:c r="BF224" s="202"/>
      <x:c r="BG224" s="202" t="str">
        <x:v>UNVERIFIED_UNLIMITED_FOR_MVP</x:v>
      </x:c>
    </x:row>
    <x:row r="225">
      <x:c r="A225" s="187" t="str">
        <x:v>FORECAST_2026_08_V1</x:v>
      </x:c>
      <x:c r="B225" s="187" t="str">
        <x:v>FORECAST</x:v>
      </x:c>
      <x:c r="C225" s="187"/>
      <x:c r="D225" s="217" t="n">
        <x:v>46327</x:v>
      </x:c>
      <x:c r="E225" s="187" t="str">
        <x:v>R_DE_DE_A_ROAD</x:v>
      </x:c>
      <x:c r="F225" s="187" t="str">
        <x:v>DE</x:v>
      </x:c>
      <x:c r="G225" s="187" t="str">
        <x:v>DE_FC</x:v>
      </x:c>
      <x:c r="H225" s="187" t="str">
        <x:v>CARRIER_A</x:v>
      </x:c>
      <x:c r="I225" s="187" t="str">
        <x:v>ROAD</x:v>
      </x:c>
      <x:c r="J225" s="220" t="n">
        <x:v>24800</x:v>
      </x:c>
      <x:c r="K225" s="223" t="n">
        <x:v>0.32</x:v>
      </x:c>
      <x:c r="L225" s="223" t="n">
        <x:v>0.97</x:v>
      </x:c>
      <x:c r="M225" s="223" t="n">
        <x:v>0.6</x:v>
      </x:c>
      <x:c r="N225" s="226" t="n">
        <x:f>J225*K225*L225*M225</x:f>
        <x:v>4618.7519999999995</x:v>
      </x:c>
      <x:c r="O225" s="220" t="n">
        <x:v>1.05</x:v>
      </x:c>
      <x:c r="P225" s="226" t="n">
        <x:f>N225*O225</x:f>
        <x:v>4849.6896</x:v>
      </x:c>
      <x:c r="Q225" s="220" t="n">
        <x:v>0.7878</x:v>
      </x:c>
      <x:c r="R225" s="226" t="n">
        <x:f>P225*Q225</x:f>
        <x:v>3820.5854668799993</x:v>
      </x:c>
      <x:c r="S225" s="220" t="n">
        <x:v>0.05</x:v>
      </x:c>
      <x:c r="T225" s="226" t="n">
        <x:f>N225*S225</x:f>
        <x:v>230.93759999999997</x:v>
      </x:c>
      <x:c r="U225" s="226" t="n">
        <x:v>0.016</x:v>
      </x:c>
      <x:c r="V225" s="226" t="n">
        <x:f>P225*U225</x:f>
        <x:v>77.5950336</x:v>
      </x:c>
      <x:c r="W225" s="196" t="str">
        <x:v>EUR</x:v>
      </x:c>
      <x:c r="X225" s="220" t="n">
        <x:v>2.277</x:v>
      </x:c>
      <x:c r="Y225" s="196" t="str">
        <x:v>PERCENTAGE_OF_BASE_FREIGHT</x:v>
      </x:c>
      <x:c r="Z225" s="220" t="n">
        <x:v>0.098325</x:v>
      </x:c>
      <x:c r="AA225" s="220" t="n">
        <x:v>7.88</x:v>
      </x:c>
      <x:c r="AB225" s="220" t="n">
        <x:v>9.05</x:v>
      </x:c>
      <x:c r="AC225" s="226" t="n">
        <x:f>IF(W225="EUR",AA225,IF(W225="GBP",AB225,1))</x:f>
        <x:v>7.88</x:v>
      </x:c>
      <x:c r="AD225" s="226" t="n">
        <x:f>R225*X225</x:f>
        <x:v>8699.473108085758</x:v>
      </x:c>
      <x:c r="AE225" s="226" t="n">
        <x:f>IF(Y225="PERCENTAGE_OF_BASE_FREIGHT",AD225*Z225,IF(Y225="PER_CHARGEABLE_KG",R225*Z225,P225*Z225))</x:f>
        <x:v>855.3756933525322</x:v>
      </x:c>
      <x:c r="AF225" s="226" t="n">
        <x:f>AD225*AC225</x:f>
        <x:v>68551.84809171577</x:v>
      </x:c>
      <x:c r="AG225" s="226" t="n">
        <x:f>AE225*AC225</x:f>
        <x:v>6740.360463617953</x:v>
      </x:c>
      <x:c r="AH225" s="226" t="str">
        <x:v>EUR</x:v>
      </x:c>
      <x:c r="AI225" s="226" t="n">
        <x:v>1.2213</x:v>
      </x:c>
      <x:c r="AJ225" s="226" t="n">
        <x:f>IF(AH225="EUR",AA225,IF(AH225="GBP",AB225,1))</x:f>
        <x:v>7.88</x:v>
      </x:c>
      <x:c r="AK225" s="226" t="n">
        <x:f>N225*AI225</x:f>
        <x:v>5640.8818175999995</x:v>
      </x:c>
      <x:c r="AL225" s="226" t="n">
        <x:f>AK225*AJ225</x:f>
        <x:v>44450.148722688</x:v>
      </x:c>
      <x:c r="AM225" s="226" t="str">
        <x:v>EUR</x:v>
      </x:c>
      <x:c r="AN225" s="226" t="n">
        <x:v>0.4347</x:v>
      </x:c>
      <x:c r="AO225" s="226" t="n">
        <x:f>IF(AM225="EUR",AA225,IF(AM225="GBP",AB225,1))</x:f>
        <x:v>7.88</x:v>
      </x:c>
      <x:c r="AP225" s="226" t="n">
        <x:f>P225*AN225</x:f>
        <x:v>2108.1600691199997</x:v>
      </x:c>
      <x:c r="AQ225" s="226" t="n">
        <x:f>AP225*AO225</x:f>
        <x:v>16612.301344665597</x:v>
      </x:c>
      <x:c r="AR225" s="226" t="str">
        <x:v>EUR</x:v>
      </x:c>
      <x:c r="AS225" s="226" t="n">
        <x:v>3.312</x:v>
      </x:c>
      <x:c r="AT225" s="226" t="n">
        <x:f>IF(AR225="EUR",AA225,IF(AR225="GBP",AB225,1))</x:f>
        <x:v>7.88</x:v>
      </x:c>
      <x:c r="AU225" s="226" t="n">
        <x:f>T225*AS225</x:f>
        <x:v>764.8653311999999</x:v>
      </x:c>
      <x:c r="AV225" s="226" t="n">
        <x:f>AU225*AT225</x:f>
        <x:v>6027.138809855999</x:v>
      </x:c>
      <x:c r="AW225" s="226" t="str">
        <x:v>EUR</x:v>
      </x:c>
      <x:c r="AX225" s="226" t="n">
        <x:v>2.3805</x:v>
      </x:c>
      <x:c r="AY225" s="226" t="n">
        <x:f>IF(AW225="EUR",AA225,IF(AW225="GBP",AB225,1))</x:f>
        <x:v>7.88</x:v>
      </x:c>
      <x:c r="AZ225" s="226" t="n">
        <x:f>V225*AX225</x:f>
        <x:v>184.7149774848</x:v>
      </x:c>
      <x:c r="BA225" s="226" t="n">
        <x:f>AZ225*AY225</x:f>
        <x:v>1455.5540225802238</x:v>
      </x:c>
      <x:c r="BB225" s="226" t="n">
        <x:f>AF225+AG225+AL225+AQ225+AV225+BA225</x:f>
        <x:v>143837.35145512354</x:v>
      </x:c>
      <x:c r="BC225" s="229" t="n">
        <x:v>0.965</x:v>
      </x:c>
      <x:c r="BD225" s="202"/>
      <x:c r="BE225" s="202" t="str">
        <x:v>正式 Forecast 逐月降低英国空运及 Carrier C 份额，但仍高于 Budget</x:v>
      </x:c>
      <x:c r="BF225" s="202"/>
      <x:c r="BG225" s="202" t="str">
        <x:v>UNVERIFIED_UNLIMITED_FOR_MVP</x:v>
      </x:c>
    </x:row>
    <x:row r="226">
      <x:c r="A226" s="187" t="str">
        <x:v>FORECAST_2026_08_V1</x:v>
      </x:c>
      <x:c r="B226" s="187" t="str">
        <x:v>FORECAST</x:v>
      </x:c>
      <x:c r="C226" s="187"/>
      <x:c r="D226" s="217" t="n">
        <x:v>46327</x:v>
      </x:c>
      <x:c r="E226" s="187" t="str">
        <x:v>R_DE_DE_B_ROAD</x:v>
      </x:c>
      <x:c r="F226" s="187" t="str">
        <x:v>DE</x:v>
      </x:c>
      <x:c r="G226" s="187" t="str">
        <x:v>DE_FC</x:v>
      </x:c>
      <x:c r="H226" s="187" t="str">
        <x:v>CARRIER_B</x:v>
      </x:c>
      <x:c r="I226" s="187" t="str">
        <x:v>ROAD</x:v>
      </x:c>
      <x:c r="J226" s="220" t="n">
        <x:v>24800</x:v>
      </x:c>
      <x:c r="K226" s="223" t="n">
        <x:v>0.32</x:v>
      </x:c>
      <x:c r="L226" s="223" t="n">
        <x:v>0.97</x:v>
      </x:c>
      <x:c r="M226" s="223" t="n">
        <x:v>0.4</x:v>
      </x:c>
      <x:c r="N226" s="226" t="n">
        <x:f>J226*K226*L226*M226</x:f>
        <x:v>3079.168</x:v>
      </x:c>
      <x:c r="O226" s="220" t="n">
        <x:v>1.05</x:v>
      </x:c>
      <x:c r="P226" s="226" t="n">
        <x:f>N226*O226</x:f>
        <x:v>3233.1264</x:v>
      </x:c>
      <x:c r="Q226" s="220" t="n">
        <x:v>0.808</x:v>
      </x:c>
      <x:c r="R226" s="226" t="n">
        <x:f>P226*Q226</x:f>
        <x:v>2612.3661312000004</x:v>
      </x:c>
      <x:c r="S226" s="220" t="n">
        <x:v>0.05</x:v>
      </x:c>
      <x:c r="T226" s="226" t="n">
        <x:f>N226*S226</x:f>
        <x:v>153.9584</x:v>
      </x:c>
      <x:c r="U226" s="226" t="n">
        <x:v>0.013</x:v>
      </x:c>
      <x:c r="V226" s="226" t="n">
        <x:f>P226*U226</x:f>
        <x:v>42.0306432</x:v>
      </x:c>
      <x:c r="W226" s="196" t="str">
        <x:v>EUR</x:v>
      </x:c>
      <x:c r="X226" s="220" t="n">
        <x:v>2.84625</x:v>
      </x:c>
      <x:c r="Y226" s="196" t="str">
        <x:v>PER_CHARGEABLE_KG</x:v>
      </x:c>
      <x:c r="Z226" s="220" t="n">
        <x:v>0.21735</x:v>
      </x:c>
      <x:c r="AA226" s="220" t="n">
        <x:v>7.88</x:v>
      </x:c>
      <x:c r="AB226" s="220" t="n">
        <x:v>9.05</x:v>
      </x:c>
      <x:c r="AC226" s="226" t="n">
        <x:f>IF(W226="EUR",AA226,IF(W226="GBP",AB226,1))</x:f>
        <x:v>7.88</x:v>
      </x:c>
      <x:c r="AD226" s="226" t="n">
        <x:f>R226*X226</x:f>
        <x:v>7435.4471009280005</x:v>
      </x:c>
      <x:c r="AE226" s="226" t="n">
        <x:f>IF(Y226="PERCENTAGE_OF_BASE_FREIGHT",AD226*Z226,IF(Y226="PER_CHARGEABLE_KG",R226*Z226,P226*Z226))</x:f>
        <x:v>567.7977786163201</x:v>
      </x:c>
      <x:c r="AF226" s="226" t="n">
        <x:f>AD226*AC226</x:f>
        <x:v>58591.323155312646</x:v>
      </x:c>
      <x:c r="AG226" s="226" t="n">
        <x:f>AE226*AC226</x:f>
        <x:v>4474.246495496603</x:v>
      </x:c>
      <x:c r="AH226" s="226" t="str">
        <x:v>EUR</x:v>
      </x:c>
      <x:c r="AI226" s="226" t="n">
        <x:v>1.2213</x:v>
      </x:c>
      <x:c r="AJ226" s="226" t="n">
        <x:f>IF(AH226="EUR",AA226,IF(AH226="GBP",AB226,1))</x:f>
        <x:v>7.88</x:v>
      </x:c>
      <x:c r="AK226" s="226" t="n">
        <x:f>N226*AI226</x:f>
        <x:v>3760.5878784</x:v>
      </x:c>
      <x:c r="AL226" s="226" t="n">
        <x:f>AK226*AJ226</x:f>
        <x:v>29633.432481792002</x:v>
      </x:c>
      <x:c r="AM226" s="226" t="str">
        <x:v>EUR</x:v>
      </x:c>
      <x:c r="AN226" s="226" t="n">
        <x:v>0.4347</x:v>
      </x:c>
      <x:c r="AO226" s="226" t="n">
        <x:f>IF(AM226="EUR",AA226,IF(AM226="GBP",AB226,1))</x:f>
        <x:v>7.88</x:v>
      </x:c>
      <x:c r="AP226" s="226" t="n">
        <x:f>P226*AN226</x:f>
        <x:v>1405.44004608</x:v>
      </x:c>
      <x:c r="AQ226" s="226" t="n">
        <x:f>AP226*AO226</x:f>
        <x:v>11074.8675631104</x:v>
      </x:c>
      <x:c r="AR226" s="226" t="str">
        <x:v>EUR</x:v>
      </x:c>
      <x:c r="AS226" s="226" t="n">
        <x:v>3.312</x:v>
      </x:c>
      <x:c r="AT226" s="226" t="n">
        <x:f>IF(AR226="EUR",AA226,IF(AR226="GBP",AB226,1))</x:f>
        <x:v>7.88</x:v>
      </x:c>
      <x:c r="AU226" s="226" t="n">
        <x:f>T226*AS226</x:f>
        <x:v>509.9102208</x:v>
      </x:c>
      <x:c r="AV226" s="226" t="n">
        <x:f>AU226*AT226</x:f>
        <x:v>4018.0925399039998</x:v>
      </x:c>
      <x:c r="AW226" s="226" t="str">
        <x:v>EUR</x:v>
      </x:c>
      <x:c r="AX226" s="226" t="n">
        <x:v>2.3805</x:v>
      </x:c>
      <x:c r="AY226" s="226" t="n">
        <x:f>IF(AW226="EUR",AA226,IF(AW226="GBP",AB226,1))</x:f>
        <x:v>7.88</x:v>
      </x:c>
      <x:c r="AZ226" s="226" t="n">
        <x:f>V226*AX226</x:f>
        <x:v>100.05394613760001</x:v>
      </x:c>
      <x:c r="BA226" s="226" t="n">
        <x:f>AZ226*AY226</x:f>
        <x:v>788.4250955642881</x:v>
      </x:c>
      <x:c r="BB226" s="226" t="n">
        <x:f>AF226+AG226+AL226+AQ226+AV226+BA226</x:f>
        <x:v>108580.38733117994</x:v>
      </x:c>
      <x:c r="BC226" s="229" t="n">
        <x:v>0.976</x:v>
      </x:c>
      <x:c r="BD226" s="202"/>
      <x:c r="BE226" s="202" t="str">
        <x:v>正式 Forecast 逐月降低英国空运及 Carrier C 份额，但仍高于 Budget</x:v>
      </x:c>
      <x:c r="BF226" s="202"/>
      <x:c r="BG226" s="202" t="str">
        <x:v>UNVERIFIED_UNLIMITED_FOR_MVP</x:v>
      </x:c>
    </x:row>
    <x:row r="227">
      <x:c r="A227" s="187" t="str">
        <x:v>FORECAST_2026_08_V1</x:v>
      </x:c>
      <x:c r="B227" s="187" t="str">
        <x:v>FORECAST</x:v>
      </x:c>
      <x:c r="C227" s="187"/>
      <x:c r="D227" s="217" t="n">
        <x:v>46327</x:v>
      </x:c>
      <x:c r="E227" s="187" t="str">
        <x:v>R_DE_FR_B_ROAD</x:v>
      </x:c>
      <x:c r="F227" s="187" t="str">
        <x:v>DE</x:v>
      </x:c>
      <x:c r="G227" s="187" t="str">
        <x:v>FR_FC</x:v>
      </x:c>
      <x:c r="H227" s="187" t="str">
        <x:v>CARRIER_B</x:v>
      </x:c>
      <x:c r="I227" s="187" t="str">
        <x:v>ROAD</x:v>
      </x:c>
      <x:c r="J227" s="220" t="n">
        <x:v>24800</x:v>
      </x:c>
      <x:c r="K227" s="223" t="n">
        <x:v>0.32</x:v>
      </x:c>
      <x:c r="L227" s="223" t="n">
        <x:v>0.03</x:v>
      </x:c>
      <x:c r="M227" s="223" t="n">
        <x:v>1</x:v>
      </x:c>
      <x:c r="N227" s="226" t="n">
        <x:f>J227*K227*L227*M227</x:f>
        <x:v>238.07999999999998</x:v>
      </x:c>
      <x:c r="O227" s="220" t="n">
        <x:v>1.08</x:v>
      </x:c>
      <x:c r="P227" s="226" t="n">
        <x:f>N227*O227</x:f>
        <x:v>257.1264</x:v>
      </x:c>
      <x:c r="Q227" s="220" t="n">
        <x:v>0.8686</x:v>
      </x:c>
      <x:c r="R227" s="226" t="n">
        <x:f>P227*Q227</x:f>
        <x:v>223.33999104</x:v>
      </x:c>
      <x:c r="S227" s="220" t="n">
        <x:v>0.05</x:v>
      </x:c>
      <x:c r="T227" s="226" t="n">
        <x:f>N227*S227</x:f>
        <x:v>11.904</x:v>
      </x:c>
      <x:c r="U227" s="226" t="n">
        <x:v>0.014</x:v>
      </x:c>
      <x:c r="V227" s="226" t="n">
        <x:f>P227*U227</x:f>
        <x:v>3.5997696</x:v>
      </x:c>
      <x:c r="W227" s="196" t="str">
        <x:v>EUR</x:v>
      </x:c>
      <x:c r="X227" s="220" t="n">
        <x:v>3.4155</x:v>
      </x:c>
      <x:c r="Y227" s="196" t="str">
        <x:v>PER_CHARGEABLE_KG</x:v>
      </x:c>
      <x:c r="Z227" s="220" t="n">
        <x:v>0.2484</x:v>
      </x:c>
      <x:c r="AA227" s="220" t="n">
        <x:v>7.88</x:v>
      </x:c>
      <x:c r="AB227" s="220" t="n">
        <x:v>9.05</x:v>
      </x:c>
      <x:c r="AC227" s="226" t="n">
        <x:f>IF(W227="EUR",AA227,IF(W227="GBP",AB227,1))</x:f>
        <x:v>7.88</x:v>
      </x:c>
      <x:c r="AD227" s="226" t="n">
        <x:f>R227*X227</x:f>
        <x:v>762.81773939712</x:v>
      </x:c>
      <x:c r="AE227" s="226" t="n">
        <x:f>IF(Y227="PERCENTAGE_OF_BASE_FREIGHT",AD227*Z227,IF(Y227="PER_CHARGEABLE_KG",R227*Z227,P227*Z227))</x:f>
        <x:v>55.477653774336005</x:v>
      </x:c>
      <x:c r="AF227" s="226" t="n">
        <x:f>AD227*AC227</x:f>
        <x:v>6011.003786449306</x:v>
      </x:c>
      <x:c r="AG227" s="226" t="n">
        <x:f>AE227*AC227</x:f>
        <x:v>437.1639117417677</x:v>
      </x:c>
      <x:c r="AH227" s="226" t="str">
        <x:v>EUR</x:v>
      </x:c>
      <x:c r="AI227" s="226" t="n">
        <x:v>1.08675</x:v>
      </x:c>
      <x:c r="AJ227" s="226" t="n">
        <x:f>IF(AH227="EUR",AA227,IF(AH227="GBP",AB227,1))</x:f>
        <x:v>7.88</x:v>
      </x:c>
      <x:c r="AK227" s="226" t="n">
        <x:f>N227*AI227</x:f>
        <x:v>258.73344000000003</x:v>
      </x:c>
      <x:c r="AL227" s="226" t="n">
        <x:f>AK227*AJ227</x:f>
        <x:v>2038.8195072000003</x:v>
      </x:c>
      <x:c r="AM227" s="226" t="str">
        <x:v>EUR</x:v>
      </x:c>
      <x:c r="AN227" s="226" t="n">
        <x:v>0.3933</x:v>
      </x:c>
      <x:c r="AO227" s="226" t="n">
        <x:f>IF(AM227="EUR",AA227,IF(AM227="GBP",AB227,1))</x:f>
        <x:v>7.88</x:v>
      </x:c>
      <x:c r="AP227" s="226" t="n">
        <x:f>P227*AN227</x:f>
        <x:v>101.12781311999998</x:v>
      </x:c>
      <x:c r="AQ227" s="226" t="n">
        <x:f>AP227*AO227</x:f>
        <x:v>796.8871673855999</x:v>
      </x:c>
      <x:c r="AR227" s="226" t="str">
        <x:v>EUR</x:v>
      </x:c>
      <x:c r="AS227" s="226" t="n">
        <x:v>3.933</x:v>
      </x:c>
      <x:c r="AT227" s="226" t="n">
        <x:f>IF(AR227="EUR",AA227,IF(AR227="GBP",AB227,1))</x:f>
        <x:v>7.88</x:v>
      </x:c>
      <x:c r="AU227" s="226" t="n">
        <x:f>T227*AS227</x:f>
        <x:v>46.818431999999994</x:v>
      </x:c>
      <x:c r="AV227" s="226" t="n">
        <x:f>AU227*AT227</x:f>
        <x:v>368.92924415999994</x:v>
      </x:c>
      <x:c r="AW227" s="226" t="str">
        <x:v>EUR</x:v>
      </x:c>
      <x:c r="AX227" s="226" t="n">
        <x:v>2.3805</x:v>
      </x:c>
      <x:c r="AY227" s="226" t="n">
        <x:f>IF(AW227="EUR",AA227,IF(AW227="GBP",AB227,1))</x:f>
        <x:v>7.88</x:v>
      </x:c>
      <x:c r="AZ227" s="226" t="n">
        <x:f>V227*AX227</x:f>
        <x:v>8.569251532800001</x:v>
      </x:c>
      <x:c r="BA227" s="226" t="n">
        <x:f>AZ227*AY227</x:f>
        <x:v>67.52570207846401</x:v>
      </x:c>
      <x:c r="BB227" s="226" t="n">
        <x:f>AF227+AG227+AL227+AQ227+AV227+BA227</x:f>
        <x:v>9720.329319015138</x:v>
      </x:c>
      <x:c r="BC227" s="229" t="n">
        <x:v>0.968</x:v>
      </x:c>
      <x:c r="BD227" s="202"/>
      <x:c r="BE227" s="202" t="str">
        <x:v>正式 Forecast 逐月降低英国空运及 Carrier C 份额，但仍高于 Budget</x:v>
      </x:c>
      <x:c r="BF227" s="202"/>
      <x:c r="BG227" s="202" t="str">
        <x:v>UNVERIFIED_UNLIMITED_FOR_MVP</x:v>
      </x:c>
    </x:row>
    <x:row r="228">
      <x:c r="A228" s="187" t="str">
        <x:v>FORECAST_2026_08_V1</x:v>
      </x:c>
      <x:c r="B228" s="187" t="str">
        <x:v>FORECAST</x:v>
      </x:c>
      <x:c r="C228" s="187"/>
      <x:c r="D228" s="217" t="n">
        <x:v>46327</x:v>
      </x:c>
      <x:c r="E228" s="187" t="str">
        <x:v>R_FR_FR_A_ROAD</x:v>
      </x:c>
      <x:c r="F228" s="187" t="str">
        <x:v>FR</x:v>
      </x:c>
      <x:c r="G228" s="187" t="str">
        <x:v>FR_FC</x:v>
      </x:c>
      <x:c r="H228" s="187" t="str">
        <x:v>CARRIER_A</x:v>
      </x:c>
      <x:c r="I228" s="187" t="str">
        <x:v>ROAD</x:v>
      </x:c>
      <x:c r="J228" s="220" t="n">
        <x:v>24800</x:v>
      </x:c>
      <x:c r="K228" s="223" t="n">
        <x:v>0.29</x:v>
      </x:c>
      <x:c r="L228" s="223" t="n">
        <x:v>1</x:v>
      </x:c>
      <x:c r="M228" s="223" t="n">
        <x:v>0.35</x:v>
      </x:c>
      <x:c r="N228" s="226" t="n">
        <x:f>J228*K228*L228*M228</x:f>
        <x:v>2517.1999999999994</x:v>
      </x:c>
      <x:c r="O228" s="220" t="n">
        <x:v>1.06</x:v>
      </x:c>
      <x:c r="P228" s="226" t="n">
        <x:f>N228*O228</x:f>
        <x:v>2668.2319999999995</x:v>
      </x:c>
      <x:c r="Q228" s="220" t="n">
        <x:v>0.7676</x:v>
      </x:c>
      <x:c r="R228" s="226" t="n">
        <x:f>P228*Q228</x:f>
        <x:v>2048.1348831999994</x:v>
      </x:c>
      <x:c r="S228" s="220" t="n">
        <x:v>0.06</x:v>
      </x:c>
      <x:c r="T228" s="226" t="n">
        <x:f>N228*S228</x:f>
        <x:v>151.03199999999995</x:v>
      </x:c>
      <x:c r="U228" s="226" t="n">
        <x:v>0.017</x:v>
      </x:c>
      <x:c r="V228" s="226" t="n">
        <x:f>P228*U228</x:f>
        <x:v>45.35994399999999</x:v>
      </x:c>
      <x:c r="W228" s="196" t="str">
        <x:v>EUR</x:v>
      </x:c>
      <x:c r="X228" s="220" t="n">
        <x:v>2.1735</x:v>
      </x:c>
      <x:c r="Y228" s="196" t="str">
        <x:v>PERCENTAGE_OF_BASE_FREIGHT</x:v>
      </x:c>
      <x:c r="Z228" s="220" t="n">
        <x:v>0.09315</x:v>
      </x:c>
      <x:c r="AA228" s="220" t="n">
        <x:v>7.88</x:v>
      </x:c>
      <x:c r="AB228" s="220" t="n">
        <x:v>9.05</x:v>
      </x:c>
      <x:c r="AC228" s="226" t="n">
        <x:f>IF(W228="EUR",AA228,IF(W228="GBP",AB228,1))</x:f>
        <x:v>7.88</x:v>
      </x:c>
      <x:c r="AD228" s="226" t="n">
        <x:f>R228*X228</x:f>
        <x:v>4451.621168635199</x:v>
      </x:c>
      <x:c r="AE228" s="226" t="n">
        <x:f>IF(Y228="PERCENTAGE_OF_BASE_FREIGHT",AD228*Z228,IF(Y228="PER_CHARGEABLE_KG",R228*Z228,P228*Z228))</x:f>
        <x:v>414.6685118583688</x:v>
      </x:c>
      <x:c r="AF228" s="226" t="n">
        <x:f>AD228*AC228</x:f>
        <x:v>35078.774808845366</x:v>
      </x:c>
      <x:c r="AG228" s="226" t="n">
        <x:f>AE228*AC228</x:f>
        <x:v>3267.587873443946</x:v>
      </x:c>
      <x:c r="AH228" s="226" t="str">
        <x:v>EUR</x:v>
      </x:c>
      <x:c r="AI228" s="226" t="n">
        <x:v>1.08675</x:v>
      </x:c>
      <x:c r="AJ228" s="226" t="n">
        <x:f>IF(AH228="EUR",AA228,IF(AH228="GBP",AB228,1))</x:f>
        <x:v>7.88</x:v>
      </x:c>
      <x:c r="AK228" s="226" t="n">
        <x:f>N228*AI228</x:f>
        <x:v>2735.5670999999998</x:v>
      </x:c>
      <x:c r="AL228" s="226" t="n">
        <x:f>AK228*AJ228</x:f>
        <x:v>21556.268748</x:v>
      </x:c>
      <x:c r="AM228" s="226" t="str">
        <x:v>EUR</x:v>
      </x:c>
      <x:c r="AN228" s="226" t="n">
        <x:v>0.3933</x:v>
      </x:c>
      <x:c r="AO228" s="226" t="n">
        <x:f>IF(AM228="EUR",AA228,IF(AM228="GBP",AB228,1))</x:f>
        <x:v>7.88</x:v>
      </x:c>
      <x:c r="AP228" s="226" t="n">
        <x:f>P228*AN228</x:f>
        <x:v>1049.4156455999998</x:v>
      </x:c>
      <x:c r="AQ228" s="226" t="n">
        <x:f>AP228*AO228</x:f>
        <x:v>8269.395287327998</x:v>
      </x:c>
      <x:c r="AR228" s="226" t="str">
        <x:v>EUR</x:v>
      </x:c>
      <x:c r="AS228" s="226" t="n">
        <x:v>3.105</x:v>
      </x:c>
      <x:c r="AT228" s="226" t="n">
        <x:f>IF(AR228="EUR",AA228,IF(AR228="GBP",AB228,1))</x:f>
        <x:v>7.88</x:v>
      </x:c>
      <x:c r="AU228" s="226" t="n">
        <x:f>T228*AS228</x:f>
        <x:v>468.95435999999984</x:v>
      </x:c>
      <x:c r="AV228" s="226" t="n">
        <x:f>AU228*AT228</x:f>
        <x:v>3695.3603567999985</x:v>
      </x:c>
      <x:c r="AW228" s="226" t="str">
        <x:v>EUR</x:v>
      </x:c>
      <x:c r="AX228" s="226" t="n">
        <x:v>2.3805</x:v>
      </x:c>
      <x:c r="AY228" s="226" t="n">
        <x:f>IF(AW228="EUR",AA228,IF(AW228="GBP",AB228,1))</x:f>
        <x:v>7.88</x:v>
      </x:c>
      <x:c r="AZ228" s="226" t="n">
        <x:f>V228*AX228</x:f>
        <x:v>107.97934669199998</x:v>
      </x:c>
      <x:c r="BA228" s="226" t="n">
        <x:f>AZ228*AY228</x:f>
        <x:v>850.8772519329598</x:v>
      </x:c>
      <x:c r="BB228" s="226" t="n">
        <x:f>AF228+AG228+AL228+AQ228+AV228+BA228</x:f>
        <x:v>72718.26432635027</x:v>
      </x:c>
      <x:c r="BC228" s="229" t="n">
        <x:v>0.961</x:v>
      </x:c>
      <x:c r="BD228" s="202"/>
      <x:c r="BE228" s="202" t="str">
        <x:v>正式 Forecast 逐月降低英国空运及 Carrier C 份额，但仍高于 Budget</x:v>
      </x:c>
      <x:c r="BF228" s="202"/>
      <x:c r="BG228" s="202" t="str">
        <x:v>UNVERIFIED_UNLIMITED_FOR_MVP</x:v>
      </x:c>
    </x:row>
    <x:row r="229">
      <x:c r="A229" s="187" t="str">
        <x:v>FORECAST_2026_08_V1</x:v>
      </x:c>
      <x:c r="B229" s="187" t="str">
        <x:v>FORECAST</x:v>
      </x:c>
      <x:c r="C229" s="187"/>
      <x:c r="D229" s="217" t="n">
        <x:v>46327</x:v>
      </x:c>
      <x:c r="E229" s="187" t="str">
        <x:v>R_FR_FR_B_ROAD</x:v>
      </x:c>
      <x:c r="F229" s="187" t="str">
        <x:v>FR</x:v>
      </x:c>
      <x:c r="G229" s="187" t="str">
        <x:v>FR_FC</x:v>
      </x:c>
      <x:c r="H229" s="187" t="str">
        <x:v>CARRIER_B</x:v>
      </x:c>
      <x:c r="I229" s="187" t="str">
        <x:v>ROAD</x:v>
      </x:c>
      <x:c r="J229" s="220" t="n">
        <x:v>24800</x:v>
      </x:c>
      <x:c r="K229" s="223" t="n">
        <x:v>0.29</x:v>
      </x:c>
      <x:c r="L229" s="223" t="n">
        <x:v>1</x:v>
      </x:c>
      <x:c r="M229" s="223" t="n">
        <x:v>0.65</x:v>
      </x:c>
      <x:c r="N229" s="226" t="n">
        <x:f>J229*K229*L229*M229</x:f>
        <x:v>4674.799999999999</x:v>
      </x:c>
      <x:c r="O229" s="220" t="n">
        <x:v>1.06</x:v>
      </x:c>
      <x:c r="P229" s="226" t="n">
        <x:f>N229*O229</x:f>
        <x:v>4955.288</x:v>
      </x:c>
      <x:c r="Q229" s="220" t="n">
        <x:v>0.7979</x:v>
      </x:c>
      <x:c r="R229" s="226" t="n">
        <x:f>P229*Q229</x:f>
        <x:v>3953.8242952</x:v>
      </x:c>
      <x:c r="S229" s="220" t="n">
        <x:v>0.06</x:v>
      </x:c>
      <x:c r="T229" s="226" t="n">
        <x:f>N229*S229</x:f>
        <x:v>280.48799999999994</x:v>
      </x:c>
      <x:c r="U229" s="226" t="n">
        <x:v>0.014</x:v>
      </x:c>
      <x:c r="V229" s="226" t="n">
        <x:f>P229*U229</x:f>
        <x:v>69.374032</x:v>
      </x:c>
      <x:c r="W229" s="196" t="str">
        <x:v>EUR</x:v>
      </x:c>
      <x:c r="X229" s="220" t="n">
        <x:v>2.691</x:v>
      </x:c>
      <x:c r="Y229" s="196" t="str">
        <x:v>PER_CHARGEABLE_KG</x:v>
      </x:c>
      <x:c r="Z229" s="220" t="n">
        <x:v>0.207</x:v>
      </x:c>
      <x:c r="AA229" s="220" t="n">
        <x:v>7.88</x:v>
      </x:c>
      <x:c r="AB229" s="220" t="n">
        <x:v>9.05</x:v>
      </x:c>
      <x:c r="AC229" s="226" t="n">
        <x:f>IF(W229="EUR",AA229,IF(W229="GBP",AB229,1))</x:f>
        <x:v>7.88</x:v>
      </x:c>
      <x:c r="AD229" s="226" t="n">
        <x:f>R229*X229</x:f>
        <x:v>10639.7411783832</x:v>
      </x:c>
      <x:c r="AE229" s="226" t="n">
        <x:f>IF(Y229="PERCENTAGE_OF_BASE_FREIGHT",AD229*Z229,IF(Y229="PER_CHARGEABLE_KG",R229*Z229,P229*Z229))</x:f>
        <x:v>818.4416291064</x:v>
      </x:c>
      <x:c r="AF229" s="226" t="n">
        <x:f>AD229*AC229</x:f>
        <x:v>83841.16048565961</x:v>
      </x:c>
      <x:c r="AG229" s="226" t="n">
        <x:f>AE229*AC229</x:f>
        <x:v>6449.320037358432</x:v>
      </x:c>
      <x:c r="AH229" s="226" t="str">
        <x:v>EUR</x:v>
      </x:c>
      <x:c r="AI229" s="226" t="n">
        <x:v>1.08675</x:v>
      </x:c>
      <x:c r="AJ229" s="226" t="n">
        <x:f>IF(AH229="EUR",AA229,IF(AH229="GBP",AB229,1))</x:f>
        <x:v>7.88</x:v>
      </x:c>
      <x:c r="AK229" s="226" t="n">
        <x:f>N229*AI229</x:f>
        <x:v>5080.3389</x:v>
      </x:c>
      <x:c r="AL229" s="226" t="n">
        <x:f>AK229*AJ229</x:f>
        <x:v>40033.070532</x:v>
      </x:c>
      <x:c r="AM229" s="226" t="str">
        <x:v>EUR</x:v>
      </x:c>
      <x:c r="AN229" s="226" t="n">
        <x:v>0.3933</x:v>
      </x:c>
      <x:c r="AO229" s="226" t="n">
        <x:f>IF(AM229="EUR",AA229,IF(AM229="GBP",AB229,1))</x:f>
        <x:v>7.88</x:v>
      </x:c>
      <x:c r="AP229" s="226" t="n">
        <x:f>P229*AN229</x:f>
        <x:v>1948.9147703999997</x:v>
      </x:c>
      <x:c r="AQ229" s="226" t="n">
        <x:f>AP229*AO229</x:f>
        <x:v>15357.448390751997</x:v>
      </x:c>
      <x:c r="AR229" s="226" t="str">
        <x:v>EUR</x:v>
      </x:c>
      <x:c r="AS229" s="226" t="n">
        <x:v>3.105</x:v>
      </x:c>
      <x:c r="AT229" s="226" t="n">
        <x:f>IF(AR229="EUR",AA229,IF(AR229="GBP",AB229,1))</x:f>
        <x:v>7.88</x:v>
      </x:c>
      <x:c r="AU229" s="226" t="n">
        <x:f>T229*AS229</x:f>
        <x:v>870.9152399999998</x:v>
      </x:c>
      <x:c r="AV229" s="226" t="n">
        <x:f>AU229*AT229</x:f>
        <x:v>6862.812091199999</x:v>
      </x:c>
      <x:c r="AW229" s="226" t="str">
        <x:v>EUR</x:v>
      </x:c>
      <x:c r="AX229" s="226" t="n">
        <x:v>2.3805</x:v>
      </x:c>
      <x:c r="AY229" s="226" t="n">
        <x:f>IF(AW229="EUR",AA229,IF(AW229="GBP",AB229,1))</x:f>
        <x:v>7.88</x:v>
      </x:c>
      <x:c r="AZ229" s="226" t="n">
        <x:f>V229*AX229</x:f>
        <x:v>165.144883176</x:v>
      </x:c>
      <x:c r="BA229" s="226" t="n">
        <x:f>AZ229*AY229</x:f>
        <x:v>1301.34167942688</x:v>
      </x:c>
      <x:c r="BB229" s="226" t="n">
        <x:f>AF229+AG229+AL229+AQ229+AV229+BA229</x:f>
        <x:v>153845.1532163969</x:v>
      </x:c>
      <x:c r="BC229" s="229" t="n">
        <x:v>0.973</x:v>
      </x:c>
      <x:c r="BD229" s="202"/>
      <x:c r="BE229" s="202" t="str">
        <x:v>正式 Forecast 逐月降低英国空运及 Carrier C 份额，但仍高于 Budget</x:v>
      </x:c>
      <x:c r="BF229" s="202"/>
      <x:c r="BG229" s="202" t="str">
        <x:v>UNVERIFIED_UNLIMITED_FOR_MVP</x:v>
      </x:c>
    </x:row>
    <x:row r="230">
      <x:c r="A230" s="187" t="str">
        <x:v>FORECAST_2026_08_V1</x:v>
      </x:c>
      <x:c r="B230" s="187" t="str">
        <x:v>FORECAST</x:v>
      </x:c>
      <x:c r="C230" s="187"/>
      <x:c r="D230" s="217" t="n">
        <x:v>46327</x:v>
      </x:c>
      <x:c r="E230" s="187" t="str">
        <x:v>R_GB_DE_A_ROAD</x:v>
      </x:c>
      <x:c r="F230" s="187" t="str">
        <x:v>GB</x:v>
      </x:c>
      <x:c r="G230" s="187" t="str">
        <x:v>DE_FC</x:v>
      </x:c>
      <x:c r="H230" s="187" t="str">
        <x:v>CARRIER_A</x:v>
      </x:c>
      <x:c r="I230" s="187" t="str">
        <x:v>ROAD</x:v>
      </x:c>
      <x:c r="J230" s="220" t="n">
        <x:v>24800</x:v>
      </x:c>
      <x:c r="K230" s="223" t="n">
        <x:v>0.39</x:v>
      </x:c>
      <x:c r="L230" s="223" t="n">
        <x:v>0.96</x:v>
      </x:c>
      <x:c r="M230" s="223" t="n">
        <x:v>0.42</x:v>
      </x:c>
      <x:c r="N230" s="226" t="n">
        <x:f>J230*K230*L230*M230</x:f>
        <x:v>3899.7503999999994</x:v>
      </x:c>
      <x:c r="O230" s="220" t="n">
        <x:v>1.17</x:v>
      </x:c>
      <x:c r="P230" s="226" t="n">
        <x:f>N230*O230</x:f>
        <x:v>4562.707967999999</x:v>
      </x:c>
      <x:c r="Q230" s="220" t="n">
        <x:v>1.050804</x:v>
      </x:c>
      <x:c r="R230" s="226" t="n">
        <x:f>P230*Q230</x:f>
        <x:v>4794.511783606271</x:v>
      </x:c>
      <x:c r="S230" s="220" t="n">
        <x:v>0.09</x:v>
      </x:c>
      <x:c r="T230" s="226" t="n">
        <x:f>N230*S230</x:f>
        <x:v>350.97753599999993</x:v>
      </x:c>
      <x:c r="U230" s="226" t="n">
        <x:v>0.027</x:v>
      </x:c>
      <x:c r="V230" s="226" t="n">
        <x:f>P230*U230</x:f>
        <x:v>123.19311513599996</x:v>
      </x:c>
      <x:c r="W230" s="196" t="str">
        <x:v>GBP</x:v>
      </x:c>
      <x:c r="X230" s="220" t="n">
        <x:v>4.14</x:v>
      </x:c>
      <x:c r="Y230" s="196" t="str">
        <x:v>PERCENTAGE_OF_BASE_FREIGHT</x:v>
      </x:c>
      <x:c r="Z230" s="220" t="n">
        <x:v>0.1035</x:v>
      </x:c>
      <x:c r="AA230" s="220" t="n">
        <x:v>7.88</x:v>
      </x:c>
      <x:c r="AB230" s="220" t="n">
        <x:v>9.05</x:v>
      </x:c>
      <x:c r="AC230" s="226" t="n">
        <x:f>IF(W230="EUR",AA230,IF(W230="GBP",AB230,1))</x:f>
        <x:v>9.05</x:v>
      </x:c>
      <x:c r="AD230" s="226" t="n">
        <x:f>R230*X230</x:f>
        <x:v>19849.27878412996</x:v>
      </x:c>
      <x:c r="AE230" s="226" t="n">
        <x:f>IF(Y230="PERCENTAGE_OF_BASE_FREIGHT",AD230*Z230,IF(Y230="PER_CHARGEABLE_KG",R230*Z230,P230*Z230))</x:f>
        <x:v>2054.4003541574507</x:v>
      </x:c>
      <x:c r="AF230" s="226" t="n">
        <x:f>AD230*AC230</x:f>
        <x:v>179635.97299637616</x:v>
      </x:c>
      <x:c r="AG230" s="226" t="n">
        <x:f>AE230*AC230</x:f>
        <x:v>18592.32320512493</x:v>
      </x:c>
      <x:c r="AH230" s="226" t="str">
        <x:v>EUR</x:v>
      </x:c>
      <x:c r="AI230" s="226" t="n">
        <x:v>1.2213</x:v>
      </x:c>
      <x:c r="AJ230" s="226" t="n">
        <x:f>IF(AH230="EUR",AA230,IF(AH230="GBP",AB230,1))</x:f>
        <x:v>7.88</x:v>
      </x:c>
      <x:c r="AK230" s="226" t="n">
        <x:f>N230*AI230</x:f>
        <x:v>4762.765163519999</x:v>
      </x:c>
      <x:c r="AL230" s="226" t="n">
        <x:f>AK230*AJ230</x:f>
        <x:v>37530.58948853759</x:v>
      </x:c>
      <x:c r="AM230" s="226" t="str">
        <x:v>EUR</x:v>
      </x:c>
      <x:c r="AN230" s="226" t="n">
        <x:v>0.4347</x:v>
      </x:c>
      <x:c r="AO230" s="226" t="n">
        <x:f>IF(AM230="EUR",AA230,IF(AM230="GBP",AB230,1))</x:f>
        <x:v>7.88</x:v>
      </x:c>
      <x:c r="AP230" s="226" t="n">
        <x:f>P230*AN230</x:f>
        <x:v>1983.4091536895994</x:v>
      </x:c>
      <x:c r="AQ230" s="226" t="n">
        <x:f>AP230*AO230</x:f>
        <x:v>15629.264131074044</x:v>
      </x:c>
      <x:c r="AR230" s="226" t="str">
        <x:v>GBP</x:v>
      </x:c>
      <x:c r="AS230" s="226" t="n">
        <x:v>4.968</x:v>
      </x:c>
      <x:c r="AT230" s="226" t="n">
        <x:f>IF(AR230="EUR",AA230,IF(AR230="GBP",AB230,1))</x:f>
        <x:v>9.05</x:v>
      </x:c>
      <x:c r="AU230" s="226" t="n">
        <x:f>T230*AS230</x:f>
        <x:v>1743.6563988479998</x:v>
      </x:c>
      <x:c r="AV230" s="226" t="n">
        <x:f>AU230*AT230</x:f>
        <x:v>15780.090409574399</x:v>
      </x:c>
      <x:c r="AW230" s="226" t="str">
        <x:v>GBP</x:v>
      </x:c>
      <x:c r="AX230" s="226" t="n">
        <x:v>2.3805</x:v>
      </x:c>
      <x:c r="AY230" s="226" t="n">
        <x:f>IF(AW230="EUR",AA230,IF(AW230="GBP",AB230,1))</x:f>
        <x:v>9.05</x:v>
      </x:c>
      <x:c r="AZ230" s="226" t="n">
        <x:f>V230*AX230</x:f>
        <x:v>293.2612105812479</x:v>
      </x:c>
      <x:c r="BA230" s="226" t="n">
        <x:f>AZ230*AY230</x:f>
        <x:v>2654.013955760294</x:v>
      </x:c>
      <x:c r="BB230" s="226" t="n">
        <x:f>AF230+AG230+AL230+AQ230+AV230+BA230</x:f>
        <x:v>269822.2541864474</x:v>
      </x:c>
      <x:c r="BC230" s="229" t="n">
        <x:v>0.93</x:v>
      </x:c>
      <x:c r="BD230" s="202"/>
      <x:c r="BE230" s="202" t="str">
        <x:v>正式 Forecast 逐月降低英国空运及 Carrier C 份额，但仍高于 Budget</x:v>
      </x:c>
      <x:c r="BF230" s="202"/>
      <x:c r="BG230" s="202" t="str">
        <x:v>UNVERIFIED_UNLIMITED_FOR_MVP</x:v>
      </x:c>
    </x:row>
    <x:row r="231">
      <x:c r="A231" s="187" t="str">
        <x:v>FORECAST_2026_08_V1</x:v>
      </x:c>
      <x:c r="B231" s="187" t="str">
        <x:v>FORECAST</x:v>
      </x:c>
      <x:c r="C231" s="187"/>
      <x:c r="D231" s="217" t="n">
        <x:v>46327</x:v>
      </x:c>
      <x:c r="E231" s="187" t="str">
        <x:v>R_GB_DE_B_ROAD</x:v>
      </x:c>
      <x:c r="F231" s="187" t="str">
        <x:v>GB</x:v>
      </x:c>
      <x:c r="G231" s="187" t="str">
        <x:v>DE_FC</x:v>
      </x:c>
      <x:c r="H231" s="187" t="str">
        <x:v>CARRIER_B</x:v>
      </x:c>
      <x:c r="I231" s="187" t="str">
        <x:v>ROAD</x:v>
      </x:c>
      <x:c r="J231" s="220" t="n">
        <x:v>24800</x:v>
      </x:c>
      <x:c r="K231" s="223" t="n">
        <x:v>0.39</x:v>
      </x:c>
      <x:c r="L231" s="223" t="n">
        <x:v>0.96</x:v>
      </x:c>
      <x:c r="M231" s="223" t="n">
        <x:v>0.23</x:v>
      </x:c>
      <x:c r="N231" s="226" t="n">
        <x:f>J231*K231*L231*M231</x:f>
        <x:v>2135.5776</x:v>
      </x:c>
      <x:c r="O231" s="220" t="n">
        <x:v>1.17</x:v>
      </x:c>
      <x:c r="P231" s="226" t="n">
        <x:f>N231*O231</x:f>
        <x:v>2498.625792</x:v>
      </x:c>
      <x:c r="Q231" s="220" t="n">
        <x:v>1.0302</x:v>
      </x:c>
      <x:c r="R231" s="226" t="n">
        <x:f>P231*Q231</x:f>
        <x:v>2574.0842909184</x:v>
      </x:c>
      <x:c r="S231" s="220" t="n">
        <x:v>0.09</x:v>
      </x:c>
      <x:c r="T231" s="226" t="n">
        <x:f>N231*S231</x:f>
        <x:v>192.201984</x:v>
      </x:c>
      <x:c r="U231" s="226" t="n">
        <x:v>0.02</x:v>
      </x:c>
      <x:c r="V231" s="226" t="n">
        <x:f>P231*U231</x:f>
        <x:v>49.97251584</x:v>
      </x:c>
      <x:c r="W231" s="196" t="str">
        <x:v>GBP</x:v>
      </x:c>
      <x:c r="X231" s="220" t="n">
        <x:v>4.8645</x:v>
      </x:c>
      <x:c r="Y231" s="196" t="str">
        <x:v>PER_CHARGEABLE_KG</x:v>
      </x:c>
      <x:c r="Z231" s="220" t="n">
        <x:v>0.34155</x:v>
      </x:c>
      <x:c r="AA231" s="220" t="n">
        <x:v>7.88</x:v>
      </x:c>
      <x:c r="AB231" s="220" t="n">
        <x:v>9.05</x:v>
      </x:c>
      <x:c r="AC231" s="226" t="n">
        <x:f>IF(W231="EUR",AA231,IF(W231="GBP",AB231,1))</x:f>
        <x:v>9.05</x:v>
      </x:c>
      <x:c r="AD231" s="226" t="n">
        <x:f>R231*X231</x:f>
        <x:v>12521.633033172555</x:v>
      </x:c>
      <x:c r="AE231" s="226" t="n">
        <x:f>IF(Y231="PERCENTAGE_OF_BASE_FREIGHT",AD231*Z231,IF(Y231="PER_CHARGEABLE_KG",R231*Z231,P231*Z231))</x:f>
        <x:v>879.1784895631795</x:v>
      </x:c>
      <x:c r="AF231" s="226" t="n">
        <x:f>AD231*AC231</x:f>
        <x:v>113320.77895021164</x:v>
      </x:c>
      <x:c r="AG231" s="226" t="n">
        <x:f>AE231*AC231</x:f>
        <x:v>7956.565330546775</x:v>
      </x:c>
      <x:c r="AH231" s="226" t="str">
        <x:v>EUR</x:v>
      </x:c>
      <x:c r="AI231" s="226" t="n">
        <x:v>1.2213</x:v>
      </x:c>
      <x:c r="AJ231" s="226" t="n">
        <x:f>IF(AH231="EUR",AA231,IF(AH231="GBP",AB231,1))</x:f>
        <x:v>7.88</x:v>
      </x:c>
      <x:c r="AK231" s="226" t="n">
        <x:f>N231*AI231</x:f>
        <x:v>2608.1809228800003</x:v>
      </x:c>
      <x:c r="AL231" s="226" t="n">
        <x:f>AK231*AJ231</x:f>
        <x:v>20552.465672294402</x:v>
      </x:c>
      <x:c r="AM231" s="226" t="str">
        <x:v>EUR</x:v>
      </x:c>
      <x:c r="AN231" s="226" t="n">
        <x:v>0.4347</x:v>
      </x:c>
      <x:c r="AO231" s="226" t="n">
        <x:f>IF(AM231="EUR",AA231,IF(AM231="GBP",AB231,1))</x:f>
        <x:v>7.88</x:v>
      </x:c>
      <x:c r="AP231" s="226" t="n">
        <x:f>P231*AN231</x:f>
        <x:v>1086.1526317823998</x:v>
      </x:c>
      <x:c r="AQ231" s="226" t="n">
        <x:f>AP231*AO231</x:f>
        <x:v>8558.88273844531</x:v>
      </x:c>
      <x:c r="AR231" s="226" t="str">
        <x:v>GBP</x:v>
      </x:c>
      <x:c r="AS231" s="226" t="n">
        <x:v>4.968</x:v>
      </x:c>
      <x:c r="AT231" s="226" t="n">
        <x:f>IF(AR231="EUR",AA231,IF(AR231="GBP",AB231,1))</x:f>
        <x:v>9.05</x:v>
      </x:c>
      <x:c r="AU231" s="226" t="n">
        <x:f>T231*AS231</x:f>
        <x:v>954.8594565120001</x:v>
      </x:c>
      <x:c r="AV231" s="226" t="n">
        <x:f>AU231*AT231</x:f>
        <x:v>8641.4780814336</x:v>
      </x:c>
      <x:c r="AW231" s="226" t="str">
        <x:v>GBP</x:v>
      </x:c>
      <x:c r="AX231" s="226" t="n">
        <x:v>2.3805</x:v>
      </x:c>
      <x:c r="AY231" s="226" t="n">
        <x:f>IF(AW231="EUR",AA231,IF(AW231="GBP",AB231,1))</x:f>
        <x:v>9.05</x:v>
      </x:c>
      <x:c r="AZ231" s="226" t="n">
        <x:f>V231*AX231</x:f>
        <x:v>118.95957395712</x:v>
      </x:c>
      <x:c r="BA231" s="226" t="n">
        <x:f>AZ231*AY231</x:f>
        <x:v>1076.5841443119361</x:v>
      </x:c>
      <x:c r="BB231" s="226" t="n">
        <x:f>AF231+AG231+AL231+AQ231+AV231+BA231</x:f>
        <x:v>160106.75491724364</x:v>
      </x:c>
      <x:c r="BC231" s="229" t="n">
        <x:v>0.95</x:v>
      </x:c>
      <x:c r="BD231" s="202"/>
      <x:c r="BE231" s="202" t="str">
        <x:v>正式 Forecast 逐月降低英国空运及 Carrier C 份额，但仍高于 Budget</x:v>
      </x:c>
      <x:c r="BF231" s="202"/>
      <x:c r="BG231" s="202" t="str">
        <x:v>UNVERIFIED_UNLIMITED_FOR_MVP</x:v>
      </x:c>
    </x:row>
    <x:row r="232">
      <x:c r="A232" s="187" t="str">
        <x:v>FORECAST_2026_08_V1</x:v>
      </x:c>
      <x:c r="B232" s="187" t="str">
        <x:v>FORECAST</x:v>
      </x:c>
      <x:c r="C232" s="187"/>
      <x:c r="D232" s="217" t="n">
        <x:v>46327</x:v>
      </x:c>
      <x:c r="E232" s="187" t="str">
        <x:v>R_GB_DE_B_AIR</x:v>
      </x:c>
      <x:c r="F232" s="187" t="str">
        <x:v>GB</x:v>
      </x:c>
      <x:c r="G232" s="187" t="str">
        <x:v>DE_FC</x:v>
      </x:c>
      <x:c r="H232" s="187" t="str">
        <x:v>CARRIER_B</x:v>
      </x:c>
      <x:c r="I232" s="187" t="str">
        <x:v>AIR</x:v>
      </x:c>
      <x:c r="J232" s="220" t="n">
        <x:v>24800</x:v>
      </x:c>
      <x:c r="K232" s="223" t="n">
        <x:v>0.39</x:v>
      </x:c>
      <x:c r="L232" s="223" t="n">
        <x:v>0.96</x:v>
      </x:c>
      <x:c r="M232" s="223" t="n">
        <x:v>0.22</x:v>
      </x:c>
      <x:c r="N232" s="226" t="n">
        <x:f>J232*K232*L232*M232</x:f>
        <x:v>2042.7263999999998</x:v>
      </x:c>
      <x:c r="O232" s="220" t="n">
        <x:v>1.17</x:v>
      </x:c>
      <x:c r="P232" s="226" t="n">
        <x:f>N232*O232</x:f>
        <x:v>2389.9898879999996</x:v>
      </x:c>
      <x:c r="Q232" s="220" t="n">
        <x:v>0.968388</x:v>
      </x:c>
      <x:c r="R232" s="226" t="n">
        <x:f>P232*Q232</x:f>
        <x:v>2314.4375276605438</x:v>
      </x:c>
      <x:c r="S232" s="220" t="n">
        <x:v>0.09</x:v>
      </x:c>
      <x:c r="T232" s="226" t="n">
        <x:f>N232*S232</x:f>
        <x:v>183.845376</x:v>
      </x:c>
      <x:c r="U232" s="226" t="n">
        <x:v>0.016</x:v>
      </x:c>
      <x:c r="V232" s="226" t="n">
        <x:f>P232*U232</x:f>
        <x:v>38.239838207999995</x:v>
      </x:c>
      <x:c r="W232" s="196" t="str">
        <x:v>GBP</x:v>
      </x:c>
      <x:c r="X232" s="220" t="n">
        <x:v>6.67368</x:v>
      </x:c>
      <x:c r="Y232" s="196" t="str">
        <x:v>PERCENTAGE_OF_BASE_FREIGHT</x:v>
      </x:c>
      <x:c r="Z232" s="220" t="n">
        <x:v>0.123786</x:v>
      </x:c>
      <x:c r="AA232" s="220" t="n">
        <x:v>7.88</x:v>
      </x:c>
      <x:c r="AB232" s="220" t="n">
        <x:v>9.05</x:v>
      </x:c>
      <x:c r="AC232" s="226" t="n">
        <x:f>IF(W232="EUR",AA232,IF(W232="GBP",AB232,1))</x:f>
        <x:v>9.05</x:v>
      </x:c>
      <x:c r="AD232" s="226" t="n">
        <x:f>R232*X232</x:f>
        <x:v>15445.815439597618</x:v>
      </x:c>
      <x:c r="AE232" s="226" t="n">
        <x:f>IF(Y232="PERCENTAGE_OF_BASE_FREIGHT",AD232*Z232,IF(Y232="PER_CHARGEABLE_KG",R232*Z232,P232*Z232))</x:f>
        <x:v>1911.9757100060306</x:v>
      </x:c>
      <x:c r="AF232" s="226" t="n">
        <x:f>AD232*AC232</x:f>
        <x:v>139784.62972835844</x:v>
      </x:c>
      <x:c r="AG232" s="226" t="n">
        <x:f>AE232*AC232</x:f>
        <x:v>17303.38017555458</x:v>
      </x:c>
      <x:c r="AH232" s="226" t="str">
        <x:v>EUR</x:v>
      </x:c>
      <x:c r="AI232" s="226" t="n">
        <x:v>1.2213</x:v>
      </x:c>
      <x:c r="AJ232" s="226" t="n">
        <x:f>IF(AH232="EUR",AA232,IF(AH232="GBP",AB232,1))</x:f>
        <x:v>7.88</x:v>
      </x:c>
      <x:c r="AK232" s="226" t="n">
        <x:f>N232*AI232</x:f>
        <x:v>2494.7817523199997</x:v>
      </x:c>
      <x:c r="AL232" s="226" t="n">
        <x:f>AK232*AJ232</x:f>
        <x:v>19658.880208281596</x:v>
      </x:c>
      <x:c r="AM232" s="226" t="str">
        <x:v>EUR</x:v>
      </x:c>
      <x:c r="AN232" s="226" t="n">
        <x:v>0.4347</x:v>
      </x:c>
      <x:c r="AO232" s="226" t="n">
        <x:f>IF(AM232="EUR",AA232,IF(AM232="GBP",AB232,1))</x:f>
        <x:v>7.88</x:v>
      </x:c>
      <x:c r="AP232" s="226" t="n">
        <x:f>P232*AN232</x:f>
        <x:v>1038.9286043135999</x:v>
      </x:c>
      <x:c r="AQ232" s="226" t="n">
        <x:f>AP232*AO232</x:f>
        <x:v>8186.757401991167</x:v>
      </x:c>
      <x:c r="AR232" s="226" t="str">
        <x:v>GBP</x:v>
      </x:c>
      <x:c r="AS232" s="226" t="n">
        <x:v>4.968</x:v>
      </x:c>
      <x:c r="AT232" s="226" t="n">
        <x:f>IF(AR232="EUR",AA232,IF(AR232="GBP",AB232,1))</x:f>
        <x:v>9.05</x:v>
      </x:c>
      <x:c r="AU232" s="226" t="n">
        <x:f>T232*AS232</x:f>
        <x:v>913.3438279679999</x:v>
      </x:c>
      <x:c r="AV232" s="226" t="n">
        <x:f>AU232*AT232</x:f>
        <x:v>8265.7616431104</x:v>
      </x:c>
      <x:c r="AW232" s="226" t="str">
        <x:v>GBP</x:v>
      </x:c>
      <x:c r="AX232" s="226" t="n">
        <x:v>2.898</x:v>
      </x:c>
      <x:c r="AY232" s="226" t="n">
        <x:f>IF(AW232="EUR",AA232,IF(AW232="GBP",AB232,1))</x:f>
        <x:v>9.05</x:v>
      </x:c>
      <x:c r="AZ232" s="226" t="n">
        <x:f>V232*AX232</x:f>
        <x:v>110.81905112678399</x:v>
      </x:c>
      <x:c r="BA232" s="226" t="n">
        <x:f>AZ232*AY232</x:f>
        <x:v>1002.9124126973952</x:v>
      </x:c>
      <x:c r="BB232" s="226" t="n">
        <x:f>AF232+AG232+AL232+AQ232+AV232+BA232</x:f>
        <x:v>194202.32156999357</x:v>
      </x:c>
      <x:c r="BC232" s="229" t="n">
        <x:v>0.974</x:v>
      </x:c>
      <x:c r="BD232" s="202"/>
      <x:c r="BE232" s="202" t="str">
        <x:v>正式 Forecast 逐月降低英国空运及 Carrier C 份额，但仍高于 Budget</x:v>
      </x:c>
      <x:c r="BF232" s="202"/>
      <x:c r="BG232" s="202" t="str">
        <x:v>UNVERIFIED_UNLIMITED_FOR_MVP</x:v>
      </x:c>
    </x:row>
    <x:row r="233">
      <x:c r="A233" s="187" t="str">
        <x:v>FORECAST_2026_08_V1</x:v>
      </x:c>
      <x:c r="B233" s="187" t="str">
        <x:v>FORECAST</x:v>
      </x:c>
      <x:c r="C233" s="187"/>
      <x:c r="D233" s="217" t="n">
        <x:v>46327</x:v>
      </x:c>
      <x:c r="E233" s="187" t="str">
        <x:v>R_GB_DE_C_AIR</x:v>
      </x:c>
      <x:c r="F233" s="187" t="str">
        <x:v>GB</x:v>
      </x:c>
      <x:c r="G233" s="187" t="str">
        <x:v>DE_FC</x:v>
      </x:c>
      <x:c r="H233" s="187" t="str">
        <x:v>CARRIER_C</x:v>
      </x:c>
      <x:c r="I233" s="187" t="str">
        <x:v>AIR</x:v>
      </x:c>
      <x:c r="J233" s="220" t="n">
        <x:v>24800</x:v>
      </x:c>
      <x:c r="K233" s="223" t="n">
        <x:v>0.39</x:v>
      </x:c>
      <x:c r="L233" s="223" t="n">
        <x:v>0.96</x:v>
      </x:c>
      <x:c r="M233" s="223" t="n">
        <x:v>0.13</x:v>
      </x:c>
      <x:c r="N233" s="226" t="n">
        <x:f>J233*K233*L233*M233</x:f>
        <x:v>1207.0656</x:v>
      </x:c>
      <x:c r="O233" s="220" t="n">
        <x:v>1.17</x:v>
      </x:c>
      <x:c r="P233" s="226" t="n">
        <x:f>N233*O233</x:f>
        <x:v>1412.2667519999998</x:v>
      </x:c>
      <x:c r="Q233" s="220" t="n">
        <x:v>0.947784</x:v>
      </x:c>
      <x:c r="R233" s="226" t="n">
        <x:f>P233*Q233</x:f>
        <x:v>1338.5238312775678</x:v>
      </x:c>
      <x:c r="S233" s="220" t="n">
        <x:v>0.09</x:v>
      </x:c>
      <x:c r="T233" s="226" t="n">
        <x:f>N233*S233</x:f>
        <x:v>108.63590399999998</x:v>
      </x:c>
      <x:c r="U233" s="226" t="n">
        <x:v>0.011</x:v>
      </x:c>
      <x:c r="V233" s="226" t="n">
        <x:f>P233*U233</x:f>
        <x:v>15.534934271999997</x:v>
      </x:c>
      <x:c r="W233" s="196" t="str">
        <x:v>GBP</x:v>
      </x:c>
      <x:c r="X233" s="220" t="n">
        <x:v>8.22825</x:v>
      </x:c>
      <x:c r="Y233" s="196" t="str">
        <x:v>PER_CHARGEABLE_KG</x:v>
      </x:c>
      <x:c r="Z233" s="220" t="n">
        <x:v>0.636318</x:v>
      </x:c>
      <x:c r="AA233" s="220" t="n">
        <x:v>7.88</x:v>
      </x:c>
      <x:c r="AB233" s="220" t="n">
        <x:v>9.05</x:v>
      </x:c>
      <x:c r="AC233" s="226" t="n">
        <x:f>IF(W233="EUR",AA233,IF(W233="GBP",AB233,1))</x:f>
        <x:v>9.05</x:v>
      </x:c>
      <x:c r="AD233" s="226" t="n">
        <x:f>R233*X233</x:f>
        <x:v>11013.708714709646</x:v>
      </x:c>
      <x:c r="AE233" s="226" t="n">
        <x:f>IF(Y233="PERCENTAGE_OF_BASE_FREIGHT",AD233*Z233,IF(Y233="PER_CHARGEABLE_KG",R233*Z233,P233*Z233))</x:f>
        <x:v>851.7268072708795</x:v>
      </x:c>
      <x:c r="AF233" s="226" t="n">
        <x:f>AD233*AC233</x:f>
        <x:v>99674.0638681223</x:v>
      </x:c>
      <x:c r="AG233" s="226" t="n">
        <x:f>AE233*AC233</x:f>
        <x:v>7708.12760580146</x:v>
      </x:c>
      <x:c r="AH233" s="226" t="str">
        <x:v>EUR</x:v>
      </x:c>
      <x:c r="AI233" s="226" t="n">
        <x:v>1.2213</x:v>
      </x:c>
      <x:c r="AJ233" s="226" t="n">
        <x:f>IF(AH233="EUR",AA233,IF(AH233="GBP",AB233,1))</x:f>
        <x:v>7.88</x:v>
      </x:c>
      <x:c r="AK233" s="226" t="n">
        <x:f>N233*AI233</x:f>
        <x:v>1474.1892172799999</x:v>
      </x:c>
      <x:c r="AL233" s="226" t="n">
        <x:f>AK233*AJ233</x:f>
        <x:v>11616.611032166398</x:v>
      </x:c>
      <x:c r="AM233" s="226" t="str">
        <x:v>EUR</x:v>
      </x:c>
      <x:c r="AN233" s="226" t="n">
        <x:v>0.4347</x:v>
      </x:c>
      <x:c r="AO233" s="226" t="n">
        <x:f>IF(AM233="EUR",AA233,IF(AM233="GBP",AB233,1))</x:f>
        <x:v>7.88</x:v>
      </x:c>
      <x:c r="AP233" s="226" t="n">
        <x:f>P233*AN233</x:f>
        <x:v>613.9123570943999</x:v>
      </x:c>
      <x:c r="AQ233" s="226" t="n">
        <x:f>AP233*AO233</x:f>
        <x:v>4837.629373903871</x:v>
      </x:c>
      <x:c r="AR233" s="226" t="str">
        <x:v>GBP</x:v>
      </x:c>
      <x:c r="AS233" s="226" t="n">
        <x:v>4.968</x:v>
      </x:c>
      <x:c r="AT233" s="226" t="n">
        <x:f>IF(AR233="EUR",AA233,IF(AR233="GBP",AB233,1))</x:f>
        <x:v>9.05</x:v>
      </x:c>
      <x:c r="AU233" s="226" t="n">
        <x:f>T233*AS233</x:f>
        <x:v>539.7031710719999</x:v>
      </x:c>
      <x:c r="AV233" s="226" t="n">
        <x:f>AU233*AT233</x:f>
        <x:v>4884.313698201599</x:v>
      </x:c>
      <x:c r="AW233" s="226" t="str">
        <x:v>GBP</x:v>
      </x:c>
      <x:c r="AX233" s="226" t="n">
        <x:v>3.726</x:v>
      </x:c>
      <x:c r="AY233" s="226" t="n">
        <x:f>IF(AW233="EUR",AA233,IF(AW233="GBP",AB233,1))</x:f>
        <x:v>9.05</x:v>
      </x:c>
      <x:c r="AZ233" s="226" t="n">
        <x:f>V233*AX233</x:f>
        <x:v>57.88316509747199</x:v>
      </x:c>
      <x:c r="BA233" s="226" t="n">
        <x:f>AZ233*AY233</x:f>
        <x:v>523.8426441321216</x:v>
      </x:c>
      <x:c r="BB233" s="226" t="n">
        <x:f>AF233+AG233+AL233+AQ233+AV233+BA233</x:f>
        <x:v>129244.58822232776</x:v>
      </x:c>
      <x:c r="BC233" s="229" t="n">
        <x:v>0.988</x:v>
      </x:c>
      <x:c r="BD233" s="202"/>
      <x:c r="BE233" s="202" t="str">
        <x:v>正式 Forecast 逐月降低英国空运及 Carrier C 份额，但仍高于 Budget</x:v>
      </x:c>
      <x:c r="BF233" s="202"/>
      <x:c r="BG233" s="202" t="str">
        <x:v>UNVERIFIED_UNLIMITED_FOR_MVP</x:v>
      </x:c>
    </x:row>
    <x:row r="234">
      <x:c r="A234" s="187" t="str">
        <x:v>FORECAST_2026_08_V1</x:v>
      </x:c>
      <x:c r="B234" s="187" t="str">
        <x:v>FORECAST</x:v>
      </x:c>
      <x:c r="C234" s="187"/>
      <x:c r="D234" s="217" t="n">
        <x:v>46327</x:v>
      </x:c>
      <x:c r="E234" s="187" t="str">
        <x:v>R_GB_FR_B_AIR</x:v>
      </x:c>
      <x:c r="F234" s="187" t="str">
        <x:v>GB</x:v>
      </x:c>
      <x:c r="G234" s="187" t="str">
        <x:v>FR_FC</x:v>
      </x:c>
      <x:c r="H234" s="187" t="str">
        <x:v>CARRIER_B</x:v>
      </x:c>
      <x:c r="I234" s="187" t="str">
        <x:v>AIR</x:v>
      </x:c>
      <x:c r="J234" s="220" t="n">
        <x:v>24800</x:v>
      </x:c>
      <x:c r="K234" s="223" t="n">
        <x:v>0.39</x:v>
      </x:c>
      <x:c r="L234" s="223" t="n">
        <x:v>0.04</x:v>
      </x:c>
      <x:c r="M234" s="223" t="n">
        <x:v>1</x:v>
      </x:c>
      <x:c r="N234" s="226" t="n">
        <x:f>J234*K234*L234*M234</x:f>
        <x:v>386.88</x:v>
      </x:c>
      <x:c r="O234" s="220" t="n">
        <x:v>1.17</x:v>
      </x:c>
      <x:c r="P234" s="226" t="n">
        <x:f>N234*O234</x:f>
        <x:v>452.64959999999996</x:v>
      </x:c>
      <x:c r="Q234" s="220" t="n">
        <x:v>0.92718</x:v>
      </x:c>
      <x:c r="R234" s="226" t="n">
        <x:f>P234*Q234</x:f>
        <x:v>419.68765612799996</x:v>
      </x:c>
      <x:c r="S234" s="220" t="n">
        <x:v>0.09</x:v>
      </x:c>
      <x:c r="T234" s="226" t="n">
        <x:f>N234*S234</x:f>
        <x:v>34.819199999999995</x:v>
      </x:c>
      <x:c r="U234" s="226" t="n">
        <x:v>0.014</x:v>
      </x:c>
      <x:c r="V234" s="226" t="n">
        <x:f>P234*U234</x:f>
        <x:v>6.3370944</x:v>
      </x:c>
      <x:c r="W234" s="196" t="str">
        <x:v>EUR</x:v>
      </x:c>
      <x:c r="X234" s="220" t="n">
        <x:v>6.9345</x:v>
      </x:c>
      <x:c r="Y234" s="196" t="str">
        <x:v>PERCENTAGE_OF_BASE_FREIGHT</x:v>
      </x:c>
      <x:c r="Z234" s="220" t="n">
        <x:v>0.108675</x:v>
      </x:c>
      <x:c r="AA234" s="220" t="n">
        <x:v>7.88</x:v>
      </x:c>
      <x:c r="AB234" s="220" t="n">
        <x:v>9.05</x:v>
      </x:c>
      <x:c r="AC234" s="226" t="n">
        <x:f>IF(W234="EUR",AA234,IF(W234="GBP",AB234,1))</x:f>
        <x:v>7.88</x:v>
      </x:c>
      <x:c r="AD234" s="226" t="n">
        <x:f>R234*X234</x:f>
        <x:v>2910.3240514196154</x:v>
      </x:c>
      <x:c r="AE234" s="226" t="n">
        <x:f>IF(Y234="PERCENTAGE_OF_BASE_FREIGHT",AD234*Z234,IF(Y234="PER_CHARGEABLE_KG",R234*Z234,P234*Z234))</x:f>
        <x:v>316.2794662880267</x:v>
      </x:c>
      <x:c r="AF234" s="226" t="n">
        <x:f>AD234*AC234</x:f>
        <x:v>22933.35352518657</x:v>
      </x:c>
      <x:c r="AG234" s="226" t="n">
        <x:f>AE234*AC234</x:f>
        <x:v>2492.28219434965</x:v>
      </x:c>
      <x:c r="AH234" s="226" t="str">
        <x:v>EUR</x:v>
      </x:c>
      <x:c r="AI234" s="226" t="n">
        <x:v>1.08675</x:v>
      </x:c>
      <x:c r="AJ234" s="226" t="n">
        <x:f>IF(AH234="EUR",AA234,IF(AH234="GBP",AB234,1))</x:f>
        <x:v>7.88</x:v>
      </x:c>
      <x:c r="AK234" s="226" t="n">
        <x:f>N234*AI234</x:f>
        <x:v>420.44184</x:v>
      </x:c>
      <x:c r="AL234" s="226" t="n">
        <x:f>AK234*AJ234</x:f>
        <x:v>3313.0816992</x:v>
      </x:c>
      <x:c r="AM234" s="226" t="str">
        <x:v>EUR</x:v>
      </x:c>
      <x:c r="AN234" s="226" t="n">
        <x:v>0.3933</x:v>
      </x:c>
      <x:c r="AO234" s="226" t="n">
        <x:f>IF(AM234="EUR",AA234,IF(AM234="GBP",AB234,1))</x:f>
        <x:v>7.88</x:v>
      </x:c>
      <x:c r="AP234" s="226" t="n">
        <x:f>P234*AN234</x:f>
        <x:v>178.02708767999997</x:v>
      </x:c>
      <x:c r="AQ234" s="226" t="n">
        <x:f>AP234*AO234</x:f>
        <x:v>1402.8534509183996</x:v>
      </x:c>
      <x:c r="AR234" s="226" t="str">
        <x:v>EUR</x:v>
      </x:c>
      <x:c r="AS234" s="226" t="n">
        <x:v>5.382</x:v>
      </x:c>
      <x:c r="AT234" s="226" t="n">
        <x:f>IF(AR234="EUR",AA234,IF(AR234="GBP",AB234,1))</x:f>
        <x:v>7.88</x:v>
      </x:c>
      <x:c r="AU234" s="226" t="n">
        <x:f>T234*AS234</x:f>
        <x:v>187.39693439999996</x:v>
      </x:c>
      <x:c r="AV234" s="226" t="n">
        <x:f>AU234*AT234</x:f>
        <x:v>1476.6878430719996</x:v>
      </x:c>
      <x:c r="AW234" s="226" t="str">
        <x:v>EUR</x:v>
      </x:c>
      <x:c r="AX234" s="226" t="n">
        <x:v>2.898</x:v>
      </x:c>
      <x:c r="AY234" s="226" t="n">
        <x:f>IF(AW234="EUR",AA234,IF(AW234="GBP",AB234,1))</x:f>
        <x:v>7.88</x:v>
      </x:c>
      <x:c r="AZ234" s="226" t="n">
        <x:f>V234*AX234</x:f>
        <x:v>18.3648995712</x:v>
      </x:c>
      <x:c r="BA234" s="226" t="n">
        <x:f>AZ234*AY234</x:f>
        <x:v>144.71540862105599</x:v>
      </x:c>
      <x:c r="BB234" s="226" t="n">
        <x:f>AF234+AG234+AL234+AQ234+AV234+BA234</x:f>
        <x:v>31762.974121347674</x:v>
      </x:c>
      <x:c r="BC234" s="229" t="n">
        <x:v>0.971</x:v>
      </x:c>
      <x:c r="BD234" s="202"/>
      <x:c r="BE234" s="202" t="str">
        <x:v>正式 Forecast 逐月降低英国空运及 Carrier C 份额，但仍高于 Budget</x:v>
      </x:c>
      <x:c r="BF234" s="202"/>
      <x:c r="BG234" s="202" t="str">
        <x:v>UNVERIFIED_UNLIMITED_FOR_MVP</x:v>
      </x:c>
    </x:row>
    <x:row r="235">
      <x:c r="A235" s="187" t="str">
        <x:v>FORECAST_2026_08_V1</x:v>
      </x:c>
      <x:c r="B235" s="187" t="str">
        <x:v>FORECAST</x:v>
      </x:c>
      <x:c r="C235" s="187"/>
      <x:c r="D235" s="217" t="n">
        <x:v>46357</x:v>
      </x:c>
      <x:c r="E235" s="187" t="str">
        <x:v>R_DE_DE_A_ROAD</x:v>
      </x:c>
      <x:c r="F235" s="187" t="str">
        <x:v>DE</x:v>
      </x:c>
      <x:c r="G235" s="187" t="str">
        <x:v>DE_FC</x:v>
      </x:c>
      <x:c r="H235" s="187" t="str">
        <x:v>CARRIER_A</x:v>
      </x:c>
      <x:c r="I235" s="187" t="str">
        <x:v>ROAD</x:v>
      </x:c>
      <x:c r="J235" s="220" t="n">
        <x:v>28600</x:v>
      </x:c>
      <x:c r="K235" s="223" t="n">
        <x:v>0.32</x:v>
      </x:c>
      <x:c r="L235" s="223" t="n">
        <x:v>0.97</x:v>
      </x:c>
      <x:c r="M235" s="223" t="n">
        <x:v>0.6</x:v>
      </x:c>
      <x:c r="N235" s="226" t="n">
        <x:f>J235*K235*L235*M235</x:f>
        <x:v>5326.464</x:v>
      </x:c>
      <x:c r="O235" s="220" t="n">
        <x:v>1.05</x:v>
      </x:c>
      <x:c r="P235" s="226" t="n">
        <x:f>N235*O235</x:f>
        <x:v>5592.7872</x:v>
      </x:c>
      <x:c r="Q235" s="220" t="n">
        <x:v>0.7878</x:v>
      </x:c>
      <x:c r="R235" s="226" t="n">
        <x:f>P235*Q235</x:f>
        <x:v>4405.99775616</x:v>
      </x:c>
      <x:c r="S235" s="220" t="n">
        <x:v>0.05</x:v>
      </x:c>
      <x:c r="T235" s="226" t="n">
        <x:f>N235*S235</x:f>
        <x:v>266.3232</x:v>
      </x:c>
      <x:c r="U235" s="226" t="n">
        <x:v>0.016</x:v>
      </x:c>
      <x:c r="V235" s="226" t="n">
        <x:f>P235*U235</x:f>
        <x:v>89.4845952</x:v>
      </x:c>
      <x:c r="W235" s="196" t="str">
        <x:v>EUR</x:v>
      </x:c>
      <x:c r="X235" s="220" t="n">
        <x:v>2.277</x:v>
      </x:c>
      <x:c r="Y235" s="196" t="str">
        <x:v>PERCENTAGE_OF_BASE_FREIGHT</x:v>
      </x:c>
      <x:c r="Z235" s="220" t="n">
        <x:v>0.098325</x:v>
      </x:c>
      <x:c r="AA235" s="220" t="n">
        <x:v>7.86</x:v>
      </x:c>
      <x:c r="AB235" s="220" t="n">
        <x:v>9</x:v>
      </x:c>
      <x:c r="AC235" s="226" t="n">
        <x:f>IF(W235="EUR",AA235,IF(W235="GBP",AB235,1))</x:f>
        <x:v>7.86</x:v>
      </x:c>
      <x:c r="AD235" s="226" t="n">
        <x:f>R235*X235</x:f>
        <x:v>10032.45689077632</x:v>
      </x:c>
      <x:c r="AE235" s="226" t="n">
        <x:f>IF(Y235="PERCENTAGE_OF_BASE_FREIGHT",AD235*Z235,IF(Y235="PER_CHARGEABLE_KG",R235*Z235,P235*Z235))</x:f>
        <x:v>986.4413237855816</x:v>
      </x:c>
      <x:c r="AF235" s="226" t="n">
        <x:f>AD235*AC235</x:f>
        <x:v>78855.11116150189</x:v>
      </x:c>
      <x:c r="AG235" s="226" t="n">
        <x:f>AE235*AC235</x:f>
        <x:v>7753.428804954672</x:v>
      </x:c>
      <x:c r="AH235" s="226" t="str">
        <x:v>EUR</x:v>
      </x:c>
      <x:c r="AI235" s="226" t="n">
        <x:v>1.2213</x:v>
      </x:c>
      <x:c r="AJ235" s="226" t="n">
        <x:f>IF(AH235="EUR",AA235,IF(AH235="GBP",AB235,1))</x:f>
        <x:v>7.86</x:v>
      </x:c>
      <x:c r="AK235" s="226" t="n">
        <x:f>N235*AI235</x:f>
        <x:v>6505.2104832</x:v>
      </x:c>
      <x:c r="AL235" s="226" t="n">
        <x:f>AK235*AJ235</x:f>
        <x:v>51130.954397952</x:v>
      </x:c>
      <x:c r="AM235" s="226" t="str">
        <x:v>EUR</x:v>
      </x:c>
      <x:c r="AN235" s="226" t="n">
        <x:v>0.4347</x:v>
      </x:c>
      <x:c r="AO235" s="226" t="n">
        <x:f>IF(AM235="EUR",AA235,IF(AM235="GBP",AB235,1))</x:f>
        <x:v>7.86</x:v>
      </x:c>
      <x:c r="AP235" s="226" t="n">
        <x:f>P235*AN235</x:f>
        <x:v>2431.18459584</x:v>
      </x:c>
      <x:c r="AQ235" s="226" t="n">
        <x:f>AP235*AO235</x:f>
        <x:v>19109.1109233024</x:v>
      </x:c>
      <x:c r="AR235" s="226" t="str">
        <x:v>EUR</x:v>
      </x:c>
      <x:c r="AS235" s="226" t="n">
        <x:v>3.312</x:v>
      </x:c>
      <x:c r="AT235" s="226" t="n">
        <x:f>IF(AR235="EUR",AA235,IF(AR235="GBP",AB235,1))</x:f>
        <x:v>7.86</x:v>
      </x:c>
      <x:c r="AU235" s="226" t="n">
        <x:f>T235*AS235</x:f>
        <x:v>882.0624383999999</x:v>
      </x:c>
      <x:c r="AV235" s="226" t="n">
        <x:f>AU235*AT235</x:f>
        <x:v>6933.0107658239995</x:v>
      </x:c>
      <x:c r="AW235" s="226" t="str">
        <x:v>EUR</x:v>
      </x:c>
      <x:c r="AX235" s="226" t="n">
        <x:v>2.3805</x:v>
      </x:c>
      <x:c r="AY235" s="226" t="n">
        <x:f>IF(AW235="EUR",AA235,IF(AW235="GBP",AB235,1))</x:f>
        <x:v>7.86</x:v>
      </x:c>
      <x:c r="AZ235" s="226" t="n">
        <x:f>V235*AX235</x:f>
        <x:v>213.01807887360002</x:v>
      </x:c>
      <x:c r="BA235" s="226" t="n">
        <x:f>AZ235*AY235</x:f>
        <x:v>1674.322099946496</x:v>
      </x:c>
      <x:c r="BB235" s="226" t="n">
        <x:f>AF235+AG235+AL235+AQ235+AV235+BA235</x:f>
        <x:v>165455.93815348146</x:v>
      </x:c>
      <x:c r="BC235" s="229" t="n">
        <x:v>0.965</x:v>
      </x:c>
      <x:c r="BD235" s="202"/>
      <x:c r="BE235" s="202" t="str">
        <x:v>正式 Forecast 逐月降低英国空运及 Carrier C 份额，但仍高于 Budget</x:v>
      </x:c>
      <x:c r="BF235" s="202"/>
      <x:c r="BG235" s="202" t="str">
        <x:v>UNVERIFIED_UNLIMITED_FOR_MVP</x:v>
      </x:c>
    </x:row>
    <x:row r="236">
      <x:c r="A236" s="187" t="str">
        <x:v>FORECAST_2026_08_V1</x:v>
      </x:c>
      <x:c r="B236" s="187" t="str">
        <x:v>FORECAST</x:v>
      </x:c>
      <x:c r="C236" s="187"/>
      <x:c r="D236" s="217" t="n">
        <x:v>46357</x:v>
      </x:c>
      <x:c r="E236" s="187" t="str">
        <x:v>R_DE_DE_B_ROAD</x:v>
      </x:c>
      <x:c r="F236" s="187" t="str">
        <x:v>DE</x:v>
      </x:c>
      <x:c r="G236" s="187" t="str">
        <x:v>DE_FC</x:v>
      </x:c>
      <x:c r="H236" s="187" t="str">
        <x:v>CARRIER_B</x:v>
      </x:c>
      <x:c r="I236" s="187" t="str">
        <x:v>ROAD</x:v>
      </x:c>
      <x:c r="J236" s="220" t="n">
        <x:v>28600</x:v>
      </x:c>
      <x:c r="K236" s="223" t="n">
        <x:v>0.32</x:v>
      </x:c>
      <x:c r="L236" s="223" t="n">
        <x:v>0.97</x:v>
      </x:c>
      <x:c r="M236" s="223" t="n">
        <x:v>0.4</x:v>
      </x:c>
      <x:c r="N236" s="226" t="n">
        <x:f>J236*K236*L236*M236</x:f>
        <x:v>3550.9760000000006</x:v>
      </x:c>
      <x:c r="O236" s="220" t="n">
        <x:v>1.05</x:v>
      </x:c>
      <x:c r="P236" s="226" t="n">
        <x:f>N236*O236</x:f>
        <x:v>3728.5248000000006</x:v>
      </x:c>
      <x:c r="Q236" s="220" t="n">
        <x:v>0.808</x:v>
      </x:c>
      <x:c r="R236" s="226" t="n">
        <x:f>P236*Q236</x:f>
        <x:v>3012.6480384000006</x:v>
      </x:c>
      <x:c r="S236" s="220" t="n">
        <x:v>0.05</x:v>
      </x:c>
      <x:c r="T236" s="226" t="n">
        <x:f>N236*S236</x:f>
        <x:v>177.54880000000003</x:v>
      </x:c>
      <x:c r="U236" s="226" t="n">
        <x:v>0.013</x:v>
      </x:c>
      <x:c r="V236" s="226" t="n">
        <x:f>P236*U236</x:f>
        <x:v>48.4708224</x:v>
      </x:c>
      <x:c r="W236" s="196" t="str">
        <x:v>EUR</x:v>
      </x:c>
      <x:c r="X236" s="220" t="n">
        <x:v>2.84625</x:v>
      </x:c>
      <x:c r="Y236" s="196" t="str">
        <x:v>PER_CHARGEABLE_KG</x:v>
      </x:c>
      <x:c r="Z236" s="220" t="n">
        <x:v>0.21735</x:v>
      </x:c>
      <x:c r="AA236" s="220" t="n">
        <x:v>7.86</x:v>
      </x:c>
      <x:c r="AB236" s="220" t="n">
        <x:v>9</x:v>
      </x:c>
      <x:c r="AC236" s="226" t="n">
        <x:f>IF(W236="EUR",AA236,IF(W236="GBP",AB236,1))</x:f>
        <x:v>7.86</x:v>
      </x:c>
      <x:c r="AD236" s="226" t="n">
        <x:f>R236*X236</x:f>
        <x:v>8574.749479296002</x:v>
      </x:c>
      <x:c r="AE236" s="226" t="n">
        <x:f>IF(Y236="PERCENTAGE_OF_BASE_FREIGHT",AD236*Z236,IF(Y236="PER_CHARGEABLE_KG",R236*Z236,P236*Z236))</x:f>
        <x:v>654.7990511462401</x:v>
      </x:c>
      <x:c r="AF236" s="226" t="n">
        <x:f>AD236*AC236</x:f>
        <x:v>67397.53090726658</x:v>
      </x:c>
      <x:c r="AG236" s="226" t="n">
        <x:f>AE236*AC236</x:f>
        <x:v>5146.720542009448</x:v>
      </x:c>
      <x:c r="AH236" s="226" t="str">
        <x:v>EUR</x:v>
      </x:c>
      <x:c r="AI236" s="226" t="n">
        <x:v>1.2213</x:v>
      </x:c>
      <x:c r="AJ236" s="226" t="n">
        <x:f>IF(AH236="EUR",AA236,IF(AH236="GBP",AB236,1))</x:f>
        <x:v>7.86</x:v>
      </x:c>
      <x:c r="AK236" s="226" t="n">
        <x:f>N236*AI236</x:f>
        <x:v>4336.806988800001</x:v>
      </x:c>
      <x:c r="AL236" s="226" t="n">
        <x:f>AK236*AJ236</x:f>
        <x:v>34087.302931968006</x:v>
      </x:c>
      <x:c r="AM236" s="226" t="str">
        <x:v>EUR</x:v>
      </x:c>
      <x:c r="AN236" s="226" t="n">
        <x:v>0.4347</x:v>
      </x:c>
      <x:c r="AO236" s="226" t="n">
        <x:f>IF(AM236="EUR",AA236,IF(AM236="GBP",AB236,1))</x:f>
        <x:v>7.86</x:v>
      </x:c>
      <x:c r="AP236" s="226" t="n">
        <x:f>P236*AN236</x:f>
        <x:v>1620.7897305600002</x:v>
      </x:c>
      <x:c r="AQ236" s="226" t="n">
        <x:f>AP236*AO236</x:f>
        <x:v>12739.407282201602</x:v>
      </x:c>
      <x:c r="AR236" s="226" t="str">
        <x:v>EUR</x:v>
      </x:c>
      <x:c r="AS236" s="226" t="n">
        <x:v>3.312</x:v>
      </x:c>
      <x:c r="AT236" s="226" t="n">
        <x:f>IF(AR236="EUR",AA236,IF(AR236="GBP",AB236,1))</x:f>
        <x:v>7.86</x:v>
      </x:c>
      <x:c r="AU236" s="226" t="n">
        <x:f>T236*AS236</x:f>
        <x:v>588.0416256000001</x:v>
      </x:c>
      <x:c r="AV236" s="226" t="n">
        <x:f>AU236*AT236</x:f>
        <x:v>4622.007177216001</x:v>
      </x:c>
      <x:c r="AW236" s="226" t="str">
        <x:v>EUR</x:v>
      </x:c>
      <x:c r="AX236" s="226" t="n">
        <x:v>2.3805</x:v>
      </x:c>
      <x:c r="AY236" s="226" t="n">
        <x:f>IF(AW236="EUR",AA236,IF(AW236="GBP",AB236,1))</x:f>
        <x:v>7.86</x:v>
      </x:c>
      <x:c r="AZ236" s="226" t="n">
        <x:f>V236*AX236</x:f>
        <x:v>115.38479272320001</x:v>
      </x:c>
      <x:c r="BA236" s="226" t="n">
        <x:f>AZ236*AY236</x:f>
        <x:v>906.924470804352</x:v>
      </x:c>
      <x:c r="BB236" s="226" t="n">
        <x:f>AF236+AG236+AL236+AQ236+AV236+BA236</x:f>
        <x:v>124899.893311466</x:v>
      </x:c>
      <x:c r="BC236" s="229" t="n">
        <x:v>0.976</x:v>
      </x:c>
      <x:c r="BD236" s="202"/>
      <x:c r="BE236" s="202" t="str">
        <x:v>正式 Forecast 逐月降低英国空运及 Carrier C 份额，但仍高于 Budget</x:v>
      </x:c>
      <x:c r="BF236" s="202"/>
      <x:c r="BG236" s="202" t="str">
        <x:v>UNVERIFIED_UNLIMITED_FOR_MVP</x:v>
      </x:c>
    </x:row>
    <x:row r="237">
      <x:c r="A237" s="187" t="str">
        <x:v>FORECAST_2026_08_V1</x:v>
      </x:c>
      <x:c r="B237" s="187" t="str">
        <x:v>FORECAST</x:v>
      </x:c>
      <x:c r="C237" s="187"/>
      <x:c r="D237" s="217" t="n">
        <x:v>46357</x:v>
      </x:c>
      <x:c r="E237" s="187" t="str">
        <x:v>R_DE_FR_B_ROAD</x:v>
      </x:c>
      <x:c r="F237" s="187" t="str">
        <x:v>DE</x:v>
      </x:c>
      <x:c r="G237" s="187" t="str">
        <x:v>FR_FC</x:v>
      </x:c>
      <x:c r="H237" s="187" t="str">
        <x:v>CARRIER_B</x:v>
      </x:c>
      <x:c r="I237" s="187" t="str">
        <x:v>ROAD</x:v>
      </x:c>
      <x:c r="J237" s="220" t="n">
        <x:v>28600</x:v>
      </x:c>
      <x:c r="K237" s="223" t="n">
        <x:v>0.32</x:v>
      </x:c>
      <x:c r="L237" s="223" t="n">
        <x:v>0.03</x:v>
      </x:c>
      <x:c r="M237" s="223" t="n">
        <x:v>1</x:v>
      </x:c>
      <x:c r="N237" s="226" t="n">
        <x:f>J237*K237*L237*M237</x:f>
        <x:v>274.56</x:v>
      </x:c>
      <x:c r="O237" s="220" t="n">
        <x:v>1.08</x:v>
      </x:c>
      <x:c r="P237" s="226" t="n">
        <x:f>N237*O237</x:f>
        <x:v>296.5248</x:v>
      </x:c>
      <x:c r="Q237" s="220" t="n">
        <x:v>0.8686</x:v>
      </x:c>
      <x:c r="R237" s="226" t="n">
        <x:f>P237*Q237</x:f>
        <x:v>257.56144128000005</x:v>
      </x:c>
      <x:c r="S237" s="220" t="n">
        <x:v>0.05</x:v>
      </x:c>
      <x:c r="T237" s="226" t="n">
        <x:f>N237*S237</x:f>
        <x:v>13.728000000000002</x:v>
      </x:c>
      <x:c r="U237" s="226" t="n">
        <x:v>0.014</x:v>
      </x:c>
      <x:c r="V237" s="226" t="n">
        <x:f>P237*U237</x:f>
        <x:v>4.151347200000001</x:v>
      </x:c>
      <x:c r="W237" s="196" t="str">
        <x:v>EUR</x:v>
      </x:c>
      <x:c r="X237" s="220" t="n">
        <x:v>3.4155</x:v>
      </x:c>
      <x:c r="Y237" s="196" t="str">
        <x:v>PER_CHARGEABLE_KG</x:v>
      </x:c>
      <x:c r="Z237" s="220" t="n">
        <x:v>0.2484</x:v>
      </x:c>
      <x:c r="AA237" s="220" t="n">
        <x:v>7.86</x:v>
      </x:c>
      <x:c r="AB237" s="220" t="n">
        <x:v>9</x:v>
      </x:c>
      <x:c r="AC237" s="226" t="n">
        <x:f>IF(W237="EUR",AA237,IF(W237="GBP",AB237,1))</x:f>
        <x:v>7.86</x:v>
      </x:c>
      <x:c r="AD237" s="226" t="n">
        <x:f>R237*X237</x:f>
        <x:v>879.7011026918402</x:v>
      </x:c>
      <x:c r="AE237" s="226" t="n">
        <x:f>IF(Y237="PERCENTAGE_OF_BASE_FREIGHT",AD237*Z237,IF(Y237="PER_CHARGEABLE_KG",R237*Z237,P237*Z237))</x:f>
        <x:v>63.97826201395202</x:v>
      </x:c>
      <x:c r="AF237" s="226" t="n">
        <x:f>AD237*AC237</x:f>
        <x:v>6914.450667157865</x:v>
      </x:c>
      <x:c r="AG237" s="226" t="n">
        <x:f>AE237*AC237</x:f>
        <x:v>502.8691394296629</x:v>
      </x:c>
      <x:c r="AH237" s="226" t="str">
        <x:v>EUR</x:v>
      </x:c>
      <x:c r="AI237" s="226" t="n">
        <x:v>1.08675</x:v>
      </x:c>
      <x:c r="AJ237" s="226" t="n">
        <x:f>IF(AH237="EUR",AA237,IF(AH237="GBP",AB237,1))</x:f>
        <x:v>7.86</x:v>
      </x:c>
      <x:c r="AK237" s="226" t="n">
        <x:f>N237*AI237</x:f>
        <x:v>298.37808</x:v>
      </x:c>
      <x:c r="AL237" s="226" t="n">
        <x:f>AK237*AJ237</x:f>
        <x:v>2345.2517088</x:v>
      </x:c>
      <x:c r="AM237" s="226" t="str">
        <x:v>EUR</x:v>
      </x:c>
      <x:c r="AN237" s="226" t="n">
        <x:v>0.3933</x:v>
      </x:c>
      <x:c r="AO237" s="226" t="n">
        <x:f>IF(AM237="EUR",AA237,IF(AM237="GBP",AB237,1))</x:f>
        <x:v>7.86</x:v>
      </x:c>
      <x:c r="AP237" s="226" t="n">
        <x:f>P237*AN237</x:f>
        <x:v>116.62320384</x:v>
      </x:c>
      <x:c r="AQ237" s="226" t="n">
        <x:f>AP237*AO237</x:f>
        <x:v>916.6583821824</x:v>
      </x:c>
      <x:c r="AR237" s="226" t="str">
        <x:v>EUR</x:v>
      </x:c>
      <x:c r="AS237" s="226" t="n">
        <x:v>3.933</x:v>
      </x:c>
      <x:c r="AT237" s="226" t="n">
        <x:f>IF(AR237="EUR",AA237,IF(AR237="GBP",AB237,1))</x:f>
        <x:v>7.86</x:v>
      </x:c>
      <x:c r="AU237" s="226" t="n">
        <x:f>T237*AS237</x:f>
        <x:v>53.992224</x:v>
      </x:c>
      <x:c r="AV237" s="226" t="n">
        <x:f>AU237*AT237</x:f>
        <x:v>424.37888064000003</x:v>
      </x:c>
      <x:c r="AW237" s="226" t="str">
        <x:v>EUR</x:v>
      </x:c>
      <x:c r="AX237" s="226" t="n">
        <x:v>2.3805</x:v>
      </x:c>
      <x:c r="AY237" s="226" t="n">
        <x:f>IF(AW237="EUR",AA237,IF(AW237="GBP",AB237,1))</x:f>
        <x:v>7.86</x:v>
      </x:c>
      <x:c r="AZ237" s="226" t="n">
        <x:f>V237*AX237</x:f>
        <x:v>9.882282009600003</x:v>
      </x:c>
      <x:c r="BA237" s="226" t="n">
        <x:f>AZ237*AY237</x:f>
        <x:v>77.67473659545603</x:v>
      </x:c>
      <x:c r="BB237" s="226" t="n">
        <x:f>AF237+AG237+AL237+AQ237+AV237+BA237</x:f>
        <x:v>11181.283514805385</x:v>
      </x:c>
      <x:c r="BC237" s="229" t="n">
        <x:v>0.968</x:v>
      </x:c>
      <x:c r="BD237" s="202"/>
      <x:c r="BE237" s="202" t="str">
        <x:v>正式 Forecast 逐月降低英国空运及 Carrier C 份额，但仍高于 Budget</x:v>
      </x:c>
      <x:c r="BF237" s="202"/>
      <x:c r="BG237" s="202" t="str">
        <x:v>UNVERIFIED_UNLIMITED_FOR_MVP</x:v>
      </x:c>
    </x:row>
    <x:row r="238">
      <x:c r="A238" s="187" t="str">
        <x:v>FORECAST_2026_08_V1</x:v>
      </x:c>
      <x:c r="B238" s="187" t="str">
        <x:v>FORECAST</x:v>
      </x:c>
      <x:c r="C238" s="187"/>
      <x:c r="D238" s="217" t="n">
        <x:v>46357</x:v>
      </x:c>
      <x:c r="E238" s="187" t="str">
        <x:v>R_FR_FR_A_ROAD</x:v>
      </x:c>
      <x:c r="F238" s="187" t="str">
        <x:v>FR</x:v>
      </x:c>
      <x:c r="G238" s="187" t="str">
        <x:v>FR_FC</x:v>
      </x:c>
      <x:c r="H238" s="187" t="str">
        <x:v>CARRIER_A</x:v>
      </x:c>
      <x:c r="I238" s="187" t="str">
        <x:v>ROAD</x:v>
      </x:c>
      <x:c r="J238" s="220" t="n">
        <x:v>28600</x:v>
      </x:c>
      <x:c r="K238" s="223" t="n">
        <x:v>0.28</x:v>
      </x:c>
      <x:c r="L238" s="223" t="n">
        <x:v>1</x:v>
      </x:c>
      <x:c r="M238" s="223" t="n">
        <x:v>0.35</x:v>
      </x:c>
      <x:c r="N238" s="226" t="n">
        <x:f>J238*K238*L238*M238</x:f>
        <x:v>2802.8</x:v>
      </x:c>
      <x:c r="O238" s="220" t="n">
        <x:v>1.06</x:v>
      </x:c>
      <x:c r="P238" s="226" t="n">
        <x:f>N238*O238</x:f>
        <x:v>2970.9680000000003</x:v>
      </x:c>
      <x:c r="Q238" s="220" t="n">
        <x:v>0.7676</x:v>
      </x:c>
      <x:c r="R238" s="226" t="n">
        <x:f>P238*Q238</x:f>
        <x:v>2280.5150368</x:v>
      </x:c>
      <x:c r="S238" s="220" t="n">
        <x:v>0.06</x:v>
      </x:c>
      <x:c r="T238" s="226" t="n">
        <x:f>N238*S238</x:f>
        <x:v>168.168</x:v>
      </x:c>
      <x:c r="U238" s="226" t="n">
        <x:v>0.017</x:v>
      </x:c>
      <x:c r="V238" s="226" t="n">
        <x:f>P238*U238</x:f>
        <x:v>50.50645600000001</x:v>
      </x:c>
      <x:c r="W238" s="196" t="str">
        <x:v>EUR</x:v>
      </x:c>
      <x:c r="X238" s="220" t="n">
        <x:v>2.1735</x:v>
      </x:c>
      <x:c r="Y238" s="196" t="str">
        <x:v>PERCENTAGE_OF_BASE_FREIGHT</x:v>
      </x:c>
      <x:c r="Z238" s="220" t="n">
        <x:v>0.09315</x:v>
      </x:c>
      <x:c r="AA238" s="220" t="n">
        <x:v>7.86</x:v>
      </x:c>
      <x:c r="AB238" s="220" t="n">
        <x:v>9</x:v>
      </x:c>
      <x:c r="AC238" s="226" t="n">
        <x:f>IF(W238="EUR",AA238,IF(W238="GBP",AB238,1))</x:f>
        <x:v>7.86</x:v>
      </x:c>
      <x:c r="AD238" s="226" t="n">
        <x:f>R238*X238</x:f>
        <x:v>4956.6994324848</x:v>
      </x:c>
      <x:c r="AE238" s="226" t="n">
        <x:f>IF(Y238="PERCENTAGE_OF_BASE_FREIGHT",AD238*Z238,IF(Y238="PER_CHARGEABLE_KG",R238*Z238,P238*Z238))</x:f>
        <x:v>461.7165521359591</x:v>
      </x:c>
      <x:c r="AF238" s="226" t="n">
        <x:f>AD238*AC238</x:f>
        <x:v>38959.65753933053</x:v>
      </x:c>
      <x:c r="AG238" s="226" t="n">
        <x:f>AE238*AC238</x:f>
        <x:v>3629.0920997886387</x:v>
      </x:c>
      <x:c r="AH238" s="226" t="str">
        <x:v>EUR</x:v>
      </x:c>
      <x:c r="AI238" s="226" t="n">
        <x:v>1.08675</x:v>
      </x:c>
      <x:c r="AJ238" s="226" t="n">
        <x:f>IF(AH238="EUR",AA238,IF(AH238="GBP",AB238,1))</x:f>
        <x:v>7.86</x:v>
      </x:c>
      <x:c r="AK238" s="226" t="n">
        <x:f>N238*AI238</x:f>
        <x:v>3045.9429000000005</x:v>
      </x:c>
      <x:c r="AL238" s="226" t="n">
        <x:f>AK238*AJ238</x:f>
        <x:v>23941.111194000005</x:v>
      </x:c>
      <x:c r="AM238" s="226" t="str">
        <x:v>EUR</x:v>
      </x:c>
      <x:c r="AN238" s="226" t="n">
        <x:v>0.3933</x:v>
      </x:c>
      <x:c r="AO238" s="226" t="n">
        <x:f>IF(AM238="EUR",AA238,IF(AM238="GBP",AB238,1))</x:f>
        <x:v>7.86</x:v>
      </x:c>
      <x:c r="AP238" s="226" t="n">
        <x:f>P238*AN238</x:f>
        <x:v>1168.4817144</x:v>
      </x:c>
      <x:c r="AQ238" s="226" t="n">
        <x:f>AP238*AO238</x:f>
        <x:v>9184.266275184002</x:v>
      </x:c>
      <x:c r="AR238" s="226" t="str">
        <x:v>EUR</x:v>
      </x:c>
      <x:c r="AS238" s="226" t="n">
        <x:v>3.105</x:v>
      </x:c>
      <x:c r="AT238" s="226" t="n">
        <x:f>IF(AR238="EUR",AA238,IF(AR238="GBP",AB238,1))</x:f>
        <x:v>7.86</x:v>
      </x:c>
      <x:c r="AU238" s="226" t="n">
        <x:f>T238*AS238</x:f>
        <x:v>522.16164</x:v>
      </x:c>
      <x:c r="AV238" s="226" t="n">
        <x:f>AU238*AT238</x:f>
        <x:v>4104.1904904</x:v>
      </x:c>
      <x:c r="AW238" s="226" t="str">
        <x:v>EUR</x:v>
      </x:c>
      <x:c r="AX238" s="226" t="n">
        <x:v>2.3805</x:v>
      </x:c>
      <x:c r="AY238" s="226" t="n">
        <x:f>IF(AW238="EUR",AA238,IF(AW238="GBP",AB238,1))</x:f>
        <x:v>7.86</x:v>
      </x:c>
      <x:c r="AZ238" s="226" t="n">
        <x:f>V238*AX238</x:f>
        <x:v>120.23061850800002</x:v>
      </x:c>
      <x:c r="BA238" s="226" t="n">
        <x:f>AZ238*AY238</x:f>
        <x:v>945.0126614728802</x:v>
      </x:c>
      <x:c r="BB238" s="226" t="n">
        <x:f>AF238+AG238+AL238+AQ238+AV238+BA238</x:f>
        <x:v>80763.33026017604</x:v>
      </x:c>
      <x:c r="BC238" s="229" t="n">
        <x:v>0.961</x:v>
      </x:c>
      <x:c r="BD238" s="202"/>
      <x:c r="BE238" s="202" t="str">
        <x:v>正式 Forecast 逐月降低英国空运及 Carrier C 份额，但仍高于 Budget</x:v>
      </x:c>
      <x:c r="BF238" s="202"/>
      <x:c r="BG238" s="202" t="str">
        <x:v>UNVERIFIED_UNLIMITED_FOR_MVP</x:v>
      </x:c>
    </x:row>
    <x:row r="239">
      <x:c r="A239" s="187" t="str">
        <x:v>FORECAST_2026_08_V1</x:v>
      </x:c>
      <x:c r="B239" s="187" t="str">
        <x:v>FORECAST</x:v>
      </x:c>
      <x:c r="C239" s="187"/>
      <x:c r="D239" s="217" t="n">
        <x:v>46357</x:v>
      </x:c>
      <x:c r="E239" s="187" t="str">
        <x:v>R_FR_FR_B_ROAD</x:v>
      </x:c>
      <x:c r="F239" s="187" t="str">
        <x:v>FR</x:v>
      </x:c>
      <x:c r="G239" s="187" t="str">
        <x:v>FR_FC</x:v>
      </x:c>
      <x:c r="H239" s="187" t="str">
        <x:v>CARRIER_B</x:v>
      </x:c>
      <x:c r="I239" s="187" t="str">
        <x:v>ROAD</x:v>
      </x:c>
      <x:c r="J239" s="220" t="n">
        <x:v>28600</x:v>
      </x:c>
      <x:c r="K239" s="223" t="n">
        <x:v>0.28</x:v>
      </x:c>
      <x:c r="L239" s="223" t="n">
        <x:v>1</x:v>
      </x:c>
      <x:c r="M239" s="223" t="n">
        <x:v>0.65</x:v>
      </x:c>
      <x:c r="N239" s="226" t="n">
        <x:f>J239*K239*L239*M239</x:f>
        <x:v>5205.200000000001</x:v>
      </x:c>
      <x:c r="O239" s="220" t="n">
        <x:v>1.06</x:v>
      </x:c>
      <x:c r="P239" s="226" t="n">
        <x:f>N239*O239</x:f>
        <x:v>5517.512000000001</x:v>
      </x:c>
      <x:c r="Q239" s="220" t="n">
        <x:v>0.7979</x:v>
      </x:c>
      <x:c r="R239" s="226" t="n">
        <x:f>P239*Q239</x:f>
        <x:v>4402.422824800001</x:v>
      </x:c>
      <x:c r="S239" s="220" t="n">
        <x:v>0.06</x:v>
      </x:c>
      <x:c r="T239" s="226" t="n">
        <x:f>N239*S239</x:f>
        <x:v>312.312</x:v>
      </x:c>
      <x:c r="U239" s="226" t="n">
        <x:v>0.014</x:v>
      </x:c>
      <x:c r="V239" s="226" t="n">
        <x:f>P239*U239</x:f>
        <x:v>77.245168</x:v>
      </x:c>
      <x:c r="W239" s="196" t="str">
        <x:v>EUR</x:v>
      </x:c>
      <x:c r="X239" s="220" t="n">
        <x:v>2.691</x:v>
      </x:c>
      <x:c r="Y239" s="196" t="str">
        <x:v>PER_CHARGEABLE_KG</x:v>
      </x:c>
      <x:c r="Z239" s="220" t="n">
        <x:v>0.207</x:v>
      </x:c>
      <x:c r="AA239" s="220" t="n">
        <x:v>7.86</x:v>
      </x:c>
      <x:c r="AB239" s="220" t="n">
        <x:v>9</x:v>
      </x:c>
      <x:c r="AC239" s="226" t="n">
        <x:f>IF(W239="EUR",AA239,IF(W239="GBP",AB239,1))</x:f>
        <x:v>7.86</x:v>
      </x:c>
      <x:c r="AD239" s="226" t="n">
        <x:f>R239*X239</x:f>
        <x:v>11846.919821536801</x:v>
      </x:c>
      <x:c r="AE239" s="226" t="n">
        <x:f>IF(Y239="PERCENTAGE_OF_BASE_FREIGHT",AD239*Z239,IF(Y239="PER_CHARGEABLE_KG",R239*Z239,P239*Z239))</x:f>
        <x:v>911.3015247336001</x:v>
      </x:c>
      <x:c r="AF239" s="226" t="n">
        <x:f>AD239*AC239</x:f>
        <x:v>93116.78979727926</x:v>
      </x:c>
      <x:c r="AG239" s="226" t="n">
        <x:f>AE239*AC239</x:f>
        <x:v>7162.8299844060975</x:v>
      </x:c>
      <x:c r="AH239" s="226" t="str">
        <x:v>EUR</x:v>
      </x:c>
      <x:c r="AI239" s="226" t="n">
        <x:v>1.08675</x:v>
      </x:c>
      <x:c r="AJ239" s="226" t="n">
        <x:f>IF(AH239="EUR",AA239,IF(AH239="GBP",AB239,1))</x:f>
        <x:v>7.86</x:v>
      </x:c>
      <x:c r="AK239" s="226" t="n">
        <x:f>N239*AI239</x:f>
        <x:v>5656.751100000001</x:v>
      </x:c>
      <x:c r="AL239" s="226" t="n">
        <x:f>AK239*AJ239</x:f>
        <x:v>44462.06364600001</x:v>
      </x:c>
      <x:c r="AM239" s="226" t="str">
        <x:v>EUR</x:v>
      </x:c>
      <x:c r="AN239" s="226" t="n">
        <x:v>0.3933</x:v>
      </x:c>
      <x:c r="AO239" s="226" t="n">
        <x:f>IF(AM239="EUR",AA239,IF(AM239="GBP",AB239,1))</x:f>
        <x:v>7.86</x:v>
      </x:c>
      <x:c r="AP239" s="226" t="n">
        <x:f>P239*AN239</x:f>
        <x:v>2170.0374696000003</x:v>
      </x:c>
      <x:c r="AQ239" s="226" t="n">
        <x:f>AP239*AO239</x:f>
        <x:v>17056.494511056004</x:v>
      </x:c>
      <x:c r="AR239" s="226" t="str">
        <x:v>EUR</x:v>
      </x:c>
      <x:c r="AS239" s="226" t="n">
        <x:v>3.105</x:v>
      </x:c>
      <x:c r="AT239" s="226" t="n">
        <x:f>IF(AR239="EUR",AA239,IF(AR239="GBP",AB239,1))</x:f>
        <x:v>7.86</x:v>
      </x:c>
      <x:c r="AU239" s="226" t="n">
        <x:f>T239*AS239</x:f>
        <x:v>969.7287600000001</x:v>
      </x:c>
      <x:c r="AV239" s="226" t="n">
        <x:f>AU239*AT239</x:f>
        <x:v>7622.068053600001</x:v>
      </x:c>
      <x:c r="AW239" s="226" t="str">
        <x:v>EUR</x:v>
      </x:c>
      <x:c r="AX239" s="226" t="n">
        <x:v>2.3805</x:v>
      </x:c>
      <x:c r="AY239" s="226" t="n">
        <x:f>IF(AW239="EUR",AA239,IF(AW239="GBP",AB239,1))</x:f>
        <x:v>7.86</x:v>
      </x:c>
      <x:c r="AZ239" s="226" t="n">
        <x:f>V239*AX239</x:f>
        <x:v>183.88212242400002</x:v>
      </x:c>
      <x:c r="BA239" s="226" t="n">
        <x:f>AZ239*AY239</x:f>
        <x:v>1445.3134822526401</x:v>
      </x:c>
      <x:c r="BB239" s="226" t="n">
        <x:f>AF239+AG239+AL239+AQ239+AV239+BA239</x:f>
        <x:v>170865.559474594</x:v>
      </x:c>
      <x:c r="BC239" s="229" t="n">
        <x:v>0.973</x:v>
      </x:c>
      <x:c r="BD239" s="202"/>
      <x:c r="BE239" s="202" t="str">
        <x:v>正式 Forecast 逐月降低英国空运及 Carrier C 份额，但仍高于 Budget</x:v>
      </x:c>
      <x:c r="BF239" s="202"/>
      <x:c r="BG239" s="202" t="str">
        <x:v>UNVERIFIED_UNLIMITED_FOR_MVP</x:v>
      </x:c>
    </x:row>
    <x:row r="240">
      <x:c r="A240" s="187" t="str">
        <x:v>FORECAST_2026_08_V1</x:v>
      </x:c>
      <x:c r="B240" s="187" t="str">
        <x:v>FORECAST</x:v>
      </x:c>
      <x:c r="C240" s="187"/>
      <x:c r="D240" s="217" t="n">
        <x:v>46357</x:v>
      </x:c>
      <x:c r="E240" s="187" t="str">
        <x:v>R_GB_DE_A_ROAD</x:v>
      </x:c>
      <x:c r="F240" s="187" t="str">
        <x:v>GB</x:v>
      </x:c>
      <x:c r="G240" s="187" t="str">
        <x:v>DE_FC</x:v>
      </x:c>
      <x:c r="H240" s="187" t="str">
        <x:v>CARRIER_A</x:v>
      </x:c>
      <x:c r="I240" s="187" t="str">
        <x:v>ROAD</x:v>
      </x:c>
      <x:c r="J240" s="220" t="n">
        <x:v>28600</x:v>
      </x:c>
      <x:c r="K240" s="223" t="n">
        <x:v>0.4</x:v>
      </x:c>
      <x:c r="L240" s="223" t="n">
        <x:v>0.96</x:v>
      </x:c>
      <x:c r="M240" s="223" t="n">
        <x:v>0.48</x:v>
      </x:c>
      <x:c r="N240" s="226" t="n">
        <x:f>J240*K240*L240*M240</x:f>
        <x:v>5271.552</x:v>
      </x:c>
      <x:c r="O240" s="220" t="n">
        <x:v>1.17</x:v>
      </x:c>
      <x:c r="P240" s="226" t="n">
        <x:f>N240*O240</x:f>
        <x:v>6167.715839999999</x:v>
      </x:c>
      <x:c r="Q240" s="220" t="n">
        <x:v>1.050804</x:v>
      </x:c>
      <x:c r="R240" s="226" t="n">
        <x:f>P240*Q240</x:f>
        <x:v>6481.06047553536</x:v>
      </x:c>
      <x:c r="S240" s="220" t="n">
        <x:v>0.09</x:v>
      </x:c>
      <x:c r="T240" s="226" t="n">
        <x:f>N240*S240</x:f>
        <x:v>474.43967999999995</x:v>
      </x:c>
      <x:c r="U240" s="226" t="n">
        <x:v>0.027</x:v>
      </x:c>
      <x:c r="V240" s="226" t="n">
        <x:f>P240*U240</x:f>
        <x:v>166.52832767999996</x:v>
      </x:c>
      <x:c r="W240" s="196" t="str">
        <x:v>GBP</x:v>
      </x:c>
      <x:c r="X240" s="220" t="n">
        <x:v>4.14</x:v>
      </x:c>
      <x:c r="Y240" s="196" t="str">
        <x:v>PERCENTAGE_OF_BASE_FREIGHT</x:v>
      </x:c>
      <x:c r="Z240" s="220" t="n">
        <x:v>0.1035</x:v>
      </x:c>
      <x:c r="AA240" s="220" t="n">
        <x:v>7.86</x:v>
      </x:c>
      <x:c r="AB240" s="220" t="n">
        <x:v>9</x:v>
      </x:c>
      <x:c r="AC240" s="226" t="n">
        <x:f>IF(W240="EUR",AA240,IF(W240="GBP",AB240,1))</x:f>
        <x:v>9</x:v>
      </x:c>
      <x:c r="AD240" s="226" t="n">
        <x:f>R240*X240</x:f>
        <x:v>26831.59036871639</x:v>
      </x:c>
      <x:c r="AE240" s="226" t="n">
        <x:f>IF(Y240="PERCENTAGE_OF_BASE_FREIGHT",AD240*Z240,IF(Y240="PER_CHARGEABLE_KG",R240*Z240,P240*Z240))</x:f>
        <x:v>2777.069603162146</x:v>
      </x:c>
      <x:c r="AF240" s="226" t="n">
        <x:f>AD240*AC240</x:f>
        <x:v>241484.3133184475</x:v>
      </x:c>
      <x:c r="AG240" s="226" t="n">
        <x:f>AE240*AC240</x:f>
        <x:v>24993.626428459313</x:v>
      </x:c>
      <x:c r="AH240" s="226" t="str">
        <x:v>EUR</x:v>
      </x:c>
      <x:c r="AI240" s="226" t="n">
        <x:v>1.2213</x:v>
      </x:c>
      <x:c r="AJ240" s="226" t="n">
        <x:f>IF(AH240="EUR",AA240,IF(AH240="GBP",AB240,1))</x:f>
        <x:v>7.86</x:v>
      </x:c>
      <x:c r="AK240" s="226" t="n">
        <x:f>N240*AI240</x:f>
        <x:v>6438.1464576</x:v>
      </x:c>
      <x:c r="AL240" s="226" t="n">
        <x:f>AK240*AJ240</x:f>
        <x:v>50603.831156736</x:v>
      </x:c>
      <x:c r="AM240" s="226" t="str">
        <x:v>EUR</x:v>
      </x:c>
      <x:c r="AN240" s="226" t="n">
        <x:v>0.4347</x:v>
      </x:c>
      <x:c r="AO240" s="226" t="n">
        <x:f>IF(AM240="EUR",AA240,IF(AM240="GBP",AB240,1))</x:f>
        <x:v>7.86</x:v>
      </x:c>
      <x:c r="AP240" s="226" t="n">
        <x:f>P240*AN240</x:f>
        <x:v>2681.106075647999</x:v>
      </x:c>
      <x:c r="AQ240" s="226" t="n">
        <x:f>AP240*AO240</x:f>
        <x:v>21073.493754593273</x:v>
      </x:c>
      <x:c r="AR240" s="226" t="str">
        <x:v>GBP</x:v>
      </x:c>
      <x:c r="AS240" s="226" t="n">
        <x:v>4.968</x:v>
      </x:c>
      <x:c r="AT240" s="226" t="n">
        <x:f>IF(AR240="EUR",AA240,IF(AR240="GBP",AB240,1))</x:f>
        <x:v>9</x:v>
      </x:c>
      <x:c r="AU240" s="226" t="n">
        <x:f>T240*AS240</x:f>
        <x:v>2357.0163302399997</x:v>
      </x:c>
      <x:c r="AV240" s="226" t="n">
        <x:f>AU240*AT240</x:f>
        <x:v>21213.146972159997</x:v>
      </x:c>
      <x:c r="AW240" s="226" t="str">
        <x:v>GBP</x:v>
      </x:c>
      <x:c r="AX240" s="226" t="n">
        <x:v>2.3805</x:v>
      </x:c>
      <x:c r="AY240" s="226" t="n">
        <x:f>IF(AW240="EUR",AA240,IF(AW240="GBP",AB240,1))</x:f>
        <x:v>9</x:v>
      </x:c>
      <x:c r="AZ240" s="226" t="n">
        <x:f>V240*AX240</x:f>
        <x:v>396.42068404223994</x:v>
      </x:c>
      <x:c r="BA240" s="226" t="n">
        <x:f>AZ240*AY240</x:f>
        <x:v>3567.7861563801594</x:v>
      </x:c>
      <x:c r="BB240" s="226" t="n">
        <x:f>AF240+AG240+AL240+AQ240+AV240+BA240</x:f>
        <x:v>362936.1977867762</x:v>
      </x:c>
      <x:c r="BC240" s="229" t="n">
        <x:v>0.93</x:v>
      </x:c>
      <x:c r="BD240" s="202"/>
      <x:c r="BE240" s="202" t="str">
        <x:v>正式 Forecast 逐月降低英国空运及 Carrier C 份额，但仍高于 Budget</x:v>
      </x:c>
      <x:c r="BF240" s="202"/>
      <x:c r="BG240" s="202" t="str">
        <x:v>UNVERIFIED_UNLIMITED_FOR_MVP</x:v>
      </x:c>
    </x:row>
    <x:row r="241">
      <x:c r="A241" s="187" t="str">
        <x:v>FORECAST_2026_08_V1</x:v>
      </x:c>
      <x:c r="B241" s="187" t="str">
        <x:v>FORECAST</x:v>
      </x:c>
      <x:c r="C241" s="187"/>
      <x:c r="D241" s="217" t="n">
        <x:v>46357</x:v>
      </x:c>
      <x:c r="E241" s="187" t="str">
        <x:v>R_GB_DE_B_ROAD</x:v>
      </x:c>
      <x:c r="F241" s="187" t="str">
        <x:v>GB</x:v>
      </x:c>
      <x:c r="G241" s="187" t="str">
        <x:v>DE_FC</x:v>
      </x:c>
      <x:c r="H241" s="187" t="str">
        <x:v>CARRIER_B</x:v>
      </x:c>
      <x:c r="I241" s="187" t="str">
        <x:v>ROAD</x:v>
      </x:c>
      <x:c r="J241" s="220" t="n">
        <x:v>28600</x:v>
      </x:c>
      <x:c r="K241" s="223" t="n">
        <x:v>0.4</x:v>
      </x:c>
      <x:c r="L241" s="223" t="n">
        <x:v>0.96</x:v>
      </x:c>
      <x:c r="M241" s="223" t="n">
        <x:v>0.25</x:v>
      </x:c>
      <x:c r="N241" s="226" t="n">
        <x:f>J241*K241*L241*M241</x:f>
        <x:v>2745.6</x:v>
      </x:c>
      <x:c r="O241" s="220" t="n">
        <x:v>1.17</x:v>
      </x:c>
      <x:c r="P241" s="226" t="n">
        <x:f>N241*O241</x:f>
        <x:v>3212.352</x:v>
      </x:c>
      <x:c r="Q241" s="220" t="n">
        <x:v>1.0302</x:v>
      </x:c>
      <x:c r="R241" s="226" t="n">
        <x:f>P241*Q241</x:f>
        <x:v>3309.3650304</x:v>
      </x:c>
      <x:c r="S241" s="220" t="n">
        <x:v>0.09</x:v>
      </x:c>
      <x:c r="T241" s="226" t="n">
        <x:f>N241*S241</x:f>
        <x:v>247.10399999999998</x:v>
      </x:c>
      <x:c r="U241" s="226" t="n">
        <x:v>0.02</x:v>
      </x:c>
      <x:c r="V241" s="226" t="n">
        <x:f>P241*U241</x:f>
        <x:v>64.24704</x:v>
      </x:c>
      <x:c r="W241" s="196" t="str">
        <x:v>GBP</x:v>
      </x:c>
      <x:c r="X241" s="220" t="n">
        <x:v>4.8645</x:v>
      </x:c>
      <x:c r="Y241" s="196" t="str">
        <x:v>PER_CHARGEABLE_KG</x:v>
      </x:c>
      <x:c r="Z241" s="220" t="n">
        <x:v>0.34155</x:v>
      </x:c>
      <x:c r="AA241" s="220" t="n">
        <x:v>7.86</x:v>
      </x:c>
      <x:c r="AB241" s="220" t="n">
        <x:v>9</x:v>
      </x:c>
      <x:c r="AC241" s="226" t="n">
        <x:f>IF(W241="EUR",AA241,IF(W241="GBP",AB241,1))</x:f>
        <x:v>9</x:v>
      </x:c>
      <x:c r="AD241" s="226" t="n">
        <x:f>R241*X241</x:f>
        <x:v>16098.406190380798</x:v>
      </x:c>
      <x:c r="AE241" s="226" t="n">
        <x:f>IF(Y241="PERCENTAGE_OF_BASE_FREIGHT",AD241*Z241,IF(Y241="PER_CHARGEABLE_KG",R241*Z241,P241*Z241))</x:f>
        <x:v>1130.31362613312</x:v>
      </x:c>
      <x:c r="AF241" s="226" t="n">
        <x:f>AD241*AC241</x:f>
        <x:v>144885.65571342717</x:v>
      </x:c>
      <x:c r="AG241" s="226" t="n">
        <x:f>AE241*AC241</x:f>
        <x:v>10172.82263519808</x:v>
      </x:c>
      <x:c r="AH241" s="226" t="str">
        <x:v>EUR</x:v>
      </x:c>
      <x:c r="AI241" s="226" t="n">
        <x:v>1.2213</x:v>
      </x:c>
      <x:c r="AJ241" s="226" t="n">
        <x:f>IF(AH241="EUR",AA241,IF(AH241="GBP",AB241,1))</x:f>
        <x:v>7.86</x:v>
      </x:c>
      <x:c r="AK241" s="226" t="n">
        <x:f>N241*AI241</x:f>
        <x:v>3353.20128</x:v>
      </x:c>
      <x:c r="AL241" s="226" t="n">
        <x:f>AK241*AJ241</x:f>
        <x:v>26356.1620608</x:v>
      </x:c>
      <x:c r="AM241" s="226" t="str">
        <x:v>EUR</x:v>
      </x:c>
      <x:c r="AN241" s="226" t="n">
        <x:v>0.4347</x:v>
      </x:c>
      <x:c r="AO241" s="226" t="n">
        <x:f>IF(AM241="EUR",AA241,IF(AM241="GBP",AB241,1))</x:f>
        <x:v>7.86</x:v>
      </x:c>
      <x:c r="AP241" s="226" t="n">
        <x:f>P241*AN241</x:f>
        <x:v>1396.4094143999998</x:v>
      </x:c>
      <x:c r="AQ241" s="226" t="n">
        <x:f>AP241*AO241</x:f>
        <x:v>10975.777997184</x:v>
      </x:c>
      <x:c r="AR241" s="226" t="str">
        <x:v>GBP</x:v>
      </x:c>
      <x:c r="AS241" s="226" t="n">
        <x:v>4.968</x:v>
      </x:c>
      <x:c r="AT241" s="226" t="n">
        <x:f>IF(AR241="EUR",AA241,IF(AR241="GBP",AB241,1))</x:f>
        <x:v>9</x:v>
      </x:c>
      <x:c r="AU241" s="226" t="n">
        <x:f>T241*AS241</x:f>
        <x:v>1227.612672</x:v>
      </x:c>
      <x:c r="AV241" s="226" t="n">
        <x:f>AU241*AT241</x:f>
        <x:v>11048.514048</x:v>
      </x:c>
      <x:c r="AW241" s="226" t="str">
        <x:v>GBP</x:v>
      </x:c>
      <x:c r="AX241" s="226" t="n">
        <x:v>2.3805</x:v>
      </x:c>
      <x:c r="AY241" s="226" t="n">
        <x:f>IF(AW241="EUR",AA241,IF(AW241="GBP",AB241,1))</x:f>
        <x:v>9</x:v>
      </x:c>
      <x:c r="AZ241" s="226" t="n">
        <x:f>V241*AX241</x:f>
        <x:v>152.94007872</x:v>
      </x:c>
      <x:c r="BA241" s="226" t="n">
        <x:f>AZ241*AY241</x:f>
        <x:v>1376.46070848</x:v>
      </x:c>
      <x:c r="BB241" s="226" t="n">
        <x:f>AF241+AG241+AL241+AQ241+AV241+BA241</x:f>
        <x:v>204815.39316308926</x:v>
      </x:c>
      <x:c r="BC241" s="229" t="n">
        <x:v>0.95</x:v>
      </x:c>
      <x:c r="BD241" s="202"/>
      <x:c r="BE241" s="202" t="str">
        <x:v>正式 Forecast 逐月降低英国空运及 Carrier C 份额，但仍高于 Budget</x:v>
      </x:c>
      <x:c r="BF241" s="202"/>
      <x:c r="BG241" s="202" t="str">
        <x:v>UNVERIFIED_UNLIMITED_FOR_MVP</x:v>
      </x:c>
    </x:row>
    <x:row r="242">
      <x:c r="A242" s="187" t="str">
        <x:v>FORECAST_2026_08_V1</x:v>
      </x:c>
      <x:c r="B242" s="187" t="str">
        <x:v>FORECAST</x:v>
      </x:c>
      <x:c r="C242" s="187"/>
      <x:c r="D242" s="217" t="n">
        <x:v>46357</x:v>
      </x:c>
      <x:c r="E242" s="187" t="str">
        <x:v>R_GB_DE_B_AIR</x:v>
      </x:c>
      <x:c r="F242" s="187" t="str">
        <x:v>GB</x:v>
      </x:c>
      <x:c r="G242" s="187" t="str">
        <x:v>DE_FC</x:v>
      </x:c>
      <x:c r="H242" s="187" t="str">
        <x:v>CARRIER_B</x:v>
      </x:c>
      <x:c r="I242" s="187" t="str">
        <x:v>AIR</x:v>
      </x:c>
      <x:c r="J242" s="220" t="n">
        <x:v>28600</x:v>
      </x:c>
      <x:c r="K242" s="223" t="n">
        <x:v>0.4</x:v>
      </x:c>
      <x:c r="L242" s="223" t="n">
        <x:v>0.96</x:v>
      </x:c>
      <x:c r="M242" s="223" t="n">
        <x:v>0.19</x:v>
      </x:c>
      <x:c r="N242" s="226" t="n">
        <x:f>J242*K242*L242*M242</x:f>
        <x:v>2086.656</x:v>
      </x:c>
      <x:c r="O242" s="220" t="n">
        <x:v>1.17</x:v>
      </x:c>
      <x:c r="P242" s="226" t="n">
        <x:f>N242*O242</x:f>
        <x:v>2441.3875199999998</x:v>
      </x:c>
      <x:c r="Q242" s="220" t="n">
        <x:v>0.968388</x:v>
      </x:c>
      <x:c r="R242" s="226" t="n">
        <x:f>P242*Q242</x:f>
        <x:v>2364.21037771776</x:v>
      </x:c>
      <x:c r="S242" s="220" t="n">
        <x:v>0.09</x:v>
      </x:c>
      <x:c r="T242" s="226" t="n">
        <x:f>N242*S242</x:f>
        <x:v>187.79904</x:v>
      </x:c>
      <x:c r="U242" s="226" t="n">
        <x:v>0.016</x:v>
      </x:c>
      <x:c r="V242" s="226" t="n">
        <x:f>P242*U242</x:f>
        <x:v>39.062200319999995</x:v>
      </x:c>
      <x:c r="W242" s="196" t="str">
        <x:v>GBP</x:v>
      </x:c>
      <x:c r="X242" s="220" t="n">
        <x:v>6.67368</x:v>
      </x:c>
      <x:c r="Y242" s="196" t="str">
        <x:v>PERCENTAGE_OF_BASE_FREIGHT</x:v>
      </x:c>
      <x:c r="Z242" s="220" t="n">
        <x:v>0.123786</x:v>
      </x:c>
      <x:c r="AA242" s="220" t="n">
        <x:v>7.86</x:v>
      </x:c>
      <x:c r="AB242" s="220" t="n">
        <x:v>9</x:v>
      </x:c>
      <x:c r="AC242" s="226" t="n">
        <x:f>IF(W242="EUR",AA242,IF(W242="GBP",AB242,1))</x:f>
        <x:v>9</x:v>
      </x:c>
      <x:c r="AD242" s="226" t="n">
        <x:f>R242*X242</x:f>
        <x:v>15777.98351356746</x:v>
      </x:c>
      <x:c r="AE242" s="226" t="n">
        <x:f>IF(Y242="PERCENTAGE_OF_BASE_FREIGHT",AD242*Z242,IF(Y242="PER_CHARGEABLE_KG",R242*Z242,P242*Z242))</x:f>
        <x:v>1953.0934672104615</x:v>
      </x:c>
      <x:c r="AF242" s="226" t="n">
        <x:f>AD242*AC242</x:f>
        <x:v>142001.85162210715</x:v>
      </x:c>
      <x:c r="AG242" s="226" t="n">
        <x:f>AE242*AC242</x:f>
        <x:v>17577.841204894154</x:v>
      </x:c>
      <x:c r="AH242" s="226" t="str">
        <x:v>EUR</x:v>
      </x:c>
      <x:c r="AI242" s="226" t="n">
        <x:v>1.2213</x:v>
      </x:c>
      <x:c r="AJ242" s="226" t="n">
        <x:f>IF(AH242="EUR",AA242,IF(AH242="GBP",AB242,1))</x:f>
        <x:v>7.86</x:v>
      </x:c>
      <x:c r="AK242" s="226" t="n">
        <x:f>N242*AI242</x:f>
        <x:v>2548.4329728000002</x:v>
      </x:c>
      <x:c r="AL242" s="226" t="n">
        <x:f>AK242*AJ242</x:f>
        <x:v>20030.683166208004</x:v>
      </x:c>
      <x:c r="AM242" s="226" t="str">
        <x:v>EUR</x:v>
      </x:c>
      <x:c r="AN242" s="226" t="n">
        <x:v>0.4347</x:v>
      </x:c>
      <x:c r="AO242" s="226" t="n">
        <x:f>IF(AM242="EUR",AA242,IF(AM242="GBP",AB242,1))</x:f>
        <x:v>7.86</x:v>
      </x:c>
      <x:c r="AP242" s="226" t="n">
        <x:f>P242*AN242</x:f>
        <x:v>1061.2711549439998</x:v>
      </x:c>
      <x:c r="AQ242" s="226" t="n">
        <x:f>AP242*AO242</x:f>
        <x:v>8341.59127785984</x:v>
      </x:c>
      <x:c r="AR242" s="226" t="str">
        <x:v>GBP</x:v>
      </x:c>
      <x:c r="AS242" s="226" t="n">
        <x:v>4.968</x:v>
      </x:c>
      <x:c r="AT242" s="226" t="n">
        <x:f>IF(AR242="EUR",AA242,IF(AR242="GBP",AB242,1))</x:f>
        <x:v>9</x:v>
      </x:c>
      <x:c r="AU242" s="226" t="n">
        <x:f>T242*AS242</x:f>
        <x:v>932.9856307199999</x:v>
      </x:c>
      <x:c r="AV242" s="226" t="n">
        <x:f>AU242*AT242</x:f>
        <x:v>8396.870676479999</x:v>
      </x:c>
      <x:c r="AW242" s="226" t="str">
        <x:v>GBP</x:v>
      </x:c>
      <x:c r="AX242" s="226" t="n">
        <x:v>2.898</x:v>
      </x:c>
      <x:c r="AY242" s="226" t="n">
        <x:f>IF(AW242="EUR",AA242,IF(AW242="GBP",AB242,1))</x:f>
        <x:v>9</x:v>
      </x:c>
      <x:c r="AZ242" s="226" t="n">
        <x:f>V242*AX242</x:f>
        <x:v>113.20225652735999</x:v>
      </x:c>
      <x:c r="BA242" s="226" t="n">
        <x:f>AZ242*AY242</x:f>
        <x:v>1018.8203087462399</x:v>
      </x:c>
      <x:c r="BB242" s="226" t="n">
        <x:f>AF242+AG242+AL242+AQ242+AV242+BA242</x:f>
        <x:v>197367.6582562954</x:v>
      </x:c>
      <x:c r="BC242" s="229" t="n">
        <x:v>0.974</x:v>
      </x:c>
      <x:c r="BD242" s="202"/>
      <x:c r="BE242" s="202" t="str">
        <x:v>正式 Forecast 逐月降低英国空运及 Carrier C 份额，但仍高于 Budget</x:v>
      </x:c>
      <x:c r="BF242" s="202"/>
      <x:c r="BG242" s="202" t="str">
        <x:v>UNVERIFIED_UNLIMITED_FOR_MVP</x:v>
      </x:c>
    </x:row>
    <x:row r="243">
      <x:c r="A243" s="187" t="str">
        <x:v>FORECAST_2026_08_V1</x:v>
      </x:c>
      <x:c r="B243" s="187" t="str">
        <x:v>FORECAST</x:v>
      </x:c>
      <x:c r="C243" s="187"/>
      <x:c r="D243" s="217" t="n">
        <x:v>46357</x:v>
      </x:c>
      <x:c r="E243" s="187" t="str">
        <x:v>R_GB_DE_C_AIR</x:v>
      </x:c>
      <x:c r="F243" s="187" t="str">
        <x:v>GB</x:v>
      </x:c>
      <x:c r="G243" s="187" t="str">
        <x:v>DE_FC</x:v>
      </x:c>
      <x:c r="H243" s="187" t="str">
        <x:v>CARRIER_C</x:v>
      </x:c>
      <x:c r="I243" s="187" t="str">
        <x:v>AIR</x:v>
      </x:c>
      <x:c r="J243" s="220" t="n">
        <x:v>28600</x:v>
      </x:c>
      <x:c r="K243" s="223" t="n">
        <x:v>0.4</x:v>
      </x:c>
      <x:c r="L243" s="223" t="n">
        <x:v>0.96</x:v>
      </x:c>
      <x:c r="M243" s="223" t="n">
        <x:v>0.08</x:v>
      </x:c>
      <x:c r="N243" s="226" t="n">
        <x:f>J243*K243*L243*M243</x:f>
        <x:v>878.592</x:v>
      </x:c>
      <x:c r="O243" s="220" t="n">
        <x:v>1.17</x:v>
      </x:c>
      <x:c r="P243" s="226" t="n">
        <x:f>N243*O243</x:f>
        <x:v>1027.95264</x:v>
      </x:c>
      <x:c r="Q243" s="220" t="n">
        <x:v>0.947784</x:v>
      </x:c>
      <x:c r="R243" s="226" t="n">
        <x:f>P243*Q243</x:f>
        <x:v>974.27706494976</x:v>
      </x:c>
      <x:c r="S243" s="220" t="n">
        <x:v>0.09</x:v>
      </x:c>
      <x:c r="T243" s="226" t="n">
        <x:f>N243*S243</x:f>
        <x:v>79.07328</x:v>
      </x:c>
      <x:c r="U243" s="226" t="n">
        <x:v>0.011</x:v>
      </x:c>
      <x:c r="V243" s="226" t="n">
        <x:f>P243*U243</x:f>
        <x:v>11.307479039999999</x:v>
      </x:c>
      <x:c r="W243" s="196" t="str">
        <x:v>GBP</x:v>
      </x:c>
      <x:c r="X243" s="220" t="n">
        <x:v>8.22825</x:v>
      </x:c>
      <x:c r="Y243" s="196" t="str">
        <x:v>PER_CHARGEABLE_KG</x:v>
      </x:c>
      <x:c r="Z243" s="220" t="n">
        <x:v>0.636318</x:v>
      </x:c>
      <x:c r="AA243" s="220" t="n">
        <x:v>7.86</x:v>
      </x:c>
      <x:c r="AB243" s="220" t="n">
        <x:v>9</x:v>
      </x:c>
      <x:c r="AC243" s="226" t="n">
        <x:f>IF(W243="EUR",AA243,IF(W243="GBP",AB243,1))</x:f>
        <x:v>9</x:v>
      </x:c>
      <x:c r="AD243" s="226" t="n">
        <x:f>R243*X243</x:f>
        <x:v>8016.595259672861</x:v>
      </x:c>
      <x:c r="AE243" s="226" t="n">
        <x:f>IF(Y243="PERCENTAGE_OF_BASE_FREIGHT",AD243*Z243,IF(Y243="PER_CHARGEABLE_KG",R243*Z243,P243*Z243))</x:f>
        <x:v>619.9500334147014</x:v>
      </x:c>
      <x:c r="AF243" s="226" t="n">
        <x:f>AD243*AC243</x:f>
        <x:v>72149.35733705576</x:v>
      </x:c>
      <x:c r="AG243" s="226" t="n">
        <x:f>AE243*AC243</x:f>
        <x:v>5579.550300732312</x:v>
      </x:c>
      <x:c r="AH243" s="226" t="str">
        <x:v>EUR</x:v>
      </x:c>
      <x:c r="AI243" s="226" t="n">
        <x:v>1.2213</x:v>
      </x:c>
      <x:c r="AJ243" s="226" t="n">
        <x:f>IF(AH243="EUR",AA243,IF(AH243="GBP",AB243,1))</x:f>
        <x:v>7.86</x:v>
      </x:c>
      <x:c r="AK243" s="226" t="n">
        <x:f>N243*AI243</x:f>
        <x:v>1073.0244096000001</x:v>
      </x:c>
      <x:c r="AL243" s="226" t="n">
        <x:f>AK243*AJ243</x:f>
        <x:v>8433.971859456002</x:v>
      </x:c>
      <x:c r="AM243" s="226" t="str">
        <x:v>EUR</x:v>
      </x:c>
      <x:c r="AN243" s="226" t="n">
        <x:v>0.4347</x:v>
      </x:c>
      <x:c r="AO243" s="226" t="n">
        <x:f>IF(AM243="EUR",AA243,IF(AM243="GBP",AB243,1))</x:f>
        <x:v>7.86</x:v>
      </x:c>
      <x:c r="AP243" s="226" t="n">
        <x:f>P243*AN243</x:f>
        <x:v>446.85101260799996</x:v>
      </x:c>
      <x:c r="AQ243" s="226" t="n">
        <x:f>AP243*AO243</x:f>
        <x:v>3512.24895909888</x:v>
      </x:c>
      <x:c r="AR243" s="226" t="str">
        <x:v>GBP</x:v>
      </x:c>
      <x:c r="AS243" s="226" t="n">
        <x:v>4.968</x:v>
      </x:c>
      <x:c r="AT243" s="226" t="n">
        <x:f>IF(AR243="EUR",AA243,IF(AR243="GBP",AB243,1))</x:f>
        <x:v>9</x:v>
      </x:c>
      <x:c r="AU243" s="226" t="n">
        <x:f>T243*AS243</x:f>
        <x:v>392.83605503999996</x:v>
      </x:c>
      <x:c r="AV243" s="226" t="n">
        <x:f>AU243*AT243</x:f>
        <x:v>3535.5244953599995</x:v>
      </x:c>
      <x:c r="AW243" s="226" t="str">
        <x:v>GBP</x:v>
      </x:c>
      <x:c r="AX243" s="226" t="n">
        <x:v>3.726</x:v>
      </x:c>
      <x:c r="AY243" s="226" t="n">
        <x:f>IF(AW243="EUR",AA243,IF(AW243="GBP",AB243,1))</x:f>
        <x:v>9</x:v>
      </x:c>
      <x:c r="AZ243" s="226" t="n">
        <x:f>V243*AX243</x:f>
        <x:v>42.13166690303999</x:v>
      </x:c>
      <x:c r="BA243" s="226" t="n">
        <x:f>AZ243*AY243</x:f>
        <x:v>379.18500212735995</x:v>
      </x:c>
      <x:c r="BB243" s="226" t="n">
        <x:f>AF243+AG243+AL243+AQ243+AV243+BA243</x:f>
        <x:v>93589.83795383031</x:v>
      </x:c>
      <x:c r="BC243" s="229" t="n">
        <x:v>0.988</x:v>
      </x:c>
      <x:c r="BD243" s="202"/>
      <x:c r="BE243" s="202" t="str">
        <x:v>正式 Forecast 逐月降低英国空运及 Carrier C 份额，但仍高于 Budget</x:v>
      </x:c>
      <x:c r="BF243" s="202"/>
      <x:c r="BG243" s="202" t="str">
        <x:v>UNVERIFIED_UNLIMITED_FOR_MVP</x:v>
      </x:c>
    </x:row>
    <x:row r="244">
      <x:c r="A244" s="187" t="str">
        <x:v>FORECAST_2026_08_V1</x:v>
      </x:c>
      <x:c r="B244" s="187" t="str">
        <x:v>FORECAST</x:v>
      </x:c>
      <x:c r="C244" s="187"/>
      <x:c r="D244" s="217" t="n">
        <x:v>46357</x:v>
      </x:c>
      <x:c r="E244" s="187" t="str">
        <x:v>R_GB_FR_B_AIR</x:v>
      </x:c>
      <x:c r="F244" s="187" t="str">
        <x:v>GB</x:v>
      </x:c>
      <x:c r="G244" s="187" t="str">
        <x:v>FR_FC</x:v>
      </x:c>
      <x:c r="H244" s="187" t="str">
        <x:v>CARRIER_B</x:v>
      </x:c>
      <x:c r="I244" s="187" t="str">
        <x:v>AIR</x:v>
      </x:c>
      <x:c r="J244" s="220" t="n">
        <x:v>28600</x:v>
      </x:c>
      <x:c r="K244" s="223" t="n">
        <x:v>0.4</x:v>
      </x:c>
      <x:c r="L244" s="223" t="n">
        <x:v>0.04</x:v>
      </x:c>
      <x:c r="M244" s="223" t="n">
        <x:v>1</x:v>
      </x:c>
      <x:c r="N244" s="226" t="n">
        <x:f>J244*K244*L244*M244</x:f>
        <x:v>457.6</x:v>
      </x:c>
      <x:c r="O244" s="220" t="n">
        <x:v>1.17</x:v>
      </x:c>
      <x:c r="P244" s="226" t="n">
        <x:f>N244*O244</x:f>
        <x:v>535.3919999999999</x:v>
      </x:c>
      <x:c r="Q244" s="220" t="n">
        <x:v>0.92718</x:v>
      </x:c>
      <x:c r="R244" s="226" t="n">
        <x:f>P244*Q244</x:f>
        <x:v>496.40475455999996</x:v>
      </x:c>
      <x:c r="S244" s="220" t="n">
        <x:v>0.09</x:v>
      </x:c>
      <x:c r="T244" s="226" t="n">
        <x:f>N244*S244</x:f>
        <x:v>41.184</x:v>
      </x:c>
      <x:c r="U244" s="226" t="n">
        <x:v>0.014</x:v>
      </x:c>
      <x:c r="V244" s="226" t="n">
        <x:f>P244*U244</x:f>
        <x:v>7.495487999999999</x:v>
      </x:c>
      <x:c r="W244" s="196" t="str">
        <x:v>EUR</x:v>
      </x:c>
      <x:c r="X244" s="220" t="n">
        <x:v>6.9345</x:v>
      </x:c>
      <x:c r="Y244" s="196" t="str">
        <x:v>PERCENTAGE_OF_BASE_FREIGHT</x:v>
      </x:c>
      <x:c r="Z244" s="220" t="n">
        <x:v>0.108675</x:v>
      </x:c>
      <x:c r="AA244" s="220" t="n">
        <x:v>7.86</x:v>
      </x:c>
      <x:c r="AB244" s="220" t="n">
        <x:v>9</x:v>
      </x:c>
      <x:c r="AC244" s="226" t="n">
        <x:f>IF(W244="EUR",AA244,IF(W244="GBP",AB244,1))</x:f>
        <x:v>7.86</x:v>
      </x:c>
      <x:c r="AD244" s="226" t="n">
        <x:f>R244*X244</x:f>
        <x:v>3442.3187704963198</x:v>
      </x:c>
      <x:c r="AE244" s="226" t="n">
        <x:f>IF(Y244="PERCENTAGE_OF_BASE_FREIGHT",AD244*Z244,IF(Y244="PER_CHARGEABLE_KG",R244*Z244,P244*Z244))</x:f>
        <x:v>374.0939923836875</x:v>
      </x:c>
      <x:c r="AF244" s="226" t="n">
        <x:f>AD244*AC244</x:f>
        <x:v>27056.625536101074</x:v>
      </x:c>
      <x:c r="AG244" s="226" t="n">
        <x:f>AE244*AC244</x:f>
        <x:v>2940.378780135784</x:v>
      </x:c>
      <x:c r="AH244" s="226" t="str">
        <x:v>EUR</x:v>
      </x:c>
      <x:c r="AI244" s="226" t="n">
        <x:v>1.08675</x:v>
      </x:c>
      <x:c r="AJ244" s="226" t="n">
        <x:f>IF(AH244="EUR",AA244,IF(AH244="GBP",AB244,1))</x:f>
        <x:v>7.86</x:v>
      </x:c>
      <x:c r="AK244" s="226" t="n">
        <x:f>N244*AI244</x:f>
        <x:v>497.2968000000001</x:v>
      </x:c>
      <x:c r="AL244" s="226" t="n">
        <x:f>AK244*AJ244</x:f>
        <x:v>3908.7528480000005</x:v>
      </x:c>
      <x:c r="AM244" s="226" t="str">
        <x:v>EUR</x:v>
      </x:c>
      <x:c r="AN244" s="226" t="n">
        <x:v>0.3933</x:v>
      </x:c>
      <x:c r="AO244" s="226" t="n">
        <x:f>IF(AM244="EUR",AA244,IF(AM244="GBP",AB244,1))</x:f>
        <x:v>7.86</x:v>
      </x:c>
      <x:c r="AP244" s="226" t="n">
        <x:f>P244*AN244</x:f>
        <x:v>210.56967359999996</x:v>
      </x:c>
      <x:c r="AQ244" s="226" t="n">
        <x:f>AP244*AO244</x:f>
        <x:v>1655.0776344959997</x:v>
      </x:c>
      <x:c r="AR244" s="226" t="str">
        <x:v>EUR</x:v>
      </x:c>
      <x:c r="AS244" s="226" t="n">
        <x:v>5.382</x:v>
      </x:c>
      <x:c r="AT244" s="226" t="n">
        <x:f>IF(AR244="EUR",AA244,IF(AR244="GBP",AB244,1))</x:f>
        <x:v>7.86</x:v>
      </x:c>
      <x:c r="AU244" s="226" t="n">
        <x:f>T244*AS244</x:f>
        <x:v>221.65228799999997</x:v>
      </x:c>
      <x:c r="AV244" s="226" t="n">
        <x:f>AU244*AT244</x:f>
        <x:v>1742.18698368</x:v>
      </x:c>
      <x:c r="AW244" s="226" t="str">
        <x:v>EUR</x:v>
      </x:c>
      <x:c r="AX244" s="226" t="n">
        <x:v>2.898</x:v>
      </x:c>
      <x:c r="AY244" s="226" t="n">
        <x:f>IF(AW244="EUR",AA244,IF(AW244="GBP",AB244,1))</x:f>
        <x:v>7.86</x:v>
      </x:c>
      <x:c r="AZ244" s="226" t="n">
        <x:f>V244*AX244</x:f>
        <x:v>21.721924224</x:v>
      </x:c>
      <x:c r="BA244" s="226" t="n">
        <x:f>AZ244*AY244</x:f>
        <x:v>170.73432440064</x:v>
      </x:c>
      <x:c r="BB244" s="226" t="n">
        <x:f>AF244+AG244+AL244+AQ244+AV244+BA244</x:f>
        <x:v>37473.756106813504</x:v>
      </x:c>
      <x:c r="BC244" s="229" t="n">
        <x:v>0.971</x:v>
      </x:c>
      <x:c r="BD244" s="202"/>
      <x:c r="BE244" s="202" t="str">
        <x:v>正式 Forecast 逐月降低英国空运及 Carrier C 份额，但仍高于 Budget</x:v>
      </x:c>
      <x:c r="BF244" s="202"/>
      <x:c r="BG244" s="202" t="str">
        <x:v>UNVERIFIED_UNLIMITED_FOR_MVP</x:v>
      </x:c>
    </x:row>
    <x:row r="245">
      <x:c r="A245" s="187" t="str">
        <x:v>SCENARIO_BASE_2026_08</x:v>
      </x:c>
      <x:c r="B245" s="187" t="str">
        <x:v>SCENARIO</x:v>
      </x:c>
      <x:c r="C245" s="187" t="str">
        <x:v>BASE</x:v>
      </x:c>
      <x:c r="D245" s="217" t="n">
        <x:v>46266</x:v>
      </x:c>
      <x:c r="E245" s="187" t="str">
        <x:v>R_DE_DE_A_ROAD</x:v>
      </x:c>
      <x:c r="F245" s="187" t="str">
        <x:v>DE</x:v>
      </x:c>
      <x:c r="G245" s="187" t="str">
        <x:v>DE_FC</x:v>
      </x:c>
      <x:c r="H245" s="187" t="str">
        <x:v>CARRIER_A</x:v>
      </x:c>
      <x:c r="I245" s="187" t="str">
        <x:v>ROAD</x:v>
      </x:c>
      <x:c r="J245" s="220" t="n">
        <x:v>17200</x:v>
      </x:c>
      <x:c r="K245" s="223" t="n">
        <x:v>0.36</x:v>
      </x:c>
      <x:c r="L245" s="223" t="n">
        <x:v>0.97</x:v>
      </x:c>
      <x:c r="M245" s="223" t="n">
        <x:v>0.6</x:v>
      </x:c>
      <x:c r="N245" s="226" t="n">
        <x:f>J245*K245*L245*M245</x:f>
        <x:v>3603.7439999999997</x:v>
      </x:c>
      <x:c r="O245" s="220" t="n">
        <x:v>1.05</x:v>
      </x:c>
      <x:c r="P245" s="226" t="n">
        <x:f>N245*O245</x:f>
        <x:v>3783.9312</x:v>
      </x:c>
      <x:c r="Q245" s="220" t="n">
        <x:v>0.78</x:v>
      </x:c>
      <x:c r="R245" s="226" t="n">
        <x:f>P245*Q245</x:f>
        <x:v>2951.466336</x:v>
      </x:c>
      <x:c r="S245" s="220" t="n">
        <x:v>0.05</x:v>
      </x:c>
      <x:c r="T245" s="226" t="n">
        <x:f>N245*S245</x:f>
        <x:v>180.1872</x:v>
      </x:c>
      <x:c r="U245" s="226" t="n">
        <x:v>0.016</x:v>
      </x:c>
      <x:c r="V245" s="226" t="n">
        <x:f>P245*U245</x:f>
        <x:v>60.5428992</x:v>
      </x:c>
      <x:c r="W245" s="196" t="str">
        <x:v>EUR</x:v>
      </x:c>
      <x:c r="X245" s="220" t="n">
        <x:v>2.277</x:v>
      </x:c>
      <x:c r="Y245" s="196" t="str">
        <x:v>PERCENTAGE_OF_BASE_FREIGHT</x:v>
      </x:c>
      <x:c r="Z245" s="220" t="n">
        <x:v>0.098325</x:v>
      </x:c>
      <x:c r="AA245" s="220" t="n">
        <x:v>7.92</x:v>
      </x:c>
      <x:c r="AB245" s="220" t="n">
        <x:v>9.15</x:v>
      </x:c>
      <x:c r="AC245" s="226" t="n">
        <x:f>IF(W245="EUR",AA245,IF(W245="GBP",AB245,1))</x:f>
        <x:v>7.92</x:v>
      </x:c>
      <x:c r="AD245" s="226" t="n">
        <x:f>R245*X245</x:f>
        <x:v>6720.488847072001</x:v>
      </x:c>
      <x:c r="AE245" s="226" t="n">
        <x:f>IF(Y245="PERCENTAGE_OF_BASE_FREIGHT",AD245*Z245,IF(Y245="PER_CHARGEABLE_KG",R245*Z245,P245*Z245))</x:f>
        <x:v>660.7920658883544</x:v>
      </x:c>
      <x:c r="AF245" s="226" t="n">
        <x:f>AD245*AC245</x:f>
        <x:v>53226.271668810245</x:v>
      </x:c>
      <x:c r="AG245" s="226" t="n">
        <x:f>AE245*AC245</x:f>
        <x:v>5233.473161835766</x:v>
      </x:c>
      <x:c r="AH245" s="226" t="str">
        <x:v>EUR</x:v>
      </x:c>
      <x:c r="AI245" s="226" t="n">
        <x:v>1.2213</x:v>
      </x:c>
      <x:c r="AJ245" s="226" t="n">
        <x:f>IF(AH245="EUR",AA245,IF(AH245="GBP",AB245,1))</x:f>
        <x:v>7.92</x:v>
      </x:c>
      <x:c r="AK245" s="226" t="n">
        <x:f>N245*AI245</x:f>
        <x:v>4401.2525472</x:v>
      </x:c>
      <x:c r="AL245" s="226" t="n">
        <x:f>AK245*AJ245</x:f>
        <x:v>34857.920173824</x:v>
      </x:c>
      <x:c r="AM245" s="226" t="str">
        <x:v>EUR</x:v>
      </x:c>
      <x:c r="AN245" s="226" t="n">
        <x:v>0.4347</x:v>
      </x:c>
      <x:c r="AO245" s="226" t="n">
        <x:f>IF(AM245="EUR",AA245,IF(AM245="GBP",AB245,1))</x:f>
        <x:v>7.92</x:v>
      </x:c>
      <x:c r="AP245" s="226" t="n">
        <x:f>P245*AN245</x:f>
        <x:v>1644.8748926399999</x:v>
      </x:c>
      <x:c r="AQ245" s="226" t="n">
        <x:f>AP245*AO245</x:f>
        <x:v>13027.4091497088</x:v>
      </x:c>
      <x:c r="AR245" s="226" t="str">
        <x:v>EUR</x:v>
      </x:c>
      <x:c r="AS245" s="226" t="n">
        <x:v>3.312</x:v>
      </x:c>
      <x:c r="AT245" s="226" t="n">
        <x:f>IF(AR245="EUR",AA245,IF(AR245="GBP",AB245,1))</x:f>
        <x:v>7.92</x:v>
      </x:c>
      <x:c r="AU245" s="226" t="n">
        <x:f>T245*AS245</x:f>
        <x:v>596.7800063999999</x:v>
      </x:c>
      <x:c r="AV245" s="226" t="n">
        <x:f>AU245*AT245</x:f>
        <x:v>4726.497650687999</x:v>
      </x:c>
      <x:c r="AW245" s="226" t="str">
        <x:v>EUR</x:v>
      </x:c>
      <x:c r="AX245" s="226" t="n">
        <x:v>2.3805</x:v>
      </x:c>
      <x:c r="AY245" s="226" t="n">
        <x:f>IF(AW245="EUR",AA245,IF(AW245="GBP",AB245,1))</x:f>
        <x:v>7.92</x:v>
      </x:c>
      <x:c r="AZ245" s="226" t="n">
        <x:f>V245*AX245</x:f>
        <x:v>144.1223715456</x:v>
      </x:c>
      <x:c r="BA245" s="226" t="n">
        <x:f>AZ245*AY245</x:f>
        <x:v>1141.449182641152</x:v>
      </x:c>
      <x:c r="BB245" s="226" t="n">
        <x:f>AF245+AG245+AL245+AQ245+AV245+BA245</x:f>
        <x:v>112213.02098750796</x:v>
      </x:c>
      <x:c r="BC245" s="229" t="n">
        <x:v>0.965</x:v>
      </x:c>
      <x:c r="BD245" s="202"/>
      <x:c r="BE245" s="202" t="str">
        <x:v>正式 Forecast 逐月降低英国空运及 Carrier C 份额，但仍高于 Budget</x:v>
      </x:c>
      <x:c r="BF245" s="202" t="str">
        <x:v>沿用当前正式 Forecast</x:v>
      </x:c>
      <x:c r="BG245" s="202" t="str">
        <x:v>UNVERIFIED_UNLIMITED_FOR_MVP</x:v>
      </x:c>
    </x:row>
    <x:row r="246">
      <x:c r="A246" s="187" t="str">
        <x:v>SCENARIO_BASE_2026_08</x:v>
      </x:c>
      <x:c r="B246" s="187" t="str">
        <x:v>SCENARIO</x:v>
      </x:c>
      <x:c r="C246" s="187" t="str">
        <x:v>BASE</x:v>
      </x:c>
      <x:c r="D246" s="217" t="n">
        <x:v>46266</x:v>
      </x:c>
      <x:c r="E246" s="187" t="str">
        <x:v>R_DE_DE_B_ROAD</x:v>
      </x:c>
      <x:c r="F246" s="187" t="str">
        <x:v>DE</x:v>
      </x:c>
      <x:c r="G246" s="187" t="str">
        <x:v>DE_FC</x:v>
      </x:c>
      <x:c r="H246" s="187" t="str">
        <x:v>CARRIER_B</x:v>
      </x:c>
      <x:c r="I246" s="187" t="str">
        <x:v>ROAD</x:v>
      </x:c>
      <x:c r="J246" s="220" t="n">
        <x:v>17200</x:v>
      </x:c>
      <x:c r="K246" s="223" t="n">
        <x:v>0.36</x:v>
      </x:c>
      <x:c r="L246" s="223" t="n">
        <x:v>0.97</x:v>
      </x:c>
      <x:c r="M246" s="223" t="n">
        <x:v>0.4</x:v>
      </x:c>
      <x:c r="N246" s="226" t="n">
        <x:f>J246*K246*L246*M246</x:f>
        <x:v>2402.496</x:v>
      </x:c>
      <x:c r="O246" s="220" t="n">
        <x:v>1.05</x:v>
      </x:c>
      <x:c r="P246" s="226" t="n">
        <x:f>N246*O246</x:f>
        <x:v>2522.6208</x:v>
      </x:c>
      <x:c r="Q246" s="220" t="n">
        <x:v>0.8</x:v>
      </x:c>
      <x:c r="R246" s="226" t="n">
        <x:f>P246*Q246</x:f>
        <x:v>2018.0966400000002</x:v>
      </x:c>
      <x:c r="S246" s="220" t="n">
        <x:v>0.05</x:v>
      </x:c>
      <x:c r="T246" s="226" t="n">
        <x:f>N246*S246</x:f>
        <x:v>120.12480000000001</x:v>
      </x:c>
      <x:c r="U246" s="226" t="n">
        <x:v>0.013</x:v>
      </x:c>
      <x:c r="V246" s="226" t="n">
        <x:f>P246*U246</x:f>
        <x:v>32.7940704</x:v>
      </x:c>
      <x:c r="W246" s="196" t="str">
        <x:v>EUR</x:v>
      </x:c>
      <x:c r="X246" s="220" t="n">
        <x:v>2.84625</x:v>
      </x:c>
      <x:c r="Y246" s="196" t="str">
        <x:v>PER_CHARGEABLE_KG</x:v>
      </x:c>
      <x:c r="Z246" s="220" t="n">
        <x:v>0.21735</x:v>
      </x:c>
      <x:c r="AA246" s="220" t="n">
        <x:v>7.92</x:v>
      </x:c>
      <x:c r="AB246" s="220" t="n">
        <x:v>9.15</x:v>
      </x:c>
      <x:c r="AC246" s="226" t="n">
        <x:f>IF(W246="EUR",AA246,IF(W246="GBP",AB246,1))</x:f>
        <x:v>7.92</x:v>
      </x:c>
      <x:c r="AD246" s="226" t="n">
        <x:f>R246*X246</x:f>
        <x:v>5744.0075616</x:v>
      </x:c>
      <x:c r="AE246" s="226" t="n">
        <x:f>IF(Y246="PERCENTAGE_OF_BASE_FREIGHT",AD246*Z246,IF(Y246="PER_CHARGEABLE_KG",R246*Z246,P246*Z246))</x:f>
        <x:v>438.633304704</x:v>
      </x:c>
      <x:c r="AF246" s="226" t="n">
        <x:f>AD246*AC246</x:f>
        <x:v>45492.539887872</x:v>
      </x:c>
      <x:c r="AG246" s="226" t="n">
        <x:f>AE246*AC246</x:f>
        <x:v>3473.97577325568</x:v>
      </x:c>
      <x:c r="AH246" s="226" t="str">
        <x:v>EUR</x:v>
      </x:c>
      <x:c r="AI246" s="226" t="n">
        <x:v>1.2213</x:v>
      </x:c>
      <x:c r="AJ246" s="226" t="n">
        <x:f>IF(AH246="EUR",AA246,IF(AH246="GBP",AB246,1))</x:f>
        <x:v>7.92</x:v>
      </x:c>
      <x:c r="AK246" s="226" t="n">
        <x:f>N246*AI246</x:f>
        <x:v>2934.1683648000003</x:v>
      </x:c>
      <x:c r="AL246" s="226" t="n">
        <x:f>AK246*AJ246</x:f>
        <x:v>23238.613449216</x:v>
      </x:c>
      <x:c r="AM246" s="226" t="str">
        <x:v>EUR</x:v>
      </x:c>
      <x:c r="AN246" s="226" t="n">
        <x:v>0.4347</x:v>
      </x:c>
      <x:c r="AO246" s="226" t="n">
        <x:f>IF(AM246="EUR",AA246,IF(AM246="GBP",AB246,1))</x:f>
        <x:v>7.92</x:v>
      </x:c>
      <x:c r="AP246" s="226" t="n">
        <x:f>P246*AN246</x:f>
        <x:v>1096.58326176</x:v>
      </x:c>
      <x:c r="AQ246" s="226" t="n">
        <x:f>AP246*AO246</x:f>
        <x:v>8684.9394331392</x:v>
      </x:c>
      <x:c r="AR246" s="226" t="str">
        <x:v>EUR</x:v>
      </x:c>
      <x:c r="AS246" s="226" t="n">
        <x:v>3.312</x:v>
      </x:c>
      <x:c r="AT246" s="226" t="n">
        <x:f>IF(AR246="EUR",AA246,IF(AR246="GBP",AB246,1))</x:f>
        <x:v>7.92</x:v>
      </x:c>
      <x:c r="AU246" s="226" t="n">
        <x:f>T246*AS246</x:f>
        <x:v>397.85333760000003</x:v>
      </x:c>
      <x:c r="AV246" s="226" t="n">
        <x:f>AU246*AT246</x:f>
        <x:v>3150.998433792</x:v>
      </x:c>
      <x:c r="AW246" s="226" t="str">
        <x:v>EUR</x:v>
      </x:c>
      <x:c r="AX246" s="226" t="n">
        <x:v>2.3805</x:v>
      </x:c>
      <x:c r="AY246" s="226" t="n">
        <x:f>IF(AW246="EUR",AA246,IF(AW246="GBP",AB246,1))</x:f>
        <x:v>7.92</x:v>
      </x:c>
      <x:c r="AZ246" s="226" t="n">
        <x:f>V246*AX246</x:f>
        <x:v>78.0662845872</x:v>
      </x:c>
      <x:c r="BA246" s="226" t="n">
        <x:f>AZ246*AY246</x:f>
        <x:v>618.284973930624</x:v>
      </x:c>
      <x:c r="BB246" s="226" t="n">
        <x:f>AF246+AG246+AL246+AQ246+AV246+BA246</x:f>
        <x:v>84659.3519512055</x:v>
      </x:c>
      <x:c r="BC246" s="229" t="n">
        <x:v>0.976</x:v>
      </x:c>
      <x:c r="BD246" s="202"/>
      <x:c r="BE246" s="202" t="str">
        <x:v>正式 Forecast 逐月降低英国空运及 Carrier C 份额，但仍高于 Budget</x:v>
      </x:c>
      <x:c r="BF246" s="202" t="str">
        <x:v>沿用当前正式 Forecast</x:v>
      </x:c>
      <x:c r="BG246" s="202" t="str">
        <x:v>UNVERIFIED_UNLIMITED_FOR_MVP</x:v>
      </x:c>
    </x:row>
    <x:row r="247">
      <x:c r="A247" s="187" t="str">
        <x:v>SCENARIO_BASE_2026_08</x:v>
      </x:c>
      <x:c r="B247" s="187" t="str">
        <x:v>SCENARIO</x:v>
      </x:c>
      <x:c r="C247" s="187" t="str">
        <x:v>BASE</x:v>
      </x:c>
      <x:c r="D247" s="217" t="n">
        <x:v>46266</x:v>
      </x:c>
      <x:c r="E247" s="187" t="str">
        <x:v>R_DE_FR_B_ROAD</x:v>
      </x:c>
      <x:c r="F247" s="187" t="str">
        <x:v>DE</x:v>
      </x:c>
      <x:c r="G247" s="187" t="str">
        <x:v>FR_FC</x:v>
      </x:c>
      <x:c r="H247" s="187" t="str">
        <x:v>CARRIER_B</x:v>
      </x:c>
      <x:c r="I247" s="187" t="str">
        <x:v>ROAD</x:v>
      </x:c>
      <x:c r="J247" s="220" t="n">
        <x:v>17200</x:v>
      </x:c>
      <x:c r="K247" s="223" t="n">
        <x:v>0.36</x:v>
      </x:c>
      <x:c r="L247" s="223" t="n">
        <x:v>0.03</x:v>
      </x:c>
      <x:c r="M247" s="223" t="n">
        <x:v>1</x:v>
      </x:c>
      <x:c r="N247" s="226" t="n">
        <x:f>J247*K247*L247*M247</x:f>
        <x:v>185.76</x:v>
      </x:c>
      <x:c r="O247" s="220" t="n">
        <x:v>1.08</x:v>
      </x:c>
      <x:c r="P247" s="226" t="n">
        <x:f>N247*O247</x:f>
        <x:v>200.6208</x:v>
      </x:c>
      <x:c r="Q247" s="220" t="n">
        <x:v>0.86</x:v>
      </x:c>
      <x:c r="R247" s="226" t="n">
        <x:f>P247*Q247</x:f>
        <x:v>172.533888</x:v>
      </x:c>
      <x:c r="S247" s="220" t="n">
        <x:v>0.05</x:v>
      </x:c>
      <x:c r="T247" s="226" t="n">
        <x:f>N247*S247</x:f>
        <x:v>9.288</x:v>
      </x:c>
      <x:c r="U247" s="226" t="n">
        <x:v>0.014</x:v>
      </x:c>
      <x:c r="V247" s="226" t="n">
        <x:f>P247*U247</x:f>
        <x:v>2.8086912</x:v>
      </x:c>
      <x:c r="W247" s="196" t="str">
        <x:v>EUR</x:v>
      </x:c>
      <x:c r="X247" s="220" t="n">
        <x:v>3.4155</x:v>
      </x:c>
      <x:c r="Y247" s="196" t="str">
        <x:v>PER_CHARGEABLE_KG</x:v>
      </x:c>
      <x:c r="Z247" s="220" t="n">
        <x:v>0.2484</x:v>
      </x:c>
      <x:c r="AA247" s="220" t="n">
        <x:v>7.92</x:v>
      </x:c>
      <x:c r="AB247" s="220" t="n">
        <x:v>9.15</x:v>
      </x:c>
      <x:c r="AC247" s="226" t="n">
        <x:f>IF(W247="EUR",AA247,IF(W247="GBP",AB247,1))</x:f>
        <x:v>7.92</x:v>
      </x:c>
      <x:c r="AD247" s="226" t="n">
        <x:f>R247*X247</x:f>
        <x:v>589.289494464</x:v>
      </x:c>
      <x:c r="AE247" s="226" t="n">
        <x:f>IF(Y247="PERCENTAGE_OF_BASE_FREIGHT",AD247*Z247,IF(Y247="PER_CHARGEABLE_KG",R247*Z247,P247*Z247))</x:f>
        <x:v>42.8574177792</x:v>
      </x:c>
      <x:c r="AF247" s="226" t="n">
        <x:f>AD247*AC247</x:f>
        <x:v>4667.1727961548795</x:v>
      </x:c>
      <x:c r="AG247" s="226" t="n">
        <x:f>AE247*AC247</x:f>
        <x:v>339.430748811264</x:v>
      </x:c>
      <x:c r="AH247" s="226" t="str">
        <x:v>EUR</x:v>
      </x:c>
      <x:c r="AI247" s="226" t="n">
        <x:v>1.08675</x:v>
      </x:c>
      <x:c r="AJ247" s="226" t="n">
        <x:f>IF(AH247="EUR",AA247,IF(AH247="GBP",AB247,1))</x:f>
        <x:v>7.92</x:v>
      </x:c>
      <x:c r="AK247" s="226" t="n">
        <x:f>N247*AI247</x:f>
        <x:v>201.87468</x:v>
      </x:c>
      <x:c r="AL247" s="226" t="n">
        <x:f>AK247*AJ247</x:f>
        <x:v>1598.8474656</x:v>
      </x:c>
      <x:c r="AM247" s="226" t="str">
        <x:v>EUR</x:v>
      </x:c>
      <x:c r="AN247" s="226" t="n">
        <x:v>0.3933</x:v>
      </x:c>
      <x:c r="AO247" s="226" t="n">
        <x:f>IF(AM247="EUR",AA247,IF(AM247="GBP",AB247,1))</x:f>
        <x:v>7.92</x:v>
      </x:c>
      <x:c r="AP247" s="226" t="n">
        <x:f>P247*AN247</x:f>
        <x:v>78.90416064</x:v>
      </x:c>
      <x:c r="AQ247" s="226" t="n">
        <x:f>AP247*AO247</x:f>
        <x:v>624.9209522688</x:v>
      </x:c>
      <x:c r="AR247" s="226" t="str">
        <x:v>EUR</x:v>
      </x:c>
      <x:c r="AS247" s="226" t="n">
        <x:v>3.933</x:v>
      </x:c>
      <x:c r="AT247" s="226" t="n">
        <x:f>IF(AR247="EUR",AA247,IF(AR247="GBP",AB247,1))</x:f>
        <x:v>7.92</x:v>
      </x:c>
      <x:c r="AU247" s="226" t="n">
        <x:f>T247*AS247</x:f>
        <x:v>36.529704</x:v>
      </x:c>
      <x:c r="AV247" s="226" t="n">
        <x:f>AU247*AT247</x:f>
        <x:v>289.31525568</x:v>
      </x:c>
      <x:c r="AW247" s="226" t="str">
        <x:v>EUR</x:v>
      </x:c>
      <x:c r="AX247" s="226" t="n">
        <x:v>2.3805</x:v>
      </x:c>
      <x:c r="AY247" s="226" t="n">
        <x:f>IF(AW247="EUR",AA247,IF(AW247="GBP",AB247,1))</x:f>
        <x:v>7.92</x:v>
      </x:c>
      <x:c r="AZ247" s="226" t="n">
        <x:f>V247*AX247</x:f>
        <x:v>6.6860894016</x:v>
      </x:c>
      <x:c r="BA247" s="226" t="n">
        <x:f>AZ247*AY247</x:f>
        <x:v>52.953828060672</x:v>
      </x:c>
      <x:c r="BB247" s="226" t="n">
        <x:f>AF247+AG247+AL247+AQ247+AV247+BA247</x:f>
        <x:v>7572.641046575614</x:v>
      </x:c>
      <x:c r="BC247" s="229" t="n">
        <x:v>0.968</x:v>
      </x:c>
      <x:c r="BD247" s="202"/>
      <x:c r="BE247" s="202" t="str">
        <x:v>正式 Forecast 逐月降低英国空运及 Carrier C 份额，但仍高于 Budget</x:v>
      </x:c>
      <x:c r="BF247" s="202" t="str">
        <x:v>沿用当前正式 Forecast</x:v>
      </x:c>
      <x:c r="BG247" s="202" t="str">
        <x:v>UNVERIFIED_UNLIMITED_FOR_MVP</x:v>
      </x:c>
    </x:row>
    <x:row r="248">
      <x:c r="A248" s="187" t="str">
        <x:v>SCENARIO_BASE_2026_08</x:v>
      </x:c>
      <x:c r="B248" s="187" t="str">
        <x:v>SCENARIO</x:v>
      </x:c>
      <x:c r="C248" s="187" t="str">
        <x:v>BASE</x:v>
      </x:c>
      <x:c r="D248" s="217" t="n">
        <x:v>46266</x:v>
      </x:c>
      <x:c r="E248" s="187" t="str">
        <x:v>R_FR_FR_A_ROAD</x:v>
      </x:c>
      <x:c r="F248" s="187" t="str">
        <x:v>FR</x:v>
      </x:c>
      <x:c r="G248" s="187" t="str">
        <x:v>FR_FC</x:v>
      </x:c>
      <x:c r="H248" s="187" t="str">
        <x:v>CARRIER_A</x:v>
      </x:c>
      <x:c r="I248" s="187" t="str">
        <x:v>ROAD</x:v>
      </x:c>
      <x:c r="J248" s="220" t="n">
        <x:v>17200</x:v>
      </x:c>
      <x:c r="K248" s="223" t="n">
        <x:v>0.3</x:v>
      </x:c>
      <x:c r="L248" s="223" t="n">
        <x:v>1</x:v>
      </x:c>
      <x:c r="M248" s="223" t="n">
        <x:v>0.35</x:v>
      </x:c>
      <x:c r="N248" s="226" t="n">
        <x:f>J248*K248*L248*M248</x:f>
        <x:v>1805.9999999999998</x:v>
      </x:c>
      <x:c r="O248" s="220" t="n">
        <x:v>1.06</x:v>
      </x:c>
      <x:c r="P248" s="226" t="n">
        <x:f>N248*O248</x:f>
        <x:v>1914.36</x:v>
      </x:c>
      <x:c r="Q248" s="220" t="n">
        <x:v>0.76</x:v>
      </x:c>
      <x:c r="R248" s="226" t="n">
        <x:f>P248*Q248</x:f>
        <x:v>1454.9135999999999</x:v>
      </x:c>
      <x:c r="S248" s="220" t="n">
        <x:v>0.06</x:v>
      </x:c>
      <x:c r="T248" s="226" t="n">
        <x:f>N248*S248</x:f>
        <x:v>108.35999999999999</x:v>
      </x:c>
      <x:c r="U248" s="226" t="n">
        <x:v>0.017</x:v>
      </x:c>
      <x:c r="V248" s="226" t="n">
        <x:f>P248*U248</x:f>
        <x:v>32.54412</x:v>
      </x:c>
      <x:c r="W248" s="196" t="str">
        <x:v>EUR</x:v>
      </x:c>
      <x:c r="X248" s="220" t="n">
        <x:v>2.1735</x:v>
      </x:c>
      <x:c r="Y248" s="196" t="str">
        <x:v>PERCENTAGE_OF_BASE_FREIGHT</x:v>
      </x:c>
      <x:c r="Z248" s="220" t="n">
        <x:v>0.09315</x:v>
      </x:c>
      <x:c r="AA248" s="220" t="n">
        <x:v>7.92</x:v>
      </x:c>
      <x:c r="AB248" s="220" t="n">
        <x:v>9.15</x:v>
      </x:c>
      <x:c r="AC248" s="226" t="n">
        <x:f>IF(W248="EUR",AA248,IF(W248="GBP",AB248,1))</x:f>
        <x:v>7.92</x:v>
      </x:c>
      <x:c r="AD248" s="226" t="n">
        <x:f>R248*X248</x:f>
        <x:v>3162.2547096</x:v>
      </x:c>
      <x:c r="AE248" s="226" t="n">
        <x:f>IF(Y248="PERCENTAGE_OF_BASE_FREIGHT",AD248*Z248,IF(Y248="PER_CHARGEABLE_KG",R248*Z248,P248*Z248))</x:f>
        <x:v>294.56402619923995</x:v>
      </x:c>
      <x:c r="AF248" s="226" t="n">
        <x:f>AD248*AC248</x:f>
        <x:v>25045.057300032</x:v>
      </x:c>
      <x:c r="AG248" s="226" t="n">
        <x:f>AE248*AC248</x:f>
        <x:v>2332.94708749798</x:v>
      </x:c>
      <x:c r="AH248" s="226" t="str">
        <x:v>EUR</x:v>
      </x:c>
      <x:c r="AI248" s="226" t="n">
        <x:v>1.08675</x:v>
      </x:c>
      <x:c r="AJ248" s="226" t="n">
        <x:f>IF(AH248="EUR",AA248,IF(AH248="GBP",AB248,1))</x:f>
        <x:v>7.92</x:v>
      </x:c>
      <x:c r="AK248" s="226" t="n">
        <x:f>N248*AI248</x:f>
        <x:v>1962.6705</x:v>
      </x:c>
      <x:c r="AL248" s="226" t="n">
        <x:f>AK248*AJ248</x:f>
        <x:v>15544.350359999999</x:v>
      </x:c>
      <x:c r="AM248" s="226" t="str">
        <x:v>EUR</x:v>
      </x:c>
      <x:c r="AN248" s="226" t="n">
        <x:v>0.3933</x:v>
      </x:c>
      <x:c r="AO248" s="226" t="n">
        <x:f>IF(AM248="EUR",AA248,IF(AM248="GBP",AB248,1))</x:f>
        <x:v>7.92</x:v>
      </x:c>
      <x:c r="AP248" s="226" t="n">
        <x:f>P248*AN248</x:f>
        <x:v>752.917788</x:v>
      </x:c>
      <x:c r="AQ248" s="226" t="n">
        <x:f>AP248*AO248</x:f>
        <x:v>5963.10888096</x:v>
      </x:c>
      <x:c r="AR248" s="226" t="str">
        <x:v>EUR</x:v>
      </x:c>
      <x:c r="AS248" s="226" t="n">
        <x:v>3.105</x:v>
      </x:c>
      <x:c r="AT248" s="226" t="n">
        <x:f>IF(AR248="EUR",AA248,IF(AR248="GBP",AB248,1))</x:f>
        <x:v>7.92</x:v>
      </x:c>
      <x:c r="AU248" s="226" t="n">
        <x:f>T248*AS248</x:f>
        <x:v>336.45779999999996</x:v>
      </x:c>
      <x:c r="AV248" s="226" t="n">
        <x:f>AU248*AT248</x:f>
        <x:v>2664.7457759999998</x:v>
      </x:c>
      <x:c r="AW248" s="226" t="str">
        <x:v>EUR</x:v>
      </x:c>
      <x:c r="AX248" s="226" t="n">
        <x:v>2.3805</x:v>
      </x:c>
      <x:c r="AY248" s="226" t="n">
        <x:f>IF(AW248="EUR",AA248,IF(AW248="GBP",AB248,1))</x:f>
        <x:v>7.92</x:v>
      </x:c>
      <x:c r="AZ248" s="226" t="n">
        <x:f>V248*AX248</x:f>
        <x:v>77.47127766</x:v>
      </x:c>
      <x:c r="BA248" s="226" t="n">
        <x:f>AZ248*AY248</x:f>
        <x:v>613.5725190672</x:v>
      </x:c>
      <x:c r="BB248" s="226" t="n">
        <x:f>AF248+AG248+AL248+AQ248+AV248+BA248</x:f>
        <x:v>52163.78192355717</x:v>
      </x:c>
      <x:c r="BC248" s="229" t="n">
        <x:v>0.961</x:v>
      </x:c>
      <x:c r="BD248" s="202"/>
      <x:c r="BE248" s="202" t="str">
        <x:v>正式 Forecast 逐月降低英国空运及 Carrier C 份额，但仍高于 Budget</x:v>
      </x:c>
      <x:c r="BF248" s="202" t="str">
        <x:v>沿用当前正式 Forecast</x:v>
      </x:c>
      <x:c r="BG248" s="202" t="str">
        <x:v>UNVERIFIED_UNLIMITED_FOR_MVP</x:v>
      </x:c>
    </x:row>
    <x:row r="249">
      <x:c r="A249" s="187" t="str">
        <x:v>SCENARIO_BASE_2026_08</x:v>
      </x:c>
      <x:c r="B249" s="187" t="str">
        <x:v>SCENARIO</x:v>
      </x:c>
      <x:c r="C249" s="187" t="str">
        <x:v>BASE</x:v>
      </x:c>
      <x:c r="D249" s="217" t="n">
        <x:v>46266</x:v>
      </x:c>
      <x:c r="E249" s="187" t="str">
        <x:v>R_FR_FR_B_ROAD</x:v>
      </x:c>
      <x:c r="F249" s="187" t="str">
        <x:v>FR</x:v>
      </x:c>
      <x:c r="G249" s="187" t="str">
        <x:v>FR_FC</x:v>
      </x:c>
      <x:c r="H249" s="187" t="str">
        <x:v>CARRIER_B</x:v>
      </x:c>
      <x:c r="I249" s="187" t="str">
        <x:v>ROAD</x:v>
      </x:c>
      <x:c r="J249" s="220" t="n">
        <x:v>17200</x:v>
      </x:c>
      <x:c r="K249" s="223" t="n">
        <x:v>0.3</x:v>
      </x:c>
      <x:c r="L249" s="223" t="n">
        <x:v>1</x:v>
      </x:c>
      <x:c r="M249" s="223" t="n">
        <x:v>0.65</x:v>
      </x:c>
      <x:c r="N249" s="226" t="n">
        <x:f>J249*K249*L249*M249</x:f>
        <x:v>3354</x:v>
      </x:c>
      <x:c r="O249" s="220" t="n">
        <x:v>1.06</x:v>
      </x:c>
      <x:c r="P249" s="226" t="n">
        <x:f>N249*O249</x:f>
        <x:v>3555.2400000000002</x:v>
      </x:c>
      <x:c r="Q249" s="220" t="n">
        <x:v>0.79</x:v>
      </x:c>
      <x:c r="R249" s="226" t="n">
        <x:f>P249*Q249</x:f>
        <x:v>2808.6396000000004</x:v>
      </x:c>
      <x:c r="S249" s="220" t="n">
        <x:v>0.06</x:v>
      </x:c>
      <x:c r="T249" s="226" t="n">
        <x:f>N249*S249</x:f>
        <x:v>201.23999999999998</x:v>
      </x:c>
      <x:c r="U249" s="226" t="n">
        <x:v>0.014</x:v>
      </x:c>
      <x:c r="V249" s="226" t="n">
        <x:f>P249*U249</x:f>
        <x:v>49.773360000000004</x:v>
      </x:c>
      <x:c r="W249" s="196" t="str">
        <x:v>EUR</x:v>
      </x:c>
      <x:c r="X249" s="220" t="n">
        <x:v>2.691</x:v>
      </x:c>
      <x:c r="Y249" s="196" t="str">
        <x:v>PER_CHARGEABLE_KG</x:v>
      </x:c>
      <x:c r="Z249" s="220" t="n">
        <x:v>0.207</x:v>
      </x:c>
      <x:c r="AA249" s="220" t="n">
        <x:v>7.92</x:v>
      </x:c>
      <x:c r="AB249" s="220" t="n">
        <x:v>9.15</x:v>
      </x:c>
      <x:c r="AC249" s="226" t="n">
        <x:f>IF(W249="EUR",AA249,IF(W249="GBP",AB249,1))</x:f>
        <x:v>7.92</x:v>
      </x:c>
      <x:c r="AD249" s="226" t="n">
        <x:f>R249*X249</x:f>
        <x:v>7558.049163600001</x:v>
      </x:c>
      <x:c r="AE249" s="226" t="n">
        <x:f>IF(Y249="PERCENTAGE_OF_BASE_FREIGHT",AD249*Z249,IF(Y249="PER_CHARGEABLE_KG",R249*Z249,P249*Z249))</x:f>
        <x:v>581.3883972000001</x:v>
      </x:c>
      <x:c r="AF249" s="226" t="n">
        <x:f>AD249*AC249</x:f>
        <x:v>59859.749375712</x:v>
      </x:c>
      <x:c r="AG249" s="226" t="n">
        <x:f>AE249*AC249</x:f>
        <x:v>4604.596105824001</x:v>
      </x:c>
      <x:c r="AH249" s="226" t="str">
        <x:v>EUR</x:v>
      </x:c>
      <x:c r="AI249" s="226" t="n">
        <x:v>1.08675</x:v>
      </x:c>
      <x:c r="AJ249" s="226" t="n">
        <x:f>IF(AH249="EUR",AA249,IF(AH249="GBP",AB249,1))</x:f>
        <x:v>7.92</x:v>
      </x:c>
      <x:c r="AK249" s="226" t="n">
        <x:f>N249*AI249</x:f>
        <x:v>3644.9595000000004</x:v>
      </x:c>
      <x:c r="AL249" s="226" t="n">
        <x:f>AK249*AJ249</x:f>
        <x:v>28868.079240000003</x:v>
      </x:c>
      <x:c r="AM249" s="226" t="str">
        <x:v>EUR</x:v>
      </x:c>
      <x:c r="AN249" s="226" t="n">
        <x:v>0.3933</x:v>
      </x:c>
      <x:c r="AO249" s="226" t="n">
        <x:f>IF(AM249="EUR",AA249,IF(AM249="GBP",AB249,1))</x:f>
        <x:v>7.92</x:v>
      </x:c>
      <x:c r="AP249" s="226" t="n">
        <x:f>P249*AN249</x:f>
        <x:v>1398.275892</x:v>
      </x:c>
      <x:c r="AQ249" s="226" t="n">
        <x:f>AP249*AO249</x:f>
        <x:v>11074.345064640002</x:v>
      </x:c>
      <x:c r="AR249" s="226" t="str">
        <x:v>EUR</x:v>
      </x:c>
      <x:c r="AS249" s="226" t="n">
        <x:v>3.105</x:v>
      </x:c>
      <x:c r="AT249" s="226" t="n">
        <x:f>IF(AR249="EUR",AA249,IF(AR249="GBP",AB249,1))</x:f>
        <x:v>7.92</x:v>
      </x:c>
      <x:c r="AU249" s="226" t="n">
        <x:f>T249*AS249</x:f>
        <x:v>624.8502</x:v>
      </x:c>
      <x:c r="AV249" s="226" t="n">
        <x:f>AU249*AT249</x:f>
        <x:v>4948.8135839999995</x:v>
      </x:c>
      <x:c r="AW249" s="226" t="str">
        <x:v>EUR</x:v>
      </x:c>
      <x:c r="AX249" s="226" t="n">
        <x:v>2.3805</x:v>
      </x:c>
      <x:c r="AY249" s="226" t="n">
        <x:f>IF(AW249="EUR",AA249,IF(AW249="GBP",AB249,1))</x:f>
        <x:v>7.92</x:v>
      </x:c>
      <x:c r="AZ249" s="226" t="n">
        <x:f>V249*AX249</x:f>
        <x:v>118.48548348000001</x:v>
      </x:c>
      <x:c r="BA249" s="226" t="n">
        <x:f>AZ249*AY249</x:f>
        <x:v>938.4050291616</x:v>
      </x:c>
      <x:c r="BB249" s="226" t="n">
        <x:f>AF249+AG249+AL249+AQ249+AV249+BA249</x:f>
        <x:v>110293.98839933761</x:v>
      </x:c>
      <x:c r="BC249" s="229" t="n">
        <x:v>0.973</x:v>
      </x:c>
      <x:c r="BD249" s="202"/>
      <x:c r="BE249" s="202" t="str">
        <x:v>正式 Forecast 逐月降低英国空运及 Carrier C 份额，但仍高于 Budget</x:v>
      </x:c>
      <x:c r="BF249" s="202" t="str">
        <x:v>沿用当前正式 Forecast</x:v>
      </x:c>
      <x:c r="BG249" s="202" t="str">
        <x:v>UNVERIFIED_UNLIMITED_FOR_MVP</x:v>
      </x:c>
    </x:row>
    <x:row r="250">
      <x:c r="A250" s="187" t="str">
        <x:v>SCENARIO_BASE_2026_08</x:v>
      </x:c>
      <x:c r="B250" s="187" t="str">
        <x:v>SCENARIO</x:v>
      </x:c>
      <x:c r="C250" s="187" t="str">
        <x:v>BASE</x:v>
      </x:c>
      <x:c r="D250" s="217" t="n">
        <x:v>46266</x:v>
      </x:c>
      <x:c r="E250" s="187" t="str">
        <x:v>R_GB_DE_A_ROAD</x:v>
      </x:c>
      <x:c r="F250" s="187" t="str">
        <x:v>GB</x:v>
      </x:c>
      <x:c r="G250" s="187" t="str">
        <x:v>DE_FC</x:v>
      </x:c>
      <x:c r="H250" s="187" t="str">
        <x:v>CARRIER_A</x:v>
      </x:c>
      <x:c r="I250" s="187" t="str">
        <x:v>ROAD</x:v>
      </x:c>
      <x:c r="J250" s="220" t="n">
        <x:v>17200</x:v>
      </x:c>
      <x:c r="K250" s="223" t="n">
        <x:v>0.34</x:v>
      </x:c>
      <x:c r="L250" s="223" t="n">
        <x:v>0.96</x:v>
      </x:c>
      <x:c r="M250" s="223" t="n">
        <x:v>0.3</x:v>
      </x:c>
      <x:c r="N250" s="226" t="n">
        <x:f>J250*K250*L250*M250</x:f>
        <x:v>1684.224</x:v>
      </x:c>
      <x:c r="O250" s="220" t="n">
        <x:v>1.19</x:v>
      </x:c>
      <x:c r="P250" s="226" t="n">
        <x:f>N250*O250</x:f>
        <x:v>2004.2265599999998</x:v>
      </x:c>
      <x:c r="Q250" s="220" t="n">
        <x:v>1.0404</x:v>
      </x:c>
      <x:c r="R250" s="226" t="n">
        <x:f>P250*Q250</x:f>
        <x:v>2085.197313024</x:v>
      </x:c>
      <x:c r="S250" s="220" t="n">
        <x:v>0.095</x:v>
      </x:c>
      <x:c r="T250" s="226" t="n">
        <x:f>N250*S250</x:f>
        <x:v>160.00128</x:v>
      </x:c>
      <x:c r="U250" s="226" t="n">
        <x:v>0.027</x:v>
      </x:c>
      <x:c r="V250" s="226" t="n">
        <x:f>P250*U250</x:f>
        <x:v>54.114117119999996</x:v>
      </x:c>
      <x:c r="W250" s="196" t="str">
        <x:v>GBP</x:v>
      </x:c>
      <x:c r="X250" s="220" t="n">
        <x:v>4.14</x:v>
      </x:c>
      <x:c r="Y250" s="196" t="str">
        <x:v>PERCENTAGE_OF_BASE_FREIGHT</x:v>
      </x:c>
      <x:c r="Z250" s="220" t="n">
        <x:v>0.1035</x:v>
      </x:c>
      <x:c r="AA250" s="220" t="n">
        <x:v>7.92</x:v>
      </x:c>
      <x:c r="AB250" s="220" t="n">
        <x:v>9.15</x:v>
      </x:c>
      <x:c r="AC250" s="226" t="n">
        <x:f>IF(W250="EUR",AA250,IF(W250="GBP",AB250,1))</x:f>
        <x:v>9.15</x:v>
      </x:c>
      <x:c r="AD250" s="226" t="n">
        <x:f>R250*X250</x:f>
        <x:v>8632.71687591936</x:v>
      </x:c>
      <x:c r="AE250" s="226" t="n">
        <x:f>IF(Y250="PERCENTAGE_OF_BASE_FREIGHT",AD250*Z250,IF(Y250="PER_CHARGEABLE_KG",R250*Z250,P250*Z250))</x:f>
        <x:v>893.4861966576536</x:v>
      </x:c>
      <x:c r="AF250" s="226" t="n">
        <x:f>AD250*AC250</x:f>
        <x:v>78989.35941466213</x:v>
      </x:c>
      <x:c r="AG250" s="226" t="n">
        <x:f>AE250*AC250</x:f>
        <x:v>8175.398699417531</x:v>
      </x:c>
      <x:c r="AH250" s="226" t="str">
        <x:v>EUR</x:v>
      </x:c>
      <x:c r="AI250" s="226" t="n">
        <x:v>1.2213</x:v>
      </x:c>
      <x:c r="AJ250" s="226" t="n">
        <x:f>IF(AH250="EUR",AA250,IF(AH250="GBP",AB250,1))</x:f>
        <x:v>7.92</x:v>
      </x:c>
      <x:c r="AK250" s="226" t="n">
        <x:f>N250*AI250</x:f>
        <x:v>2056.9427712</x:v>
      </x:c>
      <x:c r="AL250" s="226" t="n">
        <x:f>AK250*AJ250</x:f>
        <x:v>16290.986747904</x:v>
      </x:c>
      <x:c r="AM250" s="226" t="str">
        <x:v>EUR</x:v>
      </x:c>
      <x:c r="AN250" s="226" t="n">
        <x:v>0.4347</x:v>
      </x:c>
      <x:c r="AO250" s="226" t="n">
        <x:f>IF(AM250="EUR",AA250,IF(AM250="GBP",AB250,1))</x:f>
        <x:v>7.92</x:v>
      </x:c>
      <x:c r="AP250" s="226" t="n">
        <x:f>P250*AN250</x:f>
        <x:v>871.2372856319998</x:v>
      </x:c>
      <x:c r="AQ250" s="226" t="n">
        <x:f>AP250*AO250</x:f>
        <x:v>6900.1993022054385</x:v>
      </x:c>
      <x:c r="AR250" s="226" t="str">
        <x:v>GBP</x:v>
      </x:c>
      <x:c r="AS250" s="226" t="n">
        <x:v>4.968</x:v>
      </x:c>
      <x:c r="AT250" s="226" t="n">
        <x:f>IF(AR250="EUR",AA250,IF(AR250="GBP",AB250,1))</x:f>
        <x:v>9.15</x:v>
      </x:c>
      <x:c r="AU250" s="226" t="n">
        <x:f>T250*AS250</x:f>
        <x:v>794.88635904</x:v>
      </x:c>
      <x:c r="AV250" s="226" t="n">
        <x:f>AU250*AT250</x:f>
        <x:v>7273.210185216</x:v>
      </x:c>
      <x:c r="AW250" s="226" t="str">
        <x:v>GBP</x:v>
      </x:c>
      <x:c r="AX250" s="226" t="n">
        <x:v>2.3805</x:v>
      </x:c>
      <x:c r="AY250" s="226" t="n">
        <x:f>IF(AW250="EUR",AA250,IF(AW250="GBP",AB250,1))</x:f>
        <x:v>9.15</x:v>
      </x:c>
      <x:c r="AZ250" s="226" t="n">
        <x:f>V250*AX250</x:f>
        <x:v>128.81865580416</x:v>
      </x:c>
      <x:c r="BA250" s="226" t="n">
        <x:f>AZ250*AY250</x:f>
        <x:v>1178.690700608064</x:v>
      </x:c>
      <x:c r="BB250" s="226" t="n">
        <x:f>AF250+AG250+AL250+AQ250+AV250+BA250</x:f>
        <x:v>118807.84505001316</x:v>
      </x:c>
      <x:c r="BC250" s="229" t="n">
        <x:v>0.93</x:v>
      </x:c>
      <x:c r="BD250" s="202"/>
      <x:c r="BE250" s="202" t="str">
        <x:v>正式 Forecast 逐月降低英国空运及 Carrier C 份额，但仍高于 Budget</x:v>
      </x:c>
      <x:c r="BF250" s="202" t="str">
        <x:v>沿用当前正式 Forecast</x:v>
      </x:c>
      <x:c r="BG250" s="202" t="str">
        <x:v>UNVERIFIED_UNLIMITED_FOR_MVP</x:v>
      </x:c>
    </x:row>
    <x:row r="251">
      <x:c r="A251" s="187" t="str">
        <x:v>SCENARIO_BASE_2026_08</x:v>
      </x:c>
      <x:c r="B251" s="187" t="str">
        <x:v>SCENARIO</x:v>
      </x:c>
      <x:c r="C251" s="187" t="str">
        <x:v>BASE</x:v>
      </x:c>
      <x:c r="D251" s="217" t="n">
        <x:v>46266</x:v>
      </x:c>
      <x:c r="E251" s="187" t="str">
        <x:v>R_GB_DE_B_ROAD</x:v>
      </x:c>
      <x:c r="F251" s="187" t="str">
        <x:v>GB</x:v>
      </x:c>
      <x:c r="G251" s="187" t="str">
        <x:v>DE_FC</x:v>
      </x:c>
      <x:c r="H251" s="187" t="str">
        <x:v>CARRIER_B</x:v>
      </x:c>
      <x:c r="I251" s="187" t="str">
        <x:v>ROAD</x:v>
      </x:c>
      <x:c r="J251" s="220" t="n">
        <x:v>17200</x:v>
      </x:c>
      <x:c r="K251" s="223" t="n">
        <x:v>0.34</x:v>
      </x:c>
      <x:c r="L251" s="223" t="n">
        <x:v>0.96</x:v>
      </x:c>
      <x:c r="M251" s="223" t="n">
        <x:v>0.17</x:v>
      </x:c>
      <x:c r="N251" s="226" t="n">
        <x:f>J251*K251*L251*M251</x:f>
        <x:v>954.3936000000001</x:v>
      </x:c>
      <x:c r="O251" s="220" t="n">
        <x:v>1.19</x:v>
      </x:c>
      <x:c r="P251" s="226" t="n">
        <x:f>N251*O251</x:f>
        <x:v>1135.728384</x:v>
      </x:c>
      <x:c r="Q251" s="220" t="n">
        <x:v>1.02</x:v>
      </x:c>
      <x:c r="R251" s="226" t="n">
        <x:f>P251*Q251</x:f>
        <x:v>1158.44295168</x:v>
      </x:c>
      <x:c r="S251" s="220" t="n">
        <x:v>0.095</x:v>
      </x:c>
      <x:c r="T251" s="226" t="n">
        <x:f>N251*S251</x:f>
        <x:v>90.667392</x:v>
      </x:c>
      <x:c r="U251" s="226" t="n">
        <x:v>0.02</x:v>
      </x:c>
      <x:c r="V251" s="226" t="n">
        <x:f>P251*U251</x:f>
        <x:v>22.714567680000002</x:v>
      </x:c>
      <x:c r="W251" s="196" t="str">
        <x:v>GBP</x:v>
      </x:c>
      <x:c r="X251" s="220" t="n">
        <x:v>4.8645</x:v>
      </x:c>
      <x:c r="Y251" s="196" t="str">
        <x:v>PER_CHARGEABLE_KG</x:v>
      </x:c>
      <x:c r="Z251" s="220" t="n">
        <x:v>0.34155</x:v>
      </x:c>
      <x:c r="AA251" s="220" t="n">
        <x:v>7.92</x:v>
      </x:c>
      <x:c r="AB251" s="220" t="n">
        <x:v>9.15</x:v>
      </x:c>
      <x:c r="AC251" s="226" t="n">
        <x:f>IF(W251="EUR",AA251,IF(W251="GBP",AB251,1))</x:f>
        <x:v>9.15</x:v>
      </x:c>
      <x:c r="AD251" s="226" t="n">
        <x:f>R251*X251</x:f>
        <x:v>5635.24573844736</x:v>
      </x:c>
      <x:c r="AE251" s="226" t="n">
        <x:f>IF(Y251="PERCENTAGE_OF_BASE_FREIGHT",AD251*Z251,IF(Y251="PER_CHARGEABLE_KG",R251*Z251,P251*Z251))</x:f>
        <x:v>395.6661901463041</x:v>
      </x:c>
      <x:c r="AF251" s="226" t="n">
        <x:f>AD251*AC251</x:f>
        <x:v>51562.498506793345</x:v>
      </x:c>
      <x:c r="AG251" s="226" t="n">
        <x:f>AE251*AC251</x:f>
        <x:v>3620.3456398386825</x:v>
      </x:c>
      <x:c r="AH251" s="226" t="str">
        <x:v>EUR</x:v>
      </x:c>
      <x:c r="AI251" s="226" t="n">
        <x:v>1.2213</x:v>
      </x:c>
      <x:c r="AJ251" s="226" t="n">
        <x:f>IF(AH251="EUR",AA251,IF(AH251="GBP",AB251,1))</x:f>
        <x:v>7.92</x:v>
      </x:c>
      <x:c r="AK251" s="226" t="n">
        <x:f>N251*AI251</x:f>
        <x:v>1165.60090368</x:v>
      </x:c>
      <x:c r="AL251" s="226" t="n">
        <x:f>AK251*AJ251</x:f>
        <x:v>9231.5591571456</x:v>
      </x:c>
      <x:c r="AM251" s="226" t="str">
        <x:v>EUR</x:v>
      </x:c>
      <x:c r="AN251" s="226" t="n">
        <x:v>0.4347</x:v>
      </x:c>
      <x:c r="AO251" s="226" t="n">
        <x:f>IF(AM251="EUR",AA251,IF(AM251="GBP",AB251,1))</x:f>
        <x:v>7.92</x:v>
      </x:c>
      <x:c r="AP251" s="226" t="n">
        <x:f>P251*AN251</x:f>
        <x:v>493.70112852479997</x:v>
      </x:c>
      <x:c r="AQ251" s="226" t="n">
        <x:f>AP251*AO251</x:f>
        <x:v>3910.112937916416</x:v>
      </x:c>
      <x:c r="AR251" s="226" t="str">
        <x:v>GBP</x:v>
      </x:c>
      <x:c r="AS251" s="226" t="n">
        <x:v>4.968</x:v>
      </x:c>
      <x:c r="AT251" s="226" t="n">
        <x:f>IF(AR251="EUR",AA251,IF(AR251="GBP",AB251,1))</x:f>
        <x:v>9.15</x:v>
      </x:c>
      <x:c r="AU251" s="226" t="n">
        <x:f>T251*AS251</x:f>
        <x:v>450.435603456</x:v>
      </x:c>
      <x:c r="AV251" s="226" t="n">
        <x:f>AU251*AT251</x:f>
        <x:v>4121.4857716224005</x:v>
      </x:c>
      <x:c r="AW251" s="226" t="str">
        <x:v>GBP</x:v>
      </x:c>
      <x:c r="AX251" s="226" t="n">
        <x:v>2.3805</x:v>
      </x:c>
      <x:c r="AY251" s="226" t="n">
        <x:f>IF(AW251="EUR",AA251,IF(AW251="GBP",AB251,1))</x:f>
        <x:v>9.15</x:v>
      </x:c>
      <x:c r="AZ251" s="226" t="n">
        <x:f>V251*AX251</x:f>
        <x:v>54.072028362240005</x:v>
      </x:c>
      <x:c r="BA251" s="226" t="n">
        <x:f>AZ251*AY251</x:f>
        <x:v>494.7590595144961</x:v>
      </x:c>
      <x:c r="BB251" s="226" t="n">
        <x:f>AF251+AG251+AL251+AQ251+AV251+BA251</x:f>
        <x:v>72940.76107283095</x:v>
      </x:c>
      <x:c r="BC251" s="229" t="n">
        <x:v>0.95</x:v>
      </x:c>
      <x:c r="BD251" s="202"/>
      <x:c r="BE251" s="202" t="str">
        <x:v>正式 Forecast 逐月降低英国空运及 Carrier C 份额，但仍高于 Budget</x:v>
      </x:c>
      <x:c r="BF251" s="202" t="str">
        <x:v>沿用当前正式 Forecast</x:v>
      </x:c>
      <x:c r="BG251" s="202" t="str">
        <x:v>UNVERIFIED_UNLIMITED_FOR_MVP</x:v>
      </x:c>
    </x:row>
    <x:row r="252">
      <x:c r="A252" s="187" t="str">
        <x:v>SCENARIO_BASE_2026_08</x:v>
      </x:c>
      <x:c r="B252" s="187" t="str">
        <x:v>SCENARIO</x:v>
      </x:c>
      <x:c r="C252" s="187" t="str">
        <x:v>BASE</x:v>
      </x:c>
      <x:c r="D252" s="217" t="n">
        <x:v>46266</x:v>
      </x:c>
      <x:c r="E252" s="187" t="str">
        <x:v>R_GB_DE_B_AIR</x:v>
      </x:c>
      <x:c r="F252" s="187" t="str">
        <x:v>GB</x:v>
      </x:c>
      <x:c r="G252" s="187" t="str">
        <x:v>DE_FC</x:v>
      </x:c>
      <x:c r="H252" s="187" t="str">
        <x:v>CARRIER_B</x:v>
      </x:c>
      <x:c r="I252" s="187" t="str">
        <x:v>AIR</x:v>
      </x:c>
      <x:c r="J252" s="220" t="n">
        <x:v>17200</x:v>
      </x:c>
      <x:c r="K252" s="223" t="n">
        <x:v>0.34</x:v>
      </x:c>
      <x:c r="L252" s="223" t="n">
        <x:v>0.96</x:v>
      </x:c>
      <x:c r="M252" s="223" t="n">
        <x:v>0.25</x:v>
      </x:c>
      <x:c r="N252" s="226" t="n">
        <x:f>J252*K252*L252*M252</x:f>
        <x:v>1403.52</x:v>
      </x:c>
      <x:c r="O252" s="220" t="n">
        <x:v>1.19</x:v>
      </x:c>
      <x:c r="P252" s="226" t="n">
        <x:f>N252*O252</x:f>
        <x:v>1670.1888</x:v>
      </x:c>
      <x:c r="Q252" s="220" t="n">
        <x:v>0.9588</x:v>
      </x:c>
      <x:c r="R252" s="226" t="n">
        <x:f>P252*Q252</x:f>
        <x:v>1601.37702144</x:v>
      </x:c>
      <x:c r="S252" s="220" t="n">
        <x:v>0.095</x:v>
      </x:c>
      <x:c r="T252" s="226" t="n">
        <x:f>N252*S252</x:f>
        <x:v>133.3344</x:v>
      </x:c>
      <x:c r="U252" s="226" t="n">
        <x:v>0.016</x:v>
      </x:c>
      <x:c r="V252" s="226" t="n">
        <x:f>P252*U252</x:f>
        <x:v>26.7230208</x:v>
      </x:c>
      <x:c r="W252" s="196" t="str">
        <x:v>GBP</x:v>
      </x:c>
      <x:c r="X252" s="220" t="n">
        <x:v>6.67368</x:v>
      </x:c>
      <x:c r="Y252" s="196" t="str">
        <x:v>PERCENTAGE_OF_BASE_FREIGHT</x:v>
      </x:c>
      <x:c r="Z252" s="220" t="n">
        <x:v>0.123786</x:v>
      </x:c>
      <x:c r="AA252" s="220" t="n">
        <x:v>7.92</x:v>
      </x:c>
      <x:c r="AB252" s="220" t="n">
        <x:v>9.15</x:v>
      </x:c>
      <x:c r="AC252" s="226" t="n">
        <x:f>IF(W252="EUR",AA252,IF(W252="GBP",AB252,1))</x:f>
        <x:v>9.15</x:v>
      </x:c>
      <x:c r="AD252" s="226" t="n">
        <x:f>R252*X252</x:f>
        <x:v>10687.077800443698</x:v>
      </x:c>
      <x:c r="AE252" s="226" t="n">
        <x:f>IF(Y252="PERCENTAGE_OF_BASE_FREIGHT",AD252*Z252,IF(Y252="PER_CHARGEABLE_KG",R252*Z252,P252*Z252))</x:f>
        <x:v>1322.9106126057236</x:v>
      </x:c>
      <x:c r="AF252" s="226" t="n">
        <x:f>AD252*AC252</x:f>
        <x:v>97786.76187405984</x:v>
      </x:c>
      <x:c r="AG252" s="226" t="n">
        <x:f>AE252*AC252</x:f>
        <x:v>12104.63210534237</x:v>
      </x:c>
      <x:c r="AH252" s="226" t="str">
        <x:v>EUR</x:v>
      </x:c>
      <x:c r="AI252" s="226" t="n">
        <x:v>1.2213</x:v>
      </x:c>
      <x:c r="AJ252" s="226" t="n">
        <x:f>IF(AH252="EUR",AA252,IF(AH252="GBP",AB252,1))</x:f>
        <x:v>7.92</x:v>
      </x:c>
      <x:c r="AK252" s="226" t="n">
        <x:f>N252*AI252</x:f>
        <x:v>1714.118976</x:v>
      </x:c>
      <x:c r="AL252" s="226" t="n">
        <x:f>AK252*AJ252</x:f>
        <x:v>13575.82228992</x:v>
      </x:c>
      <x:c r="AM252" s="226" t="str">
        <x:v>EUR</x:v>
      </x:c>
      <x:c r="AN252" s="226" t="n">
        <x:v>0.4347</x:v>
      </x:c>
      <x:c r="AO252" s="226" t="n">
        <x:f>IF(AM252="EUR",AA252,IF(AM252="GBP",AB252,1))</x:f>
        <x:v>7.92</x:v>
      </x:c>
      <x:c r="AP252" s="226" t="n">
        <x:f>P252*AN252</x:f>
        <x:v>726.0310713599999</x:v>
      </x:c>
      <x:c r="AQ252" s="226" t="n">
        <x:f>AP252*AO252</x:f>
        <x:v>5750.1660851711995</x:v>
      </x:c>
      <x:c r="AR252" s="226" t="str">
        <x:v>GBP</x:v>
      </x:c>
      <x:c r="AS252" s="226" t="n">
        <x:v>4.968</x:v>
      </x:c>
      <x:c r="AT252" s="226" t="n">
        <x:f>IF(AR252="EUR",AA252,IF(AR252="GBP",AB252,1))</x:f>
        <x:v>9.15</x:v>
      </x:c>
      <x:c r="AU252" s="226" t="n">
        <x:f>T252*AS252</x:f>
        <x:v>662.4052992</x:v>
      </x:c>
      <x:c r="AV252" s="226" t="n">
        <x:f>AU252*AT252</x:f>
        <x:v>6061.00848768</x:v>
      </x:c>
      <x:c r="AW252" s="226" t="str">
        <x:v>GBP</x:v>
      </x:c>
      <x:c r="AX252" s="226" t="n">
        <x:v>2.898</x:v>
      </x:c>
      <x:c r="AY252" s="226" t="n">
        <x:f>IF(AW252="EUR",AA252,IF(AW252="GBP",AB252,1))</x:f>
        <x:v>9.15</x:v>
      </x:c>
      <x:c r="AZ252" s="226" t="n">
        <x:f>V252*AX252</x:f>
        <x:v>77.44331427840001</x:v>
      </x:c>
      <x:c r="BA252" s="226" t="n">
        <x:f>AZ252*AY252</x:f>
        <x:v>708.6063256473601</x:v>
      </x:c>
      <x:c r="BB252" s="226" t="n">
        <x:f>AF252+AG252+AL252+AQ252+AV252+BA252</x:f>
        <x:v>135986.99716782078</x:v>
      </x:c>
      <x:c r="BC252" s="229" t="n">
        <x:v>0.974</x:v>
      </x:c>
      <x:c r="BD252" s="202"/>
      <x:c r="BE252" s="202" t="str">
        <x:v>正式 Forecast 逐月降低英国空运及 Carrier C 份额，但仍高于 Budget</x:v>
      </x:c>
      <x:c r="BF252" s="202" t="str">
        <x:v>沿用当前正式 Forecast</x:v>
      </x:c>
      <x:c r="BG252" s="202" t="str">
        <x:v>UNVERIFIED_UNLIMITED_FOR_MVP</x:v>
      </x:c>
    </x:row>
    <x:row r="253">
      <x:c r="A253" s="187" t="str">
        <x:v>SCENARIO_BASE_2026_08</x:v>
      </x:c>
      <x:c r="B253" s="187" t="str">
        <x:v>SCENARIO</x:v>
      </x:c>
      <x:c r="C253" s="187" t="str">
        <x:v>BASE</x:v>
      </x:c>
      <x:c r="D253" s="217" t="n">
        <x:v>46266</x:v>
      </x:c>
      <x:c r="E253" s="187" t="str">
        <x:v>R_GB_DE_C_AIR</x:v>
      </x:c>
      <x:c r="F253" s="187" t="str">
        <x:v>GB</x:v>
      </x:c>
      <x:c r="G253" s="187" t="str">
        <x:v>DE_FC</x:v>
      </x:c>
      <x:c r="H253" s="187" t="str">
        <x:v>CARRIER_C</x:v>
      </x:c>
      <x:c r="I253" s="187" t="str">
        <x:v>AIR</x:v>
      </x:c>
      <x:c r="J253" s="220" t="n">
        <x:v>17200</x:v>
      </x:c>
      <x:c r="K253" s="223" t="n">
        <x:v>0.34</x:v>
      </x:c>
      <x:c r="L253" s="223" t="n">
        <x:v>0.96</x:v>
      </x:c>
      <x:c r="M253" s="223" t="n">
        <x:v>0.28</x:v>
      </x:c>
      <x:c r="N253" s="226" t="n">
        <x:f>J253*K253*L253*M253</x:f>
        <x:v>1571.9424000000001</x:v>
      </x:c>
      <x:c r="O253" s="220" t="n">
        <x:v>1.19</x:v>
      </x:c>
      <x:c r="P253" s="226" t="n">
        <x:f>N253*O253</x:f>
        <x:v>1870.611456</x:v>
      </x:c>
      <x:c r="Q253" s="220" t="n">
        <x:v>0.9384</x:v>
      </x:c>
      <x:c r="R253" s="226" t="n">
        <x:f>P253*Q253</x:f>
        <x:v>1755.3817903104</x:v>
      </x:c>
      <x:c r="S253" s="220" t="n">
        <x:v>0.095</x:v>
      </x:c>
      <x:c r="T253" s="226" t="n">
        <x:f>N253*S253</x:f>
        <x:v>149.334528</x:v>
      </x:c>
      <x:c r="U253" s="226" t="n">
        <x:v>0.011</x:v>
      </x:c>
      <x:c r="V253" s="226" t="n">
        <x:f>P253*U253</x:f>
        <x:v>20.576726016</x:v>
      </x:c>
      <x:c r="W253" s="196" t="str">
        <x:v>GBP</x:v>
      </x:c>
      <x:c r="X253" s="220" t="n">
        <x:v>8.22825</x:v>
      </x:c>
      <x:c r="Y253" s="196" t="str">
        <x:v>PER_CHARGEABLE_KG</x:v>
      </x:c>
      <x:c r="Z253" s="220" t="n">
        <x:v>0.636318</x:v>
      </x:c>
      <x:c r="AA253" s="220" t="n">
        <x:v>7.92</x:v>
      </x:c>
      <x:c r="AB253" s="220" t="n">
        <x:v>9.15</x:v>
      </x:c>
      <x:c r="AC253" s="226" t="n">
        <x:f>IF(W253="EUR",AA253,IF(W253="GBP",AB253,1))</x:f>
        <x:v>9.15</x:v>
      </x:c>
      <x:c r="AD253" s="226" t="n">
        <x:f>R253*X253</x:f>
        <x:v>14443.720216121546</x:v>
      </x:c>
      <x:c r="AE253" s="226" t="n">
        <x:f>IF(Y253="PERCENTAGE_OF_BASE_FREIGHT",AD253*Z253,IF(Y253="PER_CHARGEABLE_KG",R253*Z253,P253*Z253))</x:f>
        <x:v>1116.9810300467332</x:v>
      </x:c>
      <x:c r="AF253" s="226" t="n">
        <x:f>AD253*AC253</x:f>
        <x:v>132160.03997751215</x:v>
      </x:c>
      <x:c r="AG253" s="226" t="n">
        <x:f>AE253*AC253</x:f>
        <x:v>10220.376424927608</x:v>
      </x:c>
      <x:c r="AH253" s="226" t="str">
        <x:v>EUR</x:v>
      </x:c>
      <x:c r="AI253" s="226" t="n">
        <x:v>1.2213</x:v>
      </x:c>
      <x:c r="AJ253" s="226" t="n">
        <x:f>IF(AH253="EUR",AA253,IF(AH253="GBP",AB253,1))</x:f>
        <x:v>7.92</x:v>
      </x:c>
      <x:c r="AK253" s="226" t="n">
        <x:f>N253*AI253</x:f>
        <x:v>1919.8132531200004</x:v>
      </x:c>
      <x:c r="AL253" s="226" t="n">
        <x:f>AK253*AJ253</x:f>
        <x:v>15204.920964710403</x:v>
      </x:c>
      <x:c r="AM253" s="226" t="str">
        <x:v>EUR</x:v>
      </x:c>
      <x:c r="AN253" s="226" t="n">
        <x:v>0.4347</x:v>
      </x:c>
      <x:c r="AO253" s="226" t="n">
        <x:f>IF(AM253="EUR",AA253,IF(AM253="GBP",AB253,1))</x:f>
        <x:v>7.92</x:v>
      </x:c>
      <x:c r="AP253" s="226" t="n">
        <x:f>P253*AN253</x:f>
        <x:v>813.1547999232</x:v>
      </x:c>
      <x:c r="AQ253" s="226" t="n">
        <x:f>AP253*AO253</x:f>
        <x:v>6440.186015391744</x:v>
      </x:c>
      <x:c r="AR253" s="226" t="str">
        <x:v>GBP</x:v>
      </x:c>
      <x:c r="AS253" s="226" t="n">
        <x:v>4.968</x:v>
      </x:c>
      <x:c r="AT253" s="226" t="n">
        <x:f>IF(AR253="EUR",AA253,IF(AR253="GBP",AB253,1))</x:f>
        <x:v>9.15</x:v>
      </x:c>
      <x:c r="AU253" s="226" t="n">
        <x:f>T253*AS253</x:f>
        <x:v>741.893935104</x:v>
      </x:c>
      <x:c r="AV253" s="226" t="n">
        <x:f>AU253*AT253</x:f>
        <x:v>6788.3295062016</x:v>
      </x:c>
      <x:c r="AW253" s="226" t="str">
        <x:v>GBP</x:v>
      </x:c>
      <x:c r="AX253" s="226" t="n">
        <x:v>3.726</x:v>
      </x:c>
      <x:c r="AY253" s="226" t="n">
        <x:f>IF(AW253="EUR",AA253,IF(AW253="GBP",AB253,1))</x:f>
        <x:v>9.15</x:v>
      </x:c>
      <x:c r="AZ253" s="226" t="n">
        <x:f>V253*AX253</x:f>
        <x:v>76.66888113561599</x:v>
      </x:c>
      <x:c r="BA253" s="226" t="n">
        <x:f>AZ253*AY253</x:f>
        <x:v>701.5202623908864</x:v>
      </x:c>
      <x:c r="BB253" s="226" t="n">
        <x:f>AF253+AG253+AL253+AQ253+AV253+BA253</x:f>
        <x:v>171515.37315113444</x:v>
      </x:c>
      <x:c r="BC253" s="229" t="n">
        <x:v>0.988</x:v>
      </x:c>
      <x:c r="BD253" s="202"/>
      <x:c r="BE253" s="202" t="str">
        <x:v>正式 Forecast 逐月降低英国空运及 Carrier C 份额，但仍高于 Budget</x:v>
      </x:c>
      <x:c r="BF253" s="202" t="str">
        <x:v>沿用当前正式 Forecast</x:v>
      </x:c>
      <x:c r="BG253" s="202" t="str">
        <x:v>UNVERIFIED_UNLIMITED_FOR_MVP</x:v>
      </x:c>
    </x:row>
    <x:row r="254">
      <x:c r="A254" s="187" t="str">
        <x:v>SCENARIO_BASE_2026_08</x:v>
      </x:c>
      <x:c r="B254" s="187" t="str">
        <x:v>SCENARIO</x:v>
      </x:c>
      <x:c r="C254" s="187" t="str">
        <x:v>BASE</x:v>
      </x:c>
      <x:c r="D254" s="217" t="n">
        <x:v>46266</x:v>
      </x:c>
      <x:c r="E254" s="187" t="str">
        <x:v>R_GB_FR_B_AIR</x:v>
      </x:c>
      <x:c r="F254" s="187" t="str">
        <x:v>GB</x:v>
      </x:c>
      <x:c r="G254" s="187" t="str">
        <x:v>FR_FC</x:v>
      </x:c>
      <x:c r="H254" s="187" t="str">
        <x:v>CARRIER_B</x:v>
      </x:c>
      <x:c r="I254" s="187" t="str">
        <x:v>AIR</x:v>
      </x:c>
      <x:c r="J254" s="220" t="n">
        <x:v>17200</x:v>
      </x:c>
      <x:c r="K254" s="223" t="n">
        <x:v>0.34</x:v>
      </x:c>
      <x:c r="L254" s="223" t="n">
        <x:v>0.04</x:v>
      </x:c>
      <x:c r="M254" s="223" t="n">
        <x:v>1</x:v>
      </x:c>
      <x:c r="N254" s="226" t="n">
        <x:f>J254*K254*L254*M254</x:f>
        <x:v>233.92000000000002</x:v>
      </x:c>
      <x:c r="O254" s="220" t="n">
        <x:v>1.17</x:v>
      </x:c>
      <x:c r="P254" s="226" t="n">
        <x:f>N254*O254</x:f>
        <x:v>273.6864</x:v>
      </x:c>
      <x:c r="Q254" s="220" t="n">
        <x:v>0.918</x:v>
      </x:c>
      <x:c r="R254" s="226" t="n">
        <x:f>P254*Q254</x:f>
        <x:v>251.2441152</x:v>
      </x:c>
      <x:c r="S254" s="220" t="n">
        <x:v>0.095</x:v>
      </x:c>
      <x:c r="T254" s="226" t="n">
        <x:f>N254*S254</x:f>
        <x:v>22.2224</x:v>
      </x:c>
      <x:c r="U254" s="226" t="n">
        <x:v>0.014</x:v>
      </x:c>
      <x:c r="V254" s="226" t="n">
        <x:f>P254*U254</x:f>
        <x:v>3.8316096</x:v>
      </x:c>
      <x:c r="W254" s="196" t="str">
        <x:v>EUR</x:v>
      </x:c>
      <x:c r="X254" s="220" t="n">
        <x:v>6.9345</x:v>
      </x:c>
      <x:c r="Y254" s="196" t="str">
        <x:v>PERCENTAGE_OF_BASE_FREIGHT</x:v>
      </x:c>
      <x:c r="Z254" s="220" t="n">
        <x:v>0.108675</x:v>
      </x:c>
      <x:c r="AA254" s="220" t="n">
        <x:v>7.92</x:v>
      </x:c>
      <x:c r="AB254" s="220" t="n">
        <x:v>9.15</x:v>
      </x:c>
      <x:c r="AC254" s="226" t="n">
        <x:f>IF(W254="EUR",AA254,IF(W254="GBP",AB254,1))</x:f>
        <x:v>7.92</x:v>
      </x:c>
      <x:c r="AD254" s="226" t="n">
        <x:f>R254*X254</x:f>
        <x:v>1742.2523168544</x:v>
      </x:c>
      <x:c r="AE254" s="226" t="n">
        <x:f>IF(Y254="PERCENTAGE_OF_BASE_FREIGHT",AD254*Z254,IF(Y254="PER_CHARGEABLE_KG",R254*Z254,P254*Z254))</x:f>
        <x:v>189.33927053415192</x:v>
      </x:c>
      <x:c r="AF254" s="226" t="n">
        <x:f>AD254*AC254</x:f>
        <x:v>13798.638349486848</x:v>
      </x:c>
      <x:c r="AG254" s="226" t="n">
        <x:f>AE254*AC254</x:f>
        <x:v>1499.5670226304833</x:v>
      </x:c>
      <x:c r="AH254" s="226" t="str">
        <x:v>EUR</x:v>
      </x:c>
      <x:c r="AI254" s="226" t="n">
        <x:v>1.08675</x:v>
      </x:c>
      <x:c r="AJ254" s="226" t="n">
        <x:f>IF(AH254="EUR",AA254,IF(AH254="GBP",AB254,1))</x:f>
        <x:v>7.92</x:v>
      </x:c>
      <x:c r="AK254" s="226" t="n">
        <x:f>N254*AI254</x:f>
        <x:v>254.21256000000005</x:v>
      </x:c>
      <x:c r="AL254" s="226" t="n">
        <x:f>AK254*AJ254</x:f>
        <x:v>2013.3634752000005</x:v>
      </x:c>
      <x:c r="AM254" s="226" t="str">
        <x:v>EUR</x:v>
      </x:c>
      <x:c r="AN254" s="226" t="n">
        <x:v>0.3933</x:v>
      </x:c>
      <x:c r="AO254" s="226" t="n">
        <x:f>IF(AM254="EUR",AA254,IF(AM254="GBP",AB254,1))</x:f>
        <x:v>7.92</x:v>
      </x:c>
      <x:c r="AP254" s="226" t="n">
        <x:f>P254*AN254</x:f>
        <x:v>107.64086112</x:v>
      </x:c>
      <x:c r="AQ254" s="226" t="n">
        <x:f>AP254*AO254</x:f>
        <x:v>852.5156200704</x:v>
      </x:c>
      <x:c r="AR254" s="226" t="str">
        <x:v>EUR</x:v>
      </x:c>
      <x:c r="AS254" s="226" t="n">
        <x:v>5.382</x:v>
      </x:c>
      <x:c r="AT254" s="226" t="n">
        <x:f>IF(AR254="EUR",AA254,IF(AR254="GBP",AB254,1))</x:f>
        <x:v>7.92</x:v>
      </x:c>
      <x:c r="AU254" s="226" t="n">
        <x:f>T254*AS254</x:f>
        <x:v>119.60095679999999</x:v>
      </x:c>
      <x:c r="AV254" s="226" t="n">
        <x:f>AU254*AT254</x:f>
        <x:v>947.2395778559999</x:v>
      </x:c>
      <x:c r="AW254" s="226" t="str">
        <x:v>EUR</x:v>
      </x:c>
      <x:c r="AX254" s="226" t="n">
        <x:v>2.898</x:v>
      </x:c>
      <x:c r="AY254" s="226" t="n">
        <x:f>IF(AW254="EUR",AA254,IF(AW254="GBP",AB254,1))</x:f>
        <x:v>7.92</x:v>
      </x:c>
      <x:c r="AZ254" s="226" t="n">
        <x:f>V254*AX254</x:f>
        <x:v>11.104004620800001</x:v>
      </x:c>
      <x:c r="BA254" s="226" t="n">
        <x:f>AZ254*AY254</x:f>
        <x:v>87.94371659673601</x:v>
      </x:c>
      <x:c r="BB254" s="226" t="n">
        <x:f>AF254+AG254+AL254+AQ254+AV254+BA254</x:f>
        <x:v>19199.267761840467</x:v>
      </x:c>
      <x:c r="BC254" s="229" t="n">
        <x:v>0.971</x:v>
      </x:c>
      <x:c r="BD254" s="202"/>
      <x:c r="BE254" s="202" t="str">
        <x:v>正式 Forecast 逐月降低英国空运及 Carrier C 份额，但仍高于 Budget</x:v>
      </x:c>
      <x:c r="BF254" s="202" t="str">
        <x:v>沿用当前正式 Forecast</x:v>
      </x:c>
      <x:c r="BG254" s="202" t="str">
        <x:v>UNVERIFIED_UNLIMITED_FOR_MVP</x:v>
      </x:c>
    </x:row>
    <x:row r="255">
      <x:c r="A255" s="187" t="str">
        <x:v>SCENARIO_BASE_2026_08</x:v>
      </x:c>
      <x:c r="B255" s="187" t="str">
        <x:v>SCENARIO</x:v>
      </x:c>
      <x:c r="C255" s="187" t="str">
        <x:v>BASE</x:v>
      </x:c>
      <x:c r="D255" s="217" t="n">
        <x:v>46296</x:v>
      </x:c>
      <x:c r="E255" s="187" t="str">
        <x:v>R_DE_DE_A_ROAD</x:v>
      </x:c>
      <x:c r="F255" s="187" t="str">
        <x:v>DE</x:v>
      </x:c>
      <x:c r="G255" s="187" t="str">
        <x:v>DE_FC</x:v>
      </x:c>
      <x:c r="H255" s="187" t="str">
        <x:v>CARRIER_A</x:v>
      </x:c>
      <x:c r="I255" s="187" t="str">
        <x:v>ROAD</x:v>
      </x:c>
      <x:c r="J255" s="220" t="n">
        <x:v>19500</x:v>
      </x:c>
      <x:c r="K255" s="223" t="n">
        <x:v>0.34</x:v>
      </x:c>
      <x:c r="L255" s="223" t="n">
        <x:v>0.97</x:v>
      </x:c>
      <x:c r="M255" s="223" t="n">
        <x:v>0.6</x:v>
      </x:c>
      <x:c r="N255" s="226" t="n">
        <x:f>J255*K255*L255*M255</x:f>
        <x:v>3858.66</x:v>
      </x:c>
      <x:c r="O255" s="220" t="n">
        <x:v>1.05</x:v>
      </x:c>
      <x:c r="P255" s="226" t="n">
        <x:f>N255*O255</x:f>
        <x:v>4051.593</x:v>
      </x:c>
      <x:c r="Q255" s="220" t="n">
        <x:v>0.7878</x:v>
      </x:c>
      <x:c r="R255" s="226" t="n">
        <x:f>P255*Q255</x:f>
        <x:v>3191.8449653999996</x:v>
      </x:c>
      <x:c r="S255" s="220" t="n">
        <x:v>0.05</x:v>
      </x:c>
      <x:c r="T255" s="226" t="n">
        <x:f>N255*S255</x:f>
        <x:v>192.933</x:v>
      </x:c>
      <x:c r="U255" s="226" t="n">
        <x:v>0.016</x:v>
      </x:c>
      <x:c r="V255" s="226" t="n">
        <x:f>P255*U255</x:f>
        <x:v>64.82548799999999</x:v>
      </x:c>
      <x:c r="W255" s="196" t="str">
        <x:v>EUR</x:v>
      </x:c>
      <x:c r="X255" s="220" t="n">
        <x:v>2.277</x:v>
      </x:c>
      <x:c r="Y255" s="196" t="str">
        <x:v>PERCENTAGE_OF_BASE_FREIGHT</x:v>
      </x:c>
      <x:c r="Z255" s="220" t="n">
        <x:v>0.098325</x:v>
      </x:c>
      <x:c r="AA255" s="220" t="n">
        <x:v>7.9</x:v>
      </x:c>
      <x:c r="AB255" s="220" t="n">
        <x:v>9.1</x:v>
      </x:c>
      <x:c r="AC255" s="226" t="n">
        <x:f>IF(W255="EUR",AA255,IF(W255="GBP",AB255,1))</x:f>
        <x:v>7.9</x:v>
      </x:c>
      <x:c r="AD255" s="226" t="n">
        <x:f>R255*X255</x:f>
        <x:v>7267.830986215799</x:v>
      </x:c>
      <x:c r="AE255" s="226" t="n">
        <x:f>IF(Y255="PERCENTAGE_OF_BASE_FREIGHT",AD255*Z255,IF(Y255="PER_CHARGEABLE_KG",R255*Z255,P255*Z255))</x:f>
        <x:v>714.6094817196685</x:v>
      </x:c>
      <x:c r="AF255" s="226" t="n">
        <x:f>AD255*AC255</x:f>
        <x:v>57415.86479110482</x:v>
      </x:c>
      <x:c r="AG255" s="226" t="n">
        <x:f>AE255*AC255</x:f>
        <x:v>5645.414905585381</x:v>
      </x:c>
      <x:c r="AH255" s="226" t="str">
        <x:v>EUR</x:v>
      </x:c>
      <x:c r="AI255" s="226" t="n">
        <x:v>1.2213</x:v>
      </x:c>
      <x:c r="AJ255" s="226" t="n">
        <x:f>IF(AH255="EUR",AA255,IF(AH255="GBP",AB255,1))</x:f>
        <x:v>7.9</x:v>
      </x:c>
      <x:c r="AK255" s="226" t="n">
        <x:f>N255*AI255</x:f>
        <x:v>4712.581458</x:v>
      </x:c>
      <x:c r="AL255" s="226" t="n">
        <x:f>AK255*AJ255</x:f>
        <x:v>37229.3935182</x:v>
      </x:c>
      <x:c r="AM255" s="226" t="str">
        <x:v>EUR</x:v>
      </x:c>
      <x:c r="AN255" s="226" t="n">
        <x:v>0.4347</x:v>
      </x:c>
      <x:c r="AO255" s="226" t="n">
        <x:f>IF(AM255="EUR",AA255,IF(AM255="GBP",AB255,1))</x:f>
        <x:v>7.9</x:v>
      </x:c>
      <x:c r="AP255" s="226" t="n">
        <x:f>P255*AN255</x:f>
        <x:v>1761.2274770999998</x:v>
      </x:c>
      <x:c r="AQ255" s="226" t="n">
        <x:f>AP255*AO255</x:f>
        <x:v>13913.697069089998</x:v>
      </x:c>
      <x:c r="AR255" s="226" t="str">
        <x:v>EUR</x:v>
      </x:c>
      <x:c r="AS255" s="226" t="n">
        <x:v>3.312</x:v>
      </x:c>
      <x:c r="AT255" s="226" t="n">
        <x:f>IF(AR255="EUR",AA255,IF(AR255="GBP",AB255,1))</x:f>
        <x:v>7.9</x:v>
      </x:c>
      <x:c r="AU255" s="226" t="n">
        <x:f>T255*AS255</x:f>
        <x:v>638.9940959999999</x:v>
      </x:c>
      <x:c r="AV255" s="226" t="n">
        <x:f>AU255*AT255</x:f>
        <x:v>5048.0533583999995</x:v>
      </x:c>
      <x:c r="AW255" s="226" t="str">
        <x:v>EUR</x:v>
      </x:c>
      <x:c r="AX255" s="226" t="n">
        <x:v>2.3805</x:v>
      </x:c>
      <x:c r="AY255" s="226" t="n">
        <x:f>IF(AW255="EUR",AA255,IF(AW255="GBP",AB255,1))</x:f>
        <x:v>7.9</x:v>
      </x:c>
      <x:c r="AZ255" s="226" t="n">
        <x:f>V255*AX255</x:f>
        <x:v>154.31707418399998</x:v>
      </x:c>
      <x:c r="BA255" s="226" t="n">
        <x:f>AZ255*AY255</x:f>
        <x:v>1219.1048860535998</x:v>
      </x:c>
      <x:c r="BB255" s="226" t="n">
        <x:f>AF255+AG255+AL255+AQ255+AV255+BA255</x:f>
        <x:v>120471.52852843377</x:v>
      </x:c>
      <x:c r="BC255" s="229" t="n">
        <x:v>0.965</x:v>
      </x:c>
      <x:c r="BD255" s="202"/>
      <x:c r="BE255" s="202" t="str">
        <x:v>正式 Forecast 逐月降低英国空运及 Carrier C 份额，但仍高于 Budget</x:v>
      </x:c>
      <x:c r="BF255" s="202" t="str">
        <x:v>沿用当前正式 Forecast</x:v>
      </x:c>
      <x:c r="BG255" s="202" t="str">
        <x:v>UNVERIFIED_UNLIMITED_FOR_MVP</x:v>
      </x:c>
    </x:row>
    <x:row r="256">
      <x:c r="A256" s="187" t="str">
        <x:v>SCENARIO_BASE_2026_08</x:v>
      </x:c>
      <x:c r="B256" s="187" t="str">
        <x:v>SCENARIO</x:v>
      </x:c>
      <x:c r="C256" s="187" t="str">
        <x:v>BASE</x:v>
      </x:c>
      <x:c r="D256" s="217" t="n">
        <x:v>46296</x:v>
      </x:c>
      <x:c r="E256" s="187" t="str">
        <x:v>R_DE_DE_B_ROAD</x:v>
      </x:c>
      <x:c r="F256" s="187" t="str">
        <x:v>DE</x:v>
      </x:c>
      <x:c r="G256" s="187" t="str">
        <x:v>DE_FC</x:v>
      </x:c>
      <x:c r="H256" s="187" t="str">
        <x:v>CARRIER_B</x:v>
      </x:c>
      <x:c r="I256" s="187" t="str">
        <x:v>ROAD</x:v>
      </x:c>
      <x:c r="J256" s="220" t="n">
        <x:v>19500</x:v>
      </x:c>
      <x:c r="K256" s="223" t="n">
        <x:v>0.34</x:v>
      </x:c>
      <x:c r="L256" s="223" t="n">
        <x:v>0.97</x:v>
      </x:c>
      <x:c r="M256" s="223" t="n">
        <x:v>0.4</x:v>
      </x:c>
      <x:c r="N256" s="226" t="n">
        <x:f>J256*K256*L256*M256</x:f>
        <x:v>2572.4400000000005</x:v>
      </x:c>
      <x:c r="O256" s="220" t="n">
        <x:v>1.05</x:v>
      </x:c>
      <x:c r="P256" s="226" t="n">
        <x:f>N256*O256</x:f>
        <x:v>2701.062000000001</x:v>
      </x:c>
      <x:c r="Q256" s="220" t="n">
        <x:v>0.808</x:v>
      </x:c>
      <x:c r="R256" s="226" t="n">
        <x:f>P256*Q256</x:f>
        <x:v>2182.4580960000008</x:v>
      </x:c>
      <x:c r="S256" s="220" t="n">
        <x:v>0.05</x:v>
      </x:c>
      <x:c r="T256" s="226" t="n">
        <x:f>N256*S256</x:f>
        <x:v>128.62200000000004</x:v>
      </x:c>
      <x:c r="U256" s="226" t="n">
        <x:v>0.013</x:v>
      </x:c>
      <x:c r="V256" s="226" t="n">
        <x:f>P256*U256</x:f>
        <x:v>35.11380600000001</x:v>
      </x:c>
      <x:c r="W256" s="196" t="str">
        <x:v>EUR</x:v>
      </x:c>
      <x:c r="X256" s="220" t="n">
        <x:v>2.84625</x:v>
      </x:c>
      <x:c r="Y256" s="196" t="str">
        <x:v>PER_CHARGEABLE_KG</x:v>
      </x:c>
      <x:c r="Z256" s="220" t="n">
        <x:v>0.21735</x:v>
      </x:c>
      <x:c r="AA256" s="220" t="n">
        <x:v>7.9</x:v>
      </x:c>
      <x:c r="AB256" s="220" t="n">
        <x:v>9.1</x:v>
      </x:c>
      <x:c r="AC256" s="226" t="n">
        <x:f>IF(W256="EUR",AA256,IF(W256="GBP",AB256,1))</x:f>
        <x:v>7.9</x:v>
      </x:c>
      <x:c r="AD256" s="226" t="n">
        <x:f>R256*X256</x:f>
        <x:v>6211.821355740002</x:v>
      </x:c>
      <x:c r="AE256" s="226" t="n">
        <x:f>IF(Y256="PERCENTAGE_OF_BASE_FREIGHT",AD256*Z256,IF(Y256="PER_CHARGEABLE_KG",R256*Z256,P256*Z256))</x:f>
        <x:v>474.35726716560015</x:v>
      </x:c>
      <x:c r="AF256" s="226" t="n">
        <x:f>AD256*AC256</x:f>
        <x:v>49073.38871034602</x:v>
      </x:c>
      <x:c r="AG256" s="226" t="n">
        <x:f>AE256*AC256</x:f>
        <x:v>3747.4224106082415</x:v>
      </x:c>
      <x:c r="AH256" s="226" t="str">
        <x:v>EUR</x:v>
      </x:c>
      <x:c r="AI256" s="226" t="n">
        <x:v>1.2213</x:v>
      </x:c>
      <x:c r="AJ256" s="226" t="n">
        <x:f>IF(AH256="EUR",AA256,IF(AH256="GBP",AB256,1))</x:f>
        <x:v>7.9</x:v>
      </x:c>
      <x:c r="AK256" s="226" t="n">
        <x:f>N256*AI256</x:f>
        <x:v>3141.7209720000005</x:v>
      </x:c>
      <x:c r="AL256" s="226" t="n">
        <x:f>AK256*AJ256</x:f>
        <x:v>24819.595678800004</x:v>
      </x:c>
      <x:c r="AM256" s="226" t="str">
        <x:v>EUR</x:v>
      </x:c>
      <x:c r="AN256" s="226" t="n">
        <x:v>0.4347</x:v>
      </x:c>
      <x:c r="AO256" s="226" t="n">
        <x:f>IF(AM256="EUR",AA256,IF(AM256="GBP",AB256,1))</x:f>
        <x:v>7.9</x:v>
      </x:c>
      <x:c r="AP256" s="226" t="n">
        <x:f>P256*AN256</x:f>
        <x:v>1174.1516514000002</x:v>
      </x:c>
      <x:c r="AQ256" s="226" t="n">
        <x:f>AP256*AO256</x:f>
        <x:v>9275.798046060003</x:v>
      </x:c>
      <x:c r="AR256" s="226" t="str">
        <x:v>EUR</x:v>
      </x:c>
      <x:c r="AS256" s="226" t="n">
        <x:v>3.312</x:v>
      </x:c>
      <x:c r="AT256" s="226" t="n">
        <x:f>IF(AR256="EUR",AA256,IF(AR256="GBP",AB256,1))</x:f>
        <x:v>7.9</x:v>
      </x:c>
      <x:c r="AU256" s="226" t="n">
        <x:f>T256*AS256</x:f>
        <x:v>425.9960640000001</x:v>
      </x:c>
      <x:c r="AV256" s="226" t="n">
        <x:f>AU256*AT256</x:f>
        <x:v>3365.3689056000007</x:v>
      </x:c>
      <x:c r="AW256" s="226" t="str">
        <x:v>EUR</x:v>
      </x:c>
      <x:c r="AX256" s="226" t="n">
        <x:v>2.3805</x:v>
      </x:c>
      <x:c r="AY256" s="226" t="n">
        <x:f>IF(AW256="EUR",AA256,IF(AW256="GBP",AB256,1))</x:f>
        <x:v>7.9</x:v>
      </x:c>
      <x:c r="AZ256" s="226" t="n">
        <x:f>V256*AX256</x:f>
        <x:v>83.58841518300002</x:v>
      </x:c>
      <x:c r="BA256" s="226" t="n">
        <x:f>AZ256*AY256</x:f>
        <x:v>660.3484799457002</x:v>
      </x:c>
      <x:c r="BB256" s="226" t="n">
        <x:f>AF256+AG256+AL256+AQ256+AV256+BA256</x:f>
        <x:v>90941.92223135999</x:v>
      </x:c>
      <x:c r="BC256" s="229" t="n">
        <x:v>0.976</x:v>
      </x:c>
      <x:c r="BD256" s="202"/>
      <x:c r="BE256" s="202" t="str">
        <x:v>正式 Forecast 逐月降低英国空运及 Carrier C 份额，但仍高于 Budget</x:v>
      </x:c>
      <x:c r="BF256" s="202" t="str">
        <x:v>沿用当前正式 Forecast</x:v>
      </x:c>
      <x:c r="BG256" s="202" t="str">
        <x:v>UNVERIFIED_UNLIMITED_FOR_MVP</x:v>
      </x:c>
    </x:row>
    <x:row r="257">
      <x:c r="A257" s="187" t="str">
        <x:v>SCENARIO_BASE_2026_08</x:v>
      </x:c>
      <x:c r="B257" s="187" t="str">
        <x:v>SCENARIO</x:v>
      </x:c>
      <x:c r="C257" s="187" t="str">
        <x:v>BASE</x:v>
      </x:c>
      <x:c r="D257" s="217" t="n">
        <x:v>46296</x:v>
      </x:c>
      <x:c r="E257" s="187" t="str">
        <x:v>R_DE_FR_B_ROAD</x:v>
      </x:c>
      <x:c r="F257" s="187" t="str">
        <x:v>DE</x:v>
      </x:c>
      <x:c r="G257" s="187" t="str">
        <x:v>FR_FC</x:v>
      </x:c>
      <x:c r="H257" s="187" t="str">
        <x:v>CARRIER_B</x:v>
      </x:c>
      <x:c r="I257" s="187" t="str">
        <x:v>ROAD</x:v>
      </x:c>
      <x:c r="J257" s="220" t="n">
        <x:v>19500</x:v>
      </x:c>
      <x:c r="K257" s="223" t="n">
        <x:v>0.34</x:v>
      </x:c>
      <x:c r="L257" s="223" t="n">
        <x:v>0.03</x:v>
      </x:c>
      <x:c r="M257" s="223" t="n">
        <x:v>1</x:v>
      </x:c>
      <x:c r="N257" s="226" t="n">
        <x:f>J257*K257*L257*M257</x:f>
        <x:v>198.90000000000003</x:v>
      </x:c>
      <x:c r="O257" s="220" t="n">
        <x:v>1.08</x:v>
      </x:c>
      <x:c r="P257" s="226" t="n">
        <x:f>N257*O257</x:f>
        <x:v>214.81200000000004</x:v>
      </x:c>
      <x:c r="Q257" s="220" t="n">
        <x:v>0.8686</x:v>
      </x:c>
      <x:c r="R257" s="226" t="n">
        <x:f>P257*Q257</x:f>
        <x:v>186.58570320000004</x:v>
      </x:c>
      <x:c r="S257" s="220" t="n">
        <x:v>0.05</x:v>
      </x:c>
      <x:c r="T257" s="226" t="n">
        <x:f>N257*S257</x:f>
        <x:v>9.945000000000002</x:v>
      </x:c>
      <x:c r="U257" s="226" t="n">
        <x:v>0.014</x:v>
      </x:c>
      <x:c r="V257" s="226" t="n">
        <x:f>P257*U257</x:f>
        <x:v>3.0073680000000005</x:v>
      </x:c>
      <x:c r="W257" s="196" t="str">
        <x:v>EUR</x:v>
      </x:c>
      <x:c r="X257" s="220" t="n">
        <x:v>3.4155</x:v>
      </x:c>
      <x:c r="Y257" s="196" t="str">
        <x:v>PER_CHARGEABLE_KG</x:v>
      </x:c>
      <x:c r="Z257" s="220" t="n">
        <x:v>0.2484</x:v>
      </x:c>
      <x:c r="AA257" s="220" t="n">
        <x:v>7.9</x:v>
      </x:c>
      <x:c r="AB257" s="220" t="n">
        <x:v>9.1</x:v>
      </x:c>
      <x:c r="AC257" s="226" t="n">
        <x:f>IF(W257="EUR",AA257,IF(W257="GBP",AB257,1))</x:f>
        <x:v>7.9</x:v>
      </x:c>
      <x:c r="AD257" s="226" t="n">
        <x:f>R257*X257</x:f>
        <x:v>637.2834692796001</x:v>
      </x:c>
      <x:c r="AE257" s="226" t="n">
        <x:f>IF(Y257="PERCENTAGE_OF_BASE_FREIGHT",AD257*Z257,IF(Y257="PER_CHARGEABLE_KG",R257*Z257,P257*Z257))</x:f>
        <x:v>46.34788867488001</x:v>
      </x:c>
      <x:c r="AF257" s="226" t="n">
        <x:f>AD257*AC257</x:f>
        <x:v>5034.539407308841</x:v>
      </x:c>
      <x:c r="AG257" s="226" t="n">
        <x:f>AE257*AC257</x:f>
        <x:v>366.1483205315521</x:v>
      </x:c>
      <x:c r="AH257" s="226" t="str">
        <x:v>EUR</x:v>
      </x:c>
      <x:c r="AI257" s="226" t="n">
        <x:v>1.08675</x:v>
      </x:c>
      <x:c r="AJ257" s="226" t="n">
        <x:f>IF(AH257="EUR",AA257,IF(AH257="GBP",AB257,1))</x:f>
        <x:v>7.9</x:v>
      </x:c>
      <x:c r="AK257" s="226" t="n">
        <x:f>N257*AI257</x:f>
        <x:v>216.15457500000005</x:v>
      </x:c>
      <x:c r="AL257" s="226" t="n">
        <x:f>AK257*AJ257</x:f>
        <x:v>1707.6211425000006</x:v>
      </x:c>
      <x:c r="AM257" s="226" t="str">
        <x:v>EUR</x:v>
      </x:c>
      <x:c r="AN257" s="226" t="n">
        <x:v>0.3933</x:v>
      </x:c>
      <x:c r="AO257" s="226" t="n">
        <x:f>IF(AM257="EUR",AA257,IF(AM257="GBP",AB257,1))</x:f>
        <x:v>7.9</x:v>
      </x:c>
      <x:c r="AP257" s="226" t="n">
        <x:f>P257*AN257</x:f>
        <x:v>84.48555960000002</x:v>
      </x:c>
      <x:c r="AQ257" s="226" t="n">
        <x:f>AP257*AO257</x:f>
        <x:v>667.4359208400001</x:v>
      </x:c>
      <x:c r="AR257" s="226" t="str">
        <x:v>EUR</x:v>
      </x:c>
      <x:c r="AS257" s="226" t="n">
        <x:v>3.933</x:v>
      </x:c>
      <x:c r="AT257" s="226" t="n">
        <x:f>IF(AR257="EUR",AA257,IF(AR257="GBP",AB257,1))</x:f>
        <x:v>7.9</x:v>
      </x:c>
      <x:c r="AU257" s="226" t="n">
        <x:f>T257*AS257</x:f>
        <x:v>39.113685000000004</x:v>
      </x:c>
      <x:c r="AV257" s="226" t="n">
        <x:f>AU257*AT257</x:f>
        <x:v>308.99811150000005</x:v>
      </x:c>
      <x:c r="AW257" s="226" t="str">
        <x:v>EUR</x:v>
      </x:c>
      <x:c r="AX257" s="226" t="n">
        <x:v>2.3805</x:v>
      </x:c>
      <x:c r="AY257" s="226" t="n">
        <x:f>IF(AW257="EUR",AA257,IF(AW257="GBP",AB257,1))</x:f>
        <x:v>7.9</x:v>
      </x:c>
      <x:c r="AZ257" s="226" t="n">
        <x:f>V257*AX257</x:f>
        <x:v>7.1590395240000015</x:v>
      </x:c>
      <x:c r="BA257" s="226" t="n">
        <x:f>AZ257*AY257</x:f>
        <x:v>56.556412239600014</x:v>
      </x:c>
      <x:c r="BB257" s="226" t="n">
        <x:f>AF257+AG257+AL257+AQ257+AV257+BA257</x:f>
        <x:v>8141.299314919994</x:v>
      </x:c>
      <x:c r="BC257" s="229" t="n">
        <x:v>0.968</x:v>
      </x:c>
      <x:c r="BD257" s="202"/>
      <x:c r="BE257" s="202" t="str">
        <x:v>正式 Forecast 逐月降低英国空运及 Carrier C 份额，但仍高于 Budget</x:v>
      </x:c>
      <x:c r="BF257" s="202" t="str">
        <x:v>沿用当前正式 Forecast</x:v>
      </x:c>
      <x:c r="BG257" s="202" t="str">
        <x:v>UNVERIFIED_UNLIMITED_FOR_MVP</x:v>
      </x:c>
    </x:row>
    <x:row r="258">
      <x:c r="A258" s="187" t="str">
        <x:v>SCENARIO_BASE_2026_08</x:v>
      </x:c>
      <x:c r="B258" s="187" t="str">
        <x:v>SCENARIO</x:v>
      </x:c>
      <x:c r="C258" s="187" t="str">
        <x:v>BASE</x:v>
      </x:c>
      <x:c r="D258" s="217" t="n">
        <x:v>46296</x:v>
      </x:c>
      <x:c r="E258" s="187" t="str">
        <x:v>R_FR_FR_A_ROAD</x:v>
      </x:c>
      <x:c r="F258" s="187" t="str">
        <x:v>FR</x:v>
      </x:c>
      <x:c r="G258" s="187" t="str">
        <x:v>FR_FC</x:v>
      </x:c>
      <x:c r="H258" s="187" t="str">
        <x:v>CARRIER_A</x:v>
      </x:c>
      <x:c r="I258" s="187" t="str">
        <x:v>ROAD</x:v>
      </x:c>
      <x:c r="J258" s="220" t="n">
        <x:v>19500</x:v>
      </x:c>
      <x:c r="K258" s="223" t="n">
        <x:v>0.3</x:v>
      </x:c>
      <x:c r="L258" s="223" t="n">
        <x:v>1</x:v>
      </x:c>
      <x:c r="M258" s="223" t="n">
        <x:v>0.35</x:v>
      </x:c>
      <x:c r="N258" s="226" t="n">
        <x:f>J258*K258*L258*M258</x:f>
        <x:v>2047.4999999999998</x:v>
      </x:c>
      <x:c r="O258" s="220" t="n">
        <x:v>1.06</x:v>
      </x:c>
      <x:c r="P258" s="226" t="n">
        <x:f>N258*O258</x:f>
        <x:v>2170.35</x:v>
      </x:c>
      <x:c r="Q258" s="220" t="n">
        <x:v>0.7676</x:v>
      </x:c>
      <x:c r="R258" s="226" t="n">
        <x:f>P258*Q258</x:f>
        <x:v>1665.9606599999997</x:v>
      </x:c>
      <x:c r="S258" s="220" t="n">
        <x:v>0.06</x:v>
      </x:c>
      <x:c r="T258" s="226" t="n">
        <x:f>N258*S258</x:f>
        <x:v>122.84999999999998</x:v>
      </x:c>
      <x:c r="U258" s="226" t="n">
        <x:v>0.017</x:v>
      </x:c>
      <x:c r="V258" s="226" t="n">
        <x:f>P258*U258</x:f>
        <x:v>36.89595</x:v>
      </x:c>
      <x:c r="W258" s="196" t="str">
        <x:v>EUR</x:v>
      </x:c>
      <x:c r="X258" s="220" t="n">
        <x:v>2.1735</x:v>
      </x:c>
      <x:c r="Y258" s="196" t="str">
        <x:v>PERCENTAGE_OF_BASE_FREIGHT</x:v>
      </x:c>
      <x:c r="Z258" s="220" t="n">
        <x:v>0.09315</x:v>
      </x:c>
      <x:c r="AA258" s="220" t="n">
        <x:v>7.9</x:v>
      </x:c>
      <x:c r="AB258" s="220" t="n">
        <x:v>9.1</x:v>
      </x:c>
      <x:c r="AC258" s="226" t="n">
        <x:f>IF(W258="EUR",AA258,IF(W258="GBP",AB258,1))</x:f>
        <x:v>7.9</x:v>
      </x:c>
      <x:c r="AD258" s="226" t="n">
        <x:f>R258*X258</x:f>
        <x:v>3620.9654945099996</x:v>
      </x:c>
      <x:c r="AE258" s="226" t="n">
        <x:f>IF(Y258="PERCENTAGE_OF_BASE_FREIGHT",AD258*Z258,IF(Y258="PER_CHARGEABLE_KG",R258*Z258,P258*Z258))</x:f>
        <x:v>337.29293581360645</x:v>
      </x:c>
      <x:c r="AF258" s="226" t="n">
        <x:f>AD258*AC258</x:f>
        <x:v>28605.627406629</x:v>
      </x:c>
      <x:c r="AG258" s="226" t="n">
        <x:f>AE258*AC258</x:f>
        <x:v>2664.614192927491</x:v>
      </x:c>
      <x:c r="AH258" s="226" t="str">
        <x:v>EUR</x:v>
      </x:c>
      <x:c r="AI258" s="226" t="n">
        <x:v>1.08675</x:v>
      </x:c>
      <x:c r="AJ258" s="226" t="n">
        <x:f>IF(AH258="EUR",AA258,IF(AH258="GBP",AB258,1))</x:f>
        <x:v>7.9</x:v>
      </x:c>
      <x:c r="AK258" s="226" t="n">
        <x:f>N258*AI258</x:f>
        <x:v>2225.120625</x:v>
      </x:c>
      <x:c r="AL258" s="226" t="n">
        <x:f>AK258*AJ258</x:f>
        <x:v>17578.452937500002</x:v>
      </x:c>
      <x:c r="AM258" s="226" t="str">
        <x:v>EUR</x:v>
      </x:c>
      <x:c r="AN258" s="226" t="n">
        <x:v>0.3933</x:v>
      </x:c>
      <x:c r="AO258" s="226" t="n">
        <x:f>IF(AM258="EUR",AA258,IF(AM258="GBP",AB258,1))</x:f>
        <x:v>7.9</x:v>
      </x:c>
      <x:c r="AP258" s="226" t="n">
        <x:f>P258*AN258</x:f>
        <x:v>853.5986549999999</x:v>
      </x:c>
      <x:c r="AQ258" s="226" t="n">
        <x:f>AP258*AO258</x:f>
        <x:v>6743.4293744999995</x:v>
      </x:c>
      <x:c r="AR258" s="226" t="str">
        <x:v>EUR</x:v>
      </x:c>
      <x:c r="AS258" s="226" t="n">
        <x:v>3.105</x:v>
      </x:c>
      <x:c r="AT258" s="226" t="n">
        <x:f>IF(AR258="EUR",AA258,IF(AR258="GBP",AB258,1))</x:f>
        <x:v>7.9</x:v>
      </x:c>
      <x:c r="AU258" s="226" t="n">
        <x:f>T258*AS258</x:f>
        <x:v>381.44924999999995</x:v>
      </x:c>
      <x:c r="AV258" s="226" t="n">
        <x:f>AU258*AT258</x:f>
        <x:v>3013.4490749999995</x:v>
      </x:c>
      <x:c r="AW258" s="226" t="str">
        <x:v>EUR</x:v>
      </x:c>
      <x:c r="AX258" s="226" t="n">
        <x:v>2.3805</x:v>
      </x:c>
      <x:c r="AY258" s="226" t="n">
        <x:f>IF(AW258="EUR",AA258,IF(AW258="GBP",AB258,1))</x:f>
        <x:v>7.9</x:v>
      </x:c>
      <x:c r="AZ258" s="226" t="n">
        <x:f>V258*AX258</x:f>
        <x:v>87.830808975</x:v>
      </x:c>
      <x:c r="BA258" s="226" t="n">
        <x:f>AZ258*AY258</x:f>
        <x:v>693.8633909025</x:v>
      </x:c>
      <x:c r="BB258" s="226" t="n">
        <x:f>AF258+AG258+AL258+AQ258+AV258+BA258</x:f>
        <x:v>59299.436377458995</x:v>
      </x:c>
      <x:c r="BC258" s="229" t="n">
        <x:v>0.961</x:v>
      </x:c>
      <x:c r="BD258" s="202"/>
      <x:c r="BE258" s="202" t="str">
        <x:v>正式 Forecast 逐月降低英国空运及 Carrier C 份额，但仍高于 Budget</x:v>
      </x:c>
      <x:c r="BF258" s="202" t="str">
        <x:v>沿用当前正式 Forecast</x:v>
      </x:c>
      <x:c r="BG258" s="202" t="str">
        <x:v>UNVERIFIED_UNLIMITED_FOR_MVP</x:v>
      </x:c>
    </x:row>
    <x:row r="259">
      <x:c r="A259" s="187" t="str">
        <x:v>SCENARIO_BASE_2026_08</x:v>
      </x:c>
      <x:c r="B259" s="187" t="str">
        <x:v>SCENARIO</x:v>
      </x:c>
      <x:c r="C259" s="187" t="str">
        <x:v>BASE</x:v>
      </x:c>
      <x:c r="D259" s="217" t="n">
        <x:v>46296</x:v>
      </x:c>
      <x:c r="E259" s="187" t="str">
        <x:v>R_FR_FR_B_ROAD</x:v>
      </x:c>
      <x:c r="F259" s="187" t="str">
        <x:v>FR</x:v>
      </x:c>
      <x:c r="G259" s="187" t="str">
        <x:v>FR_FC</x:v>
      </x:c>
      <x:c r="H259" s="187" t="str">
        <x:v>CARRIER_B</x:v>
      </x:c>
      <x:c r="I259" s="187" t="str">
        <x:v>ROAD</x:v>
      </x:c>
      <x:c r="J259" s="220" t="n">
        <x:v>19500</x:v>
      </x:c>
      <x:c r="K259" s="223" t="n">
        <x:v>0.3</x:v>
      </x:c>
      <x:c r="L259" s="223" t="n">
        <x:v>1</x:v>
      </x:c>
      <x:c r="M259" s="223" t="n">
        <x:v>0.65</x:v>
      </x:c>
      <x:c r="N259" s="226" t="n">
        <x:f>J259*K259*L259*M259</x:f>
        <x:v>3802.5</x:v>
      </x:c>
      <x:c r="O259" s="220" t="n">
        <x:v>1.06</x:v>
      </x:c>
      <x:c r="P259" s="226" t="n">
        <x:f>N259*O259</x:f>
        <x:v>4030.65</x:v>
      </x:c>
      <x:c r="Q259" s="220" t="n">
        <x:v>0.7979</x:v>
      </x:c>
      <x:c r="R259" s="226" t="n">
        <x:f>P259*Q259</x:f>
        <x:v>3216.055635</x:v>
      </x:c>
      <x:c r="S259" s="220" t="n">
        <x:v>0.06</x:v>
      </x:c>
      <x:c r="T259" s="226" t="n">
        <x:f>N259*S259</x:f>
        <x:v>228.15</x:v>
      </x:c>
      <x:c r="U259" s="226" t="n">
        <x:v>0.014</x:v>
      </x:c>
      <x:c r="V259" s="226" t="n">
        <x:f>P259*U259</x:f>
        <x:v>56.429100000000005</x:v>
      </x:c>
      <x:c r="W259" s="196" t="str">
        <x:v>EUR</x:v>
      </x:c>
      <x:c r="X259" s="220" t="n">
        <x:v>2.691</x:v>
      </x:c>
      <x:c r="Y259" s="196" t="str">
        <x:v>PER_CHARGEABLE_KG</x:v>
      </x:c>
      <x:c r="Z259" s="220" t="n">
        <x:v>0.207</x:v>
      </x:c>
      <x:c r="AA259" s="220" t="n">
        <x:v>7.9</x:v>
      </x:c>
      <x:c r="AB259" s="220" t="n">
        <x:v>9.1</x:v>
      </x:c>
      <x:c r="AC259" s="226" t="n">
        <x:f>IF(W259="EUR",AA259,IF(W259="GBP",AB259,1))</x:f>
        <x:v>7.9</x:v>
      </x:c>
      <x:c r="AD259" s="226" t="n">
        <x:f>R259*X259</x:f>
        <x:v>8654.405713785</x:v>
      </x:c>
      <x:c r="AE259" s="226" t="n">
        <x:f>IF(Y259="PERCENTAGE_OF_BASE_FREIGHT",AD259*Z259,IF(Y259="PER_CHARGEABLE_KG",R259*Z259,P259*Z259))</x:f>
        <x:v>665.723516445</x:v>
      </x:c>
      <x:c r="AF259" s="226" t="n">
        <x:f>AD259*AC259</x:f>
        <x:v>68369.8051389015</x:v>
      </x:c>
      <x:c r="AG259" s="226" t="n">
        <x:f>AE259*AC259</x:f>
        <x:v>5259.2157799155</x:v>
      </x:c>
      <x:c r="AH259" s="226" t="str">
        <x:v>EUR</x:v>
      </x:c>
      <x:c r="AI259" s="226" t="n">
        <x:v>1.08675</x:v>
      </x:c>
      <x:c r="AJ259" s="226" t="n">
        <x:f>IF(AH259="EUR",AA259,IF(AH259="GBP",AB259,1))</x:f>
        <x:v>7.9</x:v>
      </x:c>
      <x:c r="AK259" s="226" t="n">
        <x:f>N259*AI259</x:f>
        <x:v>4132.366875000001</x:v>
      </x:c>
      <x:c r="AL259" s="226" t="n">
        <x:f>AK259*AJ259</x:f>
        <x:v>32645.698312500008</x:v>
      </x:c>
      <x:c r="AM259" s="226" t="str">
        <x:v>EUR</x:v>
      </x:c>
      <x:c r="AN259" s="226" t="n">
        <x:v>0.3933</x:v>
      </x:c>
      <x:c r="AO259" s="226" t="n">
        <x:f>IF(AM259="EUR",AA259,IF(AM259="GBP",AB259,1))</x:f>
        <x:v>7.9</x:v>
      </x:c>
      <x:c r="AP259" s="226" t="n">
        <x:f>P259*AN259</x:f>
        <x:v>1585.254645</x:v>
      </x:c>
      <x:c r="AQ259" s="226" t="n">
        <x:f>AP259*AO259</x:f>
        <x:v>12523.511695500001</x:v>
      </x:c>
      <x:c r="AR259" s="226" t="str">
        <x:v>EUR</x:v>
      </x:c>
      <x:c r="AS259" s="226" t="n">
        <x:v>3.105</x:v>
      </x:c>
      <x:c r="AT259" s="226" t="n">
        <x:f>IF(AR259="EUR",AA259,IF(AR259="GBP",AB259,1))</x:f>
        <x:v>7.9</x:v>
      </x:c>
      <x:c r="AU259" s="226" t="n">
        <x:f>T259*AS259</x:f>
        <x:v>708.40575</x:v>
      </x:c>
      <x:c r="AV259" s="226" t="n">
        <x:f>AU259*AT259</x:f>
        <x:v>5596.405425</x:v>
      </x:c>
      <x:c r="AW259" s="226" t="str">
        <x:v>EUR</x:v>
      </x:c>
      <x:c r="AX259" s="226" t="n">
        <x:v>2.3805</x:v>
      </x:c>
      <x:c r="AY259" s="226" t="n">
        <x:f>IF(AW259="EUR",AA259,IF(AW259="GBP",AB259,1))</x:f>
        <x:v>7.9</x:v>
      </x:c>
      <x:c r="AZ259" s="226" t="n">
        <x:f>V259*AX259</x:f>
        <x:v>134.32947255000002</x:v>
      </x:c>
      <x:c r="BA259" s="226" t="n">
        <x:f>AZ259*AY259</x:f>
        <x:v>1061.202833145</x:v>
      </x:c>
      <x:c r="BB259" s="226" t="n">
        <x:f>AF259+AG259+AL259+AQ259+AV259+BA259</x:f>
        <x:v>125455.83918496201</x:v>
      </x:c>
      <x:c r="BC259" s="229" t="n">
        <x:v>0.973</x:v>
      </x:c>
      <x:c r="BD259" s="202"/>
      <x:c r="BE259" s="202" t="str">
        <x:v>正式 Forecast 逐月降低英国空运及 Carrier C 份额，但仍高于 Budget</x:v>
      </x:c>
      <x:c r="BF259" s="202" t="str">
        <x:v>沿用当前正式 Forecast</x:v>
      </x:c>
      <x:c r="BG259" s="202" t="str">
        <x:v>UNVERIFIED_UNLIMITED_FOR_MVP</x:v>
      </x:c>
    </x:row>
    <x:row r="260">
      <x:c r="A260" s="187" t="str">
        <x:v>SCENARIO_BASE_2026_08</x:v>
      </x:c>
      <x:c r="B260" s="187" t="str">
        <x:v>SCENARIO</x:v>
      </x:c>
      <x:c r="C260" s="187" t="str">
        <x:v>BASE</x:v>
      </x:c>
      <x:c r="D260" s="217" t="n">
        <x:v>46296</x:v>
      </x:c>
      <x:c r="E260" s="187" t="str">
        <x:v>R_GB_DE_A_ROAD</x:v>
      </x:c>
      <x:c r="F260" s="187" t="str">
        <x:v>GB</x:v>
      </x:c>
      <x:c r="G260" s="187" t="str">
        <x:v>DE_FC</x:v>
      </x:c>
      <x:c r="H260" s="187" t="str">
        <x:v>CARRIER_A</x:v>
      </x:c>
      <x:c r="I260" s="187" t="str">
        <x:v>ROAD</x:v>
      </x:c>
      <x:c r="J260" s="220" t="n">
        <x:v>19500</x:v>
      </x:c>
      <x:c r="K260" s="223" t="n">
        <x:v>0.36</x:v>
      </x:c>
      <x:c r="L260" s="223" t="n">
        <x:v>0.96</x:v>
      </x:c>
      <x:c r="M260" s="223" t="n">
        <x:v>0.36</x:v>
      </x:c>
      <x:c r="N260" s="226" t="n">
        <x:f>J260*K260*L260*M260</x:f>
        <x:v>2426.1119999999996</x:v>
      </x:c>
      <x:c r="O260" s="220" t="n">
        <x:v>1.17</x:v>
      </x:c>
      <x:c r="P260" s="226" t="n">
        <x:f>N260*O260</x:f>
        <x:v>2838.5510399999994</x:v>
      </x:c>
      <x:c r="Q260" s="220" t="n">
        <x:v>1.050804</x:v>
      </x:c>
      <x:c r="R260" s="226" t="n">
        <x:f>P260*Q260</x:f>
        <x:v>2982.7607870361594</x:v>
      </x:c>
      <x:c r="S260" s="220" t="n">
        <x:v>0.09</x:v>
      </x:c>
      <x:c r="T260" s="226" t="n">
        <x:f>N260*S260</x:f>
        <x:v>218.35007999999996</x:v>
      </x:c>
      <x:c r="U260" s="226" t="n">
        <x:v>0.027</x:v>
      </x:c>
      <x:c r="V260" s="226" t="n">
        <x:f>P260*U260</x:f>
        <x:v>76.64087807999998</x:v>
      </x:c>
      <x:c r="W260" s="196" t="str">
        <x:v>GBP</x:v>
      </x:c>
      <x:c r="X260" s="220" t="n">
        <x:v>4.14</x:v>
      </x:c>
      <x:c r="Y260" s="196" t="str">
        <x:v>PERCENTAGE_OF_BASE_FREIGHT</x:v>
      </x:c>
      <x:c r="Z260" s="220" t="n">
        <x:v>0.1035</x:v>
      </x:c>
      <x:c r="AA260" s="220" t="n">
        <x:v>7.9</x:v>
      </x:c>
      <x:c r="AB260" s="220" t="n">
        <x:v>9.1</x:v>
      </x:c>
      <x:c r="AC260" s="226" t="n">
        <x:f>IF(W260="EUR",AA260,IF(W260="GBP",AB260,1))</x:f>
        <x:v>9.1</x:v>
      </x:c>
      <x:c r="AD260" s="226" t="n">
        <x:f>R260*X260</x:f>
        <x:v>12348.629658329699</x:v>
      </x:c>
      <x:c r="AE260" s="226" t="n">
        <x:f>IF(Y260="PERCENTAGE_OF_BASE_FREIGHT",AD260*Z260,IF(Y260="PER_CHARGEABLE_KG",R260*Z260,P260*Z260))</x:f>
        <x:v>1278.0831696371238</x:v>
      </x:c>
      <x:c r="AF260" s="226" t="n">
        <x:f>AD260*AC260</x:f>
        <x:v>112372.52989080026</x:v>
      </x:c>
      <x:c r="AG260" s="226" t="n">
        <x:f>AE260*AC260</x:f>
        <x:v>11630.556843697826</x:v>
      </x:c>
      <x:c r="AH260" s="226" t="str">
        <x:v>EUR</x:v>
      </x:c>
      <x:c r="AI260" s="226" t="n">
        <x:v>1.2213</x:v>
      </x:c>
      <x:c r="AJ260" s="226" t="n">
        <x:f>IF(AH260="EUR",AA260,IF(AH260="GBP",AB260,1))</x:f>
        <x:v>7.9</x:v>
      </x:c>
      <x:c r="AK260" s="226" t="n">
        <x:f>N260*AI260</x:f>
        <x:v>2963.0105855999996</x:v>
      </x:c>
      <x:c r="AL260" s="226" t="n">
        <x:f>AK260*AJ260</x:f>
        <x:v>23407.783626239998</x:v>
      </x:c>
      <x:c r="AM260" s="226" t="str">
        <x:v>EUR</x:v>
      </x:c>
      <x:c r="AN260" s="226" t="n">
        <x:v>0.4347</x:v>
      </x:c>
      <x:c r="AO260" s="226" t="n">
        <x:f>IF(AM260="EUR",AA260,IF(AM260="GBP",AB260,1))</x:f>
        <x:v>7.9</x:v>
      </x:c>
      <x:c r="AP260" s="226" t="n">
        <x:f>P260*AN260</x:f>
        <x:v>1233.9181370879996</x:v>
      </x:c>
      <x:c r="AQ260" s="226" t="n">
        <x:f>AP260*AO260</x:f>
        <x:v>9747.953282995197</x:v>
      </x:c>
      <x:c r="AR260" s="226" t="str">
        <x:v>GBP</x:v>
      </x:c>
      <x:c r="AS260" s="226" t="n">
        <x:v>4.968</x:v>
      </x:c>
      <x:c r="AT260" s="226" t="n">
        <x:f>IF(AR260="EUR",AA260,IF(AR260="GBP",AB260,1))</x:f>
        <x:v>9.1</x:v>
      </x:c>
      <x:c r="AU260" s="226" t="n">
        <x:f>T260*AS260</x:f>
        <x:v>1084.7631974399999</x:v>
      </x:c>
      <x:c r="AV260" s="226" t="n">
        <x:f>AU260*AT260</x:f>
        <x:v>9871.345096703999</x:v>
      </x:c>
      <x:c r="AW260" s="226" t="str">
        <x:v>GBP</x:v>
      </x:c>
      <x:c r="AX260" s="226" t="n">
        <x:v>2.3805</x:v>
      </x:c>
      <x:c r="AY260" s="226" t="n">
        <x:f>IF(AW260="EUR",AA260,IF(AW260="GBP",AB260,1))</x:f>
        <x:v>9.1</x:v>
      </x:c>
      <x:c r="AZ260" s="226" t="n">
        <x:f>V260*AX260</x:f>
        <x:v>182.44361026943994</x:v>
      </x:c>
      <x:c r="BA260" s="226" t="n">
        <x:f>AZ260*AY260</x:f>
        <x:v>1660.2368534519035</x:v>
      </x:c>
      <x:c r="BB260" s="226" t="n">
        <x:f>AF260+AG260+AL260+AQ260+AV260+BA260</x:f>
        <x:v>168690.40559388918</x:v>
      </x:c>
      <x:c r="BC260" s="229" t="n">
        <x:v>0.93</x:v>
      </x:c>
      <x:c r="BD260" s="202"/>
      <x:c r="BE260" s="202" t="str">
        <x:v>正式 Forecast 逐月降低英国空运及 Carrier C 份额，但仍高于 Budget</x:v>
      </x:c>
      <x:c r="BF260" s="202" t="str">
        <x:v>沿用当前正式 Forecast</x:v>
      </x:c>
      <x:c r="BG260" s="202" t="str">
        <x:v>UNVERIFIED_UNLIMITED_FOR_MVP</x:v>
      </x:c>
    </x:row>
    <x:row r="261">
      <x:c r="A261" s="187" t="str">
        <x:v>SCENARIO_BASE_2026_08</x:v>
      </x:c>
      <x:c r="B261" s="187" t="str">
        <x:v>SCENARIO</x:v>
      </x:c>
      <x:c r="C261" s="187" t="str">
        <x:v>BASE</x:v>
      </x:c>
      <x:c r="D261" s="217" t="n">
        <x:v>46296</x:v>
      </x:c>
      <x:c r="E261" s="187" t="str">
        <x:v>R_GB_DE_B_ROAD</x:v>
      </x:c>
      <x:c r="F261" s="187" t="str">
        <x:v>GB</x:v>
      </x:c>
      <x:c r="G261" s="187" t="str">
        <x:v>DE_FC</x:v>
      </x:c>
      <x:c r="H261" s="187" t="str">
        <x:v>CARRIER_B</x:v>
      </x:c>
      <x:c r="I261" s="187" t="str">
        <x:v>ROAD</x:v>
      </x:c>
      <x:c r="J261" s="220" t="n">
        <x:v>19500</x:v>
      </x:c>
      <x:c r="K261" s="223" t="n">
        <x:v>0.36</x:v>
      </x:c>
      <x:c r="L261" s="223" t="n">
        <x:v>0.96</x:v>
      </x:c>
      <x:c r="M261" s="223" t="n">
        <x:v>0.2</x:v>
      </x:c>
      <x:c r="N261" s="226" t="n">
        <x:f>J261*K261*L261*M261</x:f>
        <x:v>1347.8400000000001</x:v>
      </x:c>
      <x:c r="O261" s="220" t="n">
        <x:v>1.17</x:v>
      </x:c>
      <x:c r="P261" s="226" t="n">
        <x:f>N261*O261</x:f>
        <x:v>1576.9728</x:v>
      </x:c>
      <x:c r="Q261" s="220" t="n">
        <x:v>1.0302</x:v>
      </x:c>
      <x:c r="R261" s="226" t="n">
        <x:f>P261*Q261</x:f>
        <x:v>1624.59737856</x:v>
      </x:c>
      <x:c r="S261" s="220" t="n">
        <x:v>0.09</x:v>
      </x:c>
      <x:c r="T261" s="226" t="n">
        <x:f>N261*S261</x:f>
        <x:v>121.30560000000001</x:v>
      </x:c>
      <x:c r="U261" s="226" t="n">
        <x:v>0.02</x:v>
      </x:c>
      <x:c r="V261" s="226" t="n">
        <x:f>P261*U261</x:f>
        <x:v>31.539456</x:v>
      </x:c>
      <x:c r="W261" s="196" t="str">
        <x:v>GBP</x:v>
      </x:c>
      <x:c r="X261" s="220" t="n">
        <x:v>4.8645</x:v>
      </x:c>
      <x:c r="Y261" s="196" t="str">
        <x:v>PER_CHARGEABLE_KG</x:v>
      </x:c>
      <x:c r="Z261" s="220" t="n">
        <x:v>0.34155</x:v>
      </x:c>
      <x:c r="AA261" s="220" t="n">
        <x:v>7.9</x:v>
      </x:c>
      <x:c r="AB261" s="220" t="n">
        <x:v>9.1</x:v>
      </x:c>
      <x:c r="AC261" s="226" t="n">
        <x:f>IF(W261="EUR",AA261,IF(W261="GBP",AB261,1))</x:f>
        <x:v>9.1</x:v>
      </x:c>
      <x:c r="AD261" s="226" t="n">
        <x:f>R261*X261</x:f>
        <x:v>7902.853948005119</x:v>
      </x:c>
      <x:c r="AE261" s="226" t="n">
        <x:f>IF(Y261="PERCENTAGE_OF_BASE_FREIGHT",AD261*Z261,IF(Y261="PER_CHARGEABLE_KG",R261*Z261,P261*Z261))</x:f>
        <x:v>554.881234647168</x:v>
      </x:c>
      <x:c r="AF261" s="226" t="n">
        <x:f>AD261*AC261</x:f>
        <x:v>71915.97092684658</x:v>
      </x:c>
      <x:c r="AG261" s="226" t="n">
        <x:f>AE261*AC261</x:f>
        <x:v>5049.419235289228</x:v>
      </x:c>
      <x:c r="AH261" s="226" t="str">
        <x:v>EUR</x:v>
      </x:c>
      <x:c r="AI261" s="226" t="n">
        <x:v>1.2213</x:v>
      </x:c>
      <x:c r="AJ261" s="226" t="n">
        <x:f>IF(AH261="EUR",AA261,IF(AH261="GBP",AB261,1))</x:f>
        <x:v>7.9</x:v>
      </x:c>
      <x:c r="AK261" s="226" t="n">
        <x:f>N261*AI261</x:f>
        <x:v>1646.1169920000002</x:v>
      </x:c>
      <x:c r="AL261" s="226" t="n">
        <x:f>AK261*AJ261</x:f>
        <x:v>13004.324236800003</x:v>
      </x:c>
      <x:c r="AM261" s="226" t="str">
        <x:v>EUR</x:v>
      </x:c>
      <x:c r="AN261" s="226" t="n">
        <x:v>0.4347</x:v>
      </x:c>
      <x:c r="AO261" s="226" t="n">
        <x:f>IF(AM261="EUR",AA261,IF(AM261="GBP",AB261,1))</x:f>
        <x:v>7.9</x:v>
      </x:c>
      <x:c r="AP261" s="226" t="n">
        <x:f>P261*AN261</x:f>
        <x:v>685.5100761599999</x:v>
      </x:c>
      <x:c r="AQ261" s="226" t="n">
        <x:f>AP261*AO261</x:f>
        <x:v>5415.5296016639995</x:v>
      </x:c>
      <x:c r="AR261" s="226" t="str">
        <x:v>GBP</x:v>
      </x:c>
      <x:c r="AS261" s="226" t="n">
        <x:v>4.968</x:v>
      </x:c>
      <x:c r="AT261" s="226" t="n">
        <x:f>IF(AR261="EUR",AA261,IF(AR261="GBP",AB261,1))</x:f>
        <x:v>9.1</x:v>
      </x:c>
      <x:c r="AU261" s="226" t="n">
        <x:f>T261*AS261</x:f>
        <x:v>602.6462208</x:v>
      </x:c>
      <x:c r="AV261" s="226" t="n">
        <x:f>AU261*AT261</x:f>
        <x:v>5484.08060928</x:v>
      </x:c>
      <x:c r="AW261" s="226" t="str">
        <x:v>GBP</x:v>
      </x:c>
      <x:c r="AX261" s="226" t="n">
        <x:v>2.3805</x:v>
      </x:c>
      <x:c r="AY261" s="226" t="n">
        <x:f>IF(AW261="EUR",AA261,IF(AW261="GBP",AB261,1))</x:f>
        <x:v>9.1</x:v>
      </x:c>
      <x:c r="AZ261" s="226" t="n">
        <x:f>V261*AX261</x:f>
        <x:v>75.07967500800001</x:v>
      </x:c>
      <x:c r="BA261" s="226" t="n">
        <x:f>AZ261*AY261</x:f>
        <x:v>683.2250425728</x:v>
      </x:c>
      <x:c r="BB261" s="226" t="n">
        <x:f>AF261+AG261+AL261+AQ261+AV261+BA261</x:f>
        <x:v>101552.54965245262</x:v>
      </x:c>
      <x:c r="BC261" s="229" t="n">
        <x:v>0.95</x:v>
      </x:c>
      <x:c r="BD261" s="202"/>
      <x:c r="BE261" s="202" t="str">
        <x:v>正式 Forecast 逐月降低英国空运及 Carrier C 份额，但仍高于 Budget</x:v>
      </x:c>
      <x:c r="BF261" s="202" t="str">
        <x:v>沿用当前正式 Forecast</x:v>
      </x:c>
      <x:c r="BG261" s="202" t="str">
        <x:v>UNVERIFIED_UNLIMITED_FOR_MVP</x:v>
      </x:c>
    </x:row>
    <x:row r="262">
      <x:c r="A262" s="187" t="str">
        <x:v>SCENARIO_BASE_2026_08</x:v>
      </x:c>
      <x:c r="B262" s="187" t="str">
        <x:v>SCENARIO</x:v>
      </x:c>
      <x:c r="C262" s="187" t="str">
        <x:v>BASE</x:v>
      </x:c>
      <x:c r="D262" s="217" t="n">
        <x:v>46296</x:v>
      </x:c>
      <x:c r="E262" s="187" t="str">
        <x:v>R_GB_DE_B_AIR</x:v>
      </x:c>
      <x:c r="F262" s="187" t="str">
        <x:v>GB</x:v>
      </x:c>
      <x:c r="G262" s="187" t="str">
        <x:v>DE_FC</x:v>
      </x:c>
      <x:c r="H262" s="187" t="str">
        <x:v>CARRIER_B</x:v>
      </x:c>
      <x:c r="I262" s="187" t="str">
        <x:v>AIR</x:v>
      </x:c>
      <x:c r="J262" s="220" t="n">
        <x:v>19500</x:v>
      </x:c>
      <x:c r="K262" s="223" t="n">
        <x:v>0.36</x:v>
      </x:c>
      <x:c r="L262" s="223" t="n">
        <x:v>0.96</x:v>
      </x:c>
      <x:c r="M262" s="223" t="n">
        <x:v>0.24</x:v>
      </x:c>
      <x:c r="N262" s="226" t="n">
        <x:f>J262*K262*L262*M262</x:f>
        <x:v>1617.408</x:v>
      </x:c>
      <x:c r="O262" s="220" t="n">
        <x:v>1.17</x:v>
      </x:c>
      <x:c r="P262" s="226" t="n">
        <x:f>N262*O262</x:f>
        <x:v>1892.3673599999997</x:v>
      </x:c>
      <x:c r="Q262" s="220" t="n">
        <x:v>0.968388</x:v>
      </x:c>
      <x:c r="R262" s="226" t="n">
        <x:f>P262*Q262</x:f>
        <x:v>1832.5458430156798</x:v>
      </x:c>
      <x:c r="S262" s="220" t="n">
        <x:v>0.09</x:v>
      </x:c>
      <x:c r="T262" s="226" t="n">
        <x:f>N262*S262</x:f>
        <x:v>145.56671999999998</x:v>
      </x:c>
      <x:c r="U262" s="226" t="n">
        <x:v>0.016</x:v>
      </x:c>
      <x:c r="V262" s="226" t="n">
        <x:f>P262*U262</x:f>
        <x:v>30.277877759999996</x:v>
      </x:c>
      <x:c r="W262" s="196" t="str">
        <x:v>GBP</x:v>
      </x:c>
      <x:c r="X262" s="220" t="n">
        <x:v>6.67368</x:v>
      </x:c>
      <x:c r="Y262" s="196" t="str">
        <x:v>PERCENTAGE_OF_BASE_FREIGHT</x:v>
      </x:c>
      <x:c r="Z262" s="220" t="n">
        <x:v>0.123786</x:v>
      </x:c>
      <x:c r="AA262" s="220" t="n">
        <x:v>7.9</x:v>
      </x:c>
      <x:c r="AB262" s="220" t="n">
        <x:v>9.1</x:v>
      </x:c>
      <x:c r="AC262" s="226" t="n">
        <x:f>IF(W262="EUR",AA262,IF(W262="GBP",AB262,1))</x:f>
        <x:v>9.1</x:v>
      </x:c>
      <x:c r="AD262" s="226" t="n">
        <x:f>R262*X262</x:f>
        <x:v>12229.824541616883</x:v>
      </x:c>
      <x:c r="AE262" s="226" t="n">
        <x:f>IF(Y262="PERCENTAGE_OF_BASE_FREIGHT",AD262*Z262,IF(Y262="PER_CHARGEABLE_KG",R262*Z262,P262*Z262))</x:f>
        <x:v>1513.8810607085875</x:v>
      </x:c>
      <x:c r="AF262" s="226" t="n">
        <x:f>AD262*AC262</x:f>
        <x:v>111291.40332871363</x:v>
      </x:c>
      <x:c r="AG262" s="226" t="n">
        <x:f>AE262*AC262</x:f>
        <x:v>13776.317652448146</x:v>
      </x:c>
      <x:c r="AH262" s="226" t="str">
        <x:v>EUR</x:v>
      </x:c>
      <x:c r="AI262" s="226" t="n">
        <x:v>1.2213</x:v>
      </x:c>
      <x:c r="AJ262" s="226" t="n">
        <x:f>IF(AH262="EUR",AA262,IF(AH262="GBP",AB262,1))</x:f>
        <x:v>7.9</x:v>
      </x:c>
      <x:c r="AK262" s="226" t="n">
        <x:f>N262*AI262</x:f>
        <x:v>1975.3403904</x:v>
      </x:c>
      <x:c r="AL262" s="226" t="n">
        <x:f>AK262*AJ262</x:f>
        <x:v>15605.18908416</x:v>
      </x:c>
      <x:c r="AM262" s="226" t="str">
        <x:v>EUR</x:v>
      </x:c>
      <x:c r="AN262" s="226" t="n">
        <x:v>0.4347</x:v>
      </x:c>
      <x:c r="AO262" s="226" t="n">
        <x:f>IF(AM262="EUR",AA262,IF(AM262="GBP",AB262,1))</x:f>
        <x:v>7.9</x:v>
      </x:c>
      <x:c r="AP262" s="226" t="n">
        <x:f>P262*AN262</x:f>
        <x:v>822.6120913919998</x:v>
      </x:c>
      <x:c r="AQ262" s="226" t="n">
        <x:f>AP262*AO262</x:f>
        <x:v>6498.635521996799</x:v>
      </x:c>
      <x:c r="AR262" s="226" t="str">
        <x:v>GBP</x:v>
      </x:c>
      <x:c r="AS262" s="226" t="n">
        <x:v>4.968</x:v>
      </x:c>
      <x:c r="AT262" s="226" t="n">
        <x:f>IF(AR262="EUR",AA262,IF(AR262="GBP",AB262,1))</x:f>
        <x:v>9.1</x:v>
      </x:c>
      <x:c r="AU262" s="226" t="n">
        <x:f>T262*AS262</x:f>
        <x:v>723.1754649599999</x:v>
      </x:c>
      <x:c r="AV262" s="226" t="n">
        <x:f>AU262*AT262</x:f>
        <x:v>6580.896731135998</x:v>
      </x:c>
      <x:c r="AW262" s="226" t="str">
        <x:v>GBP</x:v>
      </x:c>
      <x:c r="AX262" s="226" t="n">
        <x:v>2.898</x:v>
      </x:c>
      <x:c r="AY262" s="226" t="n">
        <x:f>IF(AW262="EUR",AA262,IF(AW262="GBP",AB262,1))</x:f>
        <x:v>9.1</x:v>
      </x:c>
      <x:c r="AZ262" s="226" t="n">
        <x:f>V262*AX262</x:f>
        <x:v>87.74528974847999</x:v>
      </x:c>
      <x:c r="BA262" s="226" t="n">
        <x:f>AZ262*AY262</x:f>
        <x:v>798.4821367111679</x:v>
      </x:c>
      <x:c r="BB262" s="226" t="n">
        <x:f>AF262+AG262+AL262+AQ262+AV262+BA262</x:f>
        <x:v>154550.92445516572</x:v>
      </x:c>
      <x:c r="BC262" s="229" t="n">
        <x:v>0.974</x:v>
      </x:c>
      <x:c r="BD262" s="202"/>
      <x:c r="BE262" s="202" t="str">
        <x:v>正式 Forecast 逐月降低英国空运及 Carrier C 份额，但仍高于 Budget</x:v>
      </x:c>
      <x:c r="BF262" s="202" t="str">
        <x:v>沿用当前正式 Forecast</x:v>
      </x:c>
      <x:c r="BG262" s="202" t="str">
        <x:v>UNVERIFIED_UNLIMITED_FOR_MVP</x:v>
      </x:c>
    </x:row>
    <x:row r="263">
      <x:c r="A263" s="187" t="str">
        <x:v>SCENARIO_BASE_2026_08</x:v>
      </x:c>
      <x:c r="B263" s="187" t="str">
        <x:v>SCENARIO</x:v>
      </x:c>
      <x:c r="C263" s="187" t="str">
        <x:v>BASE</x:v>
      </x:c>
      <x:c r="D263" s="217" t="n">
        <x:v>46296</x:v>
      </x:c>
      <x:c r="E263" s="187" t="str">
        <x:v>R_GB_DE_C_AIR</x:v>
      </x:c>
      <x:c r="F263" s="187" t="str">
        <x:v>GB</x:v>
      </x:c>
      <x:c r="G263" s="187" t="str">
        <x:v>DE_FC</x:v>
      </x:c>
      <x:c r="H263" s="187" t="str">
        <x:v>CARRIER_C</x:v>
      </x:c>
      <x:c r="I263" s="187" t="str">
        <x:v>AIR</x:v>
      </x:c>
      <x:c r="J263" s="220" t="n">
        <x:v>19500</x:v>
      </x:c>
      <x:c r="K263" s="223" t="n">
        <x:v>0.36</x:v>
      </x:c>
      <x:c r="L263" s="223" t="n">
        <x:v>0.96</x:v>
      </x:c>
      <x:c r="M263" s="223" t="n">
        <x:v>0.2</x:v>
      </x:c>
      <x:c r="N263" s="226" t="n">
        <x:f>J263*K263*L263*M263</x:f>
        <x:v>1347.8400000000001</x:v>
      </x:c>
      <x:c r="O263" s="220" t="n">
        <x:v>1.17</x:v>
      </x:c>
      <x:c r="P263" s="226" t="n">
        <x:f>N263*O263</x:f>
        <x:v>1576.9728</x:v>
      </x:c>
      <x:c r="Q263" s="220" t="n">
        <x:v>0.947784</x:v>
      </x:c>
      <x:c r="R263" s="226" t="n">
        <x:f>P263*Q263</x:f>
        <x:v>1494.6295882752</x:v>
      </x:c>
      <x:c r="S263" s="220" t="n">
        <x:v>0.09</x:v>
      </x:c>
      <x:c r="T263" s="226" t="n">
        <x:f>N263*S263</x:f>
        <x:v>121.30560000000001</x:v>
      </x:c>
      <x:c r="U263" s="226" t="n">
        <x:v>0.011</x:v>
      </x:c>
      <x:c r="V263" s="226" t="n">
        <x:f>P263*U263</x:f>
        <x:v>17.3467008</x:v>
      </x:c>
      <x:c r="W263" s="196" t="str">
        <x:v>GBP</x:v>
      </x:c>
      <x:c r="X263" s="220" t="n">
        <x:v>8.22825</x:v>
      </x:c>
      <x:c r="Y263" s="196" t="str">
        <x:v>PER_CHARGEABLE_KG</x:v>
      </x:c>
      <x:c r="Z263" s="220" t="n">
        <x:v>0.636318</x:v>
      </x:c>
      <x:c r="AA263" s="220" t="n">
        <x:v>7.9</x:v>
      </x:c>
      <x:c r="AB263" s="220" t="n">
        <x:v>9.1</x:v>
      </x:c>
      <x:c r="AC263" s="226" t="n">
        <x:f>IF(W263="EUR",AA263,IF(W263="GBP",AB263,1))</x:f>
        <x:v>9.1</x:v>
      </x:c>
      <x:c r="AD263" s="226" t="n">
        <x:f>R263*X263</x:f>
        <x:v>12298.185909725413</x:v>
      </x:c>
      <x:c r="AE263" s="226" t="n">
        <x:f>IF(Y263="PERCENTAGE_OF_BASE_FREIGHT",AD263*Z263,IF(Y263="PER_CHARGEABLE_KG",R263*Z263,P263*Z263))</x:f>
        <x:v>951.0597103520987</x:v>
      </x:c>
      <x:c r="AF263" s="226" t="n">
        <x:f>AD263*AC263</x:f>
        <x:v>111913.49177850125</x:v>
      </x:c>
      <x:c r="AG263" s="226" t="n">
        <x:f>AE263*AC263</x:f>
        <x:v>8654.643364204097</x:v>
      </x:c>
      <x:c r="AH263" s="226" t="str">
        <x:v>EUR</x:v>
      </x:c>
      <x:c r="AI263" s="226" t="n">
        <x:v>1.2213</x:v>
      </x:c>
      <x:c r="AJ263" s="226" t="n">
        <x:f>IF(AH263="EUR",AA263,IF(AH263="GBP",AB263,1))</x:f>
        <x:v>7.9</x:v>
      </x:c>
      <x:c r="AK263" s="226" t="n">
        <x:f>N263*AI263</x:f>
        <x:v>1646.1169920000002</x:v>
      </x:c>
      <x:c r="AL263" s="226" t="n">
        <x:f>AK263*AJ263</x:f>
        <x:v>13004.324236800003</x:v>
      </x:c>
      <x:c r="AM263" s="226" t="str">
        <x:v>EUR</x:v>
      </x:c>
      <x:c r="AN263" s="226" t="n">
        <x:v>0.4347</x:v>
      </x:c>
      <x:c r="AO263" s="226" t="n">
        <x:f>IF(AM263="EUR",AA263,IF(AM263="GBP",AB263,1))</x:f>
        <x:v>7.9</x:v>
      </x:c>
      <x:c r="AP263" s="226" t="n">
        <x:f>P263*AN263</x:f>
        <x:v>685.5100761599999</x:v>
      </x:c>
      <x:c r="AQ263" s="226" t="n">
        <x:f>AP263*AO263</x:f>
        <x:v>5415.5296016639995</x:v>
      </x:c>
      <x:c r="AR263" s="226" t="str">
        <x:v>GBP</x:v>
      </x:c>
      <x:c r="AS263" s="226" t="n">
        <x:v>4.968</x:v>
      </x:c>
      <x:c r="AT263" s="226" t="n">
        <x:f>IF(AR263="EUR",AA263,IF(AR263="GBP",AB263,1))</x:f>
        <x:v>9.1</x:v>
      </x:c>
      <x:c r="AU263" s="226" t="n">
        <x:f>T263*AS263</x:f>
        <x:v>602.6462208</x:v>
      </x:c>
      <x:c r="AV263" s="226" t="n">
        <x:f>AU263*AT263</x:f>
        <x:v>5484.08060928</x:v>
      </x:c>
      <x:c r="AW263" s="226" t="str">
        <x:v>GBP</x:v>
      </x:c>
      <x:c r="AX263" s="226" t="n">
        <x:v>3.726</x:v>
      </x:c>
      <x:c r="AY263" s="226" t="n">
        <x:f>IF(AW263="EUR",AA263,IF(AW263="GBP",AB263,1))</x:f>
        <x:v>9.1</x:v>
      </x:c>
      <x:c r="AZ263" s="226" t="n">
        <x:f>V263*AX263</x:f>
        <x:v>64.6338071808</x:v>
      </x:c>
      <x:c r="BA263" s="226" t="n">
        <x:f>AZ263*AY263</x:f>
        <x:v>588.16764534528</x:v>
      </x:c>
      <x:c r="BB263" s="226" t="n">
        <x:f>AF263+AG263+AL263+AQ263+AV263+BA263</x:f>
        <x:v>145060.2372357946</x:v>
      </x:c>
      <x:c r="BC263" s="229" t="n">
        <x:v>0.988</x:v>
      </x:c>
      <x:c r="BD263" s="202"/>
      <x:c r="BE263" s="202" t="str">
        <x:v>正式 Forecast 逐月降低英国空运及 Carrier C 份额，但仍高于 Budget</x:v>
      </x:c>
      <x:c r="BF263" s="202" t="str">
        <x:v>沿用当前正式 Forecast</x:v>
      </x:c>
      <x:c r="BG263" s="202" t="str">
        <x:v>UNVERIFIED_UNLIMITED_FOR_MVP</x:v>
      </x:c>
    </x:row>
    <x:row r="264">
      <x:c r="A264" s="187" t="str">
        <x:v>SCENARIO_BASE_2026_08</x:v>
      </x:c>
      <x:c r="B264" s="187" t="str">
        <x:v>SCENARIO</x:v>
      </x:c>
      <x:c r="C264" s="187" t="str">
        <x:v>BASE</x:v>
      </x:c>
      <x:c r="D264" s="217" t="n">
        <x:v>46296</x:v>
      </x:c>
      <x:c r="E264" s="187" t="str">
        <x:v>R_GB_FR_B_AIR</x:v>
      </x:c>
      <x:c r="F264" s="187" t="str">
        <x:v>GB</x:v>
      </x:c>
      <x:c r="G264" s="187" t="str">
        <x:v>FR_FC</x:v>
      </x:c>
      <x:c r="H264" s="187" t="str">
        <x:v>CARRIER_B</x:v>
      </x:c>
      <x:c r="I264" s="187" t="str">
        <x:v>AIR</x:v>
      </x:c>
      <x:c r="J264" s="220" t="n">
        <x:v>19500</x:v>
      </x:c>
      <x:c r="K264" s="223" t="n">
        <x:v>0.36</x:v>
      </x:c>
      <x:c r="L264" s="223" t="n">
        <x:v>0.04</x:v>
      </x:c>
      <x:c r="M264" s="223" t="n">
        <x:v>1</x:v>
      </x:c>
      <x:c r="N264" s="226" t="n">
        <x:f>J264*K264*L264*M264</x:f>
        <x:v>280.8</x:v>
      </x:c>
      <x:c r="O264" s="220" t="n">
        <x:v>1.17</x:v>
      </x:c>
      <x:c r="P264" s="226" t="n">
        <x:f>N264*O264</x:f>
        <x:v>328.536</x:v>
      </x:c>
      <x:c r="Q264" s="220" t="n">
        <x:v>0.92718</x:v>
      </x:c>
      <x:c r="R264" s="226" t="n">
        <x:f>P264*Q264</x:f>
        <x:v>304.61200848</x:v>
      </x:c>
      <x:c r="S264" s="220" t="n">
        <x:v>0.09</x:v>
      </x:c>
      <x:c r="T264" s="226" t="n">
        <x:f>N264*S264</x:f>
        <x:v>25.272</x:v>
      </x:c>
      <x:c r="U264" s="226" t="n">
        <x:v>0.014</x:v>
      </x:c>
      <x:c r="V264" s="226" t="n">
        <x:f>P264*U264</x:f>
        <x:v>4.5995040000000005</x:v>
      </x:c>
      <x:c r="W264" s="196" t="str">
        <x:v>EUR</x:v>
      </x:c>
      <x:c r="X264" s="220" t="n">
        <x:v>6.9345</x:v>
      </x:c>
      <x:c r="Y264" s="196" t="str">
        <x:v>PERCENTAGE_OF_BASE_FREIGHT</x:v>
      </x:c>
      <x:c r="Z264" s="220" t="n">
        <x:v>0.108675</x:v>
      </x:c>
      <x:c r="AA264" s="220" t="n">
        <x:v>7.9</x:v>
      </x:c>
      <x:c r="AB264" s="220" t="n">
        <x:v>9.1</x:v>
      </x:c>
      <x:c r="AC264" s="226" t="n">
        <x:f>IF(W264="EUR",AA264,IF(W264="GBP",AB264,1))</x:f>
        <x:v>7.9</x:v>
      </x:c>
      <x:c r="AD264" s="226" t="n">
        <x:f>R264*X264</x:f>
        <x:v>2112.33197280456</x:v>
      </x:c>
      <x:c r="AE264" s="226" t="n">
        <x:f>IF(Y264="PERCENTAGE_OF_BASE_FREIGHT",AD264*Z264,IF(Y264="PER_CHARGEABLE_KG",R264*Z264,P264*Z264))</x:f>
        <x:v>229.55767714453555</x:v>
      </x:c>
      <x:c r="AF264" s="226" t="n">
        <x:f>AD264*AC264</x:f>
        <x:v>16687.422585156022</x:v>
      </x:c>
      <x:c r="AG264" s="226" t="n">
        <x:f>AE264*AC264</x:f>
        <x:v>1813.5056494418309</x:v>
      </x:c>
      <x:c r="AH264" s="226" t="str">
        <x:v>EUR</x:v>
      </x:c>
      <x:c r="AI264" s="226" t="n">
        <x:v>1.08675</x:v>
      </x:c>
      <x:c r="AJ264" s="226" t="n">
        <x:f>IF(AH264="EUR",AA264,IF(AH264="GBP",AB264,1))</x:f>
        <x:v>7.9</x:v>
      </x:c>
      <x:c r="AK264" s="226" t="n">
        <x:f>N264*AI264</x:f>
        <x:v>305.15940000000006</x:v>
      </x:c>
      <x:c r="AL264" s="226" t="n">
        <x:f>AK264*AJ264</x:f>
        <x:v>2410.7592600000007</x:v>
      </x:c>
      <x:c r="AM264" s="226" t="str">
        <x:v>EUR</x:v>
      </x:c>
      <x:c r="AN264" s="226" t="n">
        <x:v>0.3933</x:v>
      </x:c>
      <x:c r="AO264" s="226" t="n">
        <x:f>IF(AM264="EUR",AA264,IF(AM264="GBP",AB264,1))</x:f>
        <x:v>7.9</x:v>
      </x:c>
      <x:c r="AP264" s="226" t="n">
        <x:f>P264*AN264</x:f>
        <x:v>129.2132088</x:v>
      </x:c>
      <x:c r="AQ264" s="226" t="n">
        <x:f>AP264*AO264</x:f>
        <x:v>1020.78434952</x:v>
      </x:c>
      <x:c r="AR264" s="226" t="str">
        <x:v>EUR</x:v>
      </x:c>
      <x:c r="AS264" s="226" t="n">
        <x:v>5.382</x:v>
      </x:c>
      <x:c r="AT264" s="226" t="n">
        <x:f>IF(AR264="EUR",AA264,IF(AR264="GBP",AB264,1))</x:f>
        <x:v>7.9</x:v>
      </x:c>
      <x:c r="AU264" s="226" t="n">
        <x:f>T264*AS264</x:f>
        <x:v>136.013904</x:v>
      </x:c>
      <x:c r="AV264" s="226" t="n">
        <x:f>AU264*AT264</x:f>
        <x:v>1074.5098416</x:v>
      </x:c>
      <x:c r="AW264" s="226" t="str">
        <x:v>EUR</x:v>
      </x:c>
      <x:c r="AX264" s="226" t="n">
        <x:v>2.898</x:v>
      </x:c>
      <x:c r="AY264" s="226" t="n">
        <x:f>IF(AW264="EUR",AA264,IF(AW264="GBP",AB264,1))</x:f>
        <x:v>7.9</x:v>
      </x:c>
      <x:c r="AZ264" s="226" t="n">
        <x:f>V264*AX264</x:f>
        <x:v>13.329362592000003</x:v>
      </x:c>
      <x:c r="BA264" s="226" t="n">
        <x:f>AZ264*AY264</x:f>
        <x:v>105.30196447680002</x:v>
      </x:c>
      <x:c r="BB264" s="226" t="n">
        <x:f>AF264+AG264+AL264+AQ264+AV264+BA264</x:f>
        <x:v>23112.283650194655</x:v>
      </x:c>
      <x:c r="BC264" s="229" t="n">
        <x:v>0.971</x:v>
      </x:c>
      <x:c r="BD264" s="202"/>
      <x:c r="BE264" s="202" t="str">
        <x:v>正式 Forecast 逐月降低英国空运及 Carrier C 份额，但仍高于 Budget</x:v>
      </x:c>
      <x:c r="BF264" s="202" t="str">
        <x:v>沿用当前正式 Forecast</x:v>
      </x:c>
      <x:c r="BG264" s="202" t="str">
        <x:v>UNVERIFIED_UNLIMITED_FOR_MVP</x:v>
      </x:c>
    </x:row>
    <x:row r="265">
      <x:c r="A265" s="187" t="str">
        <x:v>SCENARIO_BASE_2026_08</x:v>
      </x:c>
      <x:c r="B265" s="187" t="str">
        <x:v>SCENARIO</x:v>
      </x:c>
      <x:c r="C265" s="187" t="str">
        <x:v>BASE</x:v>
      </x:c>
      <x:c r="D265" s="217" t="n">
        <x:v>46327</x:v>
      </x:c>
      <x:c r="E265" s="187" t="str">
        <x:v>R_DE_DE_A_ROAD</x:v>
      </x:c>
      <x:c r="F265" s="187" t="str">
        <x:v>DE</x:v>
      </x:c>
      <x:c r="G265" s="187" t="str">
        <x:v>DE_FC</x:v>
      </x:c>
      <x:c r="H265" s="187" t="str">
        <x:v>CARRIER_A</x:v>
      </x:c>
      <x:c r="I265" s="187" t="str">
        <x:v>ROAD</x:v>
      </x:c>
      <x:c r="J265" s="220" t="n">
        <x:v>24800</x:v>
      </x:c>
      <x:c r="K265" s="223" t="n">
        <x:v>0.32</x:v>
      </x:c>
      <x:c r="L265" s="223" t="n">
        <x:v>0.97</x:v>
      </x:c>
      <x:c r="M265" s="223" t="n">
        <x:v>0.6</x:v>
      </x:c>
      <x:c r="N265" s="226" t="n">
        <x:f>J265*K265*L265*M265</x:f>
        <x:v>4618.7519999999995</x:v>
      </x:c>
      <x:c r="O265" s="220" t="n">
        <x:v>1.05</x:v>
      </x:c>
      <x:c r="P265" s="226" t="n">
        <x:f>N265*O265</x:f>
        <x:v>4849.6896</x:v>
      </x:c>
      <x:c r="Q265" s="220" t="n">
        <x:v>0.7878</x:v>
      </x:c>
      <x:c r="R265" s="226" t="n">
        <x:f>P265*Q265</x:f>
        <x:v>3820.5854668799993</x:v>
      </x:c>
      <x:c r="S265" s="220" t="n">
        <x:v>0.05</x:v>
      </x:c>
      <x:c r="T265" s="226" t="n">
        <x:f>N265*S265</x:f>
        <x:v>230.93759999999997</x:v>
      </x:c>
      <x:c r="U265" s="226" t="n">
        <x:v>0.016</x:v>
      </x:c>
      <x:c r="V265" s="226" t="n">
        <x:f>P265*U265</x:f>
        <x:v>77.5950336</x:v>
      </x:c>
      <x:c r="W265" s="196" t="str">
        <x:v>EUR</x:v>
      </x:c>
      <x:c r="X265" s="220" t="n">
        <x:v>2.277</x:v>
      </x:c>
      <x:c r="Y265" s="196" t="str">
        <x:v>PERCENTAGE_OF_BASE_FREIGHT</x:v>
      </x:c>
      <x:c r="Z265" s="220" t="n">
        <x:v>0.098325</x:v>
      </x:c>
      <x:c r="AA265" s="220" t="n">
        <x:v>7.88</x:v>
      </x:c>
      <x:c r="AB265" s="220" t="n">
        <x:v>9.05</x:v>
      </x:c>
      <x:c r="AC265" s="226" t="n">
        <x:f>IF(W265="EUR",AA265,IF(W265="GBP",AB265,1))</x:f>
        <x:v>7.88</x:v>
      </x:c>
      <x:c r="AD265" s="226" t="n">
        <x:f>R265*X265</x:f>
        <x:v>8699.473108085758</x:v>
      </x:c>
      <x:c r="AE265" s="226" t="n">
        <x:f>IF(Y265="PERCENTAGE_OF_BASE_FREIGHT",AD265*Z265,IF(Y265="PER_CHARGEABLE_KG",R265*Z265,P265*Z265))</x:f>
        <x:v>855.3756933525322</x:v>
      </x:c>
      <x:c r="AF265" s="226" t="n">
        <x:f>AD265*AC265</x:f>
        <x:v>68551.84809171577</x:v>
      </x:c>
      <x:c r="AG265" s="226" t="n">
        <x:f>AE265*AC265</x:f>
        <x:v>6740.360463617953</x:v>
      </x:c>
      <x:c r="AH265" s="226" t="str">
        <x:v>EUR</x:v>
      </x:c>
      <x:c r="AI265" s="226" t="n">
        <x:v>1.2213</x:v>
      </x:c>
      <x:c r="AJ265" s="226" t="n">
        <x:f>IF(AH265="EUR",AA265,IF(AH265="GBP",AB265,1))</x:f>
        <x:v>7.88</x:v>
      </x:c>
      <x:c r="AK265" s="226" t="n">
        <x:f>N265*AI265</x:f>
        <x:v>5640.8818175999995</x:v>
      </x:c>
      <x:c r="AL265" s="226" t="n">
        <x:f>AK265*AJ265</x:f>
        <x:v>44450.148722688</x:v>
      </x:c>
      <x:c r="AM265" s="226" t="str">
        <x:v>EUR</x:v>
      </x:c>
      <x:c r="AN265" s="226" t="n">
        <x:v>0.4347</x:v>
      </x:c>
      <x:c r="AO265" s="226" t="n">
        <x:f>IF(AM265="EUR",AA265,IF(AM265="GBP",AB265,1))</x:f>
        <x:v>7.88</x:v>
      </x:c>
      <x:c r="AP265" s="226" t="n">
        <x:f>P265*AN265</x:f>
        <x:v>2108.1600691199997</x:v>
      </x:c>
      <x:c r="AQ265" s="226" t="n">
        <x:f>AP265*AO265</x:f>
        <x:v>16612.301344665597</x:v>
      </x:c>
      <x:c r="AR265" s="226" t="str">
        <x:v>EUR</x:v>
      </x:c>
      <x:c r="AS265" s="226" t="n">
        <x:v>3.312</x:v>
      </x:c>
      <x:c r="AT265" s="226" t="n">
        <x:f>IF(AR265="EUR",AA265,IF(AR265="GBP",AB265,1))</x:f>
        <x:v>7.88</x:v>
      </x:c>
      <x:c r="AU265" s="226" t="n">
        <x:f>T265*AS265</x:f>
        <x:v>764.8653311999999</x:v>
      </x:c>
      <x:c r="AV265" s="226" t="n">
        <x:f>AU265*AT265</x:f>
        <x:v>6027.138809855999</x:v>
      </x:c>
      <x:c r="AW265" s="226" t="str">
        <x:v>EUR</x:v>
      </x:c>
      <x:c r="AX265" s="226" t="n">
        <x:v>2.3805</x:v>
      </x:c>
      <x:c r="AY265" s="226" t="n">
        <x:f>IF(AW265="EUR",AA265,IF(AW265="GBP",AB265,1))</x:f>
        <x:v>7.88</x:v>
      </x:c>
      <x:c r="AZ265" s="226" t="n">
        <x:f>V265*AX265</x:f>
        <x:v>184.7149774848</x:v>
      </x:c>
      <x:c r="BA265" s="226" t="n">
        <x:f>AZ265*AY265</x:f>
        <x:v>1455.5540225802238</x:v>
      </x:c>
      <x:c r="BB265" s="226" t="n">
        <x:f>AF265+AG265+AL265+AQ265+AV265+BA265</x:f>
        <x:v>143837.35145512354</x:v>
      </x:c>
      <x:c r="BC265" s="229" t="n">
        <x:v>0.965</x:v>
      </x:c>
      <x:c r="BD265" s="202"/>
      <x:c r="BE265" s="202" t="str">
        <x:v>正式 Forecast 逐月降低英国空运及 Carrier C 份额，但仍高于 Budget</x:v>
      </x:c>
      <x:c r="BF265" s="202" t="str">
        <x:v>沿用当前正式 Forecast</x:v>
      </x:c>
      <x:c r="BG265" s="202" t="str">
        <x:v>UNVERIFIED_UNLIMITED_FOR_MVP</x:v>
      </x:c>
    </x:row>
    <x:row r="266">
      <x:c r="A266" s="187" t="str">
        <x:v>SCENARIO_BASE_2026_08</x:v>
      </x:c>
      <x:c r="B266" s="187" t="str">
        <x:v>SCENARIO</x:v>
      </x:c>
      <x:c r="C266" s="187" t="str">
        <x:v>BASE</x:v>
      </x:c>
      <x:c r="D266" s="217" t="n">
        <x:v>46327</x:v>
      </x:c>
      <x:c r="E266" s="187" t="str">
        <x:v>R_DE_DE_B_ROAD</x:v>
      </x:c>
      <x:c r="F266" s="187" t="str">
        <x:v>DE</x:v>
      </x:c>
      <x:c r="G266" s="187" t="str">
        <x:v>DE_FC</x:v>
      </x:c>
      <x:c r="H266" s="187" t="str">
        <x:v>CARRIER_B</x:v>
      </x:c>
      <x:c r="I266" s="187" t="str">
        <x:v>ROAD</x:v>
      </x:c>
      <x:c r="J266" s="220" t="n">
        <x:v>24800</x:v>
      </x:c>
      <x:c r="K266" s="223" t="n">
        <x:v>0.32</x:v>
      </x:c>
      <x:c r="L266" s="223" t="n">
        <x:v>0.97</x:v>
      </x:c>
      <x:c r="M266" s="223" t="n">
        <x:v>0.4</x:v>
      </x:c>
      <x:c r="N266" s="226" t="n">
        <x:f>J266*K266*L266*M266</x:f>
        <x:v>3079.168</x:v>
      </x:c>
      <x:c r="O266" s="220" t="n">
        <x:v>1.05</x:v>
      </x:c>
      <x:c r="P266" s="226" t="n">
        <x:f>N266*O266</x:f>
        <x:v>3233.1264</x:v>
      </x:c>
      <x:c r="Q266" s="220" t="n">
        <x:v>0.808</x:v>
      </x:c>
      <x:c r="R266" s="226" t="n">
        <x:f>P266*Q266</x:f>
        <x:v>2612.3661312000004</x:v>
      </x:c>
      <x:c r="S266" s="220" t="n">
        <x:v>0.05</x:v>
      </x:c>
      <x:c r="T266" s="226" t="n">
        <x:f>N266*S266</x:f>
        <x:v>153.9584</x:v>
      </x:c>
      <x:c r="U266" s="226" t="n">
        <x:v>0.013</x:v>
      </x:c>
      <x:c r="V266" s="226" t="n">
        <x:f>P266*U266</x:f>
        <x:v>42.0306432</x:v>
      </x:c>
      <x:c r="W266" s="196" t="str">
        <x:v>EUR</x:v>
      </x:c>
      <x:c r="X266" s="220" t="n">
        <x:v>2.84625</x:v>
      </x:c>
      <x:c r="Y266" s="196" t="str">
        <x:v>PER_CHARGEABLE_KG</x:v>
      </x:c>
      <x:c r="Z266" s="220" t="n">
        <x:v>0.21735</x:v>
      </x:c>
      <x:c r="AA266" s="220" t="n">
        <x:v>7.88</x:v>
      </x:c>
      <x:c r="AB266" s="220" t="n">
        <x:v>9.05</x:v>
      </x:c>
      <x:c r="AC266" s="226" t="n">
        <x:f>IF(W266="EUR",AA266,IF(W266="GBP",AB266,1))</x:f>
        <x:v>7.88</x:v>
      </x:c>
      <x:c r="AD266" s="226" t="n">
        <x:f>R266*X266</x:f>
        <x:v>7435.4471009280005</x:v>
      </x:c>
      <x:c r="AE266" s="226" t="n">
        <x:f>IF(Y266="PERCENTAGE_OF_BASE_FREIGHT",AD266*Z266,IF(Y266="PER_CHARGEABLE_KG",R266*Z266,P266*Z266))</x:f>
        <x:v>567.7977786163201</x:v>
      </x:c>
      <x:c r="AF266" s="226" t="n">
        <x:f>AD266*AC266</x:f>
        <x:v>58591.323155312646</x:v>
      </x:c>
      <x:c r="AG266" s="226" t="n">
        <x:f>AE266*AC266</x:f>
        <x:v>4474.246495496603</x:v>
      </x:c>
      <x:c r="AH266" s="226" t="str">
        <x:v>EUR</x:v>
      </x:c>
      <x:c r="AI266" s="226" t="n">
        <x:v>1.2213</x:v>
      </x:c>
      <x:c r="AJ266" s="226" t="n">
        <x:f>IF(AH266="EUR",AA266,IF(AH266="GBP",AB266,1))</x:f>
        <x:v>7.88</x:v>
      </x:c>
      <x:c r="AK266" s="226" t="n">
        <x:f>N266*AI266</x:f>
        <x:v>3760.5878784</x:v>
      </x:c>
      <x:c r="AL266" s="226" t="n">
        <x:f>AK266*AJ266</x:f>
        <x:v>29633.432481792002</x:v>
      </x:c>
      <x:c r="AM266" s="226" t="str">
        <x:v>EUR</x:v>
      </x:c>
      <x:c r="AN266" s="226" t="n">
        <x:v>0.4347</x:v>
      </x:c>
      <x:c r="AO266" s="226" t="n">
        <x:f>IF(AM266="EUR",AA266,IF(AM266="GBP",AB266,1))</x:f>
        <x:v>7.88</x:v>
      </x:c>
      <x:c r="AP266" s="226" t="n">
        <x:f>P266*AN266</x:f>
        <x:v>1405.44004608</x:v>
      </x:c>
      <x:c r="AQ266" s="226" t="n">
        <x:f>AP266*AO266</x:f>
        <x:v>11074.8675631104</x:v>
      </x:c>
      <x:c r="AR266" s="226" t="str">
        <x:v>EUR</x:v>
      </x:c>
      <x:c r="AS266" s="226" t="n">
        <x:v>3.312</x:v>
      </x:c>
      <x:c r="AT266" s="226" t="n">
        <x:f>IF(AR266="EUR",AA266,IF(AR266="GBP",AB266,1))</x:f>
        <x:v>7.88</x:v>
      </x:c>
      <x:c r="AU266" s="226" t="n">
        <x:f>T266*AS266</x:f>
        <x:v>509.9102208</x:v>
      </x:c>
      <x:c r="AV266" s="226" t="n">
        <x:f>AU266*AT266</x:f>
        <x:v>4018.0925399039998</x:v>
      </x:c>
      <x:c r="AW266" s="226" t="str">
        <x:v>EUR</x:v>
      </x:c>
      <x:c r="AX266" s="226" t="n">
        <x:v>2.3805</x:v>
      </x:c>
      <x:c r="AY266" s="226" t="n">
        <x:f>IF(AW266="EUR",AA266,IF(AW266="GBP",AB266,1))</x:f>
        <x:v>7.88</x:v>
      </x:c>
      <x:c r="AZ266" s="226" t="n">
        <x:f>V266*AX266</x:f>
        <x:v>100.05394613760001</x:v>
      </x:c>
      <x:c r="BA266" s="226" t="n">
        <x:f>AZ266*AY266</x:f>
        <x:v>788.4250955642881</x:v>
      </x:c>
      <x:c r="BB266" s="226" t="n">
        <x:f>AF266+AG266+AL266+AQ266+AV266+BA266</x:f>
        <x:v>108580.38733117994</x:v>
      </x:c>
      <x:c r="BC266" s="229" t="n">
        <x:v>0.976</x:v>
      </x:c>
      <x:c r="BD266" s="202"/>
      <x:c r="BE266" s="202" t="str">
        <x:v>正式 Forecast 逐月降低英国空运及 Carrier C 份额，但仍高于 Budget</x:v>
      </x:c>
      <x:c r="BF266" s="202" t="str">
        <x:v>沿用当前正式 Forecast</x:v>
      </x:c>
      <x:c r="BG266" s="202" t="str">
        <x:v>UNVERIFIED_UNLIMITED_FOR_MVP</x:v>
      </x:c>
    </x:row>
    <x:row r="267">
      <x:c r="A267" s="187" t="str">
        <x:v>SCENARIO_BASE_2026_08</x:v>
      </x:c>
      <x:c r="B267" s="187" t="str">
        <x:v>SCENARIO</x:v>
      </x:c>
      <x:c r="C267" s="187" t="str">
        <x:v>BASE</x:v>
      </x:c>
      <x:c r="D267" s="217" t="n">
        <x:v>46327</x:v>
      </x:c>
      <x:c r="E267" s="187" t="str">
        <x:v>R_DE_FR_B_ROAD</x:v>
      </x:c>
      <x:c r="F267" s="187" t="str">
        <x:v>DE</x:v>
      </x:c>
      <x:c r="G267" s="187" t="str">
        <x:v>FR_FC</x:v>
      </x:c>
      <x:c r="H267" s="187" t="str">
        <x:v>CARRIER_B</x:v>
      </x:c>
      <x:c r="I267" s="187" t="str">
        <x:v>ROAD</x:v>
      </x:c>
      <x:c r="J267" s="220" t="n">
        <x:v>24800</x:v>
      </x:c>
      <x:c r="K267" s="223" t="n">
        <x:v>0.32</x:v>
      </x:c>
      <x:c r="L267" s="223" t="n">
        <x:v>0.03</x:v>
      </x:c>
      <x:c r="M267" s="223" t="n">
        <x:v>1</x:v>
      </x:c>
      <x:c r="N267" s="226" t="n">
        <x:f>J267*K267*L267*M267</x:f>
        <x:v>238.07999999999998</x:v>
      </x:c>
      <x:c r="O267" s="220" t="n">
        <x:v>1.08</x:v>
      </x:c>
      <x:c r="P267" s="226" t="n">
        <x:f>N267*O267</x:f>
        <x:v>257.1264</x:v>
      </x:c>
      <x:c r="Q267" s="220" t="n">
        <x:v>0.8686</x:v>
      </x:c>
      <x:c r="R267" s="226" t="n">
        <x:f>P267*Q267</x:f>
        <x:v>223.33999104</x:v>
      </x:c>
      <x:c r="S267" s="220" t="n">
        <x:v>0.05</x:v>
      </x:c>
      <x:c r="T267" s="226" t="n">
        <x:f>N267*S267</x:f>
        <x:v>11.904</x:v>
      </x:c>
      <x:c r="U267" s="226" t="n">
        <x:v>0.014</x:v>
      </x:c>
      <x:c r="V267" s="226" t="n">
        <x:f>P267*U267</x:f>
        <x:v>3.5997696</x:v>
      </x:c>
      <x:c r="W267" s="196" t="str">
        <x:v>EUR</x:v>
      </x:c>
      <x:c r="X267" s="220" t="n">
        <x:v>3.4155</x:v>
      </x:c>
      <x:c r="Y267" s="196" t="str">
        <x:v>PER_CHARGEABLE_KG</x:v>
      </x:c>
      <x:c r="Z267" s="220" t="n">
        <x:v>0.2484</x:v>
      </x:c>
      <x:c r="AA267" s="220" t="n">
        <x:v>7.88</x:v>
      </x:c>
      <x:c r="AB267" s="220" t="n">
        <x:v>9.05</x:v>
      </x:c>
      <x:c r="AC267" s="226" t="n">
        <x:f>IF(W267="EUR",AA267,IF(W267="GBP",AB267,1))</x:f>
        <x:v>7.88</x:v>
      </x:c>
      <x:c r="AD267" s="226" t="n">
        <x:f>R267*X267</x:f>
        <x:v>762.81773939712</x:v>
      </x:c>
      <x:c r="AE267" s="226" t="n">
        <x:f>IF(Y267="PERCENTAGE_OF_BASE_FREIGHT",AD267*Z267,IF(Y267="PER_CHARGEABLE_KG",R267*Z267,P267*Z267))</x:f>
        <x:v>55.477653774336005</x:v>
      </x:c>
      <x:c r="AF267" s="226" t="n">
        <x:f>AD267*AC267</x:f>
        <x:v>6011.003786449306</x:v>
      </x:c>
      <x:c r="AG267" s="226" t="n">
        <x:f>AE267*AC267</x:f>
        <x:v>437.1639117417677</x:v>
      </x:c>
      <x:c r="AH267" s="226" t="str">
        <x:v>EUR</x:v>
      </x:c>
      <x:c r="AI267" s="226" t="n">
        <x:v>1.08675</x:v>
      </x:c>
      <x:c r="AJ267" s="226" t="n">
        <x:f>IF(AH267="EUR",AA267,IF(AH267="GBP",AB267,1))</x:f>
        <x:v>7.88</x:v>
      </x:c>
      <x:c r="AK267" s="226" t="n">
        <x:f>N267*AI267</x:f>
        <x:v>258.73344000000003</x:v>
      </x:c>
      <x:c r="AL267" s="226" t="n">
        <x:f>AK267*AJ267</x:f>
        <x:v>2038.8195072000003</x:v>
      </x:c>
      <x:c r="AM267" s="226" t="str">
        <x:v>EUR</x:v>
      </x:c>
      <x:c r="AN267" s="226" t="n">
        <x:v>0.3933</x:v>
      </x:c>
      <x:c r="AO267" s="226" t="n">
        <x:f>IF(AM267="EUR",AA267,IF(AM267="GBP",AB267,1))</x:f>
        <x:v>7.88</x:v>
      </x:c>
      <x:c r="AP267" s="226" t="n">
        <x:f>P267*AN267</x:f>
        <x:v>101.12781311999998</x:v>
      </x:c>
      <x:c r="AQ267" s="226" t="n">
        <x:f>AP267*AO267</x:f>
        <x:v>796.8871673855999</x:v>
      </x:c>
      <x:c r="AR267" s="226" t="str">
        <x:v>EUR</x:v>
      </x:c>
      <x:c r="AS267" s="226" t="n">
        <x:v>3.933</x:v>
      </x:c>
      <x:c r="AT267" s="226" t="n">
        <x:f>IF(AR267="EUR",AA267,IF(AR267="GBP",AB267,1))</x:f>
        <x:v>7.88</x:v>
      </x:c>
      <x:c r="AU267" s="226" t="n">
        <x:f>T267*AS267</x:f>
        <x:v>46.818431999999994</x:v>
      </x:c>
      <x:c r="AV267" s="226" t="n">
        <x:f>AU267*AT267</x:f>
        <x:v>368.92924415999994</x:v>
      </x:c>
      <x:c r="AW267" s="226" t="str">
        <x:v>EUR</x:v>
      </x:c>
      <x:c r="AX267" s="226" t="n">
        <x:v>2.3805</x:v>
      </x:c>
      <x:c r="AY267" s="226" t="n">
        <x:f>IF(AW267="EUR",AA267,IF(AW267="GBP",AB267,1))</x:f>
        <x:v>7.88</x:v>
      </x:c>
      <x:c r="AZ267" s="226" t="n">
        <x:f>V267*AX267</x:f>
        <x:v>8.569251532800001</x:v>
      </x:c>
      <x:c r="BA267" s="226" t="n">
        <x:f>AZ267*AY267</x:f>
        <x:v>67.52570207846401</x:v>
      </x:c>
      <x:c r="BB267" s="226" t="n">
        <x:f>AF267+AG267+AL267+AQ267+AV267+BA267</x:f>
        <x:v>9720.329319015138</x:v>
      </x:c>
      <x:c r="BC267" s="229" t="n">
        <x:v>0.968</x:v>
      </x:c>
      <x:c r="BD267" s="202"/>
      <x:c r="BE267" s="202" t="str">
        <x:v>正式 Forecast 逐月降低英国空运及 Carrier C 份额，但仍高于 Budget</x:v>
      </x:c>
      <x:c r="BF267" s="202" t="str">
        <x:v>沿用当前正式 Forecast</x:v>
      </x:c>
      <x:c r="BG267" s="202" t="str">
        <x:v>UNVERIFIED_UNLIMITED_FOR_MVP</x:v>
      </x:c>
    </x:row>
    <x:row r="268">
      <x:c r="A268" s="187" t="str">
        <x:v>SCENARIO_BASE_2026_08</x:v>
      </x:c>
      <x:c r="B268" s="187" t="str">
        <x:v>SCENARIO</x:v>
      </x:c>
      <x:c r="C268" s="187" t="str">
        <x:v>BASE</x:v>
      </x:c>
      <x:c r="D268" s="217" t="n">
        <x:v>46327</x:v>
      </x:c>
      <x:c r="E268" s="187" t="str">
        <x:v>R_FR_FR_A_ROAD</x:v>
      </x:c>
      <x:c r="F268" s="187" t="str">
        <x:v>FR</x:v>
      </x:c>
      <x:c r="G268" s="187" t="str">
        <x:v>FR_FC</x:v>
      </x:c>
      <x:c r="H268" s="187" t="str">
        <x:v>CARRIER_A</x:v>
      </x:c>
      <x:c r="I268" s="187" t="str">
        <x:v>ROAD</x:v>
      </x:c>
      <x:c r="J268" s="220" t="n">
        <x:v>24800</x:v>
      </x:c>
      <x:c r="K268" s="223" t="n">
        <x:v>0.29</x:v>
      </x:c>
      <x:c r="L268" s="223" t="n">
        <x:v>1</x:v>
      </x:c>
      <x:c r="M268" s="223" t="n">
        <x:v>0.35</x:v>
      </x:c>
      <x:c r="N268" s="226" t="n">
        <x:f>J268*K268*L268*M268</x:f>
        <x:v>2517.1999999999994</x:v>
      </x:c>
      <x:c r="O268" s="220" t="n">
        <x:v>1.06</x:v>
      </x:c>
      <x:c r="P268" s="226" t="n">
        <x:f>N268*O268</x:f>
        <x:v>2668.2319999999995</x:v>
      </x:c>
      <x:c r="Q268" s="220" t="n">
        <x:v>0.7676</x:v>
      </x:c>
      <x:c r="R268" s="226" t="n">
        <x:f>P268*Q268</x:f>
        <x:v>2048.1348831999994</x:v>
      </x:c>
      <x:c r="S268" s="220" t="n">
        <x:v>0.06</x:v>
      </x:c>
      <x:c r="T268" s="226" t="n">
        <x:f>N268*S268</x:f>
        <x:v>151.03199999999995</x:v>
      </x:c>
      <x:c r="U268" s="226" t="n">
        <x:v>0.017</x:v>
      </x:c>
      <x:c r="V268" s="226" t="n">
        <x:f>P268*U268</x:f>
        <x:v>45.35994399999999</x:v>
      </x:c>
      <x:c r="W268" s="196" t="str">
        <x:v>EUR</x:v>
      </x:c>
      <x:c r="X268" s="220" t="n">
        <x:v>2.1735</x:v>
      </x:c>
      <x:c r="Y268" s="196" t="str">
        <x:v>PERCENTAGE_OF_BASE_FREIGHT</x:v>
      </x:c>
      <x:c r="Z268" s="220" t="n">
        <x:v>0.09315</x:v>
      </x:c>
      <x:c r="AA268" s="220" t="n">
        <x:v>7.88</x:v>
      </x:c>
      <x:c r="AB268" s="220" t="n">
        <x:v>9.05</x:v>
      </x:c>
      <x:c r="AC268" s="226" t="n">
        <x:f>IF(W268="EUR",AA268,IF(W268="GBP",AB268,1))</x:f>
        <x:v>7.88</x:v>
      </x:c>
      <x:c r="AD268" s="226" t="n">
        <x:f>R268*X268</x:f>
        <x:v>4451.621168635199</x:v>
      </x:c>
      <x:c r="AE268" s="226" t="n">
        <x:f>IF(Y268="PERCENTAGE_OF_BASE_FREIGHT",AD268*Z268,IF(Y268="PER_CHARGEABLE_KG",R268*Z268,P268*Z268))</x:f>
        <x:v>414.6685118583688</x:v>
      </x:c>
      <x:c r="AF268" s="226" t="n">
        <x:f>AD268*AC268</x:f>
        <x:v>35078.774808845366</x:v>
      </x:c>
      <x:c r="AG268" s="226" t="n">
        <x:f>AE268*AC268</x:f>
        <x:v>3267.587873443946</x:v>
      </x:c>
      <x:c r="AH268" s="226" t="str">
        <x:v>EUR</x:v>
      </x:c>
      <x:c r="AI268" s="226" t="n">
        <x:v>1.08675</x:v>
      </x:c>
      <x:c r="AJ268" s="226" t="n">
        <x:f>IF(AH268="EUR",AA268,IF(AH268="GBP",AB268,1))</x:f>
        <x:v>7.88</x:v>
      </x:c>
      <x:c r="AK268" s="226" t="n">
        <x:f>N268*AI268</x:f>
        <x:v>2735.5670999999998</x:v>
      </x:c>
      <x:c r="AL268" s="226" t="n">
        <x:f>AK268*AJ268</x:f>
        <x:v>21556.268748</x:v>
      </x:c>
      <x:c r="AM268" s="226" t="str">
        <x:v>EUR</x:v>
      </x:c>
      <x:c r="AN268" s="226" t="n">
        <x:v>0.3933</x:v>
      </x:c>
      <x:c r="AO268" s="226" t="n">
        <x:f>IF(AM268="EUR",AA268,IF(AM268="GBP",AB268,1))</x:f>
        <x:v>7.88</x:v>
      </x:c>
      <x:c r="AP268" s="226" t="n">
        <x:f>P268*AN268</x:f>
        <x:v>1049.4156455999998</x:v>
      </x:c>
      <x:c r="AQ268" s="226" t="n">
        <x:f>AP268*AO268</x:f>
        <x:v>8269.395287327998</x:v>
      </x:c>
      <x:c r="AR268" s="226" t="str">
        <x:v>EUR</x:v>
      </x:c>
      <x:c r="AS268" s="226" t="n">
        <x:v>3.105</x:v>
      </x:c>
      <x:c r="AT268" s="226" t="n">
        <x:f>IF(AR268="EUR",AA268,IF(AR268="GBP",AB268,1))</x:f>
        <x:v>7.88</x:v>
      </x:c>
      <x:c r="AU268" s="226" t="n">
        <x:f>T268*AS268</x:f>
        <x:v>468.95435999999984</x:v>
      </x:c>
      <x:c r="AV268" s="226" t="n">
        <x:f>AU268*AT268</x:f>
        <x:v>3695.3603567999985</x:v>
      </x:c>
      <x:c r="AW268" s="226" t="str">
        <x:v>EUR</x:v>
      </x:c>
      <x:c r="AX268" s="226" t="n">
        <x:v>2.3805</x:v>
      </x:c>
      <x:c r="AY268" s="226" t="n">
        <x:f>IF(AW268="EUR",AA268,IF(AW268="GBP",AB268,1))</x:f>
        <x:v>7.88</x:v>
      </x:c>
      <x:c r="AZ268" s="226" t="n">
        <x:f>V268*AX268</x:f>
        <x:v>107.97934669199998</x:v>
      </x:c>
      <x:c r="BA268" s="226" t="n">
        <x:f>AZ268*AY268</x:f>
        <x:v>850.8772519329598</x:v>
      </x:c>
      <x:c r="BB268" s="226" t="n">
        <x:f>AF268+AG268+AL268+AQ268+AV268+BA268</x:f>
        <x:v>72718.26432635027</x:v>
      </x:c>
      <x:c r="BC268" s="229" t="n">
        <x:v>0.961</x:v>
      </x:c>
      <x:c r="BD268" s="202"/>
      <x:c r="BE268" s="202" t="str">
        <x:v>正式 Forecast 逐月降低英国空运及 Carrier C 份额，但仍高于 Budget</x:v>
      </x:c>
      <x:c r="BF268" s="202" t="str">
        <x:v>沿用当前正式 Forecast</x:v>
      </x:c>
      <x:c r="BG268" s="202" t="str">
        <x:v>UNVERIFIED_UNLIMITED_FOR_MVP</x:v>
      </x:c>
    </x:row>
    <x:row r="269">
      <x:c r="A269" s="187" t="str">
        <x:v>SCENARIO_BASE_2026_08</x:v>
      </x:c>
      <x:c r="B269" s="187" t="str">
        <x:v>SCENARIO</x:v>
      </x:c>
      <x:c r="C269" s="187" t="str">
        <x:v>BASE</x:v>
      </x:c>
      <x:c r="D269" s="217" t="n">
        <x:v>46327</x:v>
      </x:c>
      <x:c r="E269" s="187" t="str">
        <x:v>R_FR_FR_B_ROAD</x:v>
      </x:c>
      <x:c r="F269" s="187" t="str">
        <x:v>FR</x:v>
      </x:c>
      <x:c r="G269" s="187" t="str">
        <x:v>FR_FC</x:v>
      </x:c>
      <x:c r="H269" s="187" t="str">
        <x:v>CARRIER_B</x:v>
      </x:c>
      <x:c r="I269" s="187" t="str">
        <x:v>ROAD</x:v>
      </x:c>
      <x:c r="J269" s="220" t="n">
        <x:v>24800</x:v>
      </x:c>
      <x:c r="K269" s="223" t="n">
        <x:v>0.29</x:v>
      </x:c>
      <x:c r="L269" s="223" t="n">
        <x:v>1</x:v>
      </x:c>
      <x:c r="M269" s="223" t="n">
        <x:v>0.65</x:v>
      </x:c>
      <x:c r="N269" s="226" t="n">
        <x:f>J269*K269*L269*M269</x:f>
        <x:v>4674.799999999999</x:v>
      </x:c>
      <x:c r="O269" s="220" t="n">
        <x:v>1.06</x:v>
      </x:c>
      <x:c r="P269" s="226" t="n">
        <x:f>N269*O269</x:f>
        <x:v>4955.288</x:v>
      </x:c>
      <x:c r="Q269" s="220" t="n">
        <x:v>0.7979</x:v>
      </x:c>
      <x:c r="R269" s="226" t="n">
        <x:f>P269*Q269</x:f>
        <x:v>3953.8242952</x:v>
      </x:c>
      <x:c r="S269" s="220" t="n">
        <x:v>0.06</x:v>
      </x:c>
      <x:c r="T269" s="226" t="n">
        <x:f>N269*S269</x:f>
        <x:v>280.48799999999994</x:v>
      </x:c>
      <x:c r="U269" s="226" t="n">
        <x:v>0.014</x:v>
      </x:c>
      <x:c r="V269" s="226" t="n">
        <x:f>P269*U269</x:f>
        <x:v>69.374032</x:v>
      </x:c>
      <x:c r="W269" s="196" t="str">
        <x:v>EUR</x:v>
      </x:c>
      <x:c r="X269" s="220" t="n">
        <x:v>2.691</x:v>
      </x:c>
      <x:c r="Y269" s="196" t="str">
        <x:v>PER_CHARGEABLE_KG</x:v>
      </x:c>
      <x:c r="Z269" s="220" t="n">
        <x:v>0.207</x:v>
      </x:c>
      <x:c r="AA269" s="220" t="n">
        <x:v>7.88</x:v>
      </x:c>
      <x:c r="AB269" s="220" t="n">
        <x:v>9.05</x:v>
      </x:c>
      <x:c r="AC269" s="226" t="n">
        <x:f>IF(W269="EUR",AA269,IF(W269="GBP",AB269,1))</x:f>
        <x:v>7.88</x:v>
      </x:c>
      <x:c r="AD269" s="226" t="n">
        <x:f>R269*X269</x:f>
        <x:v>10639.7411783832</x:v>
      </x:c>
      <x:c r="AE269" s="226" t="n">
        <x:f>IF(Y269="PERCENTAGE_OF_BASE_FREIGHT",AD269*Z269,IF(Y269="PER_CHARGEABLE_KG",R269*Z269,P269*Z269))</x:f>
        <x:v>818.4416291064</x:v>
      </x:c>
      <x:c r="AF269" s="226" t="n">
        <x:f>AD269*AC269</x:f>
        <x:v>83841.16048565961</x:v>
      </x:c>
      <x:c r="AG269" s="226" t="n">
        <x:f>AE269*AC269</x:f>
        <x:v>6449.320037358432</x:v>
      </x:c>
      <x:c r="AH269" s="226" t="str">
        <x:v>EUR</x:v>
      </x:c>
      <x:c r="AI269" s="226" t="n">
        <x:v>1.08675</x:v>
      </x:c>
      <x:c r="AJ269" s="226" t="n">
        <x:f>IF(AH269="EUR",AA269,IF(AH269="GBP",AB269,1))</x:f>
        <x:v>7.88</x:v>
      </x:c>
      <x:c r="AK269" s="226" t="n">
        <x:f>N269*AI269</x:f>
        <x:v>5080.3389</x:v>
      </x:c>
      <x:c r="AL269" s="226" t="n">
        <x:f>AK269*AJ269</x:f>
        <x:v>40033.070532</x:v>
      </x:c>
      <x:c r="AM269" s="226" t="str">
        <x:v>EUR</x:v>
      </x:c>
      <x:c r="AN269" s="226" t="n">
        <x:v>0.3933</x:v>
      </x:c>
      <x:c r="AO269" s="226" t="n">
        <x:f>IF(AM269="EUR",AA269,IF(AM269="GBP",AB269,1))</x:f>
        <x:v>7.88</x:v>
      </x:c>
      <x:c r="AP269" s="226" t="n">
        <x:f>P269*AN269</x:f>
        <x:v>1948.9147703999997</x:v>
      </x:c>
      <x:c r="AQ269" s="226" t="n">
        <x:f>AP269*AO269</x:f>
        <x:v>15357.448390751997</x:v>
      </x:c>
      <x:c r="AR269" s="226" t="str">
        <x:v>EUR</x:v>
      </x:c>
      <x:c r="AS269" s="226" t="n">
        <x:v>3.105</x:v>
      </x:c>
      <x:c r="AT269" s="226" t="n">
        <x:f>IF(AR269="EUR",AA269,IF(AR269="GBP",AB269,1))</x:f>
        <x:v>7.88</x:v>
      </x:c>
      <x:c r="AU269" s="226" t="n">
        <x:f>T269*AS269</x:f>
        <x:v>870.9152399999998</x:v>
      </x:c>
      <x:c r="AV269" s="226" t="n">
        <x:f>AU269*AT269</x:f>
        <x:v>6862.812091199999</x:v>
      </x:c>
      <x:c r="AW269" s="226" t="str">
        <x:v>EUR</x:v>
      </x:c>
      <x:c r="AX269" s="226" t="n">
        <x:v>2.3805</x:v>
      </x:c>
      <x:c r="AY269" s="226" t="n">
        <x:f>IF(AW269="EUR",AA269,IF(AW269="GBP",AB269,1))</x:f>
        <x:v>7.88</x:v>
      </x:c>
      <x:c r="AZ269" s="226" t="n">
        <x:f>V269*AX269</x:f>
        <x:v>165.144883176</x:v>
      </x:c>
      <x:c r="BA269" s="226" t="n">
        <x:f>AZ269*AY269</x:f>
        <x:v>1301.34167942688</x:v>
      </x:c>
      <x:c r="BB269" s="226" t="n">
        <x:f>AF269+AG269+AL269+AQ269+AV269+BA269</x:f>
        <x:v>153845.1532163969</x:v>
      </x:c>
      <x:c r="BC269" s="229" t="n">
        <x:v>0.973</x:v>
      </x:c>
      <x:c r="BD269" s="202"/>
      <x:c r="BE269" s="202" t="str">
        <x:v>正式 Forecast 逐月降低英国空运及 Carrier C 份额，但仍高于 Budget</x:v>
      </x:c>
      <x:c r="BF269" s="202" t="str">
        <x:v>沿用当前正式 Forecast</x:v>
      </x:c>
      <x:c r="BG269" s="202" t="str">
        <x:v>UNVERIFIED_UNLIMITED_FOR_MVP</x:v>
      </x:c>
    </x:row>
    <x:row r="270">
      <x:c r="A270" s="187" t="str">
        <x:v>SCENARIO_BASE_2026_08</x:v>
      </x:c>
      <x:c r="B270" s="187" t="str">
        <x:v>SCENARIO</x:v>
      </x:c>
      <x:c r="C270" s="187" t="str">
        <x:v>BASE</x:v>
      </x:c>
      <x:c r="D270" s="217" t="n">
        <x:v>46327</x:v>
      </x:c>
      <x:c r="E270" s="187" t="str">
        <x:v>R_GB_DE_A_ROAD</x:v>
      </x:c>
      <x:c r="F270" s="187" t="str">
        <x:v>GB</x:v>
      </x:c>
      <x:c r="G270" s="187" t="str">
        <x:v>DE_FC</x:v>
      </x:c>
      <x:c r="H270" s="187" t="str">
        <x:v>CARRIER_A</x:v>
      </x:c>
      <x:c r="I270" s="187" t="str">
        <x:v>ROAD</x:v>
      </x:c>
      <x:c r="J270" s="220" t="n">
        <x:v>24800</x:v>
      </x:c>
      <x:c r="K270" s="223" t="n">
        <x:v>0.39</x:v>
      </x:c>
      <x:c r="L270" s="223" t="n">
        <x:v>0.96</x:v>
      </x:c>
      <x:c r="M270" s="223" t="n">
        <x:v>0.42</x:v>
      </x:c>
      <x:c r="N270" s="226" t="n">
        <x:f>J270*K270*L270*M270</x:f>
        <x:v>3899.7503999999994</x:v>
      </x:c>
      <x:c r="O270" s="220" t="n">
        <x:v>1.17</x:v>
      </x:c>
      <x:c r="P270" s="226" t="n">
        <x:f>N270*O270</x:f>
        <x:v>4562.707967999999</x:v>
      </x:c>
      <x:c r="Q270" s="220" t="n">
        <x:v>1.050804</x:v>
      </x:c>
      <x:c r="R270" s="226" t="n">
        <x:f>P270*Q270</x:f>
        <x:v>4794.511783606271</x:v>
      </x:c>
      <x:c r="S270" s="220" t="n">
        <x:v>0.09</x:v>
      </x:c>
      <x:c r="T270" s="226" t="n">
        <x:f>N270*S270</x:f>
        <x:v>350.97753599999993</x:v>
      </x:c>
      <x:c r="U270" s="226" t="n">
        <x:v>0.027</x:v>
      </x:c>
      <x:c r="V270" s="226" t="n">
        <x:f>P270*U270</x:f>
        <x:v>123.19311513599996</x:v>
      </x:c>
      <x:c r="W270" s="196" t="str">
        <x:v>GBP</x:v>
      </x:c>
      <x:c r="X270" s="220" t="n">
        <x:v>4.14</x:v>
      </x:c>
      <x:c r="Y270" s="196" t="str">
        <x:v>PERCENTAGE_OF_BASE_FREIGHT</x:v>
      </x:c>
      <x:c r="Z270" s="220" t="n">
        <x:v>0.1035</x:v>
      </x:c>
      <x:c r="AA270" s="220" t="n">
        <x:v>7.88</x:v>
      </x:c>
      <x:c r="AB270" s="220" t="n">
        <x:v>9.05</x:v>
      </x:c>
      <x:c r="AC270" s="226" t="n">
        <x:f>IF(W270="EUR",AA270,IF(W270="GBP",AB270,1))</x:f>
        <x:v>9.05</x:v>
      </x:c>
      <x:c r="AD270" s="226" t="n">
        <x:f>R270*X270</x:f>
        <x:v>19849.27878412996</x:v>
      </x:c>
      <x:c r="AE270" s="226" t="n">
        <x:f>IF(Y270="PERCENTAGE_OF_BASE_FREIGHT",AD270*Z270,IF(Y270="PER_CHARGEABLE_KG",R270*Z270,P270*Z270))</x:f>
        <x:v>2054.4003541574507</x:v>
      </x:c>
      <x:c r="AF270" s="226" t="n">
        <x:f>AD270*AC270</x:f>
        <x:v>179635.97299637616</x:v>
      </x:c>
      <x:c r="AG270" s="226" t="n">
        <x:f>AE270*AC270</x:f>
        <x:v>18592.32320512493</x:v>
      </x:c>
      <x:c r="AH270" s="226" t="str">
        <x:v>EUR</x:v>
      </x:c>
      <x:c r="AI270" s="226" t="n">
        <x:v>1.2213</x:v>
      </x:c>
      <x:c r="AJ270" s="226" t="n">
        <x:f>IF(AH270="EUR",AA270,IF(AH270="GBP",AB270,1))</x:f>
        <x:v>7.88</x:v>
      </x:c>
      <x:c r="AK270" s="226" t="n">
        <x:f>N270*AI270</x:f>
        <x:v>4762.765163519999</x:v>
      </x:c>
      <x:c r="AL270" s="226" t="n">
        <x:f>AK270*AJ270</x:f>
        <x:v>37530.58948853759</x:v>
      </x:c>
      <x:c r="AM270" s="226" t="str">
        <x:v>EUR</x:v>
      </x:c>
      <x:c r="AN270" s="226" t="n">
        <x:v>0.4347</x:v>
      </x:c>
      <x:c r="AO270" s="226" t="n">
        <x:f>IF(AM270="EUR",AA270,IF(AM270="GBP",AB270,1))</x:f>
        <x:v>7.88</x:v>
      </x:c>
      <x:c r="AP270" s="226" t="n">
        <x:f>P270*AN270</x:f>
        <x:v>1983.4091536895994</x:v>
      </x:c>
      <x:c r="AQ270" s="226" t="n">
        <x:f>AP270*AO270</x:f>
        <x:v>15629.264131074044</x:v>
      </x:c>
      <x:c r="AR270" s="226" t="str">
        <x:v>GBP</x:v>
      </x:c>
      <x:c r="AS270" s="226" t="n">
        <x:v>4.968</x:v>
      </x:c>
      <x:c r="AT270" s="226" t="n">
        <x:f>IF(AR270="EUR",AA270,IF(AR270="GBP",AB270,1))</x:f>
        <x:v>9.05</x:v>
      </x:c>
      <x:c r="AU270" s="226" t="n">
        <x:f>T270*AS270</x:f>
        <x:v>1743.6563988479998</x:v>
      </x:c>
      <x:c r="AV270" s="226" t="n">
        <x:f>AU270*AT270</x:f>
        <x:v>15780.090409574399</x:v>
      </x:c>
      <x:c r="AW270" s="226" t="str">
        <x:v>GBP</x:v>
      </x:c>
      <x:c r="AX270" s="226" t="n">
        <x:v>2.3805</x:v>
      </x:c>
      <x:c r="AY270" s="226" t="n">
        <x:f>IF(AW270="EUR",AA270,IF(AW270="GBP",AB270,1))</x:f>
        <x:v>9.05</x:v>
      </x:c>
      <x:c r="AZ270" s="226" t="n">
        <x:f>V270*AX270</x:f>
        <x:v>293.2612105812479</x:v>
      </x:c>
      <x:c r="BA270" s="226" t="n">
        <x:f>AZ270*AY270</x:f>
        <x:v>2654.013955760294</x:v>
      </x:c>
      <x:c r="BB270" s="226" t="n">
        <x:f>AF270+AG270+AL270+AQ270+AV270+BA270</x:f>
        <x:v>269822.2541864474</x:v>
      </x:c>
      <x:c r="BC270" s="229" t="n">
        <x:v>0.93</x:v>
      </x:c>
      <x:c r="BD270" s="202"/>
      <x:c r="BE270" s="202" t="str">
        <x:v>正式 Forecast 逐月降低英国空运及 Carrier C 份额，但仍高于 Budget</x:v>
      </x:c>
      <x:c r="BF270" s="202" t="str">
        <x:v>沿用当前正式 Forecast</x:v>
      </x:c>
      <x:c r="BG270" s="202" t="str">
        <x:v>UNVERIFIED_UNLIMITED_FOR_MVP</x:v>
      </x:c>
    </x:row>
    <x:row r="271">
      <x:c r="A271" s="187" t="str">
        <x:v>SCENARIO_BASE_2026_08</x:v>
      </x:c>
      <x:c r="B271" s="187" t="str">
        <x:v>SCENARIO</x:v>
      </x:c>
      <x:c r="C271" s="187" t="str">
        <x:v>BASE</x:v>
      </x:c>
      <x:c r="D271" s="217" t="n">
        <x:v>46327</x:v>
      </x:c>
      <x:c r="E271" s="187" t="str">
        <x:v>R_GB_DE_B_ROAD</x:v>
      </x:c>
      <x:c r="F271" s="187" t="str">
        <x:v>GB</x:v>
      </x:c>
      <x:c r="G271" s="187" t="str">
        <x:v>DE_FC</x:v>
      </x:c>
      <x:c r="H271" s="187" t="str">
        <x:v>CARRIER_B</x:v>
      </x:c>
      <x:c r="I271" s="187" t="str">
        <x:v>ROAD</x:v>
      </x:c>
      <x:c r="J271" s="220" t="n">
        <x:v>24800</x:v>
      </x:c>
      <x:c r="K271" s="223" t="n">
        <x:v>0.39</x:v>
      </x:c>
      <x:c r="L271" s="223" t="n">
        <x:v>0.96</x:v>
      </x:c>
      <x:c r="M271" s="223" t="n">
        <x:v>0.23</x:v>
      </x:c>
      <x:c r="N271" s="226" t="n">
        <x:f>J271*K271*L271*M271</x:f>
        <x:v>2135.5776</x:v>
      </x:c>
      <x:c r="O271" s="220" t="n">
        <x:v>1.17</x:v>
      </x:c>
      <x:c r="P271" s="226" t="n">
        <x:f>N271*O271</x:f>
        <x:v>2498.625792</x:v>
      </x:c>
      <x:c r="Q271" s="220" t="n">
        <x:v>1.0302</x:v>
      </x:c>
      <x:c r="R271" s="226" t="n">
        <x:f>P271*Q271</x:f>
        <x:v>2574.0842909184</x:v>
      </x:c>
      <x:c r="S271" s="220" t="n">
        <x:v>0.09</x:v>
      </x:c>
      <x:c r="T271" s="226" t="n">
        <x:f>N271*S271</x:f>
        <x:v>192.201984</x:v>
      </x:c>
      <x:c r="U271" s="226" t="n">
        <x:v>0.02</x:v>
      </x:c>
      <x:c r="V271" s="226" t="n">
        <x:f>P271*U271</x:f>
        <x:v>49.97251584</x:v>
      </x:c>
      <x:c r="W271" s="196" t="str">
        <x:v>GBP</x:v>
      </x:c>
      <x:c r="X271" s="220" t="n">
        <x:v>4.8645</x:v>
      </x:c>
      <x:c r="Y271" s="196" t="str">
        <x:v>PER_CHARGEABLE_KG</x:v>
      </x:c>
      <x:c r="Z271" s="220" t="n">
        <x:v>0.34155</x:v>
      </x:c>
      <x:c r="AA271" s="220" t="n">
        <x:v>7.88</x:v>
      </x:c>
      <x:c r="AB271" s="220" t="n">
        <x:v>9.05</x:v>
      </x:c>
      <x:c r="AC271" s="226" t="n">
        <x:f>IF(W271="EUR",AA271,IF(W271="GBP",AB271,1))</x:f>
        <x:v>9.05</x:v>
      </x:c>
      <x:c r="AD271" s="226" t="n">
        <x:f>R271*X271</x:f>
        <x:v>12521.633033172555</x:v>
      </x:c>
      <x:c r="AE271" s="226" t="n">
        <x:f>IF(Y271="PERCENTAGE_OF_BASE_FREIGHT",AD271*Z271,IF(Y271="PER_CHARGEABLE_KG",R271*Z271,P271*Z271))</x:f>
        <x:v>879.1784895631795</x:v>
      </x:c>
      <x:c r="AF271" s="226" t="n">
        <x:f>AD271*AC271</x:f>
        <x:v>113320.77895021164</x:v>
      </x:c>
      <x:c r="AG271" s="226" t="n">
        <x:f>AE271*AC271</x:f>
        <x:v>7956.565330546775</x:v>
      </x:c>
      <x:c r="AH271" s="226" t="str">
        <x:v>EUR</x:v>
      </x:c>
      <x:c r="AI271" s="226" t="n">
        <x:v>1.2213</x:v>
      </x:c>
      <x:c r="AJ271" s="226" t="n">
        <x:f>IF(AH271="EUR",AA271,IF(AH271="GBP",AB271,1))</x:f>
        <x:v>7.88</x:v>
      </x:c>
      <x:c r="AK271" s="226" t="n">
        <x:f>N271*AI271</x:f>
        <x:v>2608.1809228800003</x:v>
      </x:c>
      <x:c r="AL271" s="226" t="n">
        <x:f>AK271*AJ271</x:f>
        <x:v>20552.465672294402</x:v>
      </x:c>
      <x:c r="AM271" s="226" t="str">
        <x:v>EUR</x:v>
      </x:c>
      <x:c r="AN271" s="226" t="n">
        <x:v>0.4347</x:v>
      </x:c>
      <x:c r="AO271" s="226" t="n">
        <x:f>IF(AM271="EUR",AA271,IF(AM271="GBP",AB271,1))</x:f>
        <x:v>7.88</x:v>
      </x:c>
      <x:c r="AP271" s="226" t="n">
        <x:f>P271*AN271</x:f>
        <x:v>1086.1526317823998</x:v>
      </x:c>
      <x:c r="AQ271" s="226" t="n">
        <x:f>AP271*AO271</x:f>
        <x:v>8558.88273844531</x:v>
      </x:c>
      <x:c r="AR271" s="226" t="str">
        <x:v>GBP</x:v>
      </x:c>
      <x:c r="AS271" s="226" t="n">
        <x:v>4.968</x:v>
      </x:c>
      <x:c r="AT271" s="226" t="n">
        <x:f>IF(AR271="EUR",AA271,IF(AR271="GBP",AB271,1))</x:f>
        <x:v>9.05</x:v>
      </x:c>
      <x:c r="AU271" s="226" t="n">
        <x:f>T271*AS271</x:f>
        <x:v>954.8594565120001</x:v>
      </x:c>
      <x:c r="AV271" s="226" t="n">
        <x:f>AU271*AT271</x:f>
        <x:v>8641.4780814336</x:v>
      </x:c>
      <x:c r="AW271" s="226" t="str">
        <x:v>GBP</x:v>
      </x:c>
      <x:c r="AX271" s="226" t="n">
        <x:v>2.3805</x:v>
      </x:c>
      <x:c r="AY271" s="226" t="n">
        <x:f>IF(AW271="EUR",AA271,IF(AW271="GBP",AB271,1))</x:f>
        <x:v>9.05</x:v>
      </x:c>
      <x:c r="AZ271" s="226" t="n">
        <x:f>V271*AX271</x:f>
        <x:v>118.95957395712</x:v>
      </x:c>
      <x:c r="BA271" s="226" t="n">
        <x:f>AZ271*AY271</x:f>
        <x:v>1076.5841443119361</x:v>
      </x:c>
      <x:c r="BB271" s="226" t="n">
        <x:f>AF271+AG271+AL271+AQ271+AV271+BA271</x:f>
        <x:v>160106.75491724364</x:v>
      </x:c>
      <x:c r="BC271" s="229" t="n">
        <x:v>0.95</x:v>
      </x:c>
      <x:c r="BD271" s="202"/>
      <x:c r="BE271" s="202" t="str">
        <x:v>正式 Forecast 逐月降低英国空运及 Carrier C 份额，但仍高于 Budget</x:v>
      </x:c>
      <x:c r="BF271" s="202" t="str">
        <x:v>沿用当前正式 Forecast</x:v>
      </x:c>
      <x:c r="BG271" s="202" t="str">
        <x:v>UNVERIFIED_UNLIMITED_FOR_MVP</x:v>
      </x:c>
    </x:row>
    <x:row r="272">
      <x:c r="A272" s="187" t="str">
        <x:v>SCENARIO_BASE_2026_08</x:v>
      </x:c>
      <x:c r="B272" s="187" t="str">
        <x:v>SCENARIO</x:v>
      </x:c>
      <x:c r="C272" s="187" t="str">
        <x:v>BASE</x:v>
      </x:c>
      <x:c r="D272" s="217" t="n">
        <x:v>46327</x:v>
      </x:c>
      <x:c r="E272" s="187" t="str">
        <x:v>R_GB_DE_B_AIR</x:v>
      </x:c>
      <x:c r="F272" s="187" t="str">
        <x:v>GB</x:v>
      </x:c>
      <x:c r="G272" s="187" t="str">
        <x:v>DE_FC</x:v>
      </x:c>
      <x:c r="H272" s="187" t="str">
        <x:v>CARRIER_B</x:v>
      </x:c>
      <x:c r="I272" s="187" t="str">
        <x:v>AIR</x:v>
      </x:c>
      <x:c r="J272" s="220" t="n">
        <x:v>24800</x:v>
      </x:c>
      <x:c r="K272" s="223" t="n">
        <x:v>0.39</x:v>
      </x:c>
      <x:c r="L272" s="223" t="n">
        <x:v>0.96</x:v>
      </x:c>
      <x:c r="M272" s="223" t="n">
        <x:v>0.22</x:v>
      </x:c>
      <x:c r="N272" s="226" t="n">
        <x:f>J272*K272*L272*M272</x:f>
        <x:v>2042.7263999999998</x:v>
      </x:c>
      <x:c r="O272" s="220" t="n">
        <x:v>1.17</x:v>
      </x:c>
      <x:c r="P272" s="226" t="n">
        <x:f>N272*O272</x:f>
        <x:v>2389.9898879999996</x:v>
      </x:c>
      <x:c r="Q272" s="220" t="n">
        <x:v>0.968388</x:v>
      </x:c>
      <x:c r="R272" s="226" t="n">
        <x:f>P272*Q272</x:f>
        <x:v>2314.4375276605438</x:v>
      </x:c>
      <x:c r="S272" s="220" t="n">
        <x:v>0.09</x:v>
      </x:c>
      <x:c r="T272" s="226" t="n">
        <x:f>N272*S272</x:f>
        <x:v>183.845376</x:v>
      </x:c>
      <x:c r="U272" s="226" t="n">
        <x:v>0.016</x:v>
      </x:c>
      <x:c r="V272" s="226" t="n">
        <x:f>P272*U272</x:f>
        <x:v>38.239838207999995</x:v>
      </x:c>
      <x:c r="W272" s="196" t="str">
        <x:v>GBP</x:v>
      </x:c>
      <x:c r="X272" s="220" t="n">
        <x:v>6.67368</x:v>
      </x:c>
      <x:c r="Y272" s="196" t="str">
        <x:v>PERCENTAGE_OF_BASE_FREIGHT</x:v>
      </x:c>
      <x:c r="Z272" s="220" t="n">
        <x:v>0.123786</x:v>
      </x:c>
      <x:c r="AA272" s="220" t="n">
        <x:v>7.88</x:v>
      </x:c>
      <x:c r="AB272" s="220" t="n">
        <x:v>9.05</x:v>
      </x:c>
      <x:c r="AC272" s="226" t="n">
        <x:f>IF(W272="EUR",AA272,IF(W272="GBP",AB272,1))</x:f>
        <x:v>9.05</x:v>
      </x:c>
      <x:c r="AD272" s="226" t="n">
        <x:f>R272*X272</x:f>
        <x:v>15445.815439597618</x:v>
      </x:c>
      <x:c r="AE272" s="226" t="n">
        <x:f>IF(Y272="PERCENTAGE_OF_BASE_FREIGHT",AD272*Z272,IF(Y272="PER_CHARGEABLE_KG",R272*Z272,P272*Z272))</x:f>
        <x:v>1911.9757100060306</x:v>
      </x:c>
      <x:c r="AF272" s="226" t="n">
        <x:f>AD272*AC272</x:f>
        <x:v>139784.62972835844</x:v>
      </x:c>
      <x:c r="AG272" s="226" t="n">
        <x:f>AE272*AC272</x:f>
        <x:v>17303.38017555458</x:v>
      </x:c>
      <x:c r="AH272" s="226" t="str">
        <x:v>EUR</x:v>
      </x:c>
      <x:c r="AI272" s="226" t="n">
        <x:v>1.2213</x:v>
      </x:c>
      <x:c r="AJ272" s="226" t="n">
        <x:f>IF(AH272="EUR",AA272,IF(AH272="GBP",AB272,1))</x:f>
        <x:v>7.88</x:v>
      </x:c>
      <x:c r="AK272" s="226" t="n">
        <x:f>N272*AI272</x:f>
        <x:v>2494.7817523199997</x:v>
      </x:c>
      <x:c r="AL272" s="226" t="n">
        <x:f>AK272*AJ272</x:f>
        <x:v>19658.880208281596</x:v>
      </x:c>
      <x:c r="AM272" s="226" t="str">
        <x:v>EUR</x:v>
      </x:c>
      <x:c r="AN272" s="226" t="n">
        <x:v>0.4347</x:v>
      </x:c>
      <x:c r="AO272" s="226" t="n">
        <x:f>IF(AM272="EUR",AA272,IF(AM272="GBP",AB272,1))</x:f>
        <x:v>7.88</x:v>
      </x:c>
      <x:c r="AP272" s="226" t="n">
        <x:f>P272*AN272</x:f>
        <x:v>1038.9286043135999</x:v>
      </x:c>
      <x:c r="AQ272" s="226" t="n">
        <x:f>AP272*AO272</x:f>
        <x:v>8186.757401991167</x:v>
      </x:c>
      <x:c r="AR272" s="226" t="str">
        <x:v>GBP</x:v>
      </x:c>
      <x:c r="AS272" s="226" t="n">
        <x:v>4.968</x:v>
      </x:c>
      <x:c r="AT272" s="226" t="n">
        <x:f>IF(AR272="EUR",AA272,IF(AR272="GBP",AB272,1))</x:f>
        <x:v>9.05</x:v>
      </x:c>
      <x:c r="AU272" s="226" t="n">
        <x:f>T272*AS272</x:f>
        <x:v>913.3438279679999</x:v>
      </x:c>
      <x:c r="AV272" s="226" t="n">
        <x:f>AU272*AT272</x:f>
        <x:v>8265.7616431104</x:v>
      </x:c>
      <x:c r="AW272" s="226" t="str">
        <x:v>GBP</x:v>
      </x:c>
      <x:c r="AX272" s="226" t="n">
        <x:v>2.898</x:v>
      </x:c>
      <x:c r="AY272" s="226" t="n">
        <x:f>IF(AW272="EUR",AA272,IF(AW272="GBP",AB272,1))</x:f>
        <x:v>9.05</x:v>
      </x:c>
      <x:c r="AZ272" s="226" t="n">
        <x:f>V272*AX272</x:f>
        <x:v>110.81905112678399</x:v>
      </x:c>
      <x:c r="BA272" s="226" t="n">
        <x:f>AZ272*AY272</x:f>
        <x:v>1002.9124126973952</x:v>
      </x:c>
      <x:c r="BB272" s="226" t="n">
        <x:f>AF272+AG272+AL272+AQ272+AV272+BA272</x:f>
        <x:v>194202.32156999357</x:v>
      </x:c>
      <x:c r="BC272" s="229" t="n">
        <x:v>0.974</x:v>
      </x:c>
      <x:c r="BD272" s="202"/>
      <x:c r="BE272" s="202" t="str">
        <x:v>正式 Forecast 逐月降低英国空运及 Carrier C 份额，但仍高于 Budget</x:v>
      </x:c>
      <x:c r="BF272" s="202" t="str">
        <x:v>沿用当前正式 Forecast</x:v>
      </x:c>
      <x:c r="BG272" s="202" t="str">
        <x:v>UNVERIFIED_UNLIMITED_FOR_MVP</x:v>
      </x:c>
    </x:row>
    <x:row r="273">
      <x:c r="A273" s="187" t="str">
        <x:v>SCENARIO_BASE_2026_08</x:v>
      </x:c>
      <x:c r="B273" s="187" t="str">
        <x:v>SCENARIO</x:v>
      </x:c>
      <x:c r="C273" s="187" t="str">
        <x:v>BASE</x:v>
      </x:c>
      <x:c r="D273" s="217" t="n">
        <x:v>46327</x:v>
      </x:c>
      <x:c r="E273" s="187" t="str">
        <x:v>R_GB_DE_C_AIR</x:v>
      </x:c>
      <x:c r="F273" s="187" t="str">
        <x:v>GB</x:v>
      </x:c>
      <x:c r="G273" s="187" t="str">
        <x:v>DE_FC</x:v>
      </x:c>
      <x:c r="H273" s="187" t="str">
        <x:v>CARRIER_C</x:v>
      </x:c>
      <x:c r="I273" s="187" t="str">
        <x:v>AIR</x:v>
      </x:c>
      <x:c r="J273" s="220" t="n">
        <x:v>24800</x:v>
      </x:c>
      <x:c r="K273" s="223" t="n">
        <x:v>0.39</x:v>
      </x:c>
      <x:c r="L273" s="223" t="n">
        <x:v>0.96</x:v>
      </x:c>
      <x:c r="M273" s="223" t="n">
        <x:v>0.13</x:v>
      </x:c>
      <x:c r="N273" s="226" t="n">
        <x:f>J273*K273*L273*M273</x:f>
        <x:v>1207.0656</x:v>
      </x:c>
      <x:c r="O273" s="220" t="n">
        <x:v>1.17</x:v>
      </x:c>
      <x:c r="P273" s="226" t="n">
        <x:f>N273*O273</x:f>
        <x:v>1412.2667519999998</x:v>
      </x:c>
      <x:c r="Q273" s="220" t="n">
        <x:v>0.947784</x:v>
      </x:c>
      <x:c r="R273" s="226" t="n">
        <x:f>P273*Q273</x:f>
        <x:v>1338.5238312775678</x:v>
      </x:c>
      <x:c r="S273" s="220" t="n">
        <x:v>0.09</x:v>
      </x:c>
      <x:c r="T273" s="226" t="n">
        <x:f>N273*S273</x:f>
        <x:v>108.63590399999998</x:v>
      </x:c>
      <x:c r="U273" s="226" t="n">
        <x:v>0.011</x:v>
      </x:c>
      <x:c r="V273" s="226" t="n">
        <x:f>P273*U273</x:f>
        <x:v>15.534934271999997</x:v>
      </x:c>
      <x:c r="W273" s="196" t="str">
        <x:v>GBP</x:v>
      </x:c>
      <x:c r="X273" s="220" t="n">
        <x:v>8.22825</x:v>
      </x:c>
      <x:c r="Y273" s="196" t="str">
        <x:v>PER_CHARGEABLE_KG</x:v>
      </x:c>
      <x:c r="Z273" s="220" t="n">
        <x:v>0.636318</x:v>
      </x:c>
      <x:c r="AA273" s="220" t="n">
        <x:v>7.88</x:v>
      </x:c>
      <x:c r="AB273" s="220" t="n">
        <x:v>9.05</x:v>
      </x:c>
      <x:c r="AC273" s="226" t="n">
        <x:f>IF(W273="EUR",AA273,IF(W273="GBP",AB273,1))</x:f>
        <x:v>9.05</x:v>
      </x:c>
      <x:c r="AD273" s="226" t="n">
        <x:f>R273*X273</x:f>
        <x:v>11013.708714709646</x:v>
      </x:c>
      <x:c r="AE273" s="226" t="n">
        <x:f>IF(Y273="PERCENTAGE_OF_BASE_FREIGHT",AD273*Z273,IF(Y273="PER_CHARGEABLE_KG",R273*Z273,P273*Z273))</x:f>
        <x:v>851.7268072708795</x:v>
      </x:c>
      <x:c r="AF273" s="226" t="n">
        <x:f>AD273*AC273</x:f>
        <x:v>99674.0638681223</x:v>
      </x:c>
      <x:c r="AG273" s="226" t="n">
        <x:f>AE273*AC273</x:f>
        <x:v>7708.12760580146</x:v>
      </x:c>
      <x:c r="AH273" s="226" t="str">
        <x:v>EUR</x:v>
      </x:c>
      <x:c r="AI273" s="226" t="n">
        <x:v>1.2213</x:v>
      </x:c>
      <x:c r="AJ273" s="226" t="n">
        <x:f>IF(AH273="EUR",AA273,IF(AH273="GBP",AB273,1))</x:f>
        <x:v>7.88</x:v>
      </x:c>
      <x:c r="AK273" s="226" t="n">
        <x:f>N273*AI273</x:f>
        <x:v>1474.1892172799999</x:v>
      </x:c>
      <x:c r="AL273" s="226" t="n">
        <x:f>AK273*AJ273</x:f>
        <x:v>11616.611032166398</x:v>
      </x:c>
      <x:c r="AM273" s="226" t="str">
        <x:v>EUR</x:v>
      </x:c>
      <x:c r="AN273" s="226" t="n">
        <x:v>0.4347</x:v>
      </x:c>
      <x:c r="AO273" s="226" t="n">
        <x:f>IF(AM273="EUR",AA273,IF(AM273="GBP",AB273,1))</x:f>
        <x:v>7.88</x:v>
      </x:c>
      <x:c r="AP273" s="226" t="n">
        <x:f>P273*AN273</x:f>
        <x:v>613.9123570943999</x:v>
      </x:c>
      <x:c r="AQ273" s="226" t="n">
        <x:f>AP273*AO273</x:f>
        <x:v>4837.629373903871</x:v>
      </x:c>
      <x:c r="AR273" s="226" t="str">
        <x:v>GBP</x:v>
      </x:c>
      <x:c r="AS273" s="226" t="n">
        <x:v>4.968</x:v>
      </x:c>
      <x:c r="AT273" s="226" t="n">
        <x:f>IF(AR273="EUR",AA273,IF(AR273="GBP",AB273,1))</x:f>
        <x:v>9.05</x:v>
      </x:c>
      <x:c r="AU273" s="226" t="n">
        <x:f>T273*AS273</x:f>
        <x:v>539.7031710719999</x:v>
      </x:c>
      <x:c r="AV273" s="226" t="n">
        <x:f>AU273*AT273</x:f>
        <x:v>4884.313698201599</x:v>
      </x:c>
      <x:c r="AW273" s="226" t="str">
        <x:v>GBP</x:v>
      </x:c>
      <x:c r="AX273" s="226" t="n">
        <x:v>3.726</x:v>
      </x:c>
      <x:c r="AY273" s="226" t="n">
        <x:f>IF(AW273="EUR",AA273,IF(AW273="GBP",AB273,1))</x:f>
        <x:v>9.05</x:v>
      </x:c>
      <x:c r="AZ273" s="226" t="n">
        <x:f>V273*AX273</x:f>
        <x:v>57.88316509747199</x:v>
      </x:c>
      <x:c r="BA273" s="226" t="n">
        <x:f>AZ273*AY273</x:f>
        <x:v>523.8426441321216</x:v>
      </x:c>
      <x:c r="BB273" s="226" t="n">
        <x:f>AF273+AG273+AL273+AQ273+AV273+BA273</x:f>
        <x:v>129244.58822232776</x:v>
      </x:c>
      <x:c r="BC273" s="229" t="n">
        <x:v>0.988</x:v>
      </x:c>
      <x:c r="BD273" s="202"/>
      <x:c r="BE273" s="202" t="str">
        <x:v>正式 Forecast 逐月降低英国空运及 Carrier C 份额，但仍高于 Budget</x:v>
      </x:c>
      <x:c r="BF273" s="202" t="str">
        <x:v>沿用当前正式 Forecast</x:v>
      </x:c>
      <x:c r="BG273" s="202" t="str">
        <x:v>UNVERIFIED_UNLIMITED_FOR_MVP</x:v>
      </x:c>
    </x:row>
    <x:row r="274">
      <x:c r="A274" s="187" t="str">
        <x:v>SCENARIO_BASE_2026_08</x:v>
      </x:c>
      <x:c r="B274" s="187" t="str">
        <x:v>SCENARIO</x:v>
      </x:c>
      <x:c r="C274" s="187" t="str">
        <x:v>BASE</x:v>
      </x:c>
      <x:c r="D274" s="217" t="n">
        <x:v>46327</x:v>
      </x:c>
      <x:c r="E274" s="187" t="str">
        <x:v>R_GB_FR_B_AIR</x:v>
      </x:c>
      <x:c r="F274" s="187" t="str">
        <x:v>GB</x:v>
      </x:c>
      <x:c r="G274" s="187" t="str">
        <x:v>FR_FC</x:v>
      </x:c>
      <x:c r="H274" s="187" t="str">
        <x:v>CARRIER_B</x:v>
      </x:c>
      <x:c r="I274" s="187" t="str">
        <x:v>AIR</x:v>
      </x:c>
      <x:c r="J274" s="220" t="n">
        <x:v>24800</x:v>
      </x:c>
      <x:c r="K274" s="223" t="n">
        <x:v>0.39</x:v>
      </x:c>
      <x:c r="L274" s="223" t="n">
        <x:v>0.04</x:v>
      </x:c>
      <x:c r="M274" s="223" t="n">
        <x:v>1</x:v>
      </x:c>
      <x:c r="N274" s="226" t="n">
        <x:f>J274*K274*L274*M274</x:f>
        <x:v>386.88</x:v>
      </x:c>
      <x:c r="O274" s="220" t="n">
        <x:v>1.17</x:v>
      </x:c>
      <x:c r="P274" s="226" t="n">
        <x:f>N274*O274</x:f>
        <x:v>452.64959999999996</x:v>
      </x:c>
      <x:c r="Q274" s="220" t="n">
        <x:v>0.92718</x:v>
      </x:c>
      <x:c r="R274" s="226" t="n">
        <x:f>P274*Q274</x:f>
        <x:v>419.68765612799996</x:v>
      </x:c>
      <x:c r="S274" s="220" t="n">
        <x:v>0.09</x:v>
      </x:c>
      <x:c r="T274" s="226" t="n">
        <x:f>N274*S274</x:f>
        <x:v>34.819199999999995</x:v>
      </x:c>
      <x:c r="U274" s="226" t="n">
        <x:v>0.014</x:v>
      </x:c>
      <x:c r="V274" s="226" t="n">
        <x:f>P274*U274</x:f>
        <x:v>6.3370944</x:v>
      </x:c>
      <x:c r="W274" s="196" t="str">
        <x:v>EUR</x:v>
      </x:c>
      <x:c r="X274" s="220" t="n">
        <x:v>6.9345</x:v>
      </x:c>
      <x:c r="Y274" s="196" t="str">
        <x:v>PERCENTAGE_OF_BASE_FREIGHT</x:v>
      </x:c>
      <x:c r="Z274" s="220" t="n">
        <x:v>0.108675</x:v>
      </x:c>
      <x:c r="AA274" s="220" t="n">
        <x:v>7.88</x:v>
      </x:c>
      <x:c r="AB274" s="220" t="n">
        <x:v>9.05</x:v>
      </x:c>
      <x:c r="AC274" s="226" t="n">
        <x:f>IF(W274="EUR",AA274,IF(W274="GBP",AB274,1))</x:f>
        <x:v>7.88</x:v>
      </x:c>
      <x:c r="AD274" s="226" t="n">
        <x:f>R274*X274</x:f>
        <x:v>2910.3240514196154</x:v>
      </x:c>
      <x:c r="AE274" s="226" t="n">
        <x:f>IF(Y274="PERCENTAGE_OF_BASE_FREIGHT",AD274*Z274,IF(Y274="PER_CHARGEABLE_KG",R274*Z274,P274*Z274))</x:f>
        <x:v>316.2794662880267</x:v>
      </x:c>
      <x:c r="AF274" s="226" t="n">
        <x:f>AD274*AC274</x:f>
        <x:v>22933.35352518657</x:v>
      </x:c>
      <x:c r="AG274" s="226" t="n">
        <x:f>AE274*AC274</x:f>
        <x:v>2492.28219434965</x:v>
      </x:c>
      <x:c r="AH274" s="226" t="str">
        <x:v>EUR</x:v>
      </x:c>
      <x:c r="AI274" s="226" t="n">
        <x:v>1.08675</x:v>
      </x:c>
      <x:c r="AJ274" s="226" t="n">
        <x:f>IF(AH274="EUR",AA274,IF(AH274="GBP",AB274,1))</x:f>
        <x:v>7.88</x:v>
      </x:c>
      <x:c r="AK274" s="226" t="n">
        <x:f>N274*AI274</x:f>
        <x:v>420.44184</x:v>
      </x:c>
      <x:c r="AL274" s="226" t="n">
        <x:f>AK274*AJ274</x:f>
        <x:v>3313.0816992</x:v>
      </x:c>
      <x:c r="AM274" s="226" t="str">
        <x:v>EUR</x:v>
      </x:c>
      <x:c r="AN274" s="226" t="n">
        <x:v>0.3933</x:v>
      </x:c>
      <x:c r="AO274" s="226" t="n">
        <x:f>IF(AM274="EUR",AA274,IF(AM274="GBP",AB274,1))</x:f>
        <x:v>7.88</x:v>
      </x:c>
      <x:c r="AP274" s="226" t="n">
        <x:f>P274*AN274</x:f>
        <x:v>178.02708767999997</x:v>
      </x:c>
      <x:c r="AQ274" s="226" t="n">
        <x:f>AP274*AO274</x:f>
        <x:v>1402.8534509183996</x:v>
      </x:c>
      <x:c r="AR274" s="226" t="str">
        <x:v>EUR</x:v>
      </x:c>
      <x:c r="AS274" s="226" t="n">
        <x:v>5.382</x:v>
      </x:c>
      <x:c r="AT274" s="226" t="n">
        <x:f>IF(AR274="EUR",AA274,IF(AR274="GBP",AB274,1))</x:f>
        <x:v>7.88</x:v>
      </x:c>
      <x:c r="AU274" s="226" t="n">
        <x:f>T274*AS274</x:f>
        <x:v>187.39693439999996</x:v>
      </x:c>
      <x:c r="AV274" s="226" t="n">
        <x:f>AU274*AT274</x:f>
        <x:v>1476.6878430719996</x:v>
      </x:c>
      <x:c r="AW274" s="226" t="str">
        <x:v>EUR</x:v>
      </x:c>
      <x:c r="AX274" s="226" t="n">
        <x:v>2.898</x:v>
      </x:c>
      <x:c r="AY274" s="226" t="n">
        <x:f>IF(AW274="EUR",AA274,IF(AW274="GBP",AB274,1))</x:f>
        <x:v>7.88</x:v>
      </x:c>
      <x:c r="AZ274" s="226" t="n">
        <x:f>V274*AX274</x:f>
        <x:v>18.3648995712</x:v>
      </x:c>
      <x:c r="BA274" s="226" t="n">
        <x:f>AZ274*AY274</x:f>
        <x:v>144.71540862105599</x:v>
      </x:c>
      <x:c r="BB274" s="226" t="n">
        <x:f>AF274+AG274+AL274+AQ274+AV274+BA274</x:f>
        <x:v>31762.974121347674</x:v>
      </x:c>
      <x:c r="BC274" s="229" t="n">
        <x:v>0.971</x:v>
      </x:c>
      <x:c r="BD274" s="202"/>
      <x:c r="BE274" s="202" t="str">
        <x:v>正式 Forecast 逐月降低英国空运及 Carrier C 份额，但仍高于 Budget</x:v>
      </x:c>
      <x:c r="BF274" s="202" t="str">
        <x:v>沿用当前正式 Forecast</x:v>
      </x:c>
      <x:c r="BG274" s="202" t="str">
        <x:v>UNVERIFIED_UNLIMITED_FOR_MVP</x:v>
      </x:c>
    </x:row>
    <x:row r="275">
      <x:c r="A275" s="187" t="str">
        <x:v>SCENARIO_BASE_2026_08</x:v>
      </x:c>
      <x:c r="B275" s="187" t="str">
        <x:v>SCENARIO</x:v>
      </x:c>
      <x:c r="C275" s="187" t="str">
        <x:v>BASE</x:v>
      </x:c>
      <x:c r="D275" s="217" t="n">
        <x:v>46357</x:v>
      </x:c>
      <x:c r="E275" s="187" t="str">
        <x:v>R_DE_DE_A_ROAD</x:v>
      </x:c>
      <x:c r="F275" s="187" t="str">
        <x:v>DE</x:v>
      </x:c>
      <x:c r="G275" s="187" t="str">
        <x:v>DE_FC</x:v>
      </x:c>
      <x:c r="H275" s="187" t="str">
        <x:v>CARRIER_A</x:v>
      </x:c>
      <x:c r="I275" s="187" t="str">
        <x:v>ROAD</x:v>
      </x:c>
      <x:c r="J275" s="220" t="n">
        <x:v>28600</x:v>
      </x:c>
      <x:c r="K275" s="223" t="n">
        <x:v>0.32</x:v>
      </x:c>
      <x:c r="L275" s="223" t="n">
        <x:v>0.97</x:v>
      </x:c>
      <x:c r="M275" s="223" t="n">
        <x:v>0.6</x:v>
      </x:c>
      <x:c r="N275" s="226" t="n">
        <x:f>J275*K275*L275*M275</x:f>
        <x:v>5326.464</x:v>
      </x:c>
      <x:c r="O275" s="220" t="n">
        <x:v>1.05</x:v>
      </x:c>
      <x:c r="P275" s="226" t="n">
        <x:f>N275*O275</x:f>
        <x:v>5592.7872</x:v>
      </x:c>
      <x:c r="Q275" s="220" t="n">
        <x:v>0.7878</x:v>
      </x:c>
      <x:c r="R275" s="226" t="n">
        <x:f>P275*Q275</x:f>
        <x:v>4405.99775616</x:v>
      </x:c>
      <x:c r="S275" s="220" t="n">
        <x:v>0.05</x:v>
      </x:c>
      <x:c r="T275" s="226" t="n">
        <x:f>N275*S275</x:f>
        <x:v>266.3232</x:v>
      </x:c>
      <x:c r="U275" s="226" t="n">
        <x:v>0.016</x:v>
      </x:c>
      <x:c r="V275" s="226" t="n">
        <x:f>P275*U275</x:f>
        <x:v>89.4845952</x:v>
      </x:c>
      <x:c r="W275" s="196" t="str">
        <x:v>EUR</x:v>
      </x:c>
      <x:c r="X275" s="220" t="n">
        <x:v>2.277</x:v>
      </x:c>
      <x:c r="Y275" s="196" t="str">
        <x:v>PERCENTAGE_OF_BASE_FREIGHT</x:v>
      </x:c>
      <x:c r="Z275" s="220" t="n">
        <x:v>0.098325</x:v>
      </x:c>
      <x:c r="AA275" s="220" t="n">
        <x:v>7.86</x:v>
      </x:c>
      <x:c r="AB275" s="220" t="n">
        <x:v>9</x:v>
      </x:c>
      <x:c r="AC275" s="226" t="n">
        <x:f>IF(W275="EUR",AA275,IF(W275="GBP",AB275,1))</x:f>
        <x:v>7.86</x:v>
      </x:c>
      <x:c r="AD275" s="226" t="n">
        <x:f>R275*X275</x:f>
        <x:v>10032.45689077632</x:v>
      </x:c>
      <x:c r="AE275" s="226" t="n">
        <x:f>IF(Y275="PERCENTAGE_OF_BASE_FREIGHT",AD275*Z275,IF(Y275="PER_CHARGEABLE_KG",R275*Z275,P275*Z275))</x:f>
        <x:v>986.4413237855816</x:v>
      </x:c>
      <x:c r="AF275" s="226" t="n">
        <x:f>AD275*AC275</x:f>
        <x:v>78855.11116150189</x:v>
      </x:c>
      <x:c r="AG275" s="226" t="n">
        <x:f>AE275*AC275</x:f>
        <x:v>7753.428804954672</x:v>
      </x:c>
      <x:c r="AH275" s="226" t="str">
        <x:v>EUR</x:v>
      </x:c>
      <x:c r="AI275" s="226" t="n">
        <x:v>1.2213</x:v>
      </x:c>
      <x:c r="AJ275" s="226" t="n">
        <x:f>IF(AH275="EUR",AA275,IF(AH275="GBP",AB275,1))</x:f>
        <x:v>7.86</x:v>
      </x:c>
      <x:c r="AK275" s="226" t="n">
        <x:f>N275*AI275</x:f>
        <x:v>6505.2104832</x:v>
      </x:c>
      <x:c r="AL275" s="226" t="n">
        <x:f>AK275*AJ275</x:f>
        <x:v>51130.954397952</x:v>
      </x:c>
      <x:c r="AM275" s="226" t="str">
        <x:v>EUR</x:v>
      </x:c>
      <x:c r="AN275" s="226" t="n">
        <x:v>0.4347</x:v>
      </x:c>
      <x:c r="AO275" s="226" t="n">
        <x:f>IF(AM275="EUR",AA275,IF(AM275="GBP",AB275,1))</x:f>
        <x:v>7.86</x:v>
      </x:c>
      <x:c r="AP275" s="226" t="n">
        <x:f>P275*AN275</x:f>
        <x:v>2431.18459584</x:v>
      </x:c>
      <x:c r="AQ275" s="226" t="n">
        <x:f>AP275*AO275</x:f>
        <x:v>19109.1109233024</x:v>
      </x:c>
      <x:c r="AR275" s="226" t="str">
        <x:v>EUR</x:v>
      </x:c>
      <x:c r="AS275" s="226" t="n">
        <x:v>3.312</x:v>
      </x:c>
      <x:c r="AT275" s="226" t="n">
        <x:f>IF(AR275="EUR",AA275,IF(AR275="GBP",AB275,1))</x:f>
        <x:v>7.86</x:v>
      </x:c>
      <x:c r="AU275" s="226" t="n">
        <x:f>T275*AS275</x:f>
        <x:v>882.0624383999999</x:v>
      </x:c>
      <x:c r="AV275" s="226" t="n">
        <x:f>AU275*AT275</x:f>
        <x:v>6933.0107658239995</x:v>
      </x:c>
      <x:c r="AW275" s="226" t="str">
        <x:v>EUR</x:v>
      </x:c>
      <x:c r="AX275" s="226" t="n">
        <x:v>2.3805</x:v>
      </x:c>
      <x:c r="AY275" s="226" t="n">
        <x:f>IF(AW275="EUR",AA275,IF(AW275="GBP",AB275,1))</x:f>
        <x:v>7.86</x:v>
      </x:c>
      <x:c r="AZ275" s="226" t="n">
        <x:f>V275*AX275</x:f>
        <x:v>213.01807887360002</x:v>
      </x:c>
      <x:c r="BA275" s="226" t="n">
        <x:f>AZ275*AY275</x:f>
        <x:v>1674.322099946496</x:v>
      </x:c>
      <x:c r="BB275" s="226" t="n">
        <x:f>AF275+AG275+AL275+AQ275+AV275+BA275</x:f>
        <x:v>165455.93815348146</x:v>
      </x:c>
      <x:c r="BC275" s="229" t="n">
        <x:v>0.965</x:v>
      </x:c>
      <x:c r="BD275" s="202"/>
      <x:c r="BE275" s="202" t="str">
        <x:v>正式 Forecast 逐月降低英国空运及 Carrier C 份额，但仍高于 Budget</x:v>
      </x:c>
      <x:c r="BF275" s="202" t="str">
        <x:v>沿用当前正式 Forecast</x:v>
      </x:c>
      <x:c r="BG275" s="202" t="str">
        <x:v>UNVERIFIED_UNLIMITED_FOR_MVP</x:v>
      </x:c>
    </x:row>
    <x:row r="276">
      <x:c r="A276" s="187" t="str">
        <x:v>SCENARIO_BASE_2026_08</x:v>
      </x:c>
      <x:c r="B276" s="187" t="str">
        <x:v>SCENARIO</x:v>
      </x:c>
      <x:c r="C276" s="187" t="str">
        <x:v>BASE</x:v>
      </x:c>
      <x:c r="D276" s="217" t="n">
        <x:v>46357</x:v>
      </x:c>
      <x:c r="E276" s="187" t="str">
        <x:v>R_DE_DE_B_ROAD</x:v>
      </x:c>
      <x:c r="F276" s="187" t="str">
        <x:v>DE</x:v>
      </x:c>
      <x:c r="G276" s="187" t="str">
        <x:v>DE_FC</x:v>
      </x:c>
      <x:c r="H276" s="187" t="str">
        <x:v>CARRIER_B</x:v>
      </x:c>
      <x:c r="I276" s="187" t="str">
        <x:v>ROAD</x:v>
      </x:c>
      <x:c r="J276" s="220" t="n">
        <x:v>28600</x:v>
      </x:c>
      <x:c r="K276" s="223" t="n">
        <x:v>0.32</x:v>
      </x:c>
      <x:c r="L276" s="223" t="n">
        <x:v>0.97</x:v>
      </x:c>
      <x:c r="M276" s="223" t="n">
        <x:v>0.4</x:v>
      </x:c>
      <x:c r="N276" s="226" t="n">
        <x:f>J276*K276*L276*M276</x:f>
        <x:v>3550.9760000000006</x:v>
      </x:c>
      <x:c r="O276" s="220" t="n">
        <x:v>1.05</x:v>
      </x:c>
      <x:c r="P276" s="226" t="n">
        <x:f>N276*O276</x:f>
        <x:v>3728.5248000000006</x:v>
      </x:c>
      <x:c r="Q276" s="220" t="n">
        <x:v>0.808</x:v>
      </x:c>
      <x:c r="R276" s="226" t="n">
        <x:f>P276*Q276</x:f>
        <x:v>3012.6480384000006</x:v>
      </x:c>
      <x:c r="S276" s="220" t="n">
        <x:v>0.05</x:v>
      </x:c>
      <x:c r="T276" s="226" t="n">
        <x:f>N276*S276</x:f>
        <x:v>177.54880000000003</x:v>
      </x:c>
      <x:c r="U276" s="226" t="n">
        <x:v>0.013</x:v>
      </x:c>
      <x:c r="V276" s="226" t="n">
        <x:f>P276*U276</x:f>
        <x:v>48.4708224</x:v>
      </x:c>
      <x:c r="W276" s="196" t="str">
        <x:v>EUR</x:v>
      </x:c>
      <x:c r="X276" s="220" t="n">
        <x:v>2.84625</x:v>
      </x:c>
      <x:c r="Y276" s="196" t="str">
        <x:v>PER_CHARGEABLE_KG</x:v>
      </x:c>
      <x:c r="Z276" s="220" t="n">
        <x:v>0.21735</x:v>
      </x:c>
      <x:c r="AA276" s="220" t="n">
        <x:v>7.86</x:v>
      </x:c>
      <x:c r="AB276" s="220" t="n">
        <x:v>9</x:v>
      </x:c>
      <x:c r="AC276" s="226" t="n">
        <x:f>IF(W276="EUR",AA276,IF(W276="GBP",AB276,1))</x:f>
        <x:v>7.86</x:v>
      </x:c>
      <x:c r="AD276" s="226" t="n">
        <x:f>R276*X276</x:f>
        <x:v>8574.749479296002</x:v>
      </x:c>
      <x:c r="AE276" s="226" t="n">
        <x:f>IF(Y276="PERCENTAGE_OF_BASE_FREIGHT",AD276*Z276,IF(Y276="PER_CHARGEABLE_KG",R276*Z276,P276*Z276))</x:f>
        <x:v>654.7990511462401</x:v>
      </x:c>
      <x:c r="AF276" s="226" t="n">
        <x:f>AD276*AC276</x:f>
        <x:v>67397.53090726658</x:v>
      </x:c>
      <x:c r="AG276" s="226" t="n">
        <x:f>AE276*AC276</x:f>
        <x:v>5146.720542009448</x:v>
      </x:c>
      <x:c r="AH276" s="226" t="str">
        <x:v>EUR</x:v>
      </x:c>
      <x:c r="AI276" s="226" t="n">
        <x:v>1.2213</x:v>
      </x:c>
      <x:c r="AJ276" s="226" t="n">
        <x:f>IF(AH276="EUR",AA276,IF(AH276="GBP",AB276,1))</x:f>
        <x:v>7.86</x:v>
      </x:c>
      <x:c r="AK276" s="226" t="n">
        <x:f>N276*AI276</x:f>
        <x:v>4336.806988800001</x:v>
      </x:c>
      <x:c r="AL276" s="226" t="n">
        <x:f>AK276*AJ276</x:f>
        <x:v>34087.302931968006</x:v>
      </x:c>
      <x:c r="AM276" s="226" t="str">
        <x:v>EUR</x:v>
      </x:c>
      <x:c r="AN276" s="226" t="n">
        <x:v>0.4347</x:v>
      </x:c>
      <x:c r="AO276" s="226" t="n">
        <x:f>IF(AM276="EUR",AA276,IF(AM276="GBP",AB276,1))</x:f>
        <x:v>7.86</x:v>
      </x:c>
      <x:c r="AP276" s="226" t="n">
        <x:f>P276*AN276</x:f>
        <x:v>1620.7897305600002</x:v>
      </x:c>
      <x:c r="AQ276" s="226" t="n">
        <x:f>AP276*AO276</x:f>
        <x:v>12739.407282201602</x:v>
      </x:c>
      <x:c r="AR276" s="226" t="str">
        <x:v>EUR</x:v>
      </x:c>
      <x:c r="AS276" s="226" t="n">
        <x:v>3.312</x:v>
      </x:c>
      <x:c r="AT276" s="226" t="n">
        <x:f>IF(AR276="EUR",AA276,IF(AR276="GBP",AB276,1))</x:f>
        <x:v>7.86</x:v>
      </x:c>
      <x:c r="AU276" s="226" t="n">
        <x:f>T276*AS276</x:f>
        <x:v>588.0416256000001</x:v>
      </x:c>
      <x:c r="AV276" s="226" t="n">
        <x:f>AU276*AT276</x:f>
        <x:v>4622.007177216001</x:v>
      </x:c>
      <x:c r="AW276" s="226" t="str">
        <x:v>EUR</x:v>
      </x:c>
      <x:c r="AX276" s="226" t="n">
        <x:v>2.3805</x:v>
      </x:c>
      <x:c r="AY276" s="226" t="n">
        <x:f>IF(AW276="EUR",AA276,IF(AW276="GBP",AB276,1))</x:f>
        <x:v>7.86</x:v>
      </x:c>
      <x:c r="AZ276" s="226" t="n">
        <x:f>V276*AX276</x:f>
        <x:v>115.38479272320001</x:v>
      </x:c>
      <x:c r="BA276" s="226" t="n">
        <x:f>AZ276*AY276</x:f>
        <x:v>906.924470804352</x:v>
      </x:c>
      <x:c r="BB276" s="226" t="n">
        <x:f>AF276+AG276+AL276+AQ276+AV276+BA276</x:f>
        <x:v>124899.893311466</x:v>
      </x:c>
      <x:c r="BC276" s="229" t="n">
        <x:v>0.976</x:v>
      </x:c>
      <x:c r="BD276" s="202"/>
      <x:c r="BE276" s="202" t="str">
        <x:v>正式 Forecast 逐月降低英国空运及 Carrier C 份额，但仍高于 Budget</x:v>
      </x:c>
      <x:c r="BF276" s="202" t="str">
        <x:v>沿用当前正式 Forecast</x:v>
      </x:c>
      <x:c r="BG276" s="202" t="str">
        <x:v>UNVERIFIED_UNLIMITED_FOR_MVP</x:v>
      </x:c>
    </x:row>
    <x:row r="277">
      <x:c r="A277" s="187" t="str">
        <x:v>SCENARIO_BASE_2026_08</x:v>
      </x:c>
      <x:c r="B277" s="187" t="str">
        <x:v>SCENARIO</x:v>
      </x:c>
      <x:c r="C277" s="187" t="str">
        <x:v>BASE</x:v>
      </x:c>
      <x:c r="D277" s="217" t="n">
        <x:v>46357</x:v>
      </x:c>
      <x:c r="E277" s="187" t="str">
        <x:v>R_DE_FR_B_ROAD</x:v>
      </x:c>
      <x:c r="F277" s="187" t="str">
        <x:v>DE</x:v>
      </x:c>
      <x:c r="G277" s="187" t="str">
        <x:v>FR_FC</x:v>
      </x:c>
      <x:c r="H277" s="187" t="str">
        <x:v>CARRIER_B</x:v>
      </x:c>
      <x:c r="I277" s="187" t="str">
        <x:v>ROAD</x:v>
      </x:c>
      <x:c r="J277" s="220" t="n">
        <x:v>28600</x:v>
      </x:c>
      <x:c r="K277" s="223" t="n">
        <x:v>0.32</x:v>
      </x:c>
      <x:c r="L277" s="223" t="n">
        <x:v>0.03</x:v>
      </x:c>
      <x:c r="M277" s="223" t="n">
        <x:v>1</x:v>
      </x:c>
      <x:c r="N277" s="226" t="n">
        <x:f>J277*K277*L277*M277</x:f>
        <x:v>274.56</x:v>
      </x:c>
      <x:c r="O277" s="220" t="n">
        <x:v>1.08</x:v>
      </x:c>
      <x:c r="P277" s="226" t="n">
        <x:f>N277*O277</x:f>
        <x:v>296.5248</x:v>
      </x:c>
      <x:c r="Q277" s="220" t="n">
        <x:v>0.8686</x:v>
      </x:c>
      <x:c r="R277" s="226" t="n">
        <x:f>P277*Q277</x:f>
        <x:v>257.56144128000005</x:v>
      </x:c>
      <x:c r="S277" s="220" t="n">
        <x:v>0.05</x:v>
      </x:c>
      <x:c r="T277" s="226" t="n">
        <x:f>N277*S277</x:f>
        <x:v>13.728000000000002</x:v>
      </x:c>
      <x:c r="U277" s="226" t="n">
        <x:v>0.014</x:v>
      </x:c>
      <x:c r="V277" s="226" t="n">
        <x:f>P277*U277</x:f>
        <x:v>4.151347200000001</x:v>
      </x:c>
      <x:c r="W277" s="196" t="str">
        <x:v>EUR</x:v>
      </x:c>
      <x:c r="X277" s="220" t="n">
        <x:v>3.4155</x:v>
      </x:c>
      <x:c r="Y277" s="196" t="str">
        <x:v>PER_CHARGEABLE_KG</x:v>
      </x:c>
      <x:c r="Z277" s="220" t="n">
        <x:v>0.2484</x:v>
      </x:c>
      <x:c r="AA277" s="220" t="n">
        <x:v>7.86</x:v>
      </x:c>
      <x:c r="AB277" s="220" t="n">
        <x:v>9</x:v>
      </x:c>
      <x:c r="AC277" s="226" t="n">
        <x:f>IF(W277="EUR",AA277,IF(W277="GBP",AB277,1))</x:f>
        <x:v>7.86</x:v>
      </x:c>
      <x:c r="AD277" s="226" t="n">
        <x:f>R277*X277</x:f>
        <x:v>879.7011026918402</x:v>
      </x:c>
      <x:c r="AE277" s="226" t="n">
        <x:f>IF(Y277="PERCENTAGE_OF_BASE_FREIGHT",AD277*Z277,IF(Y277="PER_CHARGEABLE_KG",R277*Z277,P277*Z277))</x:f>
        <x:v>63.97826201395202</x:v>
      </x:c>
      <x:c r="AF277" s="226" t="n">
        <x:f>AD277*AC277</x:f>
        <x:v>6914.450667157865</x:v>
      </x:c>
      <x:c r="AG277" s="226" t="n">
        <x:f>AE277*AC277</x:f>
        <x:v>502.8691394296629</x:v>
      </x:c>
      <x:c r="AH277" s="226" t="str">
        <x:v>EUR</x:v>
      </x:c>
      <x:c r="AI277" s="226" t="n">
        <x:v>1.08675</x:v>
      </x:c>
      <x:c r="AJ277" s="226" t="n">
        <x:f>IF(AH277="EUR",AA277,IF(AH277="GBP",AB277,1))</x:f>
        <x:v>7.86</x:v>
      </x:c>
      <x:c r="AK277" s="226" t="n">
        <x:f>N277*AI277</x:f>
        <x:v>298.37808</x:v>
      </x:c>
      <x:c r="AL277" s="226" t="n">
        <x:f>AK277*AJ277</x:f>
        <x:v>2345.2517088</x:v>
      </x:c>
      <x:c r="AM277" s="226" t="str">
        <x:v>EUR</x:v>
      </x:c>
      <x:c r="AN277" s="226" t="n">
        <x:v>0.3933</x:v>
      </x:c>
      <x:c r="AO277" s="226" t="n">
        <x:f>IF(AM277="EUR",AA277,IF(AM277="GBP",AB277,1))</x:f>
        <x:v>7.86</x:v>
      </x:c>
      <x:c r="AP277" s="226" t="n">
        <x:f>P277*AN277</x:f>
        <x:v>116.62320384</x:v>
      </x:c>
      <x:c r="AQ277" s="226" t="n">
        <x:f>AP277*AO277</x:f>
        <x:v>916.6583821824</x:v>
      </x:c>
      <x:c r="AR277" s="226" t="str">
        <x:v>EUR</x:v>
      </x:c>
      <x:c r="AS277" s="226" t="n">
        <x:v>3.933</x:v>
      </x:c>
      <x:c r="AT277" s="226" t="n">
        <x:f>IF(AR277="EUR",AA277,IF(AR277="GBP",AB277,1))</x:f>
        <x:v>7.86</x:v>
      </x:c>
      <x:c r="AU277" s="226" t="n">
        <x:f>T277*AS277</x:f>
        <x:v>53.992224</x:v>
      </x:c>
      <x:c r="AV277" s="226" t="n">
        <x:f>AU277*AT277</x:f>
        <x:v>424.37888064000003</x:v>
      </x:c>
      <x:c r="AW277" s="226" t="str">
        <x:v>EUR</x:v>
      </x:c>
      <x:c r="AX277" s="226" t="n">
        <x:v>2.3805</x:v>
      </x:c>
      <x:c r="AY277" s="226" t="n">
        <x:f>IF(AW277="EUR",AA277,IF(AW277="GBP",AB277,1))</x:f>
        <x:v>7.86</x:v>
      </x:c>
      <x:c r="AZ277" s="226" t="n">
        <x:f>V277*AX277</x:f>
        <x:v>9.882282009600003</x:v>
      </x:c>
      <x:c r="BA277" s="226" t="n">
        <x:f>AZ277*AY277</x:f>
        <x:v>77.67473659545603</x:v>
      </x:c>
      <x:c r="BB277" s="226" t="n">
        <x:f>AF277+AG277+AL277+AQ277+AV277+BA277</x:f>
        <x:v>11181.283514805385</x:v>
      </x:c>
      <x:c r="BC277" s="229" t="n">
        <x:v>0.968</x:v>
      </x:c>
      <x:c r="BD277" s="202"/>
      <x:c r="BE277" s="202" t="str">
        <x:v>正式 Forecast 逐月降低英国空运及 Carrier C 份额，但仍高于 Budget</x:v>
      </x:c>
      <x:c r="BF277" s="202" t="str">
        <x:v>沿用当前正式 Forecast</x:v>
      </x:c>
      <x:c r="BG277" s="202" t="str">
        <x:v>UNVERIFIED_UNLIMITED_FOR_MVP</x:v>
      </x:c>
    </x:row>
    <x:row r="278">
      <x:c r="A278" s="187" t="str">
        <x:v>SCENARIO_BASE_2026_08</x:v>
      </x:c>
      <x:c r="B278" s="187" t="str">
        <x:v>SCENARIO</x:v>
      </x:c>
      <x:c r="C278" s="187" t="str">
        <x:v>BASE</x:v>
      </x:c>
      <x:c r="D278" s="217" t="n">
        <x:v>46357</x:v>
      </x:c>
      <x:c r="E278" s="187" t="str">
        <x:v>R_FR_FR_A_ROAD</x:v>
      </x:c>
      <x:c r="F278" s="187" t="str">
        <x:v>FR</x:v>
      </x:c>
      <x:c r="G278" s="187" t="str">
        <x:v>FR_FC</x:v>
      </x:c>
      <x:c r="H278" s="187" t="str">
        <x:v>CARRIER_A</x:v>
      </x:c>
      <x:c r="I278" s="187" t="str">
        <x:v>ROAD</x:v>
      </x:c>
      <x:c r="J278" s="220" t="n">
        <x:v>28600</x:v>
      </x:c>
      <x:c r="K278" s="223" t="n">
        <x:v>0.28</x:v>
      </x:c>
      <x:c r="L278" s="223" t="n">
        <x:v>1</x:v>
      </x:c>
      <x:c r="M278" s="223" t="n">
        <x:v>0.35</x:v>
      </x:c>
      <x:c r="N278" s="226" t="n">
        <x:f>J278*K278*L278*M278</x:f>
        <x:v>2802.8</x:v>
      </x:c>
      <x:c r="O278" s="220" t="n">
        <x:v>1.06</x:v>
      </x:c>
      <x:c r="P278" s="226" t="n">
        <x:f>N278*O278</x:f>
        <x:v>2970.9680000000003</x:v>
      </x:c>
      <x:c r="Q278" s="220" t="n">
        <x:v>0.7676</x:v>
      </x:c>
      <x:c r="R278" s="226" t="n">
        <x:f>P278*Q278</x:f>
        <x:v>2280.5150368</x:v>
      </x:c>
      <x:c r="S278" s="220" t="n">
        <x:v>0.06</x:v>
      </x:c>
      <x:c r="T278" s="226" t="n">
        <x:f>N278*S278</x:f>
        <x:v>168.168</x:v>
      </x:c>
      <x:c r="U278" s="226" t="n">
        <x:v>0.017</x:v>
      </x:c>
      <x:c r="V278" s="226" t="n">
        <x:f>P278*U278</x:f>
        <x:v>50.50645600000001</x:v>
      </x:c>
      <x:c r="W278" s="196" t="str">
        <x:v>EUR</x:v>
      </x:c>
      <x:c r="X278" s="220" t="n">
        <x:v>2.1735</x:v>
      </x:c>
      <x:c r="Y278" s="196" t="str">
        <x:v>PERCENTAGE_OF_BASE_FREIGHT</x:v>
      </x:c>
      <x:c r="Z278" s="220" t="n">
        <x:v>0.09315</x:v>
      </x:c>
      <x:c r="AA278" s="220" t="n">
        <x:v>7.86</x:v>
      </x:c>
      <x:c r="AB278" s="220" t="n">
        <x:v>9</x:v>
      </x:c>
      <x:c r="AC278" s="226" t="n">
        <x:f>IF(W278="EUR",AA278,IF(W278="GBP",AB278,1))</x:f>
        <x:v>7.86</x:v>
      </x:c>
      <x:c r="AD278" s="226" t="n">
        <x:f>R278*X278</x:f>
        <x:v>4956.6994324848</x:v>
      </x:c>
      <x:c r="AE278" s="226" t="n">
        <x:f>IF(Y278="PERCENTAGE_OF_BASE_FREIGHT",AD278*Z278,IF(Y278="PER_CHARGEABLE_KG",R278*Z278,P278*Z278))</x:f>
        <x:v>461.7165521359591</x:v>
      </x:c>
      <x:c r="AF278" s="226" t="n">
        <x:f>AD278*AC278</x:f>
        <x:v>38959.65753933053</x:v>
      </x:c>
      <x:c r="AG278" s="226" t="n">
        <x:f>AE278*AC278</x:f>
        <x:v>3629.0920997886387</x:v>
      </x:c>
      <x:c r="AH278" s="226" t="str">
        <x:v>EUR</x:v>
      </x:c>
      <x:c r="AI278" s="226" t="n">
        <x:v>1.08675</x:v>
      </x:c>
      <x:c r="AJ278" s="226" t="n">
        <x:f>IF(AH278="EUR",AA278,IF(AH278="GBP",AB278,1))</x:f>
        <x:v>7.86</x:v>
      </x:c>
      <x:c r="AK278" s="226" t="n">
        <x:f>N278*AI278</x:f>
        <x:v>3045.9429000000005</x:v>
      </x:c>
      <x:c r="AL278" s="226" t="n">
        <x:f>AK278*AJ278</x:f>
        <x:v>23941.111194000005</x:v>
      </x:c>
      <x:c r="AM278" s="226" t="str">
        <x:v>EUR</x:v>
      </x:c>
      <x:c r="AN278" s="226" t="n">
        <x:v>0.3933</x:v>
      </x:c>
      <x:c r="AO278" s="226" t="n">
        <x:f>IF(AM278="EUR",AA278,IF(AM278="GBP",AB278,1))</x:f>
        <x:v>7.86</x:v>
      </x:c>
      <x:c r="AP278" s="226" t="n">
        <x:f>P278*AN278</x:f>
        <x:v>1168.4817144</x:v>
      </x:c>
      <x:c r="AQ278" s="226" t="n">
        <x:f>AP278*AO278</x:f>
        <x:v>9184.266275184002</x:v>
      </x:c>
      <x:c r="AR278" s="226" t="str">
        <x:v>EUR</x:v>
      </x:c>
      <x:c r="AS278" s="226" t="n">
        <x:v>3.105</x:v>
      </x:c>
      <x:c r="AT278" s="226" t="n">
        <x:f>IF(AR278="EUR",AA278,IF(AR278="GBP",AB278,1))</x:f>
        <x:v>7.86</x:v>
      </x:c>
      <x:c r="AU278" s="226" t="n">
        <x:f>T278*AS278</x:f>
        <x:v>522.16164</x:v>
      </x:c>
      <x:c r="AV278" s="226" t="n">
        <x:f>AU278*AT278</x:f>
        <x:v>4104.1904904</x:v>
      </x:c>
      <x:c r="AW278" s="226" t="str">
        <x:v>EUR</x:v>
      </x:c>
      <x:c r="AX278" s="226" t="n">
        <x:v>2.3805</x:v>
      </x:c>
      <x:c r="AY278" s="226" t="n">
        <x:f>IF(AW278="EUR",AA278,IF(AW278="GBP",AB278,1))</x:f>
        <x:v>7.86</x:v>
      </x:c>
      <x:c r="AZ278" s="226" t="n">
        <x:f>V278*AX278</x:f>
        <x:v>120.23061850800002</x:v>
      </x:c>
      <x:c r="BA278" s="226" t="n">
        <x:f>AZ278*AY278</x:f>
        <x:v>945.0126614728802</x:v>
      </x:c>
      <x:c r="BB278" s="226" t="n">
        <x:f>AF278+AG278+AL278+AQ278+AV278+BA278</x:f>
        <x:v>80763.33026017604</x:v>
      </x:c>
      <x:c r="BC278" s="229" t="n">
        <x:v>0.961</x:v>
      </x:c>
      <x:c r="BD278" s="202"/>
      <x:c r="BE278" s="202" t="str">
        <x:v>正式 Forecast 逐月降低英国空运及 Carrier C 份额，但仍高于 Budget</x:v>
      </x:c>
      <x:c r="BF278" s="202" t="str">
        <x:v>沿用当前正式 Forecast</x:v>
      </x:c>
      <x:c r="BG278" s="202" t="str">
        <x:v>UNVERIFIED_UNLIMITED_FOR_MVP</x:v>
      </x:c>
    </x:row>
    <x:row r="279">
      <x:c r="A279" s="187" t="str">
        <x:v>SCENARIO_BASE_2026_08</x:v>
      </x:c>
      <x:c r="B279" s="187" t="str">
        <x:v>SCENARIO</x:v>
      </x:c>
      <x:c r="C279" s="187" t="str">
        <x:v>BASE</x:v>
      </x:c>
      <x:c r="D279" s="217" t="n">
        <x:v>46357</x:v>
      </x:c>
      <x:c r="E279" s="187" t="str">
        <x:v>R_FR_FR_B_ROAD</x:v>
      </x:c>
      <x:c r="F279" s="187" t="str">
        <x:v>FR</x:v>
      </x:c>
      <x:c r="G279" s="187" t="str">
        <x:v>FR_FC</x:v>
      </x:c>
      <x:c r="H279" s="187" t="str">
        <x:v>CARRIER_B</x:v>
      </x:c>
      <x:c r="I279" s="187" t="str">
        <x:v>ROAD</x:v>
      </x:c>
      <x:c r="J279" s="220" t="n">
        <x:v>28600</x:v>
      </x:c>
      <x:c r="K279" s="223" t="n">
        <x:v>0.28</x:v>
      </x:c>
      <x:c r="L279" s="223" t="n">
        <x:v>1</x:v>
      </x:c>
      <x:c r="M279" s="223" t="n">
        <x:v>0.65</x:v>
      </x:c>
      <x:c r="N279" s="226" t="n">
        <x:f>J279*K279*L279*M279</x:f>
        <x:v>5205.200000000001</x:v>
      </x:c>
      <x:c r="O279" s="220" t="n">
        <x:v>1.06</x:v>
      </x:c>
      <x:c r="P279" s="226" t="n">
        <x:f>N279*O279</x:f>
        <x:v>5517.512000000001</x:v>
      </x:c>
      <x:c r="Q279" s="220" t="n">
        <x:v>0.7979</x:v>
      </x:c>
      <x:c r="R279" s="226" t="n">
        <x:f>P279*Q279</x:f>
        <x:v>4402.422824800001</x:v>
      </x:c>
      <x:c r="S279" s="220" t="n">
        <x:v>0.06</x:v>
      </x:c>
      <x:c r="T279" s="226" t="n">
        <x:f>N279*S279</x:f>
        <x:v>312.312</x:v>
      </x:c>
      <x:c r="U279" s="226" t="n">
        <x:v>0.014</x:v>
      </x:c>
      <x:c r="V279" s="226" t="n">
        <x:f>P279*U279</x:f>
        <x:v>77.245168</x:v>
      </x:c>
      <x:c r="W279" s="196" t="str">
        <x:v>EUR</x:v>
      </x:c>
      <x:c r="X279" s="220" t="n">
        <x:v>2.691</x:v>
      </x:c>
      <x:c r="Y279" s="196" t="str">
        <x:v>PER_CHARGEABLE_KG</x:v>
      </x:c>
      <x:c r="Z279" s="220" t="n">
        <x:v>0.207</x:v>
      </x:c>
      <x:c r="AA279" s="220" t="n">
        <x:v>7.86</x:v>
      </x:c>
      <x:c r="AB279" s="220" t="n">
        <x:v>9</x:v>
      </x:c>
      <x:c r="AC279" s="226" t="n">
        <x:f>IF(W279="EUR",AA279,IF(W279="GBP",AB279,1))</x:f>
        <x:v>7.86</x:v>
      </x:c>
      <x:c r="AD279" s="226" t="n">
        <x:f>R279*X279</x:f>
        <x:v>11846.919821536801</x:v>
      </x:c>
      <x:c r="AE279" s="226" t="n">
        <x:f>IF(Y279="PERCENTAGE_OF_BASE_FREIGHT",AD279*Z279,IF(Y279="PER_CHARGEABLE_KG",R279*Z279,P279*Z279))</x:f>
        <x:v>911.3015247336001</x:v>
      </x:c>
      <x:c r="AF279" s="226" t="n">
        <x:f>AD279*AC279</x:f>
        <x:v>93116.78979727926</x:v>
      </x:c>
      <x:c r="AG279" s="226" t="n">
        <x:f>AE279*AC279</x:f>
        <x:v>7162.8299844060975</x:v>
      </x:c>
      <x:c r="AH279" s="226" t="str">
        <x:v>EUR</x:v>
      </x:c>
      <x:c r="AI279" s="226" t="n">
        <x:v>1.08675</x:v>
      </x:c>
      <x:c r="AJ279" s="226" t="n">
        <x:f>IF(AH279="EUR",AA279,IF(AH279="GBP",AB279,1))</x:f>
        <x:v>7.86</x:v>
      </x:c>
      <x:c r="AK279" s="226" t="n">
        <x:f>N279*AI279</x:f>
        <x:v>5656.751100000001</x:v>
      </x:c>
      <x:c r="AL279" s="226" t="n">
        <x:f>AK279*AJ279</x:f>
        <x:v>44462.06364600001</x:v>
      </x:c>
      <x:c r="AM279" s="226" t="str">
        <x:v>EUR</x:v>
      </x:c>
      <x:c r="AN279" s="226" t="n">
        <x:v>0.3933</x:v>
      </x:c>
      <x:c r="AO279" s="226" t="n">
        <x:f>IF(AM279="EUR",AA279,IF(AM279="GBP",AB279,1))</x:f>
        <x:v>7.86</x:v>
      </x:c>
      <x:c r="AP279" s="226" t="n">
        <x:f>P279*AN279</x:f>
        <x:v>2170.0374696000003</x:v>
      </x:c>
      <x:c r="AQ279" s="226" t="n">
        <x:f>AP279*AO279</x:f>
        <x:v>17056.494511056004</x:v>
      </x:c>
      <x:c r="AR279" s="226" t="str">
        <x:v>EUR</x:v>
      </x:c>
      <x:c r="AS279" s="226" t="n">
        <x:v>3.105</x:v>
      </x:c>
      <x:c r="AT279" s="226" t="n">
        <x:f>IF(AR279="EUR",AA279,IF(AR279="GBP",AB279,1))</x:f>
        <x:v>7.86</x:v>
      </x:c>
      <x:c r="AU279" s="226" t="n">
        <x:f>T279*AS279</x:f>
        <x:v>969.7287600000001</x:v>
      </x:c>
      <x:c r="AV279" s="226" t="n">
        <x:f>AU279*AT279</x:f>
        <x:v>7622.068053600001</x:v>
      </x:c>
      <x:c r="AW279" s="226" t="str">
        <x:v>EUR</x:v>
      </x:c>
      <x:c r="AX279" s="226" t="n">
        <x:v>2.3805</x:v>
      </x:c>
      <x:c r="AY279" s="226" t="n">
        <x:f>IF(AW279="EUR",AA279,IF(AW279="GBP",AB279,1))</x:f>
        <x:v>7.86</x:v>
      </x:c>
      <x:c r="AZ279" s="226" t="n">
        <x:f>V279*AX279</x:f>
        <x:v>183.88212242400002</x:v>
      </x:c>
      <x:c r="BA279" s="226" t="n">
        <x:f>AZ279*AY279</x:f>
        <x:v>1445.3134822526401</x:v>
      </x:c>
      <x:c r="BB279" s="226" t="n">
        <x:f>AF279+AG279+AL279+AQ279+AV279+BA279</x:f>
        <x:v>170865.559474594</x:v>
      </x:c>
      <x:c r="BC279" s="229" t="n">
        <x:v>0.973</x:v>
      </x:c>
      <x:c r="BD279" s="202"/>
      <x:c r="BE279" s="202" t="str">
        <x:v>正式 Forecast 逐月降低英国空运及 Carrier C 份额，但仍高于 Budget</x:v>
      </x:c>
      <x:c r="BF279" s="202" t="str">
        <x:v>沿用当前正式 Forecast</x:v>
      </x:c>
      <x:c r="BG279" s="202" t="str">
        <x:v>UNVERIFIED_UNLIMITED_FOR_MVP</x:v>
      </x:c>
    </x:row>
    <x:row r="280">
      <x:c r="A280" s="187" t="str">
        <x:v>SCENARIO_BASE_2026_08</x:v>
      </x:c>
      <x:c r="B280" s="187" t="str">
        <x:v>SCENARIO</x:v>
      </x:c>
      <x:c r="C280" s="187" t="str">
        <x:v>BASE</x:v>
      </x:c>
      <x:c r="D280" s="217" t="n">
        <x:v>46357</x:v>
      </x:c>
      <x:c r="E280" s="187" t="str">
        <x:v>R_GB_DE_A_ROAD</x:v>
      </x:c>
      <x:c r="F280" s="187" t="str">
        <x:v>GB</x:v>
      </x:c>
      <x:c r="G280" s="187" t="str">
        <x:v>DE_FC</x:v>
      </x:c>
      <x:c r="H280" s="187" t="str">
        <x:v>CARRIER_A</x:v>
      </x:c>
      <x:c r="I280" s="187" t="str">
        <x:v>ROAD</x:v>
      </x:c>
      <x:c r="J280" s="220" t="n">
        <x:v>28600</x:v>
      </x:c>
      <x:c r="K280" s="223" t="n">
        <x:v>0.4</x:v>
      </x:c>
      <x:c r="L280" s="223" t="n">
        <x:v>0.96</x:v>
      </x:c>
      <x:c r="M280" s="223" t="n">
        <x:v>0.48</x:v>
      </x:c>
      <x:c r="N280" s="226" t="n">
        <x:f>J280*K280*L280*M280</x:f>
        <x:v>5271.552</x:v>
      </x:c>
      <x:c r="O280" s="220" t="n">
        <x:v>1.17</x:v>
      </x:c>
      <x:c r="P280" s="226" t="n">
        <x:f>N280*O280</x:f>
        <x:v>6167.715839999999</x:v>
      </x:c>
      <x:c r="Q280" s="220" t="n">
        <x:v>1.050804</x:v>
      </x:c>
      <x:c r="R280" s="226" t="n">
        <x:f>P280*Q280</x:f>
        <x:v>6481.06047553536</x:v>
      </x:c>
      <x:c r="S280" s="220" t="n">
        <x:v>0.09</x:v>
      </x:c>
      <x:c r="T280" s="226" t="n">
        <x:f>N280*S280</x:f>
        <x:v>474.43967999999995</x:v>
      </x:c>
      <x:c r="U280" s="226" t="n">
        <x:v>0.027</x:v>
      </x:c>
      <x:c r="V280" s="226" t="n">
        <x:f>P280*U280</x:f>
        <x:v>166.52832767999996</x:v>
      </x:c>
      <x:c r="W280" s="196" t="str">
        <x:v>GBP</x:v>
      </x:c>
      <x:c r="X280" s="220" t="n">
        <x:v>4.14</x:v>
      </x:c>
      <x:c r="Y280" s="196" t="str">
        <x:v>PERCENTAGE_OF_BASE_FREIGHT</x:v>
      </x:c>
      <x:c r="Z280" s="220" t="n">
        <x:v>0.1035</x:v>
      </x:c>
      <x:c r="AA280" s="220" t="n">
        <x:v>7.86</x:v>
      </x:c>
      <x:c r="AB280" s="220" t="n">
        <x:v>9</x:v>
      </x:c>
      <x:c r="AC280" s="226" t="n">
        <x:f>IF(W280="EUR",AA280,IF(W280="GBP",AB280,1))</x:f>
        <x:v>9</x:v>
      </x:c>
      <x:c r="AD280" s="226" t="n">
        <x:f>R280*X280</x:f>
        <x:v>26831.59036871639</x:v>
      </x:c>
      <x:c r="AE280" s="226" t="n">
        <x:f>IF(Y280="PERCENTAGE_OF_BASE_FREIGHT",AD280*Z280,IF(Y280="PER_CHARGEABLE_KG",R280*Z280,P280*Z280))</x:f>
        <x:v>2777.069603162146</x:v>
      </x:c>
      <x:c r="AF280" s="226" t="n">
        <x:f>AD280*AC280</x:f>
        <x:v>241484.3133184475</x:v>
      </x:c>
      <x:c r="AG280" s="226" t="n">
        <x:f>AE280*AC280</x:f>
        <x:v>24993.626428459313</x:v>
      </x:c>
      <x:c r="AH280" s="226" t="str">
        <x:v>EUR</x:v>
      </x:c>
      <x:c r="AI280" s="226" t="n">
        <x:v>1.2213</x:v>
      </x:c>
      <x:c r="AJ280" s="226" t="n">
        <x:f>IF(AH280="EUR",AA280,IF(AH280="GBP",AB280,1))</x:f>
        <x:v>7.86</x:v>
      </x:c>
      <x:c r="AK280" s="226" t="n">
        <x:f>N280*AI280</x:f>
        <x:v>6438.1464576</x:v>
      </x:c>
      <x:c r="AL280" s="226" t="n">
        <x:f>AK280*AJ280</x:f>
        <x:v>50603.831156736</x:v>
      </x:c>
      <x:c r="AM280" s="226" t="str">
        <x:v>EUR</x:v>
      </x:c>
      <x:c r="AN280" s="226" t="n">
        <x:v>0.4347</x:v>
      </x:c>
      <x:c r="AO280" s="226" t="n">
        <x:f>IF(AM280="EUR",AA280,IF(AM280="GBP",AB280,1))</x:f>
        <x:v>7.86</x:v>
      </x:c>
      <x:c r="AP280" s="226" t="n">
        <x:f>P280*AN280</x:f>
        <x:v>2681.106075647999</x:v>
      </x:c>
      <x:c r="AQ280" s="226" t="n">
        <x:f>AP280*AO280</x:f>
        <x:v>21073.493754593273</x:v>
      </x:c>
      <x:c r="AR280" s="226" t="str">
        <x:v>GBP</x:v>
      </x:c>
      <x:c r="AS280" s="226" t="n">
        <x:v>4.968</x:v>
      </x:c>
      <x:c r="AT280" s="226" t="n">
        <x:f>IF(AR280="EUR",AA280,IF(AR280="GBP",AB280,1))</x:f>
        <x:v>9</x:v>
      </x:c>
      <x:c r="AU280" s="226" t="n">
        <x:f>T280*AS280</x:f>
        <x:v>2357.0163302399997</x:v>
      </x:c>
      <x:c r="AV280" s="226" t="n">
        <x:f>AU280*AT280</x:f>
        <x:v>21213.146972159997</x:v>
      </x:c>
      <x:c r="AW280" s="226" t="str">
        <x:v>GBP</x:v>
      </x:c>
      <x:c r="AX280" s="226" t="n">
        <x:v>2.3805</x:v>
      </x:c>
      <x:c r="AY280" s="226" t="n">
        <x:f>IF(AW280="EUR",AA280,IF(AW280="GBP",AB280,1))</x:f>
        <x:v>9</x:v>
      </x:c>
      <x:c r="AZ280" s="226" t="n">
        <x:f>V280*AX280</x:f>
        <x:v>396.42068404223994</x:v>
      </x:c>
      <x:c r="BA280" s="226" t="n">
        <x:f>AZ280*AY280</x:f>
        <x:v>3567.7861563801594</x:v>
      </x:c>
      <x:c r="BB280" s="226" t="n">
        <x:f>AF280+AG280+AL280+AQ280+AV280+BA280</x:f>
        <x:v>362936.1977867762</x:v>
      </x:c>
      <x:c r="BC280" s="229" t="n">
        <x:v>0.93</x:v>
      </x:c>
      <x:c r="BD280" s="202"/>
      <x:c r="BE280" s="202" t="str">
        <x:v>正式 Forecast 逐月降低英国空运及 Carrier C 份额，但仍高于 Budget</x:v>
      </x:c>
      <x:c r="BF280" s="202" t="str">
        <x:v>沿用当前正式 Forecast</x:v>
      </x:c>
      <x:c r="BG280" s="202" t="str">
        <x:v>UNVERIFIED_UNLIMITED_FOR_MVP</x:v>
      </x:c>
    </x:row>
    <x:row r="281">
      <x:c r="A281" s="187" t="str">
        <x:v>SCENARIO_BASE_2026_08</x:v>
      </x:c>
      <x:c r="B281" s="187" t="str">
        <x:v>SCENARIO</x:v>
      </x:c>
      <x:c r="C281" s="187" t="str">
        <x:v>BASE</x:v>
      </x:c>
      <x:c r="D281" s="217" t="n">
        <x:v>46357</x:v>
      </x:c>
      <x:c r="E281" s="187" t="str">
        <x:v>R_GB_DE_B_ROAD</x:v>
      </x:c>
      <x:c r="F281" s="187" t="str">
        <x:v>GB</x:v>
      </x:c>
      <x:c r="G281" s="187" t="str">
        <x:v>DE_FC</x:v>
      </x:c>
      <x:c r="H281" s="187" t="str">
        <x:v>CARRIER_B</x:v>
      </x:c>
      <x:c r="I281" s="187" t="str">
        <x:v>ROAD</x:v>
      </x:c>
      <x:c r="J281" s="220" t="n">
        <x:v>28600</x:v>
      </x:c>
      <x:c r="K281" s="223" t="n">
        <x:v>0.4</x:v>
      </x:c>
      <x:c r="L281" s="223" t="n">
        <x:v>0.96</x:v>
      </x:c>
      <x:c r="M281" s="223" t="n">
        <x:v>0.25</x:v>
      </x:c>
      <x:c r="N281" s="226" t="n">
        <x:f>J281*K281*L281*M281</x:f>
        <x:v>2745.6</x:v>
      </x:c>
      <x:c r="O281" s="220" t="n">
        <x:v>1.17</x:v>
      </x:c>
      <x:c r="P281" s="226" t="n">
        <x:f>N281*O281</x:f>
        <x:v>3212.352</x:v>
      </x:c>
      <x:c r="Q281" s="220" t="n">
        <x:v>1.0302</x:v>
      </x:c>
      <x:c r="R281" s="226" t="n">
        <x:f>P281*Q281</x:f>
        <x:v>3309.3650304</x:v>
      </x:c>
      <x:c r="S281" s="220" t="n">
        <x:v>0.09</x:v>
      </x:c>
      <x:c r="T281" s="226" t="n">
        <x:f>N281*S281</x:f>
        <x:v>247.10399999999998</x:v>
      </x:c>
      <x:c r="U281" s="226" t="n">
        <x:v>0.02</x:v>
      </x:c>
      <x:c r="V281" s="226" t="n">
        <x:f>P281*U281</x:f>
        <x:v>64.24704</x:v>
      </x:c>
      <x:c r="W281" s="196" t="str">
        <x:v>GBP</x:v>
      </x:c>
      <x:c r="X281" s="220" t="n">
        <x:v>4.8645</x:v>
      </x:c>
      <x:c r="Y281" s="196" t="str">
        <x:v>PER_CHARGEABLE_KG</x:v>
      </x:c>
      <x:c r="Z281" s="220" t="n">
        <x:v>0.34155</x:v>
      </x:c>
      <x:c r="AA281" s="220" t="n">
        <x:v>7.86</x:v>
      </x:c>
      <x:c r="AB281" s="220" t="n">
        <x:v>9</x:v>
      </x:c>
      <x:c r="AC281" s="226" t="n">
        <x:f>IF(W281="EUR",AA281,IF(W281="GBP",AB281,1))</x:f>
        <x:v>9</x:v>
      </x:c>
      <x:c r="AD281" s="226" t="n">
        <x:f>R281*X281</x:f>
        <x:v>16098.406190380798</x:v>
      </x:c>
      <x:c r="AE281" s="226" t="n">
        <x:f>IF(Y281="PERCENTAGE_OF_BASE_FREIGHT",AD281*Z281,IF(Y281="PER_CHARGEABLE_KG",R281*Z281,P281*Z281))</x:f>
        <x:v>1130.31362613312</x:v>
      </x:c>
      <x:c r="AF281" s="226" t="n">
        <x:f>AD281*AC281</x:f>
        <x:v>144885.65571342717</x:v>
      </x:c>
      <x:c r="AG281" s="226" t="n">
        <x:f>AE281*AC281</x:f>
        <x:v>10172.82263519808</x:v>
      </x:c>
      <x:c r="AH281" s="226" t="str">
        <x:v>EUR</x:v>
      </x:c>
      <x:c r="AI281" s="226" t="n">
        <x:v>1.2213</x:v>
      </x:c>
      <x:c r="AJ281" s="226" t="n">
        <x:f>IF(AH281="EUR",AA281,IF(AH281="GBP",AB281,1))</x:f>
        <x:v>7.86</x:v>
      </x:c>
      <x:c r="AK281" s="226" t="n">
        <x:f>N281*AI281</x:f>
        <x:v>3353.20128</x:v>
      </x:c>
      <x:c r="AL281" s="226" t="n">
        <x:f>AK281*AJ281</x:f>
        <x:v>26356.1620608</x:v>
      </x:c>
      <x:c r="AM281" s="226" t="str">
        <x:v>EUR</x:v>
      </x:c>
      <x:c r="AN281" s="226" t="n">
        <x:v>0.4347</x:v>
      </x:c>
      <x:c r="AO281" s="226" t="n">
        <x:f>IF(AM281="EUR",AA281,IF(AM281="GBP",AB281,1))</x:f>
        <x:v>7.86</x:v>
      </x:c>
      <x:c r="AP281" s="226" t="n">
        <x:f>P281*AN281</x:f>
        <x:v>1396.4094143999998</x:v>
      </x:c>
      <x:c r="AQ281" s="226" t="n">
        <x:f>AP281*AO281</x:f>
        <x:v>10975.777997184</x:v>
      </x:c>
      <x:c r="AR281" s="226" t="str">
        <x:v>GBP</x:v>
      </x:c>
      <x:c r="AS281" s="226" t="n">
        <x:v>4.968</x:v>
      </x:c>
      <x:c r="AT281" s="226" t="n">
        <x:f>IF(AR281="EUR",AA281,IF(AR281="GBP",AB281,1))</x:f>
        <x:v>9</x:v>
      </x:c>
      <x:c r="AU281" s="226" t="n">
        <x:f>T281*AS281</x:f>
        <x:v>1227.612672</x:v>
      </x:c>
      <x:c r="AV281" s="226" t="n">
        <x:f>AU281*AT281</x:f>
        <x:v>11048.514048</x:v>
      </x:c>
      <x:c r="AW281" s="226" t="str">
        <x:v>GBP</x:v>
      </x:c>
      <x:c r="AX281" s="226" t="n">
        <x:v>2.3805</x:v>
      </x:c>
      <x:c r="AY281" s="226" t="n">
        <x:f>IF(AW281="EUR",AA281,IF(AW281="GBP",AB281,1))</x:f>
        <x:v>9</x:v>
      </x:c>
      <x:c r="AZ281" s="226" t="n">
        <x:f>V281*AX281</x:f>
        <x:v>152.94007872</x:v>
      </x:c>
      <x:c r="BA281" s="226" t="n">
        <x:f>AZ281*AY281</x:f>
        <x:v>1376.46070848</x:v>
      </x:c>
      <x:c r="BB281" s="226" t="n">
        <x:f>AF281+AG281+AL281+AQ281+AV281+BA281</x:f>
        <x:v>204815.39316308926</x:v>
      </x:c>
      <x:c r="BC281" s="229" t="n">
        <x:v>0.95</x:v>
      </x:c>
      <x:c r="BD281" s="202"/>
      <x:c r="BE281" s="202" t="str">
        <x:v>正式 Forecast 逐月降低英国空运及 Carrier C 份额，但仍高于 Budget</x:v>
      </x:c>
      <x:c r="BF281" s="202" t="str">
        <x:v>沿用当前正式 Forecast</x:v>
      </x:c>
      <x:c r="BG281" s="202" t="str">
        <x:v>UNVERIFIED_UNLIMITED_FOR_MVP</x:v>
      </x:c>
    </x:row>
    <x:row r="282">
      <x:c r="A282" s="187" t="str">
        <x:v>SCENARIO_BASE_2026_08</x:v>
      </x:c>
      <x:c r="B282" s="187" t="str">
        <x:v>SCENARIO</x:v>
      </x:c>
      <x:c r="C282" s="187" t="str">
        <x:v>BASE</x:v>
      </x:c>
      <x:c r="D282" s="217" t="n">
        <x:v>46357</x:v>
      </x:c>
      <x:c r="E282" s="187" t="str">
        <x:v>R_GB_DE_B_AIR</x:v>
      </x:c>
      <x:c r="F282" s="187" t="str">
        <x:v>GB</x:v>
      </x:c>
      <x:c r="G282" s="187" t="str">
        <x:v>DE_FC</x:v>
      </x:c>
      <x:c r="H282" s="187" t="str">
        <x:v>CARRIER_B</x:v>
      </x:c>
      <x:c r="I282" s="187" t="str">
        <x:v>AIR</x:v>
      </x:c>
      <x:c r="J282" s="220" t="n">
        <x:v>28600</x:v>
      </x:c>
      <x:c r="K282" s="223" t="n">
        <x:v>0.4</x:v>
      </x:c>
      <x:c r="L282" s="223" t="n">
        <x:v>0.96</x:v>
      </x:c>
      <x:c r="M282" s="223" t="n">
        <x:v>0.19</x:v>
      </x:c>
      <x:c r="N282" s="226" t="n">
        <x:f>J282*K282*L282*M282</x:f>
        <x:v>2086.656</x:v>
      </x:c>
      <x:c r="O282" s="220" t="n">
        <x:v>1.17</x:v>
      </x:c>
      <x:c r="P282" s="226" t="n">
        <x:f>N282*O282</x:f>
        <x:v>2441.3875199999998</x:v>
      </x:c>
      <x:c r="Q282" s="220" t="n">
        <x:v>0.968388</x:v>
      </x:c>
      <x:c r="R282" s="226" t="n">
        <x:f>P282*Q282</x:f>
        <x:v>2364.21037771776</x:v>
      </x:c>
      <x:c r="S282" s="220" t="n">
        <x:v>0.09</x:v>
      </x:c>
      <x:c r="T282" s="226" t="n">
        <x:f>N282*S282</x:f>
        <x:v>187.79904</x:v>
      </x:c>
      <x:c r="U282" s="226" t="n">
        <x:v>0.016</x:v>
      </x:c>
      <x:c r="V282" s="226" t="n">
        <x:f>P282*U282</x:f>
        <x:v>39.062200319999995</x:v>
      </x:c>
      <x:c r="W282" s="196" t="str">
        <x:v>GBP</x:v>
      </x:c>
      <x:c r="X282" s="220" t="n">
        <x:v>6.67368</x:v>
      </x:c>
      <x:c r="Y282" s="196" t="str">
        <x:v>PERCENTAGE_OF_BASE_FREIGHT</x:v>
      </x:c>
      <x:c r="Z282" s="220" t="n">
        <x:v>0.123786</x:v>
      </x:c>
      <x:c r="AA282" s="220" t="n">
        <x:v>7.86</x:v>
      </x:c>
      <x:c r="AB282" s="220" t="n">
        <x:v>9</x:v>
      </x:c>
      <x:c r="AC282" s="226" t="n">
        <x:f>IF(W282="EUR",AA282,IF(W282="GBP",AB282,1))</x:f>
        <x:v>9</x:v>
      </x:c>
      <x:c r="AD282" s="226" t="n">
        <x:f>R282*X282</x:f>
        <x:v>15777.98351356746</x:v>
      </x:c>
      <x:c r="AE282" s="226" t="n">
        <x:f>IF(Y282="PERCENTAGE_OF_BASE_FREIGHT",AD282*Z282,IF(Y282="PER_CHARGEABLE_KG",R282*Z282,P282*Z282))</x:f>
        <x:v>1953.0934672104615</x:v>
      </x:c>
      <x:c r="AF282" s="226" t="n">
        <x:f>AD282*AC282</x:f>
        <x:v>142001.85162210715</x:v>
      </x:c>
      <x:c r="AG282" s="226" t="n">
        <x:f>AE282*AC282</x:f>
        <x:v>17577.841204894154</x:v>
      </x:c>
      <x:c r="AH282" s="226" t="str">
        <x:v>EUR</x:v>
      </x:c>
      <x:c r="AI282" s="226" t="n">
        <x:v>1.2213</x:v>
      </x:c>
      <x:c r="AJ282" s="226" t="n">
        <x:f>IF(AH282="EUR",AA282,IF(AH282="GBP",AB282,1))</x:f>
        <x:v>7.86</x:v>
      </x:c>
      <x:c r="AK282" s="226" t="n">
        <x:f>N282*AI282</x:f>
        <x:v>2548.4329728000002</x:v>
      </x:c>
      <x:c r="AL282" s="226" t="n">
        <x:f>AK282*AJ282</x:f>
        <x:v>20030.683166208004</x:v>
      </x:c>
      <x:c r="AM282" s="226" t="str">
        <x:v>EUR</x:v>
      </x:c>
      <x:c r="AN282" s="226" t="n">
        <x:v>0.4347</x:v>
      </x:c>
      <x:c r="AO282" s="226" t="n">
        <x:f>IF(AM282="EUR",AA282,IF(AM282="GBP",AB282,1))</x:f>
        <x:v>7.86</x:v>
      </x:c>
      <x:c r="AP282" s="226" t="n">
        <x:f>P282*AN282</x:f>
        <x:v>1061.2711549439998</x:v>
      </x:c>
      <x:c r="AQ282" s="226" t="n">
        <x:f>AP282*AO282</x:f>
        <x:v>8341.59127785984</x:v>
      </x:c>
      <x:c r="AR282" s="226" t="str">
        <x:v>GBP</x:v>
      </x:c>
      <x:c r="AS282" s="226" t="n">
        <x:v>4.968</x:v>
      </x:c>
      <x:c r="AT282" s="226" t="n">
        <x:f>IF(AR282="EUR",AA282,IF(AR282="GBP",AB282,1))</x:f>
        <x:v>9</x:v>
      </x:c>
      <x:c r="AU282" s="226" t="n">
        <x:f>T282*AS282</x:f>
        <x:v>932.9856307199999</x:v>
      </x:c>
      <x:c r="AV282" s="226" t="n">
        <x:f>AU282*AT282</x:f>
        <x:v>8396.870676479999</x:v>
      </x:c>
      <x:c r="AW282" s="226" t="str">
        <x:v>GBP</x:v>
      </x:c>
      <x:c r="AX282" s="226" t="n">
        <x:v>2.898</x:v>
      </x:c>
      <x:c r="AY282" s="226" t="n">
        <x:f>IF(AW282="EUR",AA282,IF(AW282="GBP",AB282,1))</x:f>
        <x:v>9</x:v>
      </x:c>
      <x:c r="AZ282" s="226" t="n">
        <x:f>V282*AX282</x:f>
        <x:v>113.20225652735999</x:v>
      </x:c>
      <x:c r="BA282" s="226" t="n">
        <x:f>AZ282*AY282</x:f>
        <x:v>1018.8203087462399</x:v>
      </x:c>
      <x:c r="BB282" s="226" t="n">
        <x:f>AF282+AG282+AL282+AQ282+AV282+BA282</x:f>
        <x:v>197367.6582562954</x:v>
      </x:c>
      <x:c r="BC282" s="229" t="n">
        <x:v>0.974</x:v>
      </x:c>
      <x:c r="BD282" s="202"/>
      <x:c r="BE282" s="202" t="str">
        <x:v>正式 Forecast 逐月降低英国空运及 Carrier C 份额，但仍高于 Budget</x:v>
      </x:c>
      <x:c r="BF282" s="202" t="str">
        <x:v>沿用当前正式 Forecast</x:v>
      </x:c>
      <x:c r="BG282" s="202" t="str">
        <x:v>UNVERIFIED_UNLIMITED_FOR_MVP</x:v>
      </x:c>
    </x:row>
    <x:row r="283">
      <x:c r="A283" s="187" t="str">
        <x:v>SCENARIO_BASE_2026_08</x:v>
      </x:c>
      <x:c r="B283" s="187" t="str">
        <x:v>SCENARIO</x:v>
      </x:c>
      <x:c r="C283" s="187" t="str">
        <x:v>BASE</x:v>
      </x:c>
      <x:c r="D283" s="217" t="n">
        <x:v>46357</x:v>
      </x:c>
      <x:c r="E283" s="187" t="str">
        <x:v>R_GB_DE_C_AIR</x:v>
      </x:c>
      <x:c r="F283" s="187" t="str">
        <x:v>GB</x:v>
      </x:c>
      <x:c r="G283" s="187" t="str">
        <x:v>DE_FC</x:v>
      </x:c>
      <x:c r="H283" s="187" t="str">
        <x:v>CARRIER_C</x:v>
      </x:c>
      <x:c r="I283" s="187" t="str">
        <x:v>AIR</x:v>
      </x:c>
      <x:c r="J283" s="220" t="n">
        <x:v>28600</x:v>
      </x:c>
      <x:c r="K283" s="223" t="n">
        <x:v>0.4</x:v>
      </x:c>
      <x:c r="L283" s="223" t="n">
        <x:v>0.96</x:v>
      </x:c>
      <x:c r="M283" s="223" t="n">
        <x:v>0.08</x:v>
      </x:c>
      <x:c r="N283" s="226" t="n">
        <x:f>J283*K283*L283*M283</x:f>
        <x:v>878.592</x:v>
      </x:c>
      <x:c r="O283" s="220" t="n">
        <x:v>1.17</x:v>
      </x:c>
      <x:c r="P283" s="226" t="n">
        <x:f>N283*O283</x:f>
        <x:v>1027.95264</x:v>
      </x:c>
      <x:c r="Q283" s="220" t="n">
        <x:v>0.947784</x:v>
      </x:c>
      <x:c r="R283" s="226" t="n">
        <x:f>P283*Q283</x:f>
        <x:v>974.27706494976</x:v>
      </x:c>
      <x:c r="S283" s="220" t="n">
        <x:v>0.09</x:v>
      </x:c>
      <x:c r="T283" s="226" t="n">
        <x:f>N283*S283</x:f>
        <x:v>79.07328</x:v>
      </x:c>
      <x:c r="U283" s="226" t="n">
        <x:v>0.011</x:v>
      </x:c>
      <x:c r="V283" s="226" t="n">
        <x:f>P283*U283</x:f>
        <x:v>11.307479039999999</x:v>
      </x:c>
      <x:c r="W283" s="196" t="str">
        <x:v>GBP</x:v>
      </x:c>
      <x:c r="X283" s="220" t="n">
        <x:v>8.22825</x:v>
      </x:c>
      <x:c r="Y283" s="196" t="str">
        <x:v>PER_CHARGEABLE_KG</x:v>
      </x:c>
      <x:c r="Z283" s="220" t="n">
        <x:v>0.636318</x:v>
      </x:c>
      <x:c r="AA283" s="220" t="n">
        <x:v>7.86</x:v>
      </x:c>
      <x:c r="AB283" s="220" t="n">
        <x:v>9</x:v>
      </x:c>
      <x:c r="AC283" s="226" t="n">
        <x:f>IF(W283="EUR",AA283,IF(W283="GBP",AB283,1))</x:f>
        <x:v>9</x:v>
      </x:c>
      <x:c r="AD283" s="226" t="n">
        <x:f>R283*X283</x:f>
        <x:v>8016.595259672861</x:v>
      </x:c>
      <x:c r="AE283" s="226" t="n">
        <x:f>IF(Y283="PERCENTAGE_OF_BASE_FREIGHT",AD283*Z283,IF(Y283="PER_CHARGEABLE_KG",R283*Z283,P283*Z283))</x:f>
        <x:v>619.9500334147014</x:v>
      </x:c>
      <x:c r="AF283" s="226" t="n">
        <x:f>AD283*AC283</x:f>
        <x:v>72149.35733705576</x:v>
      </x:c>
      <x:c r="AG283" s="226" t="n">
        <x:f>AE283*AC283</x:f>
        <x:v>5579.550300732312</x:v>
      </x:c>
      <x:c r="AH283" s="226" t="str">
        <x:v>EUR</x:v>
      </x:c>
      <x:c r="AI283" s="226" t="n">
        <x:v>1.2213</x:v>
      </x:c>
      <x:c r="AJ283" s="226" t="n">
        <x:f>IF(AH283="EUR",AA283,IF(AH283="GBP",AB283,1))</x:f>
        <x:v>7.86</x:v>
      </x:c>
      <x:c r="AK283" s="226" t="n">
        <x:f>N283*AI283</x:f>
        <x:v>1073.0244096000001</x:v>
      </x:c>
      <x:c r="AL283" s="226" t="n">
        <x:f>AK283*AJ283</x:f>
        <x:v>8433.971859456002</x:v>
      </x:c>
      <x:c r="AM283" s="226" t="str">
        <x:v>EUR</x:v>
      </x:c>
      <x:c r="AN283" s="226" t="n">
        <x:v>0.4347</x:v>
      </x:c>
      <x:c r="AO283" s="226" t="n">
        <x:f>IF(AM283="EUR",AA283,IF(AM283="GBP",AB283,1))</x:f>
        <x:v>7.86</x:v>
      </x:c>
      <x:c r="AP283" s="226" t="n">
        <x:f>P283*AN283</x:f>
        <x:v>446.85101260799996</x:v>
      </x:c>
      <x:c r="AQ283" s="226" t="n">
        <x:f>AP283*AO283</x:f>
        <x:v>3512.24895909888</x:v>
      </x:c>
      <x:c r="AR283" s="226" t="str">
        <x:v>GBP</x:v>
      </x:c>
      <x:c r="AS283" s="226" t="n">
        <x:v>4.968</x:v>
      </x:c>
      <x:c r="AT283" s="226" t="n">
        <x:f>IF(AR283="EUR",AA283,IF(AR283="GBP",AB283,1))</x:f>
        <x:v>9</x:v>
      </x:c>
      <x:c r="AU283" s="226" t="n">
        <x:f>T283*AS283</x:f>
        <x:v>392.83605503999996</x:v>
      </x:c>
      <x:c r="AV283" s="226" t="n">
        <x:f>AU283*AT283</x:f>
        <x:v>3535.5244953599995</x:v>
      </x:c>
      <x:c r="AW283" s="226" t="str">
        <x:v>GBP</x:v>
      </x:c>
      <x:c r="AX283" s="226" t="n">
        <x:v>3.726</x:v>
      </x:c>
      <x:c r="AY283" s="226" t="n">
        <x:f>IF(AW283="EUR",AA283,IF(AW283="GBP",AB283,1))</x:f>
        <x:v>9</x:v>
      </x:c>
      <x:c r="AZ283" s="226" t="n">
        <x:f>V283*AX283</x:f>
        <x:v>42.13166690303999</x:v>
      </x:c>
      <x:c r="BA283" s="226" t="n">
        <x:f>AZ283*AY283</x:f>
        <x:v>379.18500212735995</x:v>
      </x:c>
      <x:c r="BB283" s="226" t="n">
        <x:f>AF283+AG283+AL283+AQ283+AV283+BA283</x:f>
        <x:v>93589.83795383031</x:v>
      </x:c>
      <x:c r="BC283" s="229" t="n">
        <x:v>0.988</x:v>
      </x:c>
      <x:c r="BD283" s="202"/>
      <x:c r="BE283" s="202" t="str">
        <x:v>正式 Forecast 逐月降低英国空运及 Carrier C 份额，但仍高于 Budget</x:v>
      </x:c>
      <x:c r="BF283" s="202" t="str">
        <x:v>沿用当前正式 Forecast</x:v>
      </x:c>
      <x:c r="BG283" s="202" t="str">
        <x:v>UNVERIFIED_UNLIMITED_FOR_MVP</x:v>
      </x:c>
    </x:row>
    <x:row r="284">
      <x:c r="A284" s="187" t="str">
        <x:v>SCENARIO_BASE_2026_08</x:v>
      </x:c>
      <x:c r="B284" s="187" t="str">
        <x:v>SCENARIO</x:v>
      </x:c>
      <x:c r="C284" s="187" t="str">
        <x:v>BASE</x:v>
      </x:c>
      <x:c r="D284" s="217" t="n">
        <x:v>46357</x:v>
      </x:c>
      <x:c r="E284" s="187" t="str">
        <x:v>R_GB_FR_B_AIR</x:v>
      </x:c>
      <x:c r="F284" s="187" t="str">
        <x:v>GB</x:v>
      </x:c>
      <x:c r="G284" s="187" t="str">
        <x:v>FR_FC</x:v>
      </x:c>
      <x:c r="H284" s="187" t="str">
        <x:v>CARRIER_B</x:v>
      </x:c>
      <x:c r="I284" s="187" t="str">
        <x:v>AIR</x:v>
      </x:c>
      <x:c r="J284" s="220" t="n">
        <x:v>28600</x:v>
      </x:c>
      <x:c r="K284" s="223" t="n">
        <x:v>0.4</x:v>
      </x:c>
      <x:c r="L284" s="223" t="n">
        <x:v>0.04</x:v>
      </x:c>
      <x:c r="M284" s="223" t="n">
        <x:v>1</x:v>
      </x:c>
      <x:c r="N284" s="226" t="n">
        <x:f>J284*K284*L284*M284</x:f>
        <x:v>457.6</x:v>
      </x:c>
      <x:c r="O284" s="220" t="n">
        <x:v>1.17</x:v>
      </x:c>
      <x:c r="P284" s="226" t="n">
        <x:f>N284*O284</x:f>
        <x:v>535.3919999999999</x:v>
      </x:c>
      <x:c r="Q284" s="220" t="n">
        <x:v>0.92718</x:v>
      </x:c>
      <x:c r="R284" s="226" t="n">
        <x:f>P284*Q284</x:f>
        <x:v>496.40475455999996</x:v>
      </x:c>
      <x:c r="S284" s="220" t="n">
        <x:v>0.09</x:v>
      </x:c>
      <x:c r="T284" s="226" t="n">
        <x:f>N284*S284</x:f>
        <x:v>41.184</x:v>
      </x:c>
      <x:c r="U284" s="226" t="n">
        <x:v>0.014</x:v>
      </x:c>
      <x:c r="V284" s="226" t="n">
        <x:f>P284*U284</x:f>
        <x:v>7.495487999999999</x:v>
      </x:c>
      <x:c r="W284" s="196" t="str">
        <x:v>EUR</x:v>
      </x:c>
      <x:c r="X284" s="220" t="n">
        <x:v>6.9345</x:v>
      </x:c>
      <x:c r="Y284" s="196" t="str">
        <x:v>PERCENTAGE_OF_BASE_FREIGHT</x:v>
      </x:c>
      <x:c r="Z284" s="220" t="n">
        <x:v>0.108675</x:v>
      </x:c>
      <x:c r="AA284" s="220" t="n">
        <x:v>7.86</x:v>
      </x:c>
      <x:c r="AB284" s="220" t="n">
        <x:v>9</x:v>
      </x:c>
      <x:c r="AC284" s="226" t="n">
        <x:f>IF(W284="EUR",AA284,IF(W284="GBP",AB284,1))</x:f>
        <x:v>7.86</x:v>
      </x:c>
      <x:c r="AD284" s="226" t="n">
        <x:f>R284*X284</x:f>
        <x:v>3442.3187704963198</x:v>
      </x:c>
      <x:c r="AE284" s="226" t="n">
        <x:f>IF(Y284="PERCENTAGE_OF_BASE_FREIGHT",AD284*Z284,IF(Y284="PER_CHARGEABLE_KG",R284*Z284,P284*Z284))</x:f>
        <x:v>374.0939923836875</x:v>
      </x:c>
      <x:c r="AF284" s="226" t="n">
        <x:f>AD284*AC284</x:f>
        <x:v>27056.625536101074</x:v>
      </x:c>
      <x:c r="AG284" s="226" t="n">
        <x:f>AE284*AC284</x:f>
        <x:v>2940.378780135784</x:v>
      </x:c>
      <x:c r="AH284" s="226" t="str">
        <x:v>EUR</x:v>
      </x:c>
      <x:c r="AI284" s="226" t="n">
        <x:v>1.08675</x:v>
      </x:c>
      <x:c r="AJ284" s="226" t="n">
        <x:f>IF(AH284="EUR",AA284,IF(AH284="GBP",AB284,1))</x:f>
        <x:v>7.86</x:v>
      </x:c>
      <x:c r="AK284" s="226" t="n">
        <x:f>N284*AI284</x:f>
        <x:v>497.2968000000001</x:v>
      </x:c>
      <x:c r="AL284" s="226" t="n">
        <x:f>AK284*AJ284</x:f>
        <x:v>3908.7528480000005</x:v>
      </x:c>
      <x:c r="AM284" s="226" t="str">
        <x:v>EUR</x:v>
      </x:c>
      <x:c r="AN284" s="226" t="n">
        <x:v>0.3933</x:v>
      </x:c>
      <x:c r="AO284" s="226" t="n">
        <x:f>IF(AM284="EUR",AA284,IF(AM284="GBP",AB284,1))</x:f>
        <x:v>7.86</x:v>
      </x:c>
      <x:c r="AP284" s="226" t="n">
        <x:f>P284*AN284</x:f>
        <x:v>210.56967359999996</x:v>
      </x:c>
      <x:c r="AQ284" s="226" t="n">
        <x:f>AP284*AO284</x:f>
        <x:v>1655.0776344959997</x:v>
      </x:c>
      <x:c r="AR284" s="226" t="str">
        <x:v>EUR</x:v>
      </x:c>
      <x:c r="AS284" s="226" t="n">
        <x:v>5.382</x:v>
      </x:c>
      <x:c r="AT284" s="226" t="n">
        <x:f>IF(AR284="EUR",AA284,IF(AR284="GBP",AB284,1))</x:f>
        <x:v>7.86</x:v>
      </x:c>
      <x:c r="AU284" s="226" t="n">
        <x:f>T284*AS284</x:f>
        <x:v>221.65228799999997</x:v>
      </x:c>
      <x:c r="AV284" s="226" t="n">
        <x:f>AU284*AT284</x:f>
        <x:v>1742.18698368</x:v>
      </x:c>
      <x:c r="AW284" s="226" t="str">
        <x:v>EUR</x:v>
      </x:c>
      <x:c r="AX284" s="226" t="n">
        <x:v>2.898</x:v>
      </x:c>
      <x:c r="AY284" s="226" t="n">
        <x:f>IF(AW284="EUR",AA284,IF(AW284="GBP",AB284,1))</x:f>
        <x:v>7.86</x:v>
      </x:c>
      <x:c r="AZ284" s="226" t="n">
        <x:f>V284*AX284</x:f>
        <x:v>21.721924224</x:v>
      </x:c>
      <x:c r="BA284" s="226" t="n">
        <x:f>AZ284*AY284</x:f>
        <x:v>170.73432440064</x:v>
      </x:c>
      <x:c r="BB284" s="226" t="n">
        <x:f>AF284+AG284+AL284+AQ284+AV284+BA284</x:f>
        <x:v>37473.756106813504</x:v>
      </x:c>
      <x:c r="BC284" s="229" t="n">
        <x:v>0.971</x:v>
      </x:c>
      <x:c r="BD284" s="202"/>
      <x:c r="BE284" s="202" t="str">
        <x:v>正式 Forecast 逐月降低英国空运及 Carrier C 份额，但仍高于 Budget</x:v>
      </x:c>
      <x:c r="BF284" s="202" t="str">
        <x:v>沿用当前正式 Forecast</x:v>
      </x:c>
      <x:c r="BG284" s="202" t="str">
        <x:v>UNVERIFIED_UNLIMITED_FOR_MVP</x:v>
      </x:c>
    </x:row>
    <x:row r="285">
      <x:c r="A285" s="187" t="str">
        <x:v>SCENARIO_GROWTH_2026_08</x:v>
      </x:c>
      <x:c r="B285" s="187" t="str">
        <x:v>SCENARIO</x:v>
      </x:c>
      <x:c r="C285" s="187" t="str">
        <x:v>GROWTH</x:v>
      </x:c>
      <x:c r="D285" s="217" t="n">
        <x:v>46266</x:v>
      </x:c>
      <x:c r="E285" s="187" t="str">
        <x:v>R_DE_DE_A_ROAD</x:v>
      </x:c>
      <x:c r="F285" s="187" t="str">
        <x:v>DE</x:v>
      </x:c>
      <x:c r="G285" s="187" t="str">
        <x:v>DE_FC</x:v>
      </x:c>
      <x:c r="H285" s="187" t="str">
        <x:v>CARRIER_A</x:v>
      </x:c>
      <x:c r="I285" s="187" t="str">
        <x:v>ROAD</x:v>
      </x:c>
      <x:c r="J285" s="220" t="n">
        <x:v>17784.8</x:v>
      </x:c>
      <x:c r="K285" s="223" t="n">
        <x:v>0.3481624758220503</x:v>
      </x:c>
      <x:c r="L285" s="223" t="n">
        <x:v>0.97</x:v>
      </x:c>
      <x:c r="M285" s="223" t="n">
        <x:v>0.6</x:v>
      </x:c>
      <x:c r="N285" s="226" t="n">
        <x:f>J285*K285*L285*M285</x:f>
        <x:v>3603.7439999999997</x:v>
      </x:c>
      <x:c r="O285" s="220" t="n">
        <x:v>1.05</x:v>
      </x:c>
      <x:c r="P285" s="226" t="n">
        <x:f>N285*O285</x:f>
        <x:v>3783.9312</x:v>
      </x:c>
      <x:c r="Q285" s="220" t="n">
        <x:v>0.78</x:v>
      </x:c>
      <x:c r="R285" s="226" t="n">
        <x:f>P285*Q285</x:f>
        <x:v>2951.466336</x:v>
      </x:c>
      <x:c r="S285" s="220" t="n">
        <x:v>0.05</x:v>
      </x:c>
      <x:c r="T285" s="226" t="n">
        <x:f>N285*S285</x:f>
        <x:v>180.1872</x:v>
      </x:c>
      <x:c r="U285" s="226" t="n">
        <x:v>0.016</x:v>
      </x:c>
      <x:c r="V285" s="226" t="n">
        <x:f>P285*U285</x:f>
        <x:v>60.5428992</x:v>
      </x:c>
      <x:c r="W285" s="196" t="str">
        <x:v>EUR</x:v>
      </x:c>
      <x:c r="X285" s="220" t="n">
        <x:v>2.277</x:v>
      </x:c>
      <x:c r="Y285" s="196" t="str">
        <x:v>PERCENTAGE_OF_BASE_FREIGHT</x:v>
      </x:c>
      <x:c r="Z285" s="220" t="n">
        <x:v>0.098325</x:v>
      </x:c>
      <x:c r="AA285" s="220" t="n">
        <x:v>7.92</x:v>
      </x:c>
      <x:c r="AB285" s="220" t="n">
        <x:v>9.15</x:v>
      </x:c>
      <x:c r="AC285" s="226" t="n">
        <x:f>IF(W285="EUR",AA285,IF(W285="GBP",AB285,1))</x:f>
        <x:v>7.92</x:v>
      </x:c>
      <x:c r="AD285" s="226" t="n">
        <x:f>R285*X285</x:f>
        <x:v>6720.488847072001</x:v>
      </x:c>
      <x:c r="AE285" s="226" t="n">
        <x:f>IF(Y285="PERCENTAGE_OF_BASE_FREIGHT",AD285*Z285,IF(Y285="PER_CHARGEABLE_KG",R285*Z285,P285*Z285))</x:f>
        <x:v>660.7920658883544</x:v>
      </x:c>
      <x:c r="AF285" s="226" t="n">
        <x:f>AD285*AC285</x:f>
        <x:v>53226.271668810245</x:v>
      </x:c>
      <x:c r="AG285" s="226" t="n">
        <x:f>AE285*AC285</x:f>
        <x:v>5233.473161835766</x:v>
      </x:c>
      <x:c r="AH285" s="226" t="str">
        <x:v>EUR</x:v>
      </x:c>
      <x:c r="AI285" s="226" t="n">
        <x:v>1.2213</x:v>
      </x:c>
      <x:c r="AJ285" s="226" t="n">
        <x:f>IF(AH285="EUR",AA285,IF(AH285="GBP",AB285,1))</x:f>
        <x:v>7.92</x:v>
      </x:c>
      <x:c r="AK285" s="226" t="n">
        <x:f>N285*AI285</x:f>
        <x:v>4401.2525472</x:v>
      </x:c>
      <x:c r="AL285" s="226" t="n">
        <x:f>AK285*AJ285</x:f>
        <x:v>34857.920173824</x:v>
      </x:c>
      <x:c r="AM285" s="226" t="str">
        <x:v>EUR</x:v>
      </x:c>
      <x:c r="AN285" s="226" t="n">
        <x:v>0.4347</x:v>
      </x:c>
      <x:c r="AO285" s="226" t="n">
        <x:f>IF(AM285="EUR",AA285,IF(AM285="GBP",AB285,1))</x:f>
        <x:v>7.92</x:v>
      </x:c>
      <x:c r="AP285" s="226" t="n">
        <x:f>P285*AN285</x:f>
        <x:v>1644.8748926399999</x:v>
      </x:c>
      <x:c r="AQ285" s="226" t="n">
        <x:f>AP285*AO285</x:f>
        <x:v>13027.4091497088</x:v>
      </x:c>
      <x:c r="AR285" s="226" t="str">
        <x:v>EUR</x:v>
      </x:c>
      <x:c r="AS285" s="226" t="n">
        <x:v>3.312</x:v>
      </x:c>
      <x:c r="AT285" s="226" t="n">
        <x:f>IF(AR285="EUR",AA285,IF(AR285="GBP",AB285,1))</x:f>
        <x:v>7.92</x:v>
      </x:c>
      <x:c r="AU285" s="226" t="n">
        <x:f>T285*AS285</x:f>
        <x:v>596.7800063999999</x:v>
      </x:c>
      <x:c r="AV285" s="226" t="n">
        <x:f>AU285*AT285</x:f>
        <x:v>4726.497650687999</x:v>
      </x:c>
      <x:c r="AW285" s="226" t="str">
        <x:v>EUR</x:v>
      </x:c>
      <x:c r="AX285" s="226" t="n">
        <x:v>2.3805</x:v>
      </x:c>
      <x:c r="AY285" s="226" t="n">
        <x:f>IF(AW285="EUR",AA285,IF(AW285="GBP",AB285,1))</x:f>
        <x:v>7.92</x:v>
      </x:c>
      <x:c r="AZ285" s="226" t="n">
        <x:f>V285*AX285</x:f>
        <x:v>144.1223715456</x:v>
      </x:c>
      <x:c r="BA285" s="226" t="n">
        <x:f>AZ285*AY285</x:f>
        <x:v>1141.449182641152</x:v>
      </x:c>
      <x:c r="BB285" s="226" t="n">
        <x:f>AF285+AG285+AL285+AQ285+AV285+BA285</x:f>
        <x:v>112213.02098750796</x:v>
      </x:c>
      <x:c r="BC285" s="229" t="n">
        <x:v>0.965</x:v>
      </x:c>
      <x:c r="BD285" s="202"/>
      <x:c r="BE285" s="202" t="str">
        <x:v>正式 Forecast 逐月降低英国空运及 Carrier C 份额，但仍高于 Budget</x:v>
      </x:c>
      <x:c r="BF285" s="202" t="str">
        <x:v>英国 9—12 月订单量分别相对各月正式 Forecast 增加 10%，不复利</x:v>
      </x:c>
      <x:c r="BG285" s="202" t="str">
        <x:v>UNVERIFIED_UNLIMITED_FOR_MVP</x:v>
      </x:c>
    </x:row>
    <x:row r="286">
      <x:c r="A286" s="187" t="str">
        <x:v>SCENARIO_GROWTH_2026_08</x:v>
      </x:c>
      <x:c r="B286" s="187" t="str">
        <x:v>SCENARIO</x:v>
      </x:c>
      <x:c r="C286" s="187" t="str">
        <x:v>GROWTH</x:v>
      </x:c>
      <x:c r="D286" s="217" t="n">
        <x:v>46266</x:v>
      </x:c>
      <x:c r="E286" s="187" t="str">
        <x:v>R_DE_DE_B_ROAD</x:v>
      </x:c>
      <x:c r="F286" s="187" t="str">
        <x:v>DE</x:v>
      </x:c>
      <x:c r="G286" s="187" t="str">
        <x:v>DE_FC</x:v>
      </x:c>
      <x:c r="H286" s="187" t="str">
        <x:v>CARRIER_B</x:v>
      </x:c>
      <x:c r="I286" s="187" t="str">
        <x:v>ROAD</x:v>
      </x:c>
      <x:c r="J286" s="220" t="n">
        <x:v>17784.8</x:v>
      </x:c>
      <x:c r="K286" s="223" t="n">
        <x:v>0.3481624758220503</x:v>
      </x:c>
      <x:c r="L286" s="223" t="n">
        <x:v>0.97</x:v>
      </x:c>
      <x:c r="M286" s="223" t="n">
        <x:v>0.4</x:v>
      </x:c>
      <x:c r="N286" s="226" t="n">
        <x:f>J286*K286*L286*M286</x:f>
        <x:v>2402.496</x:v>
      </x:c>
      <x:c r="O286" s="220" t="n">
        <x:v>1.05</x:v>
      </x:c>
      <x:c r="P286" s="226" t="n">
        <x:f>N286*O286</x:f>
        <x:v>2522.6208</x:v>
      </x:c>
      <x:c r="Q286" s="220" t="n">
        <x:v>0.8</x:v>
      </x:c>
      <x:c r="R286" s="226" t="n">
        <x:f>P286*Q286</x:f>
        <x:v>2018.0966400000002</x:v>
      </x:c>
      <x:c r="S286" s="220" t="n">
        <x:v>0.05</x:v>
      </x:c>
      <x:c r="T286" s="226" t="n">
        <x:f>N286*S286</x:f>
        <x:v>120.12480000000001</x:v>
      </x:c>
      <x:c r="U286" s="226" t="n">
        <x:v>0.013</x:v>
      </x:c>
      <x:c r="V286" s="226" t="n">
        <x:f>P286*U286</x:f>
        <x:v>32.7940704</x:v>
      </x:c>
      <x:c r="W286" s="196" t="str">
        <x:v>EUR</x:v>
      </x:c>
      <x:c r="X286" s="220" t="n">
        <x:v>2.84625</x:v>
      </x:c>
      <x:c r="Y286" s="196" t="str">
        <x:v>PER_CHARGEABLE_KG</x:v>
      </x:c>
      <x:c r="Z286" s="220" t="n">
        <x:v>0.21735</x:v>
      </x:c>
      <x:c r="AA286" s="220" t="n">
        <x:v>7.92</x:v>
      </x:c>
      <x:c r="AB286" s="220" t="n">
        <x:v>9.15</x:v>
      </x:c>
      <x:c r="AC286" s="226" t="n">
        <x:f>IF(W286="EUR",AA286,IF(W286="GBP",AB286,1))</x:f>
        <x:v>7.92</x:v>
      </x:c>
      <x:c r="AD286" s="226" t="n">
        <x:f>R286*X286</x:f>
        <x:v>5744.0075616</x:v>
      </x:c>
      <x:c r="AE286" s="226" t="n">
        <x:f>IF(Y286="PERCENTAGE_OF_BASE_FREIGHT",AD286*Z286,IF(Y286="PER_CHARGEABLE_KG",R286*Z286,P286*Z286))</x:f>
        <x:v>438.633304704</x:v>
      </x:c>
      <x:c r="AF286" s="226" t="n">
        <x:f>AD286*AC286</x:f>
        <x:v>45492.539887872</x:v>
      </x:c>
      <x:c r="AG286" s="226" t="n">
        <x:f>AE286*AC286</x:f>
        <x:v>3473.97577325568</x:v>
      </x:c>
      <x:c r="AH286" s="226" t="str">
        <x:v>EUR</x:v>
      </x:c>
      <x:c r="AI286" s="226" t="n">
        <x:v>1.2213</x:v>
      </x:c>
      <x:c r="AJ286" s="226" t="n">
        <x:f>IF(AH286="EUR",AA286,IF(AH286="GBP",AB286,1))</x:f>
        <x:v>7.92</x:v>
      </x:c>
      <x:c r="AK286" s="226" t="n">
        <x:f>N286*AI286</x:f>
        <x:v>2934.1683648000003</x:v>
      </x:c>
      <x:c r="AL286" s="226" t="n">
        <x:f>AK286*AJ286</x:f>
        <x:v>23238.613449216</x:v>
      </x:c>
      <x:c r="AM286" s="226" t="str">
        <x:v>EUR</x:v>
      </x:c>
      <x:c r="AN286" s="226" t="n">
        <x:v>0.4347</x:v>
      </x:c>
      <x:c r="AO286" s="226" t="n">
        <x:f>IF(AM286="EUR",AA286,IF(AM286="GBP",AB286,1))</x:f>
        <x:v>7.92</x:v>
      </x:c>
      <x:c r="AP286" s="226" t="n">
        <x:f>P286*AN286</x:f>
        <x:v>1096.58326176</x:v>
      </x:c>
      <x:c r="AQ286" s="226" t="n">
        <x:f>AP286*AO286</x:f>
        <x:v>8684.9394331392</x:v>
      </x:c>
      <x:c r="AR286" s="226" t="str">
        <x:v>EUR</x:v>
      </x:c>
      <x:c r="AS286" s="226" t="n">
        <x:v>3.312</x:v>
      </x:c>
      <x:c r="AT286" s="226" t="n">
        <x:f>IF(AR286="EUR",AA286,IF(AR286="GBP",AB286,1))</x:f>
        <x:v>7.92</x:v>
      </x:c>
      <x:c r="AU286" s="226" t="n">
        <x:f>T286*AS286</x:f>
        <x:v>397.85333760000003</x:v>
      </x:c>
      <x:c r="AV286" s="226" t="n">
        <x:f>AU286*AT286</x:f>
        <x:v>3150.998433792</x:v>
      </x:c>
      <x:c r="AW286" s="226" t="str">
        <x:v>EUR</x:v>
      </x:c>
      <x:c r="AX286" s="226" t="n">
        <x:v>2.3805</x:v>
      </x:c>
      <x:c r="AY286" s="226" t="n">
        <x:f>IF(AW286="EUR",AA286,IF(AW286="GBP",AB286,1))</x:f>
        <x:v>7.92</x:v>
      </x:c>
      <x:c r="AZ286" s="226" t="n">
        <x:f>V286*AX286</x:f>
        <x:v>78.0662845872</x:v>
      </x:c>
      <x:c r="BA286" s="226" t="n">
        <x:f>AZ286*AY286</x:f>
        <x:v>618.284973930624</x:v>
      </x:c>
      <x:c r="BB286" s="226" t="n">
        <x:f>AF286+AG286+AL286+AQ286+AV286+BA286</x:f>
        <x:v>84659.3519512055</x:v>
      </x:c>
      <x:c r="BC286" s="229" t="n">
        <x:v>0.976</x:v>
      </x:c>
      <x:c r="BD286" s="202"/>
      <x:c r="BE286" s="202" t="str">
        <x:v>正式 Forecast 逐月降低英国空运及 Carrier C 份额，但仍高于 Budget</x:v>
      </x:c>
      <x:c r="BF286" s="202" t="str">
        <x:v>英国 9—12 月订单量分别相对各月正式 Forecast 增加 10%，不复利</x:v>
      </x:c>
      <x:c r="BG286" s="202" t="str">
        <x:v>UNVERIFIED_UNLIMITED_FOR_MVP</x:v>
      </x:c>
    </x:row>
    <x:row r="287">
      <x:c r="A287" s="187" t="str">
        <x:v>SCENARIO_GROWTH_2026_08</x:v>
      </x:c>
      <x:c r="B287" s="187" t="str">
        <x:v>SCENARIO</x:v>
      </x:c>
      <x:c r="C287" s="187" t="str">
        <x:v>GROWTH</x:v>
      </x:c>
      <x:c r="D287" s="217" t="n">
        <x:v>46266</x:v>
      </x:c>
      <x:c r="E287" s="187" t="str">
        <x:v>R_DE_FR_B_ROAD</x:v>
      </x:c>
      <x:c r="F287" s="187" t="str">
        <x:v>DE</x:v>
      </x:c>
      <x:c r="G287" s="187" t="str">
        <x:v>FR_FC</x:v>
      </x:c>
      <x:c r="H287" s="187" t="str">
        <x:v>CARRIER_B</x:v>
      </x:c>
      <x:c r="I287" s="187" t="str">
        <x:v>ROAD</x:v>
      </x:c>
      <x:c r="J287" s="220" t="n">
        <x:v>17784.8</x:v>
      </x:c>
      <x:c r="K287" s="223" t="n">
        <x:v>0.3481624758220503</x:v>
      </x:c>
      <x:c r="L287" s="223" t="n">
        <x:v>0.03</x:v>
      </x:c>
      <x:c r="M287" s="223" t="n">
        <x:v>1</x:v>
      </x:c>
      <x:c r="N287" s="226" t="n">
        <x:f>J287*K287*L287*M287</x:f>
        <x:v>185.76</x:v>
      </x:c>
      <x:c r="O287" s="220" t="n">
        <x:v>1.08</x:v>
      </x:c>
      <x:c r="P287" s="226" t="n">
        <x:f>N287*O287</x:f>
        <x:v>200.6208</x:v>
      </x:c>
      <x:c r="Q287" s="220" t="n">
        <x:v>0.86</x:v>
      </x:c>
      <x:c r="R287" s="226" t="n">
        <x:f>P287*Q287</x:f>
        <x:v>172.533888</x:v>
      </x:c>
      <x:c r="S287" s="220" t="n">
        <x:v>0.05</x:v>
      </x:c>
      <x:c r="T287" s="226" t="n">
        <x:f>N287*S287</x:f>
        <x:v>9.288</x:v>
      </x:c>
      <x:c r="U287" s="226" t="n">
        <x:v>0.014</x:v>
      </x:c>
      <x:c r="V287" s="226" t="n">
        <x:f>P287*U287</x:f>
        <x:v>2.8086912</x:v>
      </x:c>
      <x:c r="W287" s="196" t="str">
        <x:v>EUR</x:v>
      </x:c>
      <x:c r="X287" s="220" t="n">
        <x:v>3.4155</x:v>
      </x:c>
      <x:c r="Y287" s="196" t="str">
        <x:v>PER_CHARGEABLE_KG</x:v>
      </x:c>
      <x:c r="Z287" s="220" t="n">
        <x:v>0.2484</x:v>
      </x:c>
      <x:c r="AA287" s="220" t="n">
        <x:v>7.92</x:v>
      </x:c>
      <x:c r="AB287" s="220" t="n">
        <x:v>9.15</x:v>
      </x:c>
      <x:c r="AC287" s="226" t="n">
        <x:f>IF(W287="EUR",AA287,IF(W287="GBP",AB287,1))</x:f>
        <x:v>7.92</x:v>
      </x:c>
      <x:c r="AD287" s="226" t="n">
        <x:f>R287*X287</x:f>
        <x:v>589.289494464</x:v>
      </x:c>
      <x:c r="AE287" s="226" t="n">
        <x:f>IF(Y287="PERCENTAGE_OF_BASE_FREIGHT",AD287*Z287,IF(Y287="PER_CHARGEABLE_KG",R287*Z287,P287*Z287))</x:f>
        <x:v>42.8574177792</x:v>
      </x:c>
      <x:c r="AF287" s="226" t="n">
        <x:f>AD287*AC287</x:f>
        <x:v>4667.1727961548795</x:v>
      </x:c>
      <x:c r="AG287" s="226" t="n">
        <x:f>AE287*AC287</x:f>
        <x:v>339.430748811264</x:v>
      </x:c>
      <x:c r="AH287" s="226" t="str">
        <x:v>EUR</x:v>
      </x:c>
      <x:c r="AI287" s="226" t="n">
        <x:v>1.08675</x:v>
      </x:c>
      <x:c r="AJ287" s="226" t="n">
        <x:f>IF(AH287="EUR",AA287,IF(AH287="GBP",AB287,1))</x:f>
        <x:v>7.92</x:v>
      </x:c>
      <x:c r="AK287" s="226" t="n">
        <x:f>N287*AI287</x:f>
        <x:v>201.87468</x:v>
      </x:c>
      <x:c r="AL287" s="226" t="n">
        <x:f>AK287*AJ287</x:f>
        <x:v>1598.8474656</x:v>
      </x:c>
      <x:c r="AM287" s="226" t="str">
        <x:v>EUR</x:v>
      </x:c>
      <x:c r="AN287" s="226" t="n">
        <x:v>0.3933</x:v>
      </x:c>
      <x:c r="AO287" s="226" t="n">
        <x:f>IF(AM287="EUR",AA287,IF(AM287="GBP",AB287,1))</x:f>
        <x:v>7.92</x:v>
      </x:c>
      <x:c r="AP287" s="226" t="n">
        <x:f>P287*AN287</x:f>
        <x:v>78.90416064</x:v>
      </x:c>
      <x:c r="AQ287" s="226" t="n">
        <x:f>AP287*AO287</x:f>
        <x:v>624.9209522688</x:v>
      </x:c>
      <x:c r="AR287" s="226" t="str">
        <x:v>EUR</x:v>
      </x:c>
      <x:c r="AS287" s="226" t="n">
        <x:v>3.933</x:v>
      </x:c>
      <x:c r="AT287" s="226" t="n">
        <x:f>IF(AR287="EUR",AA287,IF(AR287="GBP",AB287,1))</x:f>
        <x:v>7.92</x:v>
      </x:c>
      <x:c r="AU287" s="226" t="n">
        <x:f>T287*AS287</x:f>
        <x:v>36.529704</x:v>
      </x:c>
      <x:c r="AV287" s="226" t="n">
        <x:f>AU287*AT287</x:f>
        <x:v>289.31525568</x:v>
      </x:c>
      <x:c r="AW287" s="226" t="str">
        <x:v>EUR</x:v>
      </x:c>
      <x:c r="AX287" s="226" t="n">
        <x:v>2.3805</x:v>
      </x:c>
      <x:c r="AY287" s="226" t="n">
        <x:f>IF(AW287="EUR",AA287,IF(AW287="GBP",AB287,1))</x:f>
        <x:v>7.92</x:v>
      </x:c>
      <x:c r="AZ287" s="226" t="n">
        <x:f>V287*AX287</x:f>
        <x:v>6.6860894016</x:v>
      </x:c>
      <x:c r="BA287" s="226" t="n">
        <x:f>AZ287*AY287</x:f>
        <x:v>52.953828060672</x:v>
      </x:c>
      <x:c r="BB287" s="226" t="n">
        <x:f>AF287+AG287+AL287+AQ287+AV287+BA287</x:f>
        <x:v>7572.641046575614</x:v>
      </x:c>
      <x:c r="BC287" s="229" t="n">
        <x:v>0.968</x:v>
      </x:c>
      <x:c r="BD287" s="202"/>
      <x:c r="BE287" s="202" t="str">
        <x:v>正式 Forecast 逐月降低英国空运及 Carrier C 份额，但仍高于 Budget</x:v>
      </x:c>
      <x:c r="BF287" s="202" t="str">
        <x:v>英国 9—12 月订单量分别相对各月正式 Forecast 增加 10%，不复利</x:v>
      </x:c>
      <x:c r="BG287" s="202" t="str">
        <x:v>UNVERIFIED_UNLIMITED_FOR_MVP</x:v>
      </x:c>
    </x:row>
    <x:row r="288">
      <x:c r="A288" s="187" t="str">
        <x:v>SCENARIO_GROWTH_2026_08</x:v>
      </x:c>
      <x:c r="B288" s="187" t="str">
        <x:v>SCENARIO</x:v>
      </x:c>
      <x:c r="C288" s="187" t="str">
        <x:v>GROWTH</x:v>
      </x:c>
      <x:c r="D288" s="217" t="n">
        <x:v>46266</x:v>
      </x:c>
      <x:c r="E288" s="187" t="str">
        <x:v>R_FR_FR_A_ROAD</x:v>
      </x:c>
      <x:c r="F288" s="187" t="str">
        <x:v>FR</x:v>
      </x:c>
      <x:c r="G288" s="187" t="str">
        <x:v>FR_FC</x:v>
      </x:c>
      <x:c r="H288" s="187" t="str">
        <x:v>CARRIER_A</x:v>
      </x:c>
      <x:c r="I288" s="187" t="str">
        <x:v>ROAD</x:v>
      </x:c>
      <x:c r="J288" s="220" t="n">
        <x:v>17784.8</x:v>
      </x:c>
      <x:c r="K288" s="223" t="n">
        <x:v>0.2901353965183752</x:v>
      </x:c>
      <x:c r="L288" s="223" t="n">
        <x:v>1</x:v>
      </x:c>
      <x:c r="M288" s="223" t="n">
        <x:v>0.35</x:v>
      </x:c>
      <x:c r="N288" s="226" t="n">
        <x:f>J288*K288*L288*M288</x:f>
        <x:v>1805.9999999999995</x:v>
      </x:c>
      <x:c r="O288" s="220" t="n">
        <x:v>1.06</x:v>
      </x:c>
      <x:c r="P288" s="226" t="n">
        <x:f>N288*O288</x:f>
        <x:v>1914.3599999999997</x:v>
      </x:c>
      <x:c r="Q288" s="220" t="n">
        <x:v>0.76</x:v>
      </x:c>
      <x:c r="R288" s="226" t="n">
        <x:f>P288*Q288</x:f>
        <x:v>1454.9135999999999</x:v>
      </x:c>
      <x:c r="S288" s="220" t="n">
        <x:v>0.06</x:v>
      </x:c>
      <x:c r="T288" s="226" t="n">
        <x:f>N288*S288</x:f>
        <x:v>108.35999999999997</x:v>
      </x:c>
      <x:c r="U288" s="226" t="n">
        <x:v>0.017</x:v>
      </x:c>
      <x:c r="V288" s="226" t="n">
        <x:f>P288*U288</x:f>
        <x:v>32.54412</x:v>
      </x:c>
      <x:c r="W288" s="196" t="str">
        <x:v>EUR</x:v>
      </x:c>
      <x:c r="X288" s="220" t="n">
        <x:v>2.1735</x:v>
      </x:c>
      <x:c r="Y288" s="196" t="str">
        <x:v>PERCENTAGE_OF_BASE_FREIGHT</x:v>
      </x:c>
      <x:c r="Z288" s="220" t="n">
        <x:v>0.09315</x:v>
      </x:c>
      <x:c r="AA288" s="220" t="n">
        <x:v>7.92</x:v>
      </x:c>
      <x:c r="AB288" s="220" t="n">
        <x:v>9.15</x:v>
      </x:c>
      <x:c r="AC288" s="226" t="n">
        <x:f>IF(W288="EUR",AA288,IF(W288="GBP",AB288,1))</x:f>
        <x:v>7.92</x:v>
      </x:c>
      <x:c r="AD288" s="226" t="n">
        <x:f>R288*X288</x:f>
        <x:v>3162.2547096</x:v>
      </x:c>
      <x:c r="AE288" s="226" t="n">
        <x:f>IF(Y288="PERCENTAGE_OF_BASE_FREIGHT",AD288*Z288,IF(Y288="PER_CHARGEABLE_KG",R288*Z288,P288*Z288))</x:f>
        <x:v>294.56402619923995</x:v>
      </x:c>
      <x:c r="AF288" s="226" t="n">
        <x:f>AD288*AC288</x:f>
        <x:v>25045.057300032</x:v>
      </x:c>
      <x:c r="AG288" s="226" t="n">
        <x:f>AE288*AC288</x:f>
        <x:v>2332.94708749798</x:v>
      </x:c>
      <x:c r="AH288" s="226" t="str">
        <x:v>EUR</x:v>
      </x:c>
      <x:c r="AI288" s="226" t="n">
        <x:v>1.08675</x:v>
      </x:c>
      <x:c r="AJ288" s="226" t="n">
        <x:f>IF(AH288="EUR",AA288,IF(AH288="GBP",AB288,1))</x:f>
        <x:v>7.92</x:v>
      </x:c>
      <x:c r="AK288" s="226" t="n">
        <x:f>N288*AI288</x:f>
        <x:v>1962.6704999999997</x:v>
      </x:c>
      <x:c r="AL288" s="226" t="n">
        <x:f>AK288*AJ288</x:f>
        <x:v>15544.350359999999</x:v>
      </x:c>
      <x:c r="AM288" s="226" t="str">
        <x:v>EUR</x:v>
      </x:c>
      <x:c r="AN288" s="226" t="n">
        <x:v>0.3933</x:v>
      </x:c>
      <x:c r="AO288" s="226" t="n">
        <x:f>IF(AM288="EUR",AA288,IF(AM288="GBP",AB288,1))</x:f>
        <x:v>7.92</x:v>
      </x:c>
      <x:c r="AP288" s="226" t="n">
        <x:f>P288*AN288</x:f>
        <x:v>752.9177879999999</x:v>
      </x:c>
      <x:c r="AQ288" s="226" t="n">
        <x:f>AP288*AO288</x:f>
        <x:v>5963.108880959999</x:v>
      </x:c>
      <x:c r="AR288" s="226" t="str">
        <x:v>EUR</x:v>
      </x:c>
      <x:c r="AS288" s="226" t="n">
        <x:v>3.105</x:v>
      </x:c>
      <x:c r="AT288" s="226" t="n">
        <x:f>IF(AR288="EUR",AA288,IF(AR288="GBP",AB288,1))</x:f>
        <x:v>7.92</x:v>
      </x:c>
      <x:c r="AU288" s="226" t="n">
        <x:f>T288*AS288</x:f>
        <x:v>336.4577999999999</x:v>
      </x:c>
      <x:c r="AV288" s="226" t="n">
        <x:f>AU288*AT288</x:f>
        <x:v>2664.7457759999993</x:v>
      </x:c>
      <x:c r="AW288" s="226" t="str">
        <x:v>EUR</x:v>
      </x:c>
      <x:c r="AX288" s="226" t="n">
        <x:v>2.3805</x:v>
      </x:c>
      <x:c r="AY288" s="226" t="n">
        <x:f>IF(AW288="EUR",AA288,IF(AW288="GBP",AB288,1))</x:f>
        <x:v>7.92</x:v>
      </x:c>
      <x:c r="AZ288" s="226" t="n">
        <x:f>V288*AX288</x:f>
        <x:v>77.47127766</x:v>
      </x:c>
      <x:c r="BA288" s="226" t="n">
        <x:f>AZ288*AY288</x:f>
        <x:v>613.5725190672</x:v>
      </x:c>
      <x:c r="BB288" s="226" t="n">
        <x:f>AF288+AG288+AL288+AQ288+AV288+BA288</x:f>
        <x:v>52163.78192355717</x:v>
      </x:c>
      <x:c r="BC288" s="229" t="n">
        <x:v>0.961</x:v>
      </x:c>
      <x:c r="BD288" s="202"/>
      <x:c r="BE288" s="202" t="str">
        <x:v>正式 Forecast 逐月降低英国空运及 Carrier C 份额，但仍高于 Budget</x:v>
      </x:c>
      <x:c r="BF288" s="202" t="str">
        <x:v>英国 9—12 月订单量分别相对各月正式 Forecast 增加 10%，不复利</x:v>
      </x:c>
      <x:c r="BG288" s="202" t="str">
        <x:v>UNVERIFIED_UNLIMITED_FOR_MVP</x:v>
      </x:c>
    </x:row>
    <x:row r="289">
      <x:c r="A289" s="187" t="str">
        <x:v>SCENARIO_GROWTH_2026_08</x:v>
      </x:c>
      <x:c r="B289" s="187" t="str">
        <x:v>SCENARIO</x:v>
      </x:c>
      <x:c r="C289" s="187" t="str">
        <x:v>GROWTH</x:v>
      </x:c>
      <x:c r="D289" s="217" t="n">
        <x:v>46266</x:v>
      </x:c>
      <x:c r="E289" s="187" t="str">
        <x:v>R_FR_FR_B_ROAD</x:v>
      </x:c>
      <x:c r="F289" s="187" t="str">
        <x:v>FR</x:v>
      </x:c>
      <x:c r="G289" s="187" t="str">
        <x:v>FR_FC</x:v>
      </x:c>
      <x:c r="H289" s="187" t="str">
        <x:v>CARRIER_B</x:v>
      </x:c>
      <x:c r="I289" s="187" t="str">
        <x:v>ROAD</x:v>
      </x:c>
      <x:c r="J289" s="220" t="n">
        <x:v>17784.8</x:v>
      </x:c>
      <x:c r="K289" s="223" t="n">
        <x:v>0.2901353965183752</x:v>
      </x:c>
      <x:c r="L289" s="223" t="n">
        <x:v>1</x:v>
      </x:c>
      <x:c r="M289" s="223" t="n">
        <x:v>0.65</x:v>
      </x:c>
      <x:c r="N289" s="226" t="n">
        <x:f>J289*K289*L289*M289</x:f>
        <x:v>3353.9999999999995</x:v>
      </x:c>
      <x:c r="O289" s="220" t="n">
        <x:v>1.06</x:v>
      </x:c>
      <x:c r="P289" s="226" t="n">
        <x:f>N289*O289</x:f>
        <x:v>3555.24</x:v>
      </x:c>
      <x:c r="Q289" s="220" t="n">
        <x:v>0.79</x:v>
      </x:c>
      <x:c r="R289" s="226" t="n">
        <x:f>P289*Q289</x:f>
        <x:v>2808.6396</x:v>
      </x:c>
      <x:c r="S289" s="220" t="n">
        <x:v>0.06</x:v>
      </x:c>
      <x:c r="T289" s="226" t="n">
        <x:f>N289*S289</x:f>
        <x:v>201.23999999999995</x:v>
      </x:c>
      <x:c r="U289" s="226" t="n">
        <x:v>0.014</x:v>
      </x:c>
      <x:c r="V289" s="226" t="n">
        <x:f>P289*U289</x:f>
        <x:v>49.77336</x:v>
      </x:c>
      <x:c r="W289" s="196" t="str">
        <x:v>EUR</x:v>
      </x:c>
      <x:c r="X289" s="220" t="n">
        <x:v>2.691</x:v>
      </x:c>
      <x:c r="Y289" s="196" t="str">
        <x:v>PER_CHARGEABLE_KG</x:v>
      </x:c>
      <x:c r="Z289" s="220" t="n">
        <x:v>0.207</x:v>
      </x:c>
      <x:c r="AA289" s="220" t="n">
        <x:v>7.92</x:v>
      </x:c>
      <x:c r="AB289" s="220" t="n">
        <x:v>9.15</x:v>
      </x:c>
      <x:c r="AC289" s="226" t="n">
        <x:f>IF(W289="EUR",AA289,IF(W289="GBP",AB289,1))</x:f>
        <x:v>7.92</x:v>
      </x:c>
      <x:c r="AD289" s="226" t="n">
        <x:f>R289*X289</x:f>
        <x:v>7558.0491636</x:v>
      </x:c>
      <x:c r="AE289" s="226" t="n">
        <x:f>IF(Y289="PERCENTAGE_OF_BASE_FREIGHT",AD289*Z289,IF(Y289="PER_CHARGEABLE_KG",R289*Z289,P289*Z289))</x:f>
        <x:v>581.3883972</x:v>
      </x:c>
      <x:c r="AF289" s="226" t="n">
        <x:f>AD289*AC289</x:f>
        <x:v>59859.749375711996</x:v>
      </x:c>
      <x:c r="AG289" s="226" t="n">
        <x:f>AE289*AC289</x:f>
        <x:v>4604.596105824</x:v>
      </x:c>
      <x:c r="AH289" s="226" t="str">
        <x:v>EUR</x:v>
      </x:c>
      <x:c r="AI289" s="226" t="n">
        <x:v>1.08675</x:v>
      </x:c>
      <x:c r="AJ289" s="226" t="n">
        <x:f>IF(AH289="EUR",AA289,IF(AH289="GBP",AB289,1))</x:f>
        <x:v>7.92</x:v>
      </x:c>
      <x:c r="AK289" s="226" t="n">
        <x:f>N289*AI289</x:f>
        <x:v>3644.9595</x:v>
      </x:c>
      <x:c r="AL289" s="226" t="n">
        <x:f>AK289*AJ289</x:f>
        <x:v>28868.07924</x:v>
      </x:c>
      <x:c r="AM289" s="226" t="str">
        <x:v>EUR</x:v>
      </x:c>
      <x:c r="AN289" s="226" t="n">
        <x:v>0.3933</x:v>
      </x:c>
      <x:c r="AO289" s="226" t="n">
        <x:f>IF(AM289="EUR",AA289,IF(AM289="GBP",AB289,1))</x:f>
        <x:v>7.92</x:v>
      </x:c>
      <x:c r="AP289" s="226" t="n">
        <x:f>P289*AN289</x:f>
        <x:v>1398.2758919999999</x:v>
      </x:c>
      <x:c r="AQ289" s="226" t="n">
        <x:f>AP289*AO289</x:f>
        <x:v>11074.34506464</x:v>
      </x:c>
      <x:c r="AR289" s="226" t="str">
        <x:v>EUR</x:v>
      </x:c>
      <x:c r="AS289" s="226" t="n">
        <x:v>3.105</x:v>
      </x:c>
      <x:c r="AT289" s="226" t="n">
        <x:f>IF(AR289="EUR",AA289,IF(AR289="GBP",AB289,1))</x:f>
        <x:v>7.92</x:v>
      </x:c>
      <x:c r="AU289" s="226" t="n">
        <x:f>T289*AS289</x:f>
        <x:v>624.8501999999999</x:v>
      </x:c>
      <x:c r="AV289" s="226" t="n">
        <x:f>AU289*AT289</x:f>
        <x:v>4948.813583999999</x:v>
      </x:c>
      <x:c r="AW289" s="226" t="str">
        <x:v>EUR</x:v>
      </x:c>
      <x:c r="AX289" s="226" t="n">
        <x:v>2.3805</x:v>
      </x:c>
      <x:c r="AY289" s="226" t="n">
        <x:f>IF(AW289="EUR",AA289,IF(AW289="GBP",AB289,1))</x:f>
        <x:v>7.92</x:v>
      </x:c>
      <x:c r="AZ289" s="226" t="n">
        <x:f>V289*AX289</x:f>
        <x:v>118.48548348</x:v>
      </x:c>
      <x:c r="BA289" s="226" t="n">
        <x:f>AZ289*AY289</x:f>
        <x:v>938.4050291615999</x:v>
      </x:c>
      <x:c r="BB289" s="226" t="n">
        <x:f>AF289+AG289+AL289+AQ289+AV289+BA289</x:f>
        <x:v>110293.9883993376</x:v>
      </x:c>
      <x:c r="BC289" s="229" t="n">
        <x:v>0.973</x:v>
      </x:c>
      <x:c r="BD289" s="202"/>
      <x:c r="BE289" s="202" t="str">
        <x:v>正式 Forecast 逐月降低英国空运及 Carrier C 份额，但仍高于 Budget</x:v>
      </x:c>
      <x:c r="BF289" s="202" t="str">
        <x:v>英国 9—12 月订单量分别相对各月正式 Forecast 增加 10%，不复利</x:v>
      </x:c>
      <x:c r="BG289" s="202" t="str">
        <x:v>UNVERIFIED_UNLIMITED_FOR_MVP</x:v>
      </x:c>
    </x:row>
    <x:row r="290">
      <x:c r="A290" s="187" t="str">
        <x:v>SCENARIO_GROWTH_2026_08</x:v>
      </x:c>
      <x:c r="B290" s="187" t="str">
        <x:v>SCENARIO</x:v>
      </x:c>
      <x:c r="C290" s="187" t="str">
        <x:v>GROWTH</x:v>
      </x:c>
      <x:c r="D290" s="217" t="n">
        <x:v>46266</x:v>
      </x:c>
      <x:c r="E290" s="187" t="str">
        <x:v>R_GB_DE_A_ROAD</x:v>
      </x:c>
      <x:c r="F290" s="187" t="str">
        <x:v>GB</x:v>
      </x:c>
      <x:c r="G290" s="187" t="str">
        <x:v>DE_FC</x:v>
      </x:c>
      <x:c r="H290" s="187" t="str">
        <x:v>CARRIER_A</x:v>
      </x:c>
      <x:c r="I290" s="187" t="str">
        <x:v>ROAD</x:v>
      </x:c>
      <x:c r="J290" s="220" t="n">
        <x:v>17784.8</x:v>
      </x:c>
      <x:c r="K290" s="223" t="n">
        <x:v>0.3617021276595745</x:v>
      </x:c>
      <x:c r="L290" s="223" t="n">
        <x:v>0.96</x:v>
      </x:c>
      <x:c r="M290" s="223" t="n">
        <x:v>0.3</x:v>
      </x:c>
      <x:c r="N290" s="226" t="n">
        <x:f>J290*K290*L290*M290</x:f>
        <x:v>1852.6464</x:v>
      </x:c>
      <x:c r="O290" s="220" t="n">
        <x:v>1.19</x:v>
      </x:c>
      <x:c r="P290" s="226" t="n">
        <x:f>N290*O290</x:f>
        <x:v>2204.649216</x:v>
      </x:c>
      <x:c r="Q290" s="220" t="n">
        <x:v>1.0404</x:v>
      </x:c>
      <x:c r="R290" s="226" t="n">
        <x:f>P290*Q290</x:f>
        <x:v>2293.7170443264</x:v>
      </x:c>
      <x:c r="S290" s="220" t="n">
        <x:v>0.095</x:v>
      </x:c>
      <x:c r="T290" s="226" t="n">
        <x:f>N290*S290</x:f>
        <x:v>176.001408</x:v>
      </x:c>
      <x:c r="U290" s="226" t="n">
        <x:v>0.027</x:v>
      </x:c>
      <x:c r="V290" s="226" t="n">
        <x:f>P290*U290</x:f>
        <x:v>59.52552883199999</x:v>
      </x:c>
      <x:c r="W290" s="196" t="str">
        <x:v>GBP</x:v>
      </x:c>
      <x:c r="X290" s="220" t="n">
        <x:v>4.14</x:v>
      </x:c>
      <x:c r="Y290" s="196" t="str">
        <x:v>PERCENTAGE_OF_BASE_FREIGHT</x:v>
      </x:c>
      <x:c r="Z290" s="220" t="n">
        <x:v>0.1035</x:v>
      </x:c>
      <x:c r="AA290" s="220" t="n">
        <x:v>7.92</x:v>
      </x:c>
      <x:c r="AB290" s="220" t="n">
        <x:v>9.15</x:v>
      </x:c>
      <x:c r="AC290" s="226" t="n">
        <x:f>IF(W290="EUR",AA290,IF(W290="GBP",AB290,1))</x:f>
        <x:v>9.15</x:v>
      </x:c>
      <x:c r="AD290" s="226" t="n">
        <x:f>R290*X290</x:f>
        <x:v>9495.988563511295</x:v>
      </x:c>
      <x:c r="AE290" s="226" t="n">
        <x:f>IF(Y290="PERCENTAGE_OF_BASE_FREIGHT",AD290*Z290,IF(Y290="PER_CHARGEABLE_KG",R290*Z290,P290*Z290))</x:f>
        <x:v>982.834816323419</x:v>
      </x:c>
      <x:c r="AF290" s="226" t="n">
        <x:f>AD290*AC290</x:f>
        <x:v>86888.29535612835</x:v>
      </x:c>
      <x:c r="AG290" s="226" t="n">
        <x:f>AE290*AC290</x:f>
        <x:v>8992.938569359285</x:v>
      </x:c>
      <x:c r="AH290" s="226" t="str">
        <x:v>EUR</x:v>
      </x:c>
      <x:c r="AI290" s="226" t="n">
        <x:v>1.2213</x:v>
      </x:c>
      <x:c r="AJ290" s="226" t="n">
        <x:f>IF(AH290="EUR",AA290,IF(AH290="GBP",AB290,1))</x:f>
        <x:v>7.92</x:v>
      </x:c>
      <x:c r="AK290" s="226" t="n">
        <x:f>N290*AI290</x:f>
        <x:v>2262.6370483200003</x:v>
      </x:c>
      <x:c r="AL290" s="226" t="n">
        <x:f>AK290*AJ290</x:f>
        <x:v>17920.085422694403</x:v>
      </x:c>
      <x:c r="AM290" s="226" t="str">
        <x:v>EUR</x:v>
      </x:c>
      <x:c r="AN290" s="226" t="n">
        <x:v>0.4347</x:v>
      </x:c>
      <x:c r="AO290" s="226" t="n">
        <x:f>IF(AM290="EUR",AA290,IF(AM290="GBP",AB290,1))</x:f>
        <x:v>7.92</x:v>
      </x:c>
      <x:c r="AP290" s="226" t="n">
        <x:f>P290*AN290</x:f>
        <x:v>958.3610141951999</x:v>
      </x:c>
      <x:c r="AQ290" s="226" t="n">
        <x:f>AP290*AO290</x:f>
        <x:v>7590.219232425983</x:v>
      </x:c>
      <x:c r="AR290" s="226" t="str">
        <x:v>GBP</x:v>
      </x:c>
      <x:c r="AS290" s="226" t="n">
        <x:v>4.968</x:v>
      </x:c>
      <x:c r="AT290" s="226" t="n">
        <x:f>IF(AR290="EUR",AA290,IF(AR290="GBP",AB290,1))</x:f>
        <x:v>9.15</x:v>
      </x:c>
      <x:c r="AU290" s="226" t="n">
        <x:f>T290*AS290</x:f>
        <x:v>874.374994944</x:v>
      </x:c>
      <x:c r="AV290" s="226" t="n">
        <x:f>AU290*AT290</x:f>
        <x:v>8000.531203737601</x:v>
      </x:c>
      <x:c r="AW290" s="226" t="str">
        <x:v>GBP</x:v>
      </x:c>
      <x:c r="AX290" s="226" t="n">
        <x:v>2.3805</x:v>
      </x:c>
      <x:c r="AY290" s="226" t="n">
        <x:f>IF(AW290="EUR",AA290,IF(AW290="GBP",AB290,1))</x:f>
        <x:v>9.15</x:v>
      </x:c>
      <x:c r="AZ290" s="226" t="n">
        <x:f>V290*AX290</x:f>
        <x:v>141.70052138457598</x:v>
      </x:c>
      <x:c r="BA290" s="226" t="n">
        <x:f>AZ290*AY290</x:f>
        <x:v>1296.5597706688702</x:v>
      </x:c>
      <x:c r="BB290" s="226" t="n">
        <x:f>AF290+AG290+AL290+AQ290+AV290+BA290</x:f>
        <x:v>130688.6295550145</x:v>
      </x:c>
      <x:c r="BC290" s="229" t="n">
        <x:v>0.93</x:v>
      </x:c>
      <x:c r="BD290" s="202"/>
      <x:c r="BE290" s="202" t="str">
        <x:v>正式 Forecast 逐月降低英国空运及 Carrier C 份额，但仍高于 Budget</x:v>
      </x:c>
      <x:c r="BF290" s="202" t="str">
        <x:v>英国 9—12 月订单量分别相对各月正式 Forecast 增加 10%，不复利</x:v>
      </x:c>
      <x:c r="BG290" s="202" t="str">
        <x:v>UNVERIFIED_UNLIMITED_FOR_MVP</x:v>
      </x:c>
    </x:row>
    <x:row r="291">
      <x:c r="A291" s="187" t="str">
        <x:v>SCENARIO_GROWTH_2026_08</x:v>
      </x:c>
      <x:c r="B291" s="187" t="str">
        <x:v>SCENARIO</x:v>
      </x:c>
      <x:c r="C291" s="187" t="str">
        <x:v>GROWTH</x:v>
      </x:c>
      <x:c r="D291" s="217" t="n">
        <x:v>46266</x:v>
      </x:c>
      <x:c r="E291" s="187" t="str">
        <x:v>R_GB_DE_B_ROAD</x:v>
      </x:c>
      <x:c r="F291" s="187" t="str">
        <x:v>GB</x:v>
      </x:c>
      <x:c r="G291" s="187" t="str">
        <x:v>DE_FC</x:v>
      </x:c>
      <x:c r="H291" s="187" t="str">
        <x:v>CARRIER_B</x:v>
      </x:c>
      <x:c r="I291" s="187" t="str">
        <x:v>ROAD</x:v>
      </x:c>
      <x:c r="J291" s="220" t="n">
        <x:v>17784.8</x:v>
      </x:c>
      <x:c r="K291" s="223" t="n">
        <x:v>0.3617021276595745</x:v>
      </x:c>
      <x:c r="L291" s="223" t="n">
        <x:v>0.96</x:v>
      </x:c>
      <x:c r="M291" s="223" t="n">
        <x:v>0.17</x:v>
      </x:c>
      <x:c r="N291" s="226" t="n">
        <x:f>J291*K291*L291*M291</x:f>
        <x:v>1049.8329600000002</x:v>
      </x:c>
      <x:c r="O291" s="220" t="n">
        <x:v>1.19</x:v>
      </x:c>
      <x:c r="P291" s="226" t="n">
        <x:f>N291*O291</x:f>
        <x:v>1249.3012224000001</x:v>
      </x:c>
      <x:c r="Q291" s="220" t="n">
        <x:v>1.02</x:v>
      </x:c>
      <x:c r="R291" s="226" t="n">
        <x:f>P291*Q291</x:f>
        <x:v>1274.2872468480002</x:v>
      </x:c>
      <x:c r="S291" s="220" t="n">
        <x:v>0.095</x:v>
      </x:c>
      <x:c r="T291" s="226" t="n">
        <x:f>N291*S291</x:f>
        <x:v>99.73413120000002</x:v>
      </x:c>
      <x:c r="U291" s="226" t="n">
        <x:v>0.02</x:v>
      </x:c>
      <x:c r="V291" s="226" t="n">
        <x:f>P291*U291</x:f>
        <x:v>24.986024448000002</x:v>
      </x:c>
      <x:c r="W291" s="196" t="str">
        <x:v>GBP</x:v>
      </x:c>
      <x:c r="X291" s="220" t="n">
        <x:v>4.8645</x:v>
      </x:c>
      <x:c r="Y291" s="196" t="str">
        <x:v>PER_CHARGEABLE_KG</x:v>
      </x:c>
      <x:c r="Z291" s="220" t="n">
        <x:v>0.34155</x:v>
      </x:c>
      <x:c r="AA291" s="220" t="n">
        <x:v>7.92</x:v>
      </x:c>
      <x:c r="AB291" s="220" t="n">
        <x:v>9.15</x:v>
      </x:c>
      <x:c r="AC291" s="226" t="n">
        <x:f>IF(W291="EUR",AA291,IF(W291="GBP",AB291,1))</x:f>
        <x:v>9.15</x:v>
      </x:c>
      <x:c r="AD291" s="226" t="n">
        <x:f>R291*X291</x:f>
        <x:v>6198.770312292097</x:v>
      </x:c>
      <x:c r="AE291" s="226" t="n">
        <x:f>IF(Y291="PERCENTAGE_OF_BASE_FREIGHT",AD291*Z291,IF(Y291="PER_CHARGEABLE_KG",R291*Z291,P291*Z291))</x:f>
        <x:v>435.2328091609345</x:v>
      </x:c>
      <x:c r="AF291" s="226" t="n">
        <x:f>AD291*AC291</x:f>
        <x:v>56718.74835747269</x:v>
      </x:c>
      <x:c r="AG291" s="226" t="n">
        <x:f>AE291*AC291</x:f>
        <x:v>3982.380203822551</x:v>
      </x:c>
      <x:c r="AH291" s="226" t="str">
        <x:v>EUR</x:v>
      </x:c>
      <x:c r="AI291" s="226" t="n">
        <x:v>1.2213</x:v>
      </x:c>
      <x:c r="AJ291" s="226" t="n">
        <x:f>IF(AH291="EUR",AA291,IF(AH291="GBP",AB291,1))</x:f>
        <x:v>7.92</x:v>
      </x:c>
      <x:c r="AK291" s="226" t="n">
        <x:f>N291*AI291</x:f>
        <x:v>1282.1609940480002</x:v>
      </x:c>
      <x:c r="AL291" s="226" t="n">
        <x:f>AK291*AJ291</x:f>
        <x:v>10154.715072860163</x:v>
      </x:c>
      <x:c r="AM291" s="226" t="str">
        <x:v>EUR</x:v>
      </x:c>
      <x:c r="AN291" s="226" t="n">
        <x:v>0.4347</x:v>
      </x:c>
      <x:c r="AO291" s="226" t="n">
        <x:f>IF(AM291="EUR",AA291,IF(AM291="GBP",AB291,1))</x:f>
        <x:v>7.92</x:v>
      </x:c>
      <x:c r="AP291" s="226" t="n">
        <x:f>P291*AN291</x:f>
        <x:v>543.07124137728</x:v>
      </x:c>
      <x:c r="AQ291" s="226" t="n">
        <x:f>AP291*AO291</x:f>
        <x:v>4301.124231708058</x:v>
      </x:c>
      <x:c r="AR291" s="226" t="str">
        <x:v>GBP</x:v>
      </x:c>
      <x:c r="AS291" s="226" t="n">
        <x:v>4.968</x:v>
      </x:c>
      <x:c r="AT291" s="226" t="n">
        <x:f>IF(AR291="EUR",AA291,IF(AR291="GBP",AB291,1))</x:f>
        <x:v>9.15</x:v>
      </x:c>
      <x:c r="AU291" s="226" t="n">
        <x:f>T291*AS291</x:f>
        <x:v>495.4791638016001</x:v>
      </x:c>
      <x:c r="AV291" s="226" t="n">
        <x:f>AU291*AT291</x:f>
        <x:v>4533.634348784642</x:v>
      </x:c>
      <x:c r="AW291" s="226" t="str">
        <x:v>GBP</x:v>
      </x:c>
      <x:c r="AX291" s="226" t="n">
        <x:v>2.3805</x:v>
      </x:c>
      <x:c r="AY291" s="226" t="n">
        <x:f>IF(AW291="EUR",AA291,IF(AW291="GBP",AB291,1))</x:f>
        <x:v>9.15</x:v>
      </x:c>
      <x:c r="AZ291" s="226" t="n">
        <x:f>V291*AX291</x:f>
        <x:v>59.47923119846401</x:v>
      </x:c>
      <x:c r="BA291" s="226" t="n">
        <x:f>AZ291*AY291</x:f>
        <x:v>544.2349654659457</x:v>
      </x:c>
      <x:c r="BB291" s="226" t="n">
        <x:f>AF291+AG291+AL291+AQ291+AV291+BA291</x:f>
        <x:v>80234.83718011406</x:v>
      </x:c>
      <x:c r="BC291" s="229" t="n">
        <x:v>0.95</x:v>
      </x:c>
      <x:c r="BD291" s="202"/>
      <x:c r="BE291" s="202" t="str">
        <x:v>正式 Forecast 逐月降低英国空运及 Carrier C 份额，但仍高于 Budget</x:v>
      </x:c>
      <x:c r="BF291" s="202" t="str">
        <x:v>英国 9—12 月订单量分别相对各月正式 Forecast 增加 10%，不复利</x:v>
      </x:c>
      <x:c r="BG291" s="202" t="str">
        <x:v>UNVERIFIED_UNLIMITED_FOR_MVP</x:v>
      </x:c>
    </x:row>
    <x:row r="292">
      <x:c r="A292" s="187" t="str">
        <x:v>SCENARIO_GROWTH_2026_08</x:v>
      </x:c>
      <x:c r="B292" s="187" t="str">
        <x:v>SCENARIO</x:v>
      </x:c>
      <x:c r="C292" s="187" t="str">
        <x:v>GROWTH</x:v>
      </x:c>
      <x:c r="D292" s="217" t="n">
        <x:v>46266</x:v>
      </x:c>
      <x:c r="E292" s="187" t="str">
        <x:v>R_GB_DE_B_AIR</x:v>
      </x:c>
      <x:c r="F292" s="187" t="str">
        <x:v>GB</x:v>
      </x:c>
      <x:c r="G292" s="187" t="str">
        <x:v>DE_FC</x:v>
      </x:c>
      <x:c r="H292" s="187" t="str">
        <x:v>CARRIER_B</x:v>
      </x:c>
      <x:c r="I292" s="187" t="str">
        <x:v>AIR</x:v>
      </x:c>
      <x:c r="J292" s="220" t="n">
        <x:v>17784.8</x:v>
      </x:c>
      <x:c r="K292" s="223" t="n">
        <x:v>0.3617021276595745</x:v>
      </x:c>
      <x:c r="L292" s="223" t="n">
        <x:v>0.96</x:v>
      </x:c>
      <x:c r="M292" s="223" t="n">
        <x:v>0.25</x:v>
      </x:c>
      <x:c r="N292" s="226" t="n">
        <x:f>J292*K292*L292*M292</x:f>
        <x:v>1543.872</x:v>
      </x:c>
      <x:c r="O292" s="220" t="n">
        <x:v>1.19</x:v>
      </x:c>
      <x:c r="P292" s="226" t="n">
        <x:f>N292*O292</x:f>
        <x:v>1837.20768</x:v>
      </x:c>
      <x:c r="Q292" s="220" t="n">
        <x:v>0.9588</x:v>
      </x:c>
      <x:c r="R292" s="226" t="n">
        <x:f>P292*Q292</x:f>
        <x:v>1761.514723584</x:v>
      </x:c>
      <x:c r="S292" s="220" t="n">
        <x:v>0.095</x:v>
      </x:c>
      <x:c r="T292" s="226" t="n">
        <x:f>N292*S292</x:f>
        <x:v>146.66784</x:v>
      </x:c>
      <x:c r="U292" s="226" t="n">
        <x:v>0.016</x:v>
      </x:c>
      <x:c r="V292" s="226" t="n">
        <x:f>P292*U292</x:f>
        <x:v>29.395322880000002</x:v>
      </x:c>
      <x:c r="W292" s="196" t="str">
        <x:v>GBP</x:v>
      </x:c>
      <x:c r="X292" s="220" t="n">
        <x:v>6.67368</x:v>
      </x:c>
      <x:c r="Y292" s="196" t="str">
        <x:v>PERCENTAGE_OF_BASE_FREIGHT</x:v>
      </x:c>
      <x:c r="Z292" s="220" t="n">
        <x:v>0.123786</x:v>
      </x:c>
      <x:c r="AA292" s="220" t="n">
        <x:v>7.92</x:v>
      </x:c>
      <x:c r="AB292" s="220" t="n">
        <x:v>9.15</x:v>
      </x:c>
      <x:c r="AC292" s="226" t="n">
        <x:f>IF(W292="EUR",AA292,IF(W292="GBP",AB292,1))</x:f>
        <x:v>9.15</x:v>
      </x:c>
      <x:c r="AD292" s="226" t="n">
        <x:f>R292*X292</x:f>
        <x:v>11755.78558048807</x:v>
      </x:c>
      <x:c r="AE292" s="226" t="n">
        <x:f>IF(Y292="PERCENTAGE_OF_BASE_FREIGHT",AD292*Z292,IF(Y292="PER_CHARGEABLE_KG",R292*Z292,P292*Z292))</x:f>
        <x:v>1455.201673866296</x:v>
      </x:c>
      <x:c r="AF292" s="226" t="n">
        <x:f>AD292*AC292</x:f>
        <x:v>107565.43806146584</x:v>
      </x:c>
      <x:c r="AG292" s="226" t="n">
        <x:f>AE292*AC292</x:f>
        <x:v>13315.09531587661</x:v>
      </x:c>
      <x:c r="AH292" s="226" t="str">
        <x:v>EUR</x:v>
      </x:c>
      <x:c r="AI292" s="226" t="n">
        <x:v>1.2213</x:v>
      </x:c>
      <x:c r="AJ292" s="226" t="n">
        <x:f>IF(AH292="EUR",AA292,IF(AH292="GBP",AB292,1))</x:f>
        <x:v>7.92</x:v>
      </x:c>
      <x:c r="AK292" s="226" t="n">
        <x:f>N292*AI292</x:f>
        <x:v>1885.5308736000002</x:v>
      </x:c>
      <x:c r="AL292" s="226" t="n">
        <x:f>AK292*AJ292</x:f>
        <x:v>14933.404518912</x:v>
      </x:c>
      <x:c r="AM292" s="226" t="str">
        <x:v>EUR</x:v>
      </x:c>
      <x:c r="AN292" s="226" t="n">
        <x:v>0.4347</x:v>
      </x:c>
      <x:c r="AO292" s="226" t="n">
        <x:f>IF(AM292="EUR",AA292,IF(AM292="GBP",AB292,1))</x:f>
        <x:v>7.92</x:v>
      </x:c>
      <x:c r="AP292" s="226" t="n">
        <x:f>P292*AN292</x:f>
        <x:v>798.6341784959999</x:v>
      </x:c>
      <x:c r="AQ292" s="226" t="n">
        <x:f>AP292*AO292</x:f>
        <x:v>6325.182693688319</x:v>
      </x:c>
      <x:c r="AR292" s="226" t="str">
        <x:v>GBP</x:v>
      </x:c>
      <x:c r="AS292" s="226" t="n">
        <x:v>4.968</x:v>
      </x:c>
      <x:c r="AT292" s="226" t="n">
        <x:f>IF(AR292="EUR",AA292,IF(AR292="GBP",AB292,1))</x:f>
        <x:v>9.15</x:v>
      </x:c>
      <x:c r="AU292" s="226" t="n">
        <x:f>T292*AS292</x:f>
        <x:v>728.64582912</x:v>
      </x:c>
      <x:c r="AV292" s="226" t="n">
        <x:f>AU292*AT292</x:f>
        <x:v>6667.109336448</x:v>
      </x:c>
      <x:c r="AW292" s="226" t="str">
        <x:v>GBP</x:v>
      </x:c>
      <x:c r="AX292" s="226" t="n">
        <x:v>2.898</x:v>
      </x:c>
      <x:c r="AY292" s="226" t="n">
        <x:f>IF(AW292="EUR",AA292,IF(AW292="GBP",AB292,1))</x:f>
        <x:v>9.15</x:v>
      </x:c>
      <x:c r="AZ292" s="226" t="n">
        <x:f>V292*AX292</x:f>
        <x:v>85.18764570624</x:v>
      </x:c>
      <x:c r="BA292" s="226" t="n">
        <x:f>AZ292*AY292</x:f>
        <x:v>779.4669582120961</x:v>
      </x:c>
      <x:c r="BB292" s="226" t="n">
        <x:f>AF292+AG292+AL292+AQ292+AV292+BA292</x:f>
        <x:v>149585.69688460283</x:v>
      </x:c>
      <x:c r="BC292" s="229" t="n">
        <x:v>0.974</x:v>
      </x:c>
      <x:c r="BD292" s="202"/>
      <x:c r="BE292" s="202" t="str">
        <x:v>正式 Forecast 逐月降低英国空运及 Carrier C 份额，但仍高于 Budget</x:v>
      </x:c>
      <x:c r="BF292" s="202" t="str">
        <x:v>英国 9—12 月订单量分别相对各月正式 Forecast 增加 10%，不复利</x:v>
      </x:c>
      <x:c r="BG292" s="202" t="str">
        <x:v>UNVERIFIED_UNLIMITED_FOR_MVP</x:v>
      </x:c>
    </x:row>
    <x:row r="293">
      <x:c r="A293" s="187" t="str">
        <x:v>SCENARIO_GROWTH_2026_08</x:v>
      </x:c>
      <x:c r="B293" s="187" t="str">
        <x:v>SCENARIO</x:v>
      </x:c>
      <x:c r="C293" s="187" t="str">
        <x:v>GROWTH</x:v>
      </x:c>
      <x:c r="D293" s="217" t="n">
        <x:v>46266</x:v>
      </x:c>
      <x:c r="E293" s="187" t="str">
        <x:v>R_GB_DE_C_AIR</x:v>
      </x:c>
      <x:c r="F293" s="187" t="str">
        <x:v>GB</x:v>
      </x:c>
      <x:c r="G293" s="187" t="str">
        <x:v>DE_FC</x:v>
      </x:c>
      <x:c r="H293" s="187" t="str">
        <x:v>CARRIER_C</x:v>
      </x:c>
      <x:c r="I293" s="187" t="str">
        <x:v>AIR</x:v>
      </x:c>
      <x:c r="J293" s="220" t="n">
        <x:v>17784.8</x:v>
      </x:c>
      <x:c r="K293" s="223" t="n">
        <x:v>0.3617021276595745</x:v>
      </x:c>
      <x:c r="L293" s="223" t="n">
        <x:v>0.96</x:v>
      </x:c>
      <x:c r="M293" s="223" t="n">
        <x:v>0.28</x:v>
      </x:c>
      <x:c r="N293" s="226" t="n">
        <x:f>J293*K293*L293*M293</x:f>
        <x:v>1729.1366400000002</x:v>
      </x:c>
      <x:c r="O293" s="220" t="n">
        <x:v>1.19</x:v>
      </x:c>
      <x:c r="P293" s="226" t="n">
        <x:f>N293*O293</x:f>
        <x:v>2057.6726016000002</x:v>
      </x:c>
      <x:c r="Q293" s="220" t="n">
        <x:v>0.9384</x:v>
      </x:c>
      <x:c r="R293" s="226" t="n">
        <x:f>P293*Q293</x:f>
        <x:v>1930.9199693414403</x:v>
      </x:c>
      <x:c r="S293" s="220" t="n">
        <x:v>0.095</x:v>
      </x:c>
      <x:c r="T293" s="226" t="n">
        <x:f>N293*S293</x:f>
        <x:v>164.26798080000003</x:v>
      </x:c>
      <x:c r="U293" s="226" t="n">
        <x:v>0.011</x:v>
      </x:c>
      <x:c r="V293" s="226" t="n">
        <x:f>P293*U293</x:f>
        <x:v>22.634398617600002</x:v>
      </x:c>
      <x:c r="W293" s="196" t="str">
        <x:v>GBP</x:v>
      </x:c>
      <x:c r="X293" s="220" t="n">
        <x:v>8.22825</x:v>
      </x:c>
      <x:c r="Y293" s="196" t="str">
        <x:v>PER_CHARGEABLE_KG</x:v>
      </x:c>
      <x:c r="Z293" s="220" t="n">
        <x:v>0.636318</x:v>
      </x:c>
      <x:c r="AA293" s="220" t="n">
        <x:v>7.92</x:v>
      </x:c>
      <x:c r="AB293" s="220" t="n">
        <x:v>9.15</x:v>
      </x:c>
      <x:c r="AC293" s="226" t="n">
        <x:f>IF(W293="EUR",AA293,IF(W293="GBP",AB293,1))</x:f>
        <x:v>9.15</x:v>
      </x:c>
      <x:c r="AD293" s="226" t="n">
        <x:f>R293*X293</x:f>
        <x:v>15888.092237733705</x:v>
      </x:c>
      <x:c r="AE293" s="226" t="n">
        <x:f>IF(Y293="PERCENTAGE_OF_BASE_FREIGHT",AD293*Z293,IF(Y293="PER_CHARGEABLE_KG",R293*Z293,P293*Z293))</x:f>
        <x:v>1228.6791330514068</x:v>
      </x:c>
      <x:c r="AF293" s="226" t="n">
        <x:f>AD293*AC293</x:f>
        <x:v>145376.0439752634</x:v>
      </x:c>
      <x:c r="AG293" s="226" t="n">
        <x:f>AE293*AC293</x:f>
        <x:v>11242.414067420372</x:v>
      </x:c>
      <x:c r="AH293" s="226" t="str">
        <x:v>EUR</x:v>
      </x:c>
      <x:c r="AI293" s="226" t="n">
        <x:v>1.2213</x:v>
      </x:c>
      <x:c r="AJ293" s="226" t="n">
        <x:f>IF(AH293="EUR",AA293,IF(AH293="GBP",AB293,1))</x:f>
        <x:v>7.92</x:v>
      </x:c>
      <x:c r="AK293" s="226" t="n">
        <x:f>N293*AI293</x:f>
        <x:v>2111.7945784320004</x:v>
      </x:c>
      <x:c r="AL293" s="226" t="n">
        <x:f>AK293*AJ293</x:f>
        <x:v>16725.413061181443</x:v>
      </x:c>
      <x:c r="AM293" s="226" t="str">
        <x:v>EUR</x:v>
      </x:c>
      <x:c r="AN293" s="226" t="n">
        <x:v>0.4347</x:v>
      </x:c>
      <x:c r="AO293" s="226" t="n">
        <x:f>IF(AM293="EUR",AA293,IF(AM293="GBP",AB293,1))</x:f>
        <x:v>7.92</x:v>
      </x:c>
      <x:c r="AP293" s="226" t="n">
        <x:f>P293*AN293</x:f>
        <x:v>894.47027991552</x:v>
      </x:c>
      <x:c r="AQ293" s="226" t="n">
        <x:f>AP293*AO293</x:f>
        <x:v>7084.204616930919</x:v>
      </x:c>
      <x:c r="AR293" s="226" t="str">
        <x:v>GBP</x:v>
      </x:c>
      <x:c r="AS293" s="226" t="n">
        <x:v>4.968</x:v>
      </x:c>
      <x:c r="AT293" s="226" t="n">
        <x:f>IF(AR293="EUR",AA293,IF(AR293="GBP",AB293,1))</x:f>
        <x:v>9.15</x:v>
      </x:c>
      <x:c r="AU293" s="226" t="n">
        <x:f>T293*AS293</x:f>
        <x:v>816.0833286144001</x:v>
      </x:c>
      <x:c r="AV293" s="226" t="n">
        <x:f>AU293*AT293</x:f>
        <x:v>7467.162456821761</x:v>
      </x:c>
      <x:c r="AW293" s="226" t="str">
        <x:v>GBP</x:v>
      </x:c>
      <x:c r="AX293" s="226" t="n">
        <x:v>3.726</x:v>
      </x:c>
      <x:c r="AY293" s="226" t="n">
        <x:f>IF(AW293="EUR",AA293,IF(AW293="GBP",AB293,1))</x:f>
        <x:v>9.15</x:v>
      </x:c>
      <x:c r="AZ293" s="226" t="n">
        <x:f>V293*AX293</x:f>
        <x:v>84.3357692491776</x:v>
      </x:c>
      <x:c r="BA293" s="226" t="n">
        <x:f>AZ293*AY293</x:f>
        <x:v>771.6722886299751</x:v>
      </x:c>
      <x:c r="BB293" s="226" t="n">
        <x:f>AF293+AG293+AL293+AQ293+AV293+BA293</x:f>
        <x:v>188666.91046624788</x:v>
      </x:c>
      <x:c r="BC293" s="229" t="n">
        <x:v>0.988</x:v>
      </x:c>
      <x:c r="BD293" s="202"/>
      <x:c r="BE293" s="202" t="str">
        <x:v>正式 Forecast 逐月降低英国空运及 Carrier C 份额，但仍高于 Budget</x:v>
      </x:c>
      <x:c r="BF293" s="202" t="str">
        <x:v>英国 9—12 月订单量分别相对各月正式 Forecast 增加 10%，不复利</x:v>
      </x:c>
      <x:c r="BG293" s="202" t="str">
        <x:v>UNVERIFIED_UNLIMITED_FOR_MVP</x:v>
      </x:c>
    </x:row>
    <x:row r="294">
      <x:c r="A294" s="187" t="str">
        <x:v>SCENARIO_GROWTH_2026_08</x:v>
      </x:c>
      <x:c r="B294" s="187" t="str">
        <x:v>SCENARIO</x:v>
      </x:c>
      <x:c r="C294" s="187" t="str">
        <x:v>GROWTH</x:v>
      </x:c>
      <x:c r="D294" s="217" t="n">
        <x:v>46266</x:v>
      </x:c>
      <x:c r="E294" s="187" t="str">
        <x:v>R_GB_FR_B_AIR</x:v>
      </x:c>
      <x:c r="F294" s="187" t="str">
        <x:v>GB</x:v>
      </x:c>
      <x:c r="G294" s="187" t="str">
        <x:v>FR_FC</x:v>
      </x:c>
      <x:c r="H294" s="187" t="str">
        <x:v>CARRIER_B</x:v>
      </x:c>
      <x:c r="I294" s="187" t="str">
        <x:v>AIR</x:v>
      </x:c>
      <x:c r="J294" s="220" t="n">
        <x:v>17784.8</x:v>
      </x:c>
      <x:c r="K294" s="223" t="n">
        <x:v>0.3617021276595745</x:v>
      </x:c>
      <x:c r="L294" s="223" t="n">
        <x:v>0.04</x:v>
      </x:c>
      <x:c r="M294" s="223" t="n">
        <x:v>1</x:v>
      </x:c>
      <x:c r="N294" s="226" t="n">
        <x:f>J294*K294*L294*M294</x:f>
        <x:v>257.312</x:v>
      </x:c>
      <x:c r="O294" s="220" t="n">
        <x:v>1.17</x:v>
      </x:c>
      <x:c r="P294" s="226" t="n">
        <x:f>N294*O294</x:f>
        <x:v>301.05504</x:v>
      </x:c>
      <x:c r="Q294" s="220" t="n">
        <x:v>0.918</x:v>
      </x:c>
      <x:c r="R294" s="226" t="n">
        <x:f>P294*Q294</x:f>
        <x:v>276.36852672000003</x:v>
      </x:c>
      <x:c r="S294" s="220" t="n">
        <x:v>0.095</x:v>
      </x:c>
      <x:c r="T294" s="226" t="n">
        <x:f>N294*S294</x:f>
        <x:v>24.44464</x:v>
      </x:c>
      <x:c r="U294" s="226" t="n">
        <x:v>0.014</x:v>
      </x:c>
      <x:c r="V294" s="226" t="n">
        <x:f>P294*U294</x:f>
        <x:v>4.214770560000001</x:v>
      </x:c>
      <x:c r="W294" s="196" t="str">
        <x:v>EUR</x:v>
      </x:c>
      <x:c r="X294" s="220" t="n">
        <x:v>6.9345</x:v>
      </x:c>
      <x:c r="Y294" s="196" t="str">
        <x:v>PERCENTAGE_OF_BASE_FREIGHT</x:v>
      </x:c>
      <x:c r="Z294" s="220" t="n">
        <x:v>0.108675</x:v>
      </x:c>
      <x:c r="AA294" s="220" t="n">
        <x:v>7.92</x:v>
      </x:c>
      <x:c r="AB294" s="220" t="n">
        <x:v>9.15</x:v>
      </x:c>
      <x:c r="AC294" s="226" t="n">
        <x:f>IF(W294="EUR",AA294,IF(W294="GBP",AB294,1))</x:f>
        <x:v>7.92</x:v>
      </x:c>
      <x:c r="AD294" s="226" t="n">
        <x:f>R294*X294</x:f>
        <x:v>1916.4775485398402</x:v>
      </x:c>
      <x:c r="AE294" s="226" t="n">
        <x:f>IF(Y294="PERCENTAGE_OF_BASE_FREIGHT",AD294*Z294,IF(Y294="PER_CHARGEABLE_KG",R294*Z294,P294*Z294))</x:f>
        <x:v>208.27319758756713</x:v>
      </x:c>
      <x:c r="AF294" s="226" t="n">
        <x:f>AD294*AC294</x:f>
        <x:v>15178.502184435534</x:v>
      </x:c>
      <x:c r="AG294" s="226" t="n">
        <x:f>AE294*AC294</x:f>
        <x:v>1649.5237248935316</x:v>
      </x:c>
      <x:c r="AH294" s="226" t="str">
        <x:v>EUR</x:v>
      </x:c>
      <x:c r="AI294" s="226" t="n">
        <x:v>1.08675</x:v>
      </x:c>
      <x:c r="AJ294" s="226" t="n">
        <x:f>IF(AH294="EUR",AA294,IF(AH294="GBP",AB294,1))</x:f>
        <x:v>7.92</x:v>
      </x:c>
      <x:c r="AK294" s="226" t="n">
        <x:f>N294*AI294</x:f>
        <x:v>279.633816</x:v>
      </x:c>
      <x:c r="AL294" s="226" t="n">
        <x:f>AK294*AJ294</x:f>
        <x:v>2214.69982272</x:v>
      </x:c>
      <x:c r="AM294" s="226" t="str">
        <x:v>EUR</x:v>
      </x:c>
      <x:c r="AN294" s="226" t="n">
        <x:v>0.3933</x:v>
      </x:c>
      <x:c r="AO294" s="226" t="n">
        <x:f>IF(AM294="EUR",AA294,IF(AM294="GBP",AB294,1))</x:f>
        <x:v>7.92</x:v>
      </x:c>
      <x:c r="AP294" s="226" t="n">
        <x:f>P294*AN294</x:f>
        <x:v>118.404947232</x:v>
      </x:c>
      <x:c r="AQ294" s="226" t="n">
        <x:f>AP294*AO294</x:f>
        <x:v>937.76718207744</x:v>
      </x:c>
      <x:c r="AR294" s="226" t="str">
        <x:v>EUR</x:v>
      </x:c>
      <x:c r="AS294" s="226" t="n">
        <x:v>5.382</x:v>
      </x:c>
      <x:c r="AT294" s="226" t="n">
        <x:f>IF(AR294="EUR",AA294,IF(AR294="GBP",AB294,1))</x:f>
        <x:v>7.92</x:v>
      </x:c>
      <x:c r="AU294" s="226" t="n">
        <x:f>T294*AS294</x:f>
        <x:v>131.56105248</x:v>
      </x:c>
      <x:c r="AV294" s="226" t="n">
        <x:f>AU294*AT294</x:f>
        <x:v>1041.9635356416</x:v>
      </x:c>
      <x:c r="AW294" s="226" t="str">
        <x:v>EUR</x:v>
      </x:c>
      <x:c r="AX294" s="226" t="n">
        <x:v>2.898</x:v>
      </x:c>
      <x:c r="AY294" s="226" t="n">
        <x:f>IF(AW294="EUR",AA294,IF(AW294="GBP",AB294,1))</x:f>
        <x:v>7.92</x:v>
      </x:c>
      <x:c r="AZ294" s="226" t="n">
        <x:f>V294*AX294</x:f>
        <x:v>12.214405082880003</x:v>
      </x:c>
      <x:c r="BA294" s="226" t="n">
        <x:f>AZ294*AY294</x:f>
        <x:v>96.73808825640963</x:v>
      </x:c>
      <x:c r="BB294" s="226" t="n">
        <x:f>AF294+AG294+AL294+AQ294+AV294+BA294</x:f>
        <x:v>21119.19453802452</x:v>
      </x:c>
      <x:c r="BC294" s="229" t="n">
        <x:v>0.971</x:v>
      </x:c>
      <x:c r="BD294" s="202"/>
      <x:c r="BE294" s="202" t="str">
        <x:v>正式 Forecast 逐月降低英国空运及 Carrier C 份额，但仍高于 Budget</x:v>
      </x:c>
      <x:c r="BF294" s="202" t="str">
        <x:v>英国 9—12 月订单量分别相对各月正式 Forecast 增加 10%，不复利</x:v>
      </x:c>
      <x:c r="BG294" s="202" t="str">
        <x:v>UNVERIFIED_UNLIMITED_FOR_MVP</x:v>
      </x:c>
    </x:row>
    <x:row r="295">
      <x:c r="A295" s="187" t="str">
        <x:v>SCENARIO_GROWTH_2026_08</x:v>
      </x:c>
      <x:c r="B295" s="187" t="str">
        <x:v>SCENARIO</x:v>
      </x:c>
      <x:c r="C295" s="187" t="str">
        <x:v>GROWTH</x:v>
      </x:c>
      <x:c r="D295" s="217" t="n">
        <x:v>46296</x:v>
      </x:c>
      <x:c r="E295" s="187" t="str">
        <x:v>R_DE_DE_A_ROAD</x:v>
      </x:c>
      <x:c r="F295" s="187" t="str">
        <x:v>DE</x:v>
      </x:c>
      <x:c r="G295" s="187" t="str">
        <x:v>DE_FC</x:v>
      </x:c>
      <x:c r="H295" s="187" t="str">
        <x:v>CARRIER_A</x:v>
      </x:c>
      <x:c r="I295" s="187" t="str">
        <x:v>ROAD</x:v>
      </x:c>
      <x:c r="J295" s="220" t="n">
        <x:v>20202</x:v>
      </x:c>
      <x:c r="K295" s="223" t="n">
        <x:v>0.3281853281853282</x:v>
      </x:c>
      <x:c r="L295" s="223" t="n">
        <x:v>0.97</x:v>
      </x:c>
      <x:c r="M295" s="223" t="n">
        <x:v>0.6</x:v>
      </x:c>
      <x:c r="N295" s="226" t="n">
        <x:f>J295*K295*L295*M295</x:f>
        <x:v>3858.6599999999994</x:v>
      </x:c>
      <x:c r="O295" s="220" t="n">
        <x:v>1.05</x:v>
      </x:c>
      <x:c r="P295" s="226" t="n">
        <x:f>N295*O295</x:f>
        <x:v>4051.5929999999994</x:v>
      </x:c>
      <x:c r="Q295" s="220" t="n">
        <x:v>0.7878</x:v>
      </x:c>
      <x:c r="R295" s="226" t="n">
        <x:f>P295*Q295</x:f>
        <x:v>3191.844965399999</x:v>
      </x:c>
      <x:c r="S295" s="220" t="n">
        <x:v>0.05</x:v>
      </x:c>
      <x:c r="T295" s="226" t="n">
        <x:f>N295*S295</x:f>
        <x:v>192.933</x:v>
      </x:c>
      <x:c r="U295" s="226" t="n">
        <x:v>0.016</x:v>
      </x:c>
      <x:c r="V295" s="226" t="n">
        <x:f>P295*U295</x:f>
        <x:v>64.82548799999999</x:v>
      </x:c>
      <x:c r="W295" s="196" t="str">
        <x:v>EUR</x:v>
      </x:c>
      <x:c r="X295" s="220" t="n">
        <x:v>2.277</x:v>
      </x:c>
      <x:c r="Y295" s="196" t="str">
        <x:v>PERCENTAGE_OF_BASE_FREIGHT</x:v>
      </x:c>
      <x:c r="Z295" s="220" t="n">
        <x:v>0.098325</x:v>
      </x:c>
      <x:c r="AA295" s="220" t="n">
        <x:v>7.9</x:v>
      </x:c>
      <x:c r="AB295" s="220" t="n">
        <x:v>9.1</x:v>
      </x:c>
      <x:c r="AC295" s="226" t="n">
        <x:f>IF(W295="EUR",AA295,IF(W295="GBP",AB295,1))</x:f>
        <x:v>7.9</x:v>
      </x:c>
      <x:c r="AD295" s="226" t="n">
        <x:f>R295*X295</x:f>
        <x:v>7267.8309862157985</x:v>
      </x:c>
      <x:c r="AE295" s="226" t="n">
        <x:f>IF(Y295="PERCENTAGE_OF_BASE_FREIGHT",AD295*Z295,IF(Y295="PER_CHARGEABLE_KG",R295*Z295,P295*Z295))</x:f>
        <x:v>714.6094817196683</x:v>
      </x:c>
      <x:c r="AF295" s="226" t="n">
        <x:f>AD295*AC295</x:f>
        <x:v>57415.86479110481</x:v>
      </x:c>
      <x:c r="AG295" s="226" t="n">
        <x:f>AE295*AC295</x:f>
        <x:v>5645.41490558538</x:v>
      </x:c>
      <x:c r="AH295" s="226" t="str">
        <x:v>EUR</x:v>
      </x:c>
      <x:c r="AI295" s="226" t="n">
        <x:v>1.2213</x:v>
      </x:c>
      <x:c r="AJ295" s="226" t="n">
        <x:f>IF(AH295="EUR",AA295,IF(AH295="GBP",AB295,1))</x:f>
        <x:v>7.9</x:v>
      </x:c>
      <x:c r="AK295" s="226" t="n">
        <x:f>N295*AI295</x:f>
        <x:v>4712.581458</x:v>
      </x:c>
      <x:c r="AL295" s="226" t="n">
        <x:f>AK295*AJ295</x:f>
        <x:v>37229.3935182</x:v>
      </x:c>
      <x:c r="AM295" s="226" t="str">
        <x:v>EUR</x:v>
      </x:c>
      <x:c r="AN295" s="226" t="n">
        <x:v>0.4347</x:v>
      </x:c>
      <x:c r="AO295" s="226" t="n">
        <x:f>IF(AM295="EUR",AA295,IF(AM295="GBP",AB295,1))</x:f>
        <x:v>7.9</x:v>
      </x:c>
      <x:c r="AP295" s="226" t="n">
        <x:f>P295*AN295</x:f>
        <x:v>1761.2274770999995</x:v>
      </x:c>
      <x:c r="AQ295" s="226" t="n">
        <x:f>AP295*AO295</x:f>
        <x:v>13913.697069089996</x:v>
      </x:c>
      <x:c r="AR295" s="226" t="str">
        <x:v>EUR</x:v>
      </x:c>
      <x:c r="AS295" s="226" t="n">
        <x:v>3.312</x:v>
      </x:c>
      <x:c r="AT295" s="226" t="n">
        <x:f>IF(AR295="EUR",AA295,IF(AR295="GBP",AB295,1))</x:f>
        <x:v>7.9</x:v>
      </x:c>
      <x:c r="AU295" s="226" t="n">
        <x:f>T295*AS295</x:f>
        <x:v>638.9940959999999</x:v>
      </x:c>
      <x:c r="AV295" s="226" t="n">
        <x:f>AU295*AT295</x:f>
        <x:v>5048.0533583999995</x:v>
      </x:c>
      <x:c r="AW295" s="226" t="str">
        <x:v>EUR</x:v>
      </x:c>
      <x:c r="AX295" s="226" t="n">
        <x:v>2.3805</x:v>
      </x:c>
      <x:c r="AY295" s="226" t="n">
        <x:f>IF(AW295="EUR",AA295,IF(AW295="GBP",AB295,1))</x:f>
        <x:v>7.9</x:v>
      </x:c>
      <x:c r="AZ295" s="226" t="n">
        <x:f>V295*AX295</x:f>
        <x:v>154.31707418399998</x:v>
      </x:c>
      <x:c r="BA295" s="226" t="n">
        <x:f>AZ295*AY295</x:f>
        <x:v>1219.1048860535998</x:v>
      </x:c>
      <x:c r="BB295" s="226" t="n">
        <x:f>AF295+AG295+AL295+AQ295+AV295+BA295</x:f>
        <x:v>120471.52852843376</x:v>
      </x:c>
      <x:c r="BC295" s="229" t="n">
        <x:v>0.965</x:v>
      </x:c>
      <x:c r="BD295" s="202"/>
      <x:c r="BE295" s="202" t="str">
        <x:v>正式 Forecast 逐月降低英国空运及 Carrier C 份额，但仍高于 Budget</x:v>
      </x:c>
      <x:c r="BF295" s="202" t="str">
        <x:v>英国 9—12 月订单量分别相对各月正式 Forecast 增加 10%，不复利</x:v>
      </x:c>
      <x:c r="BG295" s="202" t="str">
        <x:v>UNVERIFIED_UNLIMITED_FOR_MVP</x:v>
      </x:c>
    </x:row>
    <x:row r="296">
      <x:c r="A296" s="187" t="str">
        <x:v>SCENARIO_GROWTH_2026_08</x:v>
      </x:c>
      <x:c r="B296" s="187" t="str">
        <x:v>SCENARIO</x:v>
      </x:c>
      <x:c r="C296" s="187" t="str">
        <x:v>GROWTH</x:v>
      </x:c>
      <x:c r="D296" s="217" t="n">
        <x:v>46296</x:v>
      </x:c>
      <x:c r="E296" s="187" t="str">
        <x:v>R_DE_DE_B_ROAD</x:v>
      </x:c>
      <x:c r="F296" s="187" t="str">
        <x:v>DE</x:v>
      </x:c>
      <x:c r="G296" s="187" t="str">
        <x:v>DE_FC</x:v>
      </x:c>
      <x:c r="H296" s="187" t="str">
        <x:v>CARRIER_B</x:v>
      </x:c>
      <x:c r="I296" s="187" t="str">
        <x:v>ROAD</x:v>
      </x:c>
      <x:c r="J296" s="220" t="n">
        <x:v>20202</x:v>
      </x:c>
      <x:c r="K296" s="223" t="n">
        <x:v>0.3281853281853282</x:v>
      </x:c>
      <x:c r="L296" s="223" t="n">
        <x:v>0.97</x:v>
      </x:c>
      <x:c r="M296" s="223" t="n">
        <x:v>0.4</x:v>
      </x:c>
      <x:c r="N296" s="226" t="n">
        <x:f>J296*K296*L296*M296</x:f>
        <x:v>2572.44</x:v>
      </x:c>
      <x:c r="O296" s="220" t="n">
        <x:v>1.05</x:v>
      </x:c>
      <x:c r="P296" s="226" t="n">
        <x:f>N296*O296</x:f>
        <x:v>2701.0620000000004</x:v>
      </x:c>
      <x:c r="Q296" s="220" t="n">
        <x:v>0.808</x:v>
      </x:c>
      <x:c r="R296" s="226" t="n">
        <x:f>P296*Q296</x:f>
        <x:v>2182.4580960000003</x:v>
      </x:c>
      <x:c r="S296" s="220" t="n">
        <x:v>0.05</x:v>
      </x:c>
      <x:c r="T296" s="226" t="n">
        <x:f>N296*S296</x:f>
        <x:v>128.622</x:v>
      </x:c>
      <x:c r="U296" s="226" t="n">
        <x:v>0.013</x:v>
      </x:c>
      <x:c r="V296" s="226" t="n">
        <x:f>P296*U296</x:f>
        <x:v>35.113806000000004</x:v>
      </x:c>
      <x:c r="W296" s="196" t="str">
        <x:v>EUR</x:v>
      </x:c>
      <x:c r="X296" s="220" t="n">
        <x:v>2.84625</x:v>
      </x:c>
      <x:c r="Y296" s="196" t="str">
        <x:v>PER_CHARGEABLE_KG</x:v>
      </x:c>
      <x:c r="Z296" s="220" t="n">
        <x:v>0.21735</x:v>
      </x:c>
      <x:c r="AA296" s="220" t="n">
        <x:v>7.9</x:v>
      </x:c>
      <x:c r="AB296" s="220" t="n">
        <x:v>9.1</x:v>
      </x:c>
      <x:c r="AC296" s="226" t="n">
        <x:f>IF(W296="EUR",AA296,IF(W296="GBP",AB296,1))</x:f>
        <x:v>7.9</x:v>
      </x:c>
      <x:c r="AD296" s="226" t="n">
        <x:f>R296*X296</x:f>
        <x:v>6211.82135574</x:v>
      </x:c>
      <x:c r="AE296" s="226" t="n">
        <x:f>IF(Y296="PERCENTAGE_OF_BASE_FREIGHT",AD296*Z296,IF(Y296="PER_CHARGEABLE_KG",R296*Z296,P296*Z296))</x:f>
        <x:v>474.35726716560004</x:v>
      </x:c>
      <x:c r="AF296" s="226" t="n">
        <x:f>AD296*AC296</x:f>
        <x:v>49073.38871034601</x:v>
      </x:c>
      <x:c r="AG296" s="226" t="n">
        <x:f>AE296*AC296</x:f>
        <x:v>3747.4224106082406</x:v>
      </x:c>
      <x:c r="AH296" s="226" t="str">
        <x:v>EUR</x:v>
      </x:c>
      <x:c r="AI296" s="226" t="n">
        <x:v>1.2213</x:v>
      </x:c>
      <x:c r="AJ296" s="226" t="n">
        <x:f>IF(AH296="EUR",AA296,IF(AH296="GBP",AB296,1))</x:f>
        <x:v>7.9</x:v>
      </x:c>
      <x:c r="AK296" s="226" t="n">
        <x:f>N296*AI296</x:f>
        <x:v>3141.720972</x:v>
      </x:c>
      <x:c r="AL296" s="226" t="n">
        <x:f>AK296*AJ296</x:f>
        <x:v>24819.5956788</x:v>
      </x:c>
      <x:c r="AM296" s="226" t="str">
        <x:v>EUR</x:v>
      </x:c>
      <x:c r="AN296" s="226" t="n">
        <x:v>0.4347</x:v>
      </x:c>
      <x:c r="AO296" s="226" t="n">
        <x:f>IF(AM296="EUR",AA296,IF(AM296="GBP",AB296,1))</x:f>
        <x:v>7.9</x:v>
      </x:c>
      <x:c r="AP296" s="226" t="n">
        <x:f>P296*AN296</x:f>
        <x:v>1174.1516514</x:v>
      </x:c>
      <x:c r="AQ296" s="226" t="n">
        <x:f>AP296*AO296</x:f>
        <x:v>9275.798046060001</x:v>
      </x:c>
      <x:c r="AR296" s="226" t="str">
        <x:v>EUR</x:v>
      </x:c>
      <x:c r="AS296" s="226" t="n">
        <x:v>3.312</x:v>
      </x:c>
      <x:c r="AT296" s="226" t="n">
        <x:f>IF(AR296="EUR",AA296,IF(AR296="GBP",AB296,1))</x:f>
        <x:v>7.9</x:v>
      </x:c>
      <x:c r="AU296" s="226" t="n">
        <x:f>T296*AS296</x:f>
        <x:v>425.99606400000005</x:v>
      </x:c>
      <x:c r="AV296" s="226" t="n">
        <x:f>AU296*AT296</x:f>
        <x:v>3365.3689056000007</x:v>
      </x:c>
      <x:c r="AW296" s="226" t="str">
        <x:v>EUR</x:v>
      </x:c>
      <x:c r="AX296" s="226" t="n">
        <x:v>2.3805</x:v>
      </x:c>
      <x:c r="AY296" s="226" t="n">
        <x:f>IF(AW296="EUR",AA296,IF(AW296="GBP",AB296,1))</x:f>
        <x:v>7.9</x:v>
      </x:c>
      <x:c r="AZ296" s="226" t="n">
        <x:f>V296*AX296</x:f>
        <x:v>83.58841518300001</x:v>
      </x:c>
      <x:c r="BA296" s="226" t="n">
        <x:f>AZ296*AY296</x:f>
        <x:v>660.3484799457001</x:v>
      </x:c>
      <x:c r="BB296" s="226" t="n">
        <x:f>AF296+AG296+AL296+AQ296+AV296+BA296</x:f>
        <x:v>90941.92223135993</x:v>
      </x:c>
      <x:c r="BC296" s="229" t="n">
        <x:v>0.976</x:v>
      </x:c>
      <x:c r="BD296" s="202"/>
      <x:c r="BE296" s="202" t="str">
        <x:v>正式 Forecast 逐月降低英国空运及 Carrier C 份额，但仍高于 Budget</x:v>
      </x:c>
      <x:c r="BF296" s="202" t="str">
        <x:v>英国 9—12 月订单量分别相对各月正式 Forecast 增加 10%，不复利</x:v>
      </x:c>
      <x:c r="BG296" s="202" t="str">
        <x:v>UNVERIFIED_UNLIMITED_FOR_MVP</x:v>
      </x:c>
    </x:row>
    <x:row r="297">
      <x:c r="A297" s="187" t="str">
        <x:v>SCENARIO_GROWTH_2026_08</x:v>
      </x:c>
      <x:c r="B297" s="187" t="str">
        <x:v>SCENARIO</x:v>
      </x:c>
      <x:c r="C297" s="187" t="str">
        <x:v>GROWTH</x:v>
      </x:c>
      <x:c r="D297" s="217" t="n">
        <x:v>46296</x:v>
      </x:c>
      <x:c r="E297" s="187" t="str">
        <x:v>R_DE_FR_B_ROAD</x:v>
      </x:c>
      <x:c r="F297" s="187" t="str">
        <x:v>DE</x:v>
      </x:c>
      <x:c r="G297" s="187" t="str">
        <x:v>FR_FC</x:v>
      </x:c>
      <x:c r="H297" s="187" t="str">
        <x:v>CARRIER_B</x:v>
      </x:c>
      <x:c r="I297" s="187" t="str">
        <x:v>ROAD</x:v>
      </x:c>
      <x:c r="J297" s="220" t="n">
        <x:v>20202</x:v>
      </x:c>
      <x:c r="K297" s="223" t="n">
        <x:v>0.3281853281853282</x:v>
      </x:c>
      <x:c r="L297" s="223" t="n">
        <x:v>0.03</x:v>
      </x:c>
      <x:c r="M297" s="223" t="n">
        <x:v>1</x:v>
      </x:c>
      <x:c r="N297" s="226" t="n">
        <x:f>J297*K297*L297*M297</x:f>
        <x:v>198.9</x:v>
      </x:c>
      <x:c r="O297" s="220" t="n">
        <x:v>1.08</x:v>
      </x:c>
      <x:c r="P297" s="226" t="n">
        <x:f>N297*O297</x:f>
        <x:v>214.812</x:v>
      </x:c>
      <x:c r="Q297" s="220" t="n">
        <x:v>0.8686</x:v>
      </x:c>
      <x:c r="R297" s="226" t="n">
        <x:f>P297*Q297</x:f>
        <x:v>186.5857032</x:v>
      </x:c>
      <x:c r="S297" s="220" t="n">
        <x:v>0.05</x:v>
      </x:c>
      <x:c r="T297" s="226" t="n">
        <x:f>N297*S297</x:f>
        <x:v>9.945</x:v>
      </x:c>
      <x:c r="U297" s="226" t="n">
        <x:v>0.014</x:v>
      </x:c>
      <x:c r="V297" s="226" t="n">
        <x:f>P297*U297</x:f>
        <x:v>3.007368</x:v>
      </x:c>
      <x:c r="W297" s="196" t="str">
        <x:v>EUR</x:v>
      </x:c>
      <x:c r="X297" s="220" t="n">
        <x:v>3.4155</x:v>
      </x:c>
      <x:c r="Y297" s="196" t="str">
        <x:v>PER_CHARGEABLE_KG</x:v>
      </x:c>
      <x:c r="Z297" s="220" t="n">
        <x:v>0.2484</x:v>
      </x:c>
      <x:c r="AA297" s="220" t="n">
        <x:v>7.9</x:v>
      </x:c>
      <x:c r="AB297" s="220" t="n">
        <x:v>9.1</x:v>
      </x:c>
      <x:c r="AC297" s="226" t="n">
        <x:f>IF(W297="EUR",AA297,IF(W297="GBP",AB297,1))</x:f>
        <x:v>7.9</x:v>
      </x:c>
      <x:c r="AD297" s="226" t="n">
        <x:f>R297*X297</x:f>
        <x:v>637.2834692796001</x:v>
      </x:c>
      <x:c r="AE297" s="226" t="n">
        <x:f>IF(Y297="PERCENTAGE_OF_BASE_FREIGHT",AD297*Z297,IF(Y297="PER_CHARGEABLE_KG",R297*Z297,P297*Z297))</x:f>
        <x:v>46.347888674880004</x:v>
      </x:c>
      <x:c r="AF297" s="226" t="n">
        <x:f>AD297*AC297</x:f>
        <x:v>5034.539407308841</x:v>
      </x:c>
      <x:c r="AG297" s="226" t="n">
        <x:f>AE297*AC297</x:f>
        <x:v>366.14832053155203</x:v>
      </x:c>
      <x:c r="AH297" s="226" t="str">
        <x:v>EUR</x:v>
      </x:c>
      <x:c r="AI297" s="226" t="n">
        <x:v>1.08675</x:v>
      </x:c>
      <x:c r="AJ297" s="226" t="n">
        <x:f>IF(AH297="EUR",AA297,IF(AH297="GBP",AB297,1))</x:f>
        <x:v>7.9</x:v>
      </x:c>
      <x:c r="AK297" s="226" t="n">
        <x:f>N297*AI297</x:f>
        <x:v>216.15457500000002</x:v>
      </x:c>
      <x:c r="AL297" s="226" t="n">
        <x:f>AK297*AJ297</x:f>
        <x:v>1707.6211425000004</x:v>
      </x:c>
      <x:c r="AM297" s="226" t="str">
        <x:v>EUR</x:v>
      </x:c>
      <x:c r="AN297" s="226" t="n">
        <x:v>0.3933</x:v>
      </x:c>
      <x:c r="AO297" s="226" t="n">
        <x:f>IF(AM297="EUR",AA297,IF(AM297="GBP",AB297,1))</x:f>
        <x:v>7.9</x:v>
      </x:c>
      <x:c r="AP297" s="226" t="n">
        <x:f>P297*AN297</x:f>
        <x:v>84.4855596</x:v>
      </x:c>
      <x:c r="AQ297" s="226" t="n">
        <x:f>AP297*AO297</x:f>
        <x:v>667.43592084</x:v>
      </x:c>
      <x:c r="AR297" s="226" t="str">
        <x:v>EUR</x:v>
      </x:c>
      <x:c r="AS297" s="226" t="n">
        <x:v>3.933</x:v>
      </x:c>
      <x:c r="AT297" s="226" t="n">
        <x:f>IF(AR297="EUR",AA297,IF(AR297="GBP",AB297,1))</x:f>
        <x:v>7.9</x:v>
      </x:c>
      <x:c r="AU297" s="226" t="n">
        <x:f>T297*AS297</x:f>
        <x:v>39.113685</x:v>
      </x:c>
      <x:c r="AV297" s="226" t="n">
        <x:f>AU297*AT297</x:f>
        <x:v>308.9981115</x:v>
      </x:c>
      <x:c r="AW297" s="226" t="str">
        <x:v>EUR</x:v>
      </x:c>
      <x:c r="AX297" s="226" t="n">
        <x:v>2.3805</x:v>
      </x:c>
      <x:c r="AY297" s="226" t="n">
        <x:f>IF(AW297="EUR",AA297,IF(AW297="GBP",AB297,1))</x:f>
        <x:v>7.9</x:v>
      </x:c>
      <x:c r="AZ297" s="226" t="n">
        <x:f>V297*AX297</x:f>
        <x:v>7.159039524000001</x:v>
      </x:c>
      <x:c r="BA297" s="226" t="n">
        <x:f>AZ297*AY297</x:f>
        <x:v>56.55641223960001</x:v>
      </x:c>
      <x:c r="BB297" s="226" t="n">
        <x:f>AF297+AG297+AL297+AQ297+AV297+BA297</x:f>
        <x:v>8141.299314919993</x:v>
      </x:c>
      <x:c r="BC297" s="229" t="n">
        <x:v>0.968</x:v>
      </x:c>
      <x:c r="BD297" s="202"/>
      <x:c r="BE297" s="202" t="str">
        <x:v>正式 Forecast 逐月降低英国空运及 Carrier C 份额，但仍高于 Budget</x:v>
      </x:c>
      <x:c r="BF297" s="202" t="str">
        <x:v>英国 9—12 月订单量分别相对各月正式 Forecast 增加 10%，不复利</x:v>
      </x:c>
      <x:c r="BG297" s="202" t="str">
        <x:v>UNVERIFIED_UNLIMITED_FOR_MVP</x:v>
      </x:c>
    </x:row>
    <x:row r="298">
      <x:c r="A298" s="187" t="str">
        <x:v>SCENARIO_GROWTH_2026_08</x:v>
      </x:c>
      <x:c r="B298" s="187" t="str">
        <x:v>SCENARIO</x:v>
      </x:c>
      <x:c r="C298" s="187" t="str">
        <x:v>GROWTH</x:v>
      </x:c>
      <x:c r="D298" s="217" t="n">
        <x:v>46296</x:v>
      </x:c>
      <x:c r="E298" s="187" t="str">
        <x:v>R_FR_FR_A_ROAD</x:v>
      </x:c>
      <x:c r="F298" s="187" t="str">
        <x:v>FR</x:v>
      </x:c>
      <x:c r="G298" s="187" t="str">
        <x:v>FR_FC</x:v>
      </x:c>
      <x:c r="H298" s="187" t="str">
        <x:v>CARRIER_A</x:v>
      </x:c>
      <x:c r="I298" s="187" t="str">
        <x:v>ROAD</x:v>
      </x:c>
      <x:c r="J298" s="220" t="n">
        <x:v>20202</x:v>
      </x:c>
      <x:c r="K298" s="223" t="n">
        <x:v>0.28957528957528955</x:v>
      </x:c>
      <x:c r="L298" s="223" t="n">
        <x:v>1</x:v>
      </x:c>
      <x:c r="M298" s="223" t="n">
        <x:v>0.35</x:v>
      </x:c>
      <x:c r="N298" s="226" t="n">
        <x:f>J298*K298*L298*M298</x:f>
        <x:v>2047.4999999999995</x:v>
      </x:c>
      <x:c r="O298" s="220" t="n">
        <x:v>1.06</x:v>
      </x:c>
      <x:c r="P298" s="226" t="n">
        <x:f>N298*O298</x:f>
        <x:v>2170.3499999999995</x:v>
      </x:c>
      <x:c r="Q298" s="220" t="n">
        <x:v>0.7676</x:v>
      </x:c>
      <x:c r="R298" s="226" t="n">
        <x:f>P298*Q298</x:f>
        <x:v>1665.9606599999995</x:v>
      </x:c>
      <x:c r="S298" s="220" t="n">
        <x:v>0.06</x:v>
      </x:c>
      <x:c r="T298" s="226" t="n">
        <x:f>N298*S298</x:f>
        <x:v>122.84999999999997</x:v>
      </x:c>
      <x:c r="U298" s="226" t="n">
        <x:v>0.017</x:v>
      </x:c>
      <x:c r="V298" s="226" t="n">
        <x:f>P298*U298</x:f>
        <x:v>36.89594999999999</x:v>
      </x:c>
      <x:c r="W298" s="196" t="str">
        <x:v>EUR</x:v>
      </x:c>
      <x:c r="X298" s="220" t="n">
        <x:v>2.1735</x:v>
      </x:c>
      <x:c r="Y298" s="196" t="str">
        <x:v>PERCENTAGE_OF_BASE_FREIGHT</x:v>
      </x:c>
      <x:c r="Z298" s="220" t="n">
        <x:v>0.09315</x:v>
      </x:c>
      <x:c r="AA298" s="220" t="n">
        <x:v>7.9</x:v>
      </x:c>
      <x:c r="AB298" s="220" t="n">
        <x:v>9.1</x:v>
      </x:c>
      <x:c r="AC298" s="226" t="n">
        <x:f>IF(W298="EUR",AA298,IF(W298="GBP",AB298,1))</x:f>
        <x:v>7.9</x:v>
      </x:c>
      <x:c r="AD298" s="226" t="n">
        <x:f>R298*X298</x:f>
        <x:v>3620.965494509999</x:v>
      </x:c>
      <x:c r="AE298" s="226" t="n">
        <x:f>IF(Y298="PERCENTAGE_OF_BASE_FREIGHT",AD298*Z298,IF(Y298="PER_CHARGEABLE_KG",R298*Z298,P298*Z298))</x:f>
        <x:v>337.2929358136064</x:v>
      </x:c>
      <x:c r="AF298" s="226" t="n">
        <x:f>AD298*AC298</x:f>
        <x:v>28605.627406628995</x:v>
      </x:c>
      <x:c r="AG298" s="226" t="n">
        <x:f>AE298*AC298</x:f>
        <x:v>2664.6141929274904</x:v>
      </x:c>
      <x:c r="AH298" s="226" t="str">
        <x:v>EUR</x:v>
      </x:c>
      <x:c r="AI298" s="226" t="n">
        <x:v>1.08675</x:v>
      </x:c>
      <x:c r="AJ298" s="226" t="n">
        <x:f>IF(AH298="EUR",AA298,IF(AH298="GBP",AB298,1))</x:f>
        <x:v>7.9</x:v>
      </x:c>
      <x:c r="AK298" s="226" t="n">
        <x:f>N298*AI298</x:f>
        <x:v>2225.1206249999996</x:v>
      </x:c>
      <x:c r="AL298" s="226" t="n">
        <x:f>AK298*AJ298</x:f>
        <x:v>17578.4529375</x:v>
      </x:c>
      <x:c r="AM298" s="226" t="str">
        <x:v>EUR</x:v>
      </x:c>
      <x:c r="AN298" s="226" t="n">
        <x:v>0.3933</x:v>
      </x:c>
      <x:c r="AO298" s="226" t="n">
        <x:f>IF(AM298="EUR",AA298,IF(AM298="GBP",AB298,1))</x:f>
        <x:v>7.9</x:v>
      </x:c>
      <x:c r="AP298" s="226" t="n">
        <x:f>P298*AN298</x:f>
        <x:v>853.5986549999998</x:v>
      </x:c>
      <x:c r="AQ298" s="226" t="n">
        <x:f>AP298*AO298</x:f>
        <x:v>6743.429374499999</x:v>
      </x:c>
      <x:c r="AR298" s="226" t="str">
        <x:v>EUR</x:v>
      </x:c>
      <x:c r="AS298" s="226" t="n">
        <x:v>3.105</x:v>
      </x:c>
      <x:c r="AT298" s="226" t="n">
        <x:f>IF(AR298="EUR",AA298,IF(AR298="GBP",AB298,1))</x:f>
        <x:v>7.9</x:v>
      </x:c>
      <x:c r="AU298" s="226" t="n">
        <x:f>T298*AS298</x:f>
        <x:v>381.4492499999999</x:v>
      </x:c>
      <x:c r="AV298" s="226" t="n">
        <x:f>AU298*AT298</x:f>
        <x:v>3013.449074999999</x:v>
      </x:c>
      <x:c r="AW298" s="226" t="str">
        <x:v>EUR</x:v>
      </x:c>
      <x:c r="AX298" s="226" t="n">
        <x:v>2.3805</x:v>
      </x:c>
      <x:c r="AY298" s="226" t="n">
        <x:f>IF(AW298="EUR",AA298,IF(AW298="GBP",AB298,1))</x:f>
        <x:v>7.9</x:v>
      </x:c>
      <x:c r="AZ298" s="226" t="n">
        <x:f>V298*AX298</x:f>
        <x:v>87.83080897499998</x:v>
      </x:c>
      <x:c r="BA298" s="226" t="n">
        <x:f>AZ298*AY298</x:f>
        <x:v>693.8633909024999</x:v>
      </x:c>
      <x:c r="BB298" s="226" t="n">
        <x:f>AF298+AG298+AL298+AQ298+AV298+BA298</x:f>
        <x:v>59299.43637745897</x:v>
      </x:c>
      <x:c r="BC298" s="229" t="n">
        <x:v>0.961</x:v>
      </x:c>
      <x:c r="BD298" s="202"/>
      <x:c r="BE298" s="202" t="str">
        <x:v>正式 Forecast 逐月降低英国空运及 Carrier C 份额，但仍高于 Budget</x:v>
      </x:c>
      <x:c r="BF298" s="202" t="str">
        <x:v>英国 9—12 月订单量分别相对各月正式 Forecast 增加 10%，不复利</x:v>
      </x:c>
      <x:c r="BG298" s="202" t="str">
        <x:v>UNVERIFIED_UNLIMITED_FOR_MVP</x:v>
      </x:c>
    </x:row>
    <x:row r="299">
      <x:c r="A299" s="187" t="str">
        <x:v>SCENARIO_GROWTH_2026_08</x:v>
      </x:c>
      <x:c r="B299" s="187" t="str">
        <x:v>SCENARIO</x:v>
      </x:c>
      <x:c r="C299" s="187" t="str">
        <x:v>GROWTH</x:v>
      </x:c>
      <x:c r="D299" s="217" t="n">
        <x:v>46296</x:v>
      </x:c>
      <x:c r="E299" s="187" t="str">
        <x:v>R_FR_FR_B_ROAD</x:v>
      </x:c>
      <x:c r="F299" s="187" t="str">
        <x:v>FR</x:v>
      </x:c>
      <x:c r="G299" s="187" t="str">
        <x:v>FR_FC</x:v>
      </x:c>
      <x:c r="H299" s="187" t="str">
        <x:v>CARRIER_B</x:v>
      </x:c>
      <x:c r="I299" s="187" t="str">
        <x:v>ROAD</x:v>
      </x:c>
      <x:c r="J299" s="220" t="n">
        <x:v>20202</x:v>
      </x:c>
      <x:c r="K299" s="223" t="n">
        <x:v>0.28957528957528955</x:v>
      </x:c>
      <x:c r="L299" s="223" t="n">
        <x:v>1</x:v>
      </x:c>
      <x:c r="M299" s="223" t="n">
        <x:v>0.65</x:v>
      </x:c>
      <x:c r="N299" s="226" t="n">
        <x:f>J299*K299*L299*M299</x:f>
        <x:v>3802.4999999999995</x:v>
      </x:c>
      <x:c r="O299" s="220" t="n">
        <x:v>1.06</x:v>
      </x:c>
      <x:c r="P299" s="226" t="n">
        <x:f>N299*O299</x:f>
        <x:v>4030.6499999999996</x:v>
      </x:c>
      <x:c r="Q299" s="220" t="n">
        <x:v>0.7979</x:v>
      </x:c>
      <x:c r="R299" s="226" t="n">
        <x:f>P299*Q299</x:f>
        <x:v>3216.0556349999997</x:v>
      </x:c>
      <x:c r="S299" s="220" t="n">
        <x:v>0.06</x:v>
      </x:c>
      <x:c r="T299" s="226" t="n">
        <x:f>N299*S299</x:f>
        <x:v>228.14999999999998</x:v>
      </x:c>
      <x:c r="U299" s="226" t="n">
        <x:v>0.014</x:v>
      </x:c>
      <x:c r="V299" s="226" t="n">
        <x:f>P299*U299</x:f>
        <x:v>56.4291</x:v>
      </x:c>
      <x:c r="W299" s="196" t="str">
        <x:v>EUR</x:v>
      </x:c>
      <x:c r="X299" s="220" t="n">
        <x:v>2.691</x:v>
      </x:c>
      <x:c r="Y299" s="196" t="str">
        <x:v>PER_CHARGEABLE_KG</x:v>
      </x:c>
      <x:c r="Z299" s="220" t="n">
        <x:v>0.207</x:v>
      </x:c>
      <x:c r="AA299" s="220" t="n">
        <x:v>7.9</x:v>
      </x:c>
      <x:c r="AB299" s="220" t="n">
        <x:v>9.1</x:v>
      </x:c>
      <x:c r="AC299" s="226" t="n">
        <x:f>IF(W299="EUR",AA299,IF(W299="GBP",AB299,1))</x:f>
        <x:v>7.9</x:v>
      </x:c>
      <x:c r="AD299" s="226" t="n">
        <x:f>R299*X299</x:f>
        <x:v>8654.405713785</x:v>
      </x:c>
      <x:c r="AE299" s="226" t="n">
        <x:f>IF(Y299="PERCENTAGE_OF_BASE_FREIGHT",AD299*Z299,IF(Y299="PER_CHARGEABLE_KG",R299*Z299,P299*Z299))</x:f>
        <x:v>665.7235164449999</x:v>
      </x:c>
      <x:c r="AF299" s="226" t="n">
        <x:f>AD299*AC299</x:f>
        <x:v>68369.8051389015</x:v>
      </x:c>
      <x:c r="AG299" s="226" t="n">
        <x:f>AE299*AC299</x:f>
        <x:v>5259.215779915499</x:v>
      </x:c>
      <x:c r="AH299" s="226" t="str">
        <x:v>EUR</x:v>
      </x:c>
      <x:c r="AI299" s="226" t="n">
        <x:v>1.08675</x:v>
      </x:c>
      <x:c r="AJ299" s="226" t="n">
        <x:f>IF(AH299="EUR",AA299,IF(AH299="GBP",AB299,1))</x:f>
        <x:v>7.9</x:v>
      </x:c>
      <x:c r="AK299" s="226" t="n">
        <x:f>N299*AI299</x:f>
        <x:v>4132.366875</x:v>
      </x:c>
      <x:c r="AL299" s="226" t="n">
        <x:f>AK299*AJ299</x:f>
        <x:v>32645.6983125</x:v>
      </x:c>
      <x:c r="AM299" s="226" t="str">
        <x:v>EUR</x:v>
      </x:c>
      <x:c r="AN299" s="226" t="n">
        <x:v>0.3933</x:v>
      </x:c>
      <x:c r="AO299" s="226" t="n">
        <x:f>IF(AM299="EUR",AA299,IF(AM299="GBP",AB299,1))</x:f>
        <x:v>7.9</x:v>
      </x:c>
      <x:c r="AP299" s="226" t="n">
        <x:f>P299*AN299</x:f>
        <x:v>1585.2546449999998</x:v>
      </x:c>
      <x:c r="AQ299" s="226" t="n">
        <x:f>AP299*AO299</x:f>
        <x:v>12523.5116955</x:v>
      </x:c>
      <x:c r="AR299" s="226" t="str">
        <x:v>EUR</x:v>
      </x:c>
      <x:c r="AS299" s="226" t="n">
        <x:v>3.105</x:v>
      </x:c>
      <x:c r="AT299" s="226" t="n">
        <x:f>IF(AR299="EUR",AA299,IF(AR299="GBP",AB299,1))</x:f>
        <x:v>7.9</x:v>
      </x:c>
      <x:c r="AU299" s="226" t="n">
        <x:f>T299*AS299</x:f>
        <x:v>708.4057499999999</x:v>
      </x:c>
      <x:c r="AV299" s="226" t="n">
        <x:f>AU299*AT299</x:f>
        <x:v>5596.405424999999</x:v>
      </x:c>
      <x:c r="AW299" s="226" t="str">
        <x:v>EUR</x:v>
      </x:c>
      <x:c r="AX299" s="226" t="n">
        <x:v>2.3805</x:v>
      </x:c>
      <x:c r="AY299" s="226" t="n">
        <x:f>IF(AW299="EUR",AA299,IF(AW299="GBP",AB299,1))</x:f>
        <x:v>7.9</x:v>
      </x:c>
      <x:c r="AZ299" s="226" t="n">
        <x:f>V299*AX299</x:f>
        <x:v>134.32947255</x:v>
      </x:c>
      <x:c r="BA299" s="226" t="n">
        <x:f>AZ299*AY299</x:f>
        <x:v>1061.2028331449999</x:v>
      </x:c>
      <x:c r="BB299" s="226" t="n">
        <x:f>AF299+AG299+AL299+AQ299+AV299+BA299</x:f>
        <x:v>125455.839184962</x:v>
      </x:c>
      <x:c r="BC299" s="229" t="n">
        <x:v>0.973</x:v>
      </x:c>
      <x:c r="BD299" s="202"/>
      <x:c r="BE299" s="202" t="str">
        <x:v>正式 Forecast 逐月降低英国空运及 Carrier C 份额，但仍高于 Budget</x:v>
      </x:c>
      <x:c r="BF299" s="202" t="str">
        <x:v>英国 9—12 月订单量分别相对各月正式 Forecast 增加 10%，不复利</x:v>
      </x:c>
      <x:c r="BG299" s="202" t="str">
        <x:v>UNVERIFIED_UNLIMITED_FOR_MVP</x:v>
      </x:c>
    </x:row>
    <x:row r="300">
      <x:c r="A300" s="187" t="str">
        <x:v>SCENARIO_GROWTH_2026_08</x:v>
      </x:c>
      <x:c r="B300" s="187" t="str">
        <x:v>SCENARIO</x:v>
      </x:c>
      <x:c r="C300" s="187" t="str">
        <x:v>GROWTH</x:v>
      </x:c>
      <x:c r="D300" s="217" t="n">
        <x:v>46296</x:v>
      </x:c>
      <x:c r="E300" s="187" t="str">
        <x:v>R_GB_DE_A_ROAD</x:v>
      </x:c>
      <x:c r="F300" s="187" t="str">
        <x:v>GB</x:v>
      </x:c>
      <x:c r="G300" s="187" t="str">
        <x:v>DE_FC</x:v>
      </x:c>
      <x:c r="H300" s="187" t="str">
        <x:v>CARRIER_A</x:v>
      </x:c>
      <x:c r="I300" s="187" t="str">
        <x:v>ROAD</x:v>
      </x:c>
      <x:c r="J300" s="220" t="n">
        <x:v>20202</x:v>
      </x:c>
      <x:c r="K300" s="223" t="n">
        <x:v>0.38223938223938225</x:v>
      </x:c>
      <x:c r="L300" s="223" t="n">
        <x:v>0.96</x:v>
      </x:c>
      <x:c r="M300" s="223" t="n">
        <x:v>0.36</x:v>
      </x:c>
      <x:c r="N300" s="226" t="n">
        <x:f>J300*K300*L300*M300</x:f>
        <x:v>2668.7232</x:v>
      </x:c>
      <x:c r="O300" s="220" t="n">
        <x:v>1.17</x:v>
      </x:c>
      <x:c r="P300" s="226" t="n">
        <x:f>N300*O300</x:f>
        <x:v>3122.4061439999996</x:v>
      </x:c>
      <x:c r="Q300" s="220" t="n">
        <x:v>1.050804</x:v>
      </x:c>
      <x:c r="R300" s="226" t="n">
        <x:f>P300*Q300</x:f>
        <x:v>3281.0368657397757</x:v>
      </x:c>
      <x:c r="S300" s="220" t="n">
        <x:v>0.09</x:v>
      </x:c>
      <x:c r="T300" s="226" t="n">
        <x:f>N300*S300</x:f>
        <x:v>240.18508799999998</x:v>
      </x:c>
      <x:c r="U300" s="226" t="n">
        <x:v>0.027</x:v>
      </x:c>
      <x:c r="V300" s="226" t="n">
        <x:f>P300*U300</x:f>
        <x:v>84.30496588799998</x:v>
      </x:c>
      <x:c r="W300" s="196" t="str">
        <x:v>GBP</x:v>
      </x:c>
      <x:c r="X300" s="220" t="n">
        <x:v>4.14</x:v>
      </x:c>
      <x:c r="Y300" s="196" t="str">
        <x:v>PERCENTAGE_OF_BASE_FREIGHT</x:v>
      </x:c>
      <x:c r="Z300" s="220" t="n">
        <x:v>0.1035</x:v>
      </x:c>
      <x:c r="AA300" s="220" t="n">
        <x:v>7.9</x:v>
      </x:c>
      <x:c r="AB300" s="220" t="n">
        <x:v>9.1</x:v>
      </x:c>
      <x:c r="AC300" s="226" t="n">
        <x:f>IF(W300="EUR",AA300,IF(W300="GBP",AB300,1))</x:f>
        <x:v>9.1</x:v>
      </x:c>
      <x:c r="AD300" s="226" t="n">
        <x:f>R300*X300</x:f>
        <x:v>13583.49262416267</x:v>
      </x:c>
      <x:c r="AE300" s="226" t="n">
        <x:f>IF(Y300="PERCENTAGE_OF_BASE_FREIGHT",AD300*Z300,IF(Y300="PER_CHARGEABLE_KG",R300*Z300,P300*Z300))</x:f>
        <x:v>1405.8914866008363</x:v>
      </x:c>
      <x:c r="AF300" s="226" t="n">
        <x:f>AD300*AC300</x:f>
        <x:v>123609.7828798803</x:v>
      </x:c>
      <x:c r="AG300" s="226" t="n">
        <x:f>AE300*AC300</x:f>
        <x:v>12793.61252806761</x:v>
      </x:c>
      <x:c r="AH300" s="226" t="str">
        <x:v>EUR</x:v>
      </x:c>
      <x:c r="AI300" s="226" t="n">
        <x:v>1.2213</x:v>
      </x:c>
      <x:c r="AJ300" s="226" t="n">
        <x:f>IF(AH300="EUR",AA300,IF(AH300="GBP",AB300,1))</x:f>
        <x:v>7.9</x:v>
      </x:c>
      <x:c r="AK300" s="226" t="n">
        <x:f>N300*AI300</x:f>
        <x:v>3259.31164416</x:v>
      </x:c>
      <x:c r="AL300" s="226" t="n">
        <x:f>AK300*AJ300</x:f>
        <x:v>25748.561988864003</x:v>
      </x:c>
      <x:c r="AM300" s="226" t="str">
        <x:v>EUR</x:v>
      </x:c>
      <x:c r="AN300" s="226" t="n">
        <x:v>0.4347</x:v>
      </x:c>
      <x:c r="AO300" s="226" t="n">
        <x:f>IF(AM300="EUR",AA300,IF(AM300="GBP",AB300,1))</x:f>
        <x:v>7.9</x:v>
      </x:c>
      <x:c r="AP300" s="226" t="n">
        <x:f>P300*AN300</x:f>
        <x:v>1357.3099507967997</x:v>
      </x:c>
      <x:c r="AQ300" s="226" t="n">
        <x:f>AP300*AO300</x:f>
        <x:v>10722.748611294719</x:v>
      </x:c>
      <x:c r="AR300" s="226" t="str">
        <x:v>GBP</x:v>
      </x:c>
      <x:c r="AS300" s="226" t="n">
        <x:v>4.968</x:v>
      </x:c>
      <x:c r="AT300" s="226" t="n">
        <x:f>IF(AR300="EUR",AA300,IF(AR300="GBP",AB300,1))</x:f>
        <x:v>9.1</x:v>
      </x:c>
      <x:c r="AU300" s="226" t="n">
        <x:f>T300*AS300</x:f>
        <x:v>1193.2395171839999</x:v>
      </x:c>
      <x:c r="AV300" s="226" t="n">
        <x:f>AU300*AT300</x:f>
        <x:v>10858.479606374398</x:v>
      </x:c>
      <x:c r="AW300" s="226" t="str">
        <x:v>GBP</x:v>
      </x:c>
      <x:c r="AX300" s="226" t="n">
        <x:v>2.3805</x:v>
      </x:c>
      <x:c r="AY300" s="226" t="n">
        <x:f>IF(AW300="EUR",AA300,IF(AW300="GBP",AB300,1))</x:f>
        <x:v>9.1</x:v>
      </x:c>
      <x:c r="AZ300" s="226" t="n">
        <x:f>V300*AX300</x:f>
        <x:v>200.68797129638398</x:v>
      </x:c>
      <x:c r="BA300" s="226" t="n">
        <x:f>AZ300*AY300</x:f>
        <x:v>1826.2605387970941</x:v>
      </x:c>
      <x:c r="BB300" s="226" t="n">
        <x:f>AF300+AG300+AL300+AQ300+AV300+BA300</x:f>
        <x:v>185559.44615327814</x:v>
      </x:c>
      <x:c r="BC300" s="229" t="n">
        <x:v>0.93</x:v>
      </x:c>
      <x:c r="BD300" s="202"/>
      <x:c r="BE300" s="202" t="str">
        <x:v>正式 Forecast 逐月降低英国空运及 Carrier C 份额，但仍高于 Budget</x:v>
      </x:c>
      <x:c r="BF300" s="202" t="str">
        <x:v>英国 9—12 月订单量分别相对各月正式 Forecast 增加 10%，不复利</x:v>
      </x:c>
      <x:c r="BG300" s="202" t="str">
        <x:v>UNVERIFIED_UNLIMITED_FOR_MVP</x:v>
      </x:c>
    </x:row>
    <x:row r="301">
      <x:c r="A301" s="187" t="str">
        <x:v>SCENARIO_GROWTH_2026_08</x:v>
      </x:c>
      <x:c r="B301" s="187" t="str">
        <x:v>SCENARIO</x:v>
      </x:c>
      <x:c r="C301" s="187" t="str">
        <x:v>GROWTH</x:v>
      </x:c>
      <x:c r="D301" s="217" t="n">
        <x:v>46296</x:v>
      </x:c>
      <x:c r="E301" s="187" t="str">
        <x:v>R_GB_DE_B_ROAD</x:v>
      </x:c>
      <x:c r="F301" s="187" t="str">
        <x:v>GB</x:v>
      </x:c>
      <x:c r="G301" s="187" t="str">
        <x:v>DE_FC</x:v>
      </x:c>
      <x:c r="H301" s="187" t="str">
        <x:v>CARRIER_B</x:v>
      </x:c>
      <x:c r="I301" s="187" t="str">
        <x:v>ROAD</x:v>
      </x:c>
      <x:c r="J301" s="220" t="n">
        <x:v>20202</x:v>
      </x:c>
      <x:c r="K301" s="223" t="n">
        <x:v>0.38223938223938225</x:v>
      </x:c>
      <x:c r="L301" s="223" t="n">
        <x:v>0.96</x:v>
      </x:c>
      <x:c r="M301" s="223" t="n">
        <x:v>0.2</x:v>
      </x:c>
      <x:c r="N301" s="226" t="n">
        <x:f>J301*K301*L301*M301</x:f>
        <x:v>1482.624</x:v>
      </x:c>
      <x:c r="O301" s="220" t="n">
        <x:v>1.17</x:v>
      </x:c>
      <x:c r="P301" s="226" t="n">
        <x:f>N301*O301</x:f>
        <x:v>1734.6700799999999</x:v>
      </x:c>
      <x:c r="Q301" s="220" t="n">
        <x:v>1.0302</x:v>
      </x:c>
      <x:c r="R301" s="226" t="n">
        <x:f>P301*Q301</x:f>
        <x:v>1787.0571164159999</x:v>
      </x:c>
      <x:c r="S301" s="220" t="n">
        <x:v>0.09</x:v>
      </x:c>
      <x:c r="T301" s="226" t="n">
        <x:f>N301*S301</x:f>
        <x:v>133.43616</x:v>
      </x:c>
      <x:c r="U301" s="226" t="n">
        <x:v>0.02</x:v>
      </x:c>
      <x:c r="V301" s="226" t="n">
        <x:f>P301*U301</x:f>
        <x:v>34.6934016</x:v>
      </x:c>
      <x:c r="W301" s="196" t="str">
        <x:v>GBP</x:v>
      </x:c>
      <x:c r="X301" s="220" t="n">
        <x:v>4.8645</x:v>
      </x:c>
      <x:c r="Y301" s="196" t="str">
        <x:v>PER_CHARGEABLE_KG</x:v>
      </x:c>
      <x:c r="Z301" s="220" t="n">
        <x:v>0.34155</x:v>
      </x:c>
      <x:c r="AA301" s="220" t="n">
        <x:v>7.9</x:v>
      </x:c>
      <x:c r="AB301" s="220" t="n">
        <x:v>9.1</x:v>
      </x:c>
      <x:c r="AC301" s="226" t="n">
        <x:f>IF(W301="EUR",AA301,IF(W301="GBP",AB301,1))</x:f>
        <x:v>9.1</x:v>
      </x:c>
      <x:c r="AD301" s="226" t="n">
        <x:f>R301*X301</x:f>
        <x:v>8693.13934280563</x:v>
      </x:c>
      <x:c r="AE301" s="226" t="n">
        <x:f>IF(Y301="PERCENTAGE_OF_BASE_FREIGHT",AD301*Z301,IF(Y301="PER_CHARGEABLE_KG",R301*Z301,P301*Z301))</x:f>
        <x:v>610.3693581118848</x:v>
      </x:c>
      <x:c r="AF301" s="226" t="n">
        <x:f>AD301*AC301</x:f>
        <x:v>79107.56801953123</x:v>
      </x:c>
      <x:c r="AG301" s="226" t="n">
        <x:f>AE301*AC301</x:f>
        <x:v>5554.361158818152</x:v>
      </x:c>
      <x:c r="AH301" s="226" t="str">
        <x:v>EUR</x:v>
      </x:c>
      <x:c r="AI301" s="226" t="n">
        <x:v>1.2213</x:v>
      </x:c>
      <x:c r="AJ301" s="226" t="n">
        <x:f>IF(AH301="EUR",AA301,IF(AH301="GBP",AB301,1))</x:f>
        <x:v>7.9</x:v>
      </x:c>
      <x:c r="AK301" s="226" t="n">
        <x:f>N301*AI301</x:f>
        <x:v>1810.7286912000002</x:v>
      </x:c>
      <x:c r="AL301" s="226" t="n">
        <x:f>AK301*AJ301</x:f>
        <x:v>14304.756660480001</x:v>
      </x:c>
      <x:c r="AM301" s="226" t="str">
        <x:v>EUR</x:v>
      </x:c>
      <x:c r="AN301" s="226" t="n">
        <x:v>0.4347</x:v>
      </x:c>
      <x:c r="AO301" s="226" t="n">
        <x:f>IF(AM301="EUR",AA301,IF(AM301="GBP",AB301,1))</x:f>
        <x:v>7.9</x:v>
      </x:c>
      <x:c r="AP301" s="226" t="n">
        <x:f>P301*AN301</x:f>
        <x:v>754.0610837759999</x:v>
      </x:c>
      <x:c r="AQ301" s="226" t="n">
        <x:f>AP301*AO301</x:f>
        <x:v>5957.0825618304</x:v>
      </x:c>
      <x:c r="AR301" s="226" t="str">
        <x:v>GBP</x:v>
      </x:c>
      <x:c r="AS301" s="226" t="n">
        <x:v>4.968</x:v>
      </x:c>
      <x:c r="AT301" s="226" t="n">
        <x:f>IF(AR301="EUR",AA301,IF(AR301="GBP",AB301,1))</x:f>
        <x:v>9.1</x:v>
      </x:c>
      <x:c r="AU301" s="226" t="n">
        <x:f>T301*AS301</x:f>
        <x:v>662.91084288</x:v>
      </x:c>
      <x:c r="AV301" s="226" t="n">
        <x:f>AU301*AT301</x:f>
        <x:v>6032.488670208</x:v>
      </x:c>
      <x:c r="AW301" s="226" t="str">
        <x:v>GBP</x:v>
      </x:c>
      <x:c r="AX301" s="226" t="n">
        <x:v>2.3805</x:v>
      </x:c>
      <x:c r="AY301" s="226" t="n">
        <x:f>IF(AW301="EUR",AA301,IF(AW301="GBP",AB301,1))</x:f>
        <x:v>9.1</x:v>
      </x:c>
      <x:c r="AZ301" s="226" t="n">
        <x:f>V301*AX301</x:f>
        <x:v>82.5876425088</x:v>
      </x:c>
      <x:c r="BA301" s="226" t="n">
        <x:f>AZ301*AY301</x:f>
        <x:v>751.54754683008</x:v>
      </x:c>
      <x:c r="BB301" s="226" t="n">
        <x:f>AF301+AG301+AL301+AQ301+AV301+BA301</x:f>
        <x:v>111707.80461769785</x:v>
      </x:c>
      <x:c r="BC301" s="229" t="n">
        <x:v>0.95</x:v>
      </x:c>
      <x:c r="BD301" s="202"/>
      <x:c r="BE301" s="202" t="str">
        <x:v>正式 Forecast 逐月降低英国空运及 Carrier C 份额，但仍高于 Budget</x:v>
      </x:c>
      <x:c r="BF301" s="202" t="str">
        <x:v>英国 9—12 月订单量分别相对各月正式 Forecast 增加 10%，不复利</x:v>
      </x:c>
      <x:c r="BG301" s="202" t="str">
        <x:v>UNVERIFIED_UNLIMITED_FOR_MVP</x:v>
      </x:c>
    </x:row>
    <x:row r="302">
      <x:c r="A302" s="187" t="str">
        <x:v>SCENARIO_GROWTH_2026_08</x:v>
      </x:c>
      <x:c r="B302" s="187" t="str">
        <x:v>SCENARIO</x:v>
      </x:c>
      <x:c r="C302" s="187" t="str">
        <x:v>GROWTH</x:v>
      </x:c>
      <x:c r="D302" s="217" t="n">
        <x:v>46296</x:v>
      </x:c>
      <x:c r="E302" s="187" t="str">
        <x:v>R_GB_DE_B_AIR</x:v>
      </x:c>
      <x:c r="F302" s="187" t="str">
        <x:v>GB</x:v>
      </x:c>
      <x:c r="G302" s="187" t="str">
        <x:v>DE_FC</x:v>
      </x:c>
      <x:c r="H302" s="187" t="str">
        <x:v>CARRIER_B</x:v>
      </x:c>
      <x:c r="I302" s="187" t="str">
        <x:v>AIR</x:v>
      </x:c>
      <x:c r="J302" s="220" t="n">
        <x:v>20202</x:v>
      </x:c>
      <x:c r="K302" s="223" t="n">
        <x:v>0.38223938223938225</x:v>
      </x:c>
      <x:c r="L302" s="223" t="n">
        <x:v>0.96</x:v>
      </x:c>
      <x:c r="M302" s="223" t="n">
        <x:v>0.24</x:v>
      </x:c>
      <x:c r="N302" s="226" t="n">
        <x:f>J302*K302*L302*M302</x:f>
        <x:v>1779.1488</x:v>
      </x:c>
      <x:c r="O302" s="220" t="n">
        <x:v>1.17</x:v>
      </x:c>
      <x:c r="P302" s="226" t="n">
        <x:f>N302*O302</x:f>
        <x:v>2081.604096</x:v>
      </x:c>
      <x:c r="Q302" s="220" t="n">
        <x:v>0.968388</x:v>
      </x:c>
      <x:c r="R302" s="226" t="n">
        <x:f>P302*Q302</x:f>
        <x:v>2015.800427317248</x:v>
      </x:c>
      <x:c r="S302" s="220" t="n">
        <x:v>0.09</x:v>
      </x:c>
      <x:c r="T302" s="226" t="n">
        <x:f>N302*S302</x:f>
        <x:v>160.123392</x:v>
      </x:c>
      <x:c r="U302" s="226" t="n">
        <x:v>0.016</x:v>
      </x:c>
      <x:c r="V302" s="226" t="n">
        <x:f>P302*U302</x:f>
        <x:v>33.305665536</x:v>
      </x:c>
      <x:c r="W302" s="196" t="str">
        <x:v>GBP</x:v>
      </x:c>
      <x:c r="X302" s="220" t="n">
        <x:v>6.67368</x:v>
      </x:c>
      <x:c r="Y302" s="196" t="str">
        <x:v>PERCENTAGE_OF_BASE_FREIGHT</x:v>
      </x:c>
      <x:c r="Z302" s="220" t="n">
        <x:v>0.123786</x:v>
      </x:c>
      <x:c r="AA302" s="220" t="n">
        <x:v>7.9</x:v>
      </x:c>
      <x:c r="AB302" s="220" t="n">
        <x:v>9.1</x:v>
      </x:c>
      <x:c r="AC302" s="226" t="n">
        <x:f>IF(W302="EUR",AA302,IF(W302="GBP",AB302,1))</x:f>
        <x:v>9.1</x:v>
      </x:c>
      <x:c r="AD302" s="226" t="n">
        <x:f>R302*X302</x:f>
        <x:v>13452.806995778572</x:v>
      </x:c>
      <x:c r="AE302" s="226" t="n">
        <x:f>IF(Y302="PERCENTAGE_OF_BASE_FREIGHT",AD302*Z302,IF(Y302="PER_CHARGEABLE_KG",R302*Z302,P302*Z302))</x:f>
        <x:v>1665.2691667794463</x:v>
      </x:c>
      <x:c r="AF302" s="226" t="n">
        <x:f>AD302*AC302</x:f>
        <x:v>122420.543661585</x:v>
      </x:c>
      <x:c r="AG302" s="226" t="n">
        <x:f>AE302*AC302</x:f>
        <x:v>15153.94941769296</x:v>
      </x:c>
      <x:c r="AH302" s="226" t="str">
        <x:v>EUR</x:v>
      </x:c>
      <x:c r="AI302" s="226" t="n">
        <x:v>1.2213</x:v>
      </x:c>
      <x:c r="AJ302" s="226" t="n">
        <x:f>IF(AH302="EUR",AA302,IF(AH302="GBP",AB302,1))</x:f>
        <x:v>7.9</x:v>
      </x:c>
      <x:c r="AK302" s="226" t="n">
        <x:f>N302*AI302</x:f>
        <x:v>2172.87442944</x:v>
      </x:c>
      <x:c r="AL302" s="226" t="n">
        <x:f>AK302*AJ302</x:f>
        <x:v>17165.707992576</x:v>
      </x:c>
      <x:c r="AM302" s="226" t="str">
        <x:v>EUR</x:v>
      </x:c>
      <x:c r="AN302" s="226" t="n">
        <x:v>0.4347</x:v>
      </x:c>
      <x:c r="AO302" s="226" t="n">
        <x:f>IF(AM302="EUR",AA302,IF(AM302="GBP",AB302,1))</x:f>
        <x:v>7.9</x:v>
      </x:c>
      <x:c r="AP302" s="226" t="n">
        <x:f>P302*AN302</x:f>
        <x:v>904.8733005312</x:v>
      </x:c>
      <x:c r="AQ302" s="226" t="n">
        <x:f>AP302*AO302</x:f>
        <x:v>7148.49907419648</x:v>
      </x:c>
      <x:c r="AR302" s="226" t="str">
        <x:v>GBP</x:v>
      </x:c>
      <x:c r="AS302" s="226" t="n">
        <x:v>4.968</x:v>
      </x:c>
      <x:c r="AT302" s="226" t="n">
        <x:f>IF(AR302="EUR",AA302,IF(AR302="GBP",AB302,1))</x:f>
        <x:v>9.1</x:v>
      </x:c>
      <x:c r="AU302" s="226" t="n">
        <x:f>T302*AS302</x:f>
        <x:v>795.493011456</x:v>
      </x:c>
      <x:c r="AV302" s="226" t="n">
        <x:f>AU302*AT302</x:f>
        <x:v>7238.986404249599</x:v>
      </x:c>
      <x:c r="AW302" s="226" t="str">
        <x:v>GBP</x:v>
      </x:c>
      <x:c r="AX302" s="226" t="n">
        <x:v>2.898</x:v>
      </x:c>
      <x:c r="AY302" s="226" t="n">
        <x:f>IF(AW302="EUR",AA302,IF(AW302="GBP",AB302,1))</x:f>
        <x:v>9.1</x:v>
      </x:c>
      <x:c r="AZ302" s="226" t="n">
        <x:f>V302*AX302</x:f>
        <x:v>96.519818723328</x:v>
      </x:c>
      <x:c r="BA302" s="226" t="n">
        <x:f>AZ302*AY302</x:f>
        <x:v>878.3303503822848</x:v>
      </x:c>
      <x:c r="BB302" s="226" t="n">
        <x:f>AF302+AG302+AL302+AQ302+AV302+BA302</x:f>
        <x:v>170006.01690068233</x:v>
      </x:c>
      <x:c r="BC302" s="229" t="n">
        <x:v>0.974</x:v>
      </x:c>
      <x:c r="BD302" s="202"/>
      <x:c r="BE302" s="202" t="str">
        <x:v>正式 Forecast 逐月降低英国空运及 Carrier C 份额，但仍高于 Budget</x:v>
      </x:c>
      <x:c r="BF302" s="202" t="str">
        <x:v>英国 9—12 月订单量分别相对各月正式 Forecast 增加 10%，不复利</x:v>
      </x:c>
      <x:c r="BG302" s="202" t="str">
        <x:v>UNVERIFIED_UNLIMITED_FOR_MVP</x:v>
      </x:c>
    </x:row>
    <x:row r="303">
      <x:c r="A303" s="187" t="str">
        <x:v>SCENARIO_GROWTH_2026_08</x:v>
      </x:c>
      <x:c r="B303" s="187" t="str">
        <x:v>SCENARIO</x:v>
      </x:c>
      <x:c r="C303" s="187" t="str">
        <x:v>GROWTH</x:v>
      </x:c>
      <x:c r="D303" s="217" t="n">
        <x:v>46296</x:v>
      </x:c>
      <x:c r="E303" s="187" t="str">
        <x:v>R_GB_DE_C_AIR</x:v>
      </x:c>
      <x:c r="F303" s="187" t="str">
        <x:v>GB</x:v>
      </x:c>
      <x:c r="G303" s="187" t="str">
        <x:v>DE_FC</x:v>
      </x:c>
      <x:c r="H303" s="187" t="str">
        <x:v>CARRIER_C</x:v>
      </x:c>
      <x:c r="I303" s="187" t="str">
        <x:v>AIR</x:v>
      </x:c>
      <x:c r="J303" s="220" t="n">
        <x:v>20202</x:v>
      </x:c>
      <x:c r="K303" s="223" t="n">
        <x:v>0.38223938223938225</x:v>
      </x:c>
      <x:c r="L303" s="223" t="n">
        <x:v>0.96</x:v>
      </x:c>
      <x:c r="M303" s="223" t="n">
        <x:v>0.2</x:v>
      </x:c>
      <x:c r="N303" s="226" t="n">
        <x:f>J303*K303*L303*M303</x:f>
        <x:v>1482.624</x:v>
      </x:c>
      <x:c r="O303" s="220" t="n">
        <x:v>1.17</x:v>
      </x:c>
      <x:c r="P303" s="226" t="n">
        <x:f>N303*O303</x:f>
        <x:v>1734.6700799999999</x:v>
      </x:c>
      <x:c r="Q303" s="220" t="n">
        <x:v>0.947784</x:v>
      </x:c>
      <x:c r="R303" s="226" t="n">
        <x:f>P303*Q303</x:f>
        <x:v>1644.09254710272</x:v>
      </x:c>
      <x:c r="S303" s="220" t="n">
        <x:v>0.09</x:v>
      </x:c>
      <x:c r="T303" s="226" t="n">
        <x:f>N303*S303</x:f>
        <x:v>133.43616</x:v>
      </x:c>
      <x:c r="U303" s="226" t="n">
        <x:v>0.011</x:v>
      </x:c>
      <x:c r="V303" s="226" t="n">
        <x:f>P303*U303</x:f>
        <x:v>19.081370879999998</x:v>
      </x:c>
      <x:c r="W303" s="196" t="str">
        <x:v>GBP</x:v>
      </x:c>
      <x:c r="X303" s="220" t="n">
        <x:v>8.22825</x:v>
      </x:c>
      <x:c r="Y303" s="196" t="str">
        <x:v>PER_CHARGEABLE_KG</x:v>
      </x:c>
      <x:c r="Z303" s="220" t="n">
        <x:v>0.636318</x:v>
      </x:c>
      <x:c r="AA303" s="220" t="n">
        <x:v>7.9</x:v>
      </x:c>
      <x:c r="AB303" s="220" t="n">
        <x:v>9.1</x:v>
      </x:c>
      <x:c r="AC303" s="226" t="n">
        <x:f>IF(W303="EUR",AA303,IF(W303="GBP",AB303,1))</x:f>
        <x:v>9.1</x:v>
      </x:c>
      <x:c r="AD303" s="226" t="n">
        <x:f>R303*X303</x:f>
        <x:v>13528.004500697954</x:v>
      </x:c>
      <x:c r="AE303" s="226" t="n">
        <x:f>IF(Y303="PERCENTAGE_OF_BASE_FREIGHT",AD303*Z303,IF(Y303="PER_CHARGEABLE_KG",R303*Z303,P303*Z303))</x:f>
        <x:v>1046.1656813873085</x:v>
      </x:c>
      <x:c r="AF303" s="226" t="n">
        <x:f>AD303*AC303</x:f>
        <x:v>123104.84095635139</x:v>
      </x:c>
      <x:c r="AG303" s="226" t="n">
        <x:f>AE303*AC303</x:f>
        <x:v>9520.107700624507</x:v>
      </x:c>
      <x:c r="AH303" s="226" t="str">
        <x:v>EUR</x:v>
      </x:c>
      <x:c r="AI303" s="226" t="n">
        <x:v>1.2213</x:v>
      </x:c>
      <x:c r="AJ303" s="226" t="n">
        <x:f>IF(AH303="EUR",AA303,IF(AH303="GBP",AB303,1))</x:f>
        <x:v>7.9</x:v>
      </x:c>
      <x:c r="AK303" s="226" t="n">
        <x:f>N303*AI303</x:f>
        <x:v>1810.7286912000002</x:v>
      </x:c>
      <x:c r="AL303" s="226" t="n">
        <x:f>AK303*AJ303</x:f>
        <x:v>14304.756660480001</x:v>
      </x:c>
      <x:c r="AM303" s="226" t="str">
        <x:v>EUR</x:v>
      </x:c>
      <x:c r="AN303" s="226" t="n">
        <x:v>0.4347</x:v>
      </x:c>
      <x:c r="AO303" s="226" t="n">
        <x:f>IF(AM303="EUR",AA303,IF(AM303="GBP",AB303,1))</x:f>
        <x:v>7.9</x:v>
      </x:c>
      <x:c r="AP303" s="226" t="n">
        <x:f>P303*AN303</x:f>
        <x:v>754.0610837759999</x:v>
      </x:c>
      <x:c r="AQ303" s="226" t="n">
        <x:f>AP303*AO303</x:f>
        <x:v>5957.0825618304</x:v>
      </x:c>
      <x:c r="AR303" s="226" t="str">
        <x:v>GBP</x:v>
      </x:c>
      <x:c r="AS303" s="226" t="n">
        <x:v>4.968</x:v>
      </x:c>
      <x:c r="AT303" s="226" t="n">
        <x:f>IF(AR303="EUR",AA303,IF(AR303="GBP",AB303,1))</x:f>
        <x:v>9.1</x:v>
      </x:c>
      <x:c r="AU303" s="226" t="n">
        <x:f>T303*AS303</x:f>
        <x:v>662.91084288</x:v>
      </x:c>
      <x:c r="AV303" s="226" t="n">
        <x:f>AU303*AT303</x:f>
        <x:v>6032.488670208</x:v>
      </x:c>
      <x:c r="AW303" s="226" t="str">
        <x:v>GBP</x:v>
      </x:c>
      <x:c r="AX303" s="226" t="n">
        <x:v>3.726</x:v>
      </x:c>
      <x:c r="AY303" s="226" t="n">
        <x:f>IF(AW303="EUR",AA303,IF(AW303="GBP",AB303,1))</x:f>
        <x:v>9.1</x:v>
      </x:c>
      <x:c r="AZ303" s="226" t="n">
        <x:f>V303*AX303</x:f>
        <x:v>71.09718789888</x:v>
      </x:c>
      <x:c r="BA303" s="226" t="n">
        <x:f>AZ303*AY303</x:f>
        <x:v>646.9844098798079</x:v>
      </x:c>
      <x:c r="BB303" s="226" t="n">
        <x:f>AF303+AG303+AL303+AQ303+AV303+BA303</x:f>
        <x:v>159566.2609593741</x:v>
      </x:c>
      <x:c r="BC303" s="229" t="n">
        <x:v>0.988</x:v>
      </x:c>
      <x:c r="BD303" s="202"/>
      <x:c r="BE303" s="202" t="str">
        <x:v>正式 Forecast 逐月降低英国空运及 Carrier C 份额，但仍高于 Budget</x:v>
      </x:c>
      <x:c r="BF303" s="202" t="str">
        <x:v>英国 9—12 月订单量分别相对各月正式 Forecast 增加 10%，不复利</x:v>
      </x:c>
      <x:c r="BG303" s="202" t="str">
        <x:v>UNVERIFIED_UNLIMITED_FOR_MVP</x:v>
      </x:c>
    </x:row>
    <x:row r="304">
      <x:c r="A304" s="187" t="str">
        <x:v>SCENARIO_GROWTH_2026_08</x:v>
      </x:c>
      <x:c r="B304" s="187" t="str">
        <x:v>SCENARIO</x:v>
      </x:c>
      <x:c r="C304" s="187" t="str">
        <x:v>GROWTH</x:v>
      </x:c>
      <x:c r="D304" s="217" t="n">
        <x:v>46296</x:v>
      </x:c>
      <x:c r="E304" s="187" t="str">
        <x:v>R_GB_FR_B_AIR</x:v>
      </x:c>
      <x:c r="F304" s="187" t="str">
        <x:v>GB</x:v>
      </x:c>
      <x:c r="G304" s="187" t="str">
        <x:v>FR_FC</x:v>
      </x:c>
      <x:c r="H304" s="187" t="str">
        <x:v>CARRIER_B</x:v>
      </x:c>
      <x:c r="I304" s="187" t="str">
        <x:v>AIR</x:v>
      </x:c>
      <x:c r="J304" s="220" t="n">
        <x:v>20202</x:v>
      </x:c>
      <x:c r="K304" s="223" t="n">
        <x:v>0.38223938223938225</x:v>
      </x:c>
      <x:c r="L304" s="223" t="n">
        <x:v>0.04</x:v>
      </x:c>
      <x:c r="M304" s="223" t="n">
        <x:v>1</x:v>
      </x:c>
      <x:c r="N304" s="226" t="n">
        <x:f>J304*K304*L304*M304</x:f>
        <x:v>308.88</x:v>
      </x:c>
      <x:c r="O304" s="220" t="n">
        <x:v>1.17</x:v>
      </x:c>
      <x:c r="P304" s="226" t="n">
        <x:f>N304*O304</x:f>
        <x:v>361.3896</x:v>
      </x:c>
      <x:c r="Q304" s="220" t="n">
        <x:v>0.92718</x:v>
      </x:c>
      <x:c r="R304" s="226" t="n">
        <x:f>P304*Q304</x:f>
        <x:v>335.07320932799996</x:v>
      </x:c>
      <x:c r="S304" s="220" t="n">
        <x:v>0.09</x:v>
      </x:c>
      <x:c r="T304" s="226" t="n">
        <x:f>N304*S304</x:f>
        <x:v>27.7992</x:v>
      </x:c>
      <x:c r="U304" s="226" t="n">
        <x:v>0.014</x:v>
      </x:c>
      <x:c r="V304" s="226" t="n">
        <x:f>P304*U304</x:f>
        <x:v>5.0594544</x:v>
      </x:c>
      <x:c r="W304" s="196" t="str">
        <x:v>EUR</x:v>
      </x:c>
      <x:c r="X304" s="220" t="n">
        <x:v>6.9345</x:v>
      </x:c>
      <x:c r="Y304" s="196" t="str">
        <x:v>PERCENTAGE_OF_BASE_FREIGHT</x:v>
      </x:c>
      <x:c r="Z304" s="220" t="n">
        <x:v>0.108675</x:v>
      </x:c>
      <x:c r="AA304" s="220" t="n">
        <x:v>7.9</x:v>
      </x:c>
      <x:c r="AB304" s="220" t="n">
        <x:v>9.1</x:v>
      </x:c>
      <x:c r="AC304" s="226" t="n">
        <x:f>IF(W304="EUR",AA304,IF(W304="GBP",AB304,1))</x:f>
        <x:v>7.9</x:v>
      </x:c>
      <x:c r="AD304" s="226" t="n">
        <x:f>R304*X304</x:f>
        <x:v>2323.565170085016</x:v>
      </x:c>
      <x:c r="AE304" s="226" t="n">
        <x:f>IF(Y304="PERCENTAGE_OF_BASE_FREIGHT",AD304*Z304,IF(Y304="PER_CHARGEABLE_KG",R304*Z304,P304*Z304))</x:f>
        <x:v>252.5134448589891</x:v>
      </x:c>
      <x:c r="AF304" s="226" t="n">
        <x:f>AD304*AC304</x:f>
        <x:v>18356.164843671624</x:v>
      </x:c>
      <x:c r="AG304" s="226" t="n">
        <x:f>AE304*AC304</x:f>
        <x:v>1994.8562143860138</x:v>
      </x:c>
      <x:c r="AH304" s="226" t="str">
        <x:v>EUR</x:v>
      </x:c>
      <x:c r="AI304" s="226" t="n">
        <x:v>1.08675</x:v>
      </x:c>
      <x:c r="AJ304" s="226" t="n">
        <x:f>IF(AH304="EUR",AA304,IF(AH304="GBP",AB304,1))</x:f>
        <x:v>7.9</x:v>
      </x:c>
      <x:c r="AK304" s="226" t="n">
        <x:f>N304*AI304</x:f>
        <x:v>335.67534</x:v>
      </x:c>
      <x:c r="AL304" s="226" t="n">
        <x:f>AK304*AJ304</x:f>
        <x:v>2651.8351860000002</x:v>
      </x:c>
      <x:c r="AM304" s="226" t="str">
        <x:v>EUR</x:v>
      </x:c>
      <x:c r="AN304" s="226" t="n">
        <x:v>0.3933</x:v>
      </x:c>
      <x:c r="AO304" s="226" t="n">
        <x:f>IF(AM304="EUR",AA304,IF(AM304="GBP",AB304,1))</x:f>
        <x:v>7.9</x:v>
      </x:c>
      <x:c r="AP304" s="226" t="n">
        <x:f>P304*AN304</x:f>
        <x:v>142.13452967999999</x:v>
      </x:c>
      <x:c r="AQ304" s="226" t="n">
        <x:f>AP304*AO304</x:f>
        <x:v>1122.862784472</x:v>
      </x:c>
      <x:c r="AR304" s="226" t="str">
        <x:v>EUR</x:v>
      </x:c>
      <x:c r="AS304" s="226" t="n">
        <x:v>5.382</x:v>
      </x:c>
      <x:c r="AT304" s="226" t="n">
        <x:f>IF(AR304="EUR",AA304,IF(AR304="GBP",AB304,1))</x:f>
        <x:v>7.9</x:v>
      </x:c>
      <x:c r="AU304" s="226" t="n">
        <x:f>T304*AS304</x:f>
        <x:v>149.61529439999998</x:v>
      </x:c>
      <x:c r="AV304" s="226" t="n">
        <x:f>AU304*AT304</x:f>
        <x:v>1181.9608257599998</x:v>
      </x:c>
      <x:c r="AW304" s="226" t="str">
        <x:v>EUR</x:v>
      </x:c>
      <x:c r="AX304" s="226" t="n">
        <x:v>2.898</x:v>
      </x:c>
      <x:c r="AY304" s="226" t="n">
        <x:f>IF(AW304="EUR",AA304,IF(AW304="GBP",AB304,1))</x:f>
        <x:v>7.9</x:v>
      </x:c>
      <x:c r="AZ304" s="226" t="n">
        <x:f>V304*AX304</x:f>
        <x:v>14.662298851200001</x:v>
      </x:c>
      <x:c r="BA304" s="226" t="n">
        <x:f>AZ304*AY304</x:f>
        <x:v>115.83216092448001</x:v>
      </x:c>
      <x:c r="BB304" s="226" t="n">
        <x:f>AF304+AG304+AL304+AQ304+AV304+BA304</x:f>
        <x:v>25423.51201521412</x:v>
      </x:c>
      <x:c r="BC304" s="229" t="n">
        <x:v>0.971</x:v>
      </x:c>
      <x:c r="BD304" s="202"/>
      <x:c r="BE304" s="202" t="str">
        <x:v>正式 Forecast 逐月降低英国空运及 Carrier C 份额，但仍高于 Budget</x:v>
      </x:c>
      <x:c r="BF304" s="202" t="str">
        <x:v>英国 9—12 月订单量分别相对各月正式 Forecast 增加 10%，不复利</x:v>
      </x:c>
      <x:c r="BG304" s="202" t="str">
        <x:v>UNVERIFIED_UNLIMITED_FOR_MVP</x:v>
      </x:c>
    </x:row>
    <x:row r="305">
      <x:c r="A305" s="187" t="str">
        <x:v>SCENARIO_GROWTH_2026_08</x:v>
      </x:c>
      <x:c r="B305" s="187" t="str">
        <x:v>SCENARIO</x:v>
      </x:c>
      <x:c r="C305" s="187" t="str">
        <x:v>GROWTH</x:v>
      </x:c>
      <x:c r="D305" s="217" t="n">
        <x:v>46327</x:v>
      </x:c>
      <x:c r="E305" s="187" t="str">
        <x:v>R_DE_DE_A_ROAD</x:v>
      </x:c>
      <x:c r="F305" s="187" t="str">
        <x:v>DE</x:v>
      </x:c>
      <x:c r="G305" s="187" t="str">
        <x:v>DE_FC</x:v>
      </x:c>
      <x:c r="H305" s="187" t="str">
        <x:v>CARRIER_A</x:v>
      </x:c>
      <x:c r="I305" s="187" t="str">
        <x:v>ROAD</x:v>
      </x:c>
      <x:c r="J305" s="220" t="n">
        <x:v>25767.2</x:v>
      </x:c>
      <x:c r="K305" s="223" t="n">
        <x:v>0.30798845043310874</x:v>
      </x:c>
      <x:c r="L305" s="223" t="n">
        <x:v>0.97</x:v>
      </x:c>
      <x:c r="M305" s="223" t="n">
        <x:v>0.6</x:v>
      </x:c>
      <x:c r="N305" s="226" t="n">
        <x:f>J305*K305*L305*M305</x:f>
        <x:v>4618.7519999999995</x:v>
      </x:c>
      <x:c r="O305" s="220" t="n">
        <x:v>1.05</x:v>
      </x:c>
      <x:c r="P305" s="226" t="n">
        <x:f>N305*O305</x:f>
        <x:v>4849.6896</x:v>
      </x:c>
      <x:c r="Q305" s="220" t="n">
        <x:v>0.7878</x:v>
      </x:c>
      <x:c r="R305" s="226" t="n">
        <x:f>P305*Q305</x:f>
        <x:v>3820.5854668799993</x:v>
      </x:c>
      <x:c r="S305" s="220" t="n">
        <x:v>0.05</x:v>
      </x:c>
      <x:c r="T305" s="226" t="n">
        <x:f>N305*S305</x:f>
        <x:v>230.93759999999997</x:v>
      </x:c>
      <x:c r="U305" s="226" t="n">
        <x:v>0.016</x:v>
      </x:c>
      <x:c r="V305" s="226" t="n">
        <x:f>P305*U305</x:f>
        <x:v>77.5950336</x:v>
      </x:c>
      <x:c r="W305" s="196" t="str">
        <x:v>EUR</x:v>
      </x:c>
      <x:c r="X305" s="220" t="n">
        <x:v>2.277</x:v>
      </x:c>
      <x:c r="Y305" s="196" t="str">
        <x:v>PERCENTAGE_OF_BASE_FREIGHT</x:v>
      </x:c>
      <x:c r="Z305" s="220" t="n">
        <x:v>0.098325</x:v>
      </x:c>
      <x:c r="AA305" s="220" t="n">
        <x:v>7.88</x:v>
      </x:c>
      <x:c r="AB305" s="220" t="n">
        <x:v>9.05</x:v>
      </x:c>
      <x:c r="AC305" s="226" t="n">
        <x:f>IF(W305="EUR",AA305,IF(W305="GBP",AB305,1))</x:f>
        <x:v>7.88</x:v>
      </x:c>
      <x:c r="AD305" s="226" t="n">
        <x:f>R305*X305</x:f>
        <x:v>8699.473108085758</x:v>
      </x:c>
      <x:c r="AE305" s="226" t="n">
        <x:f>IF(Y305="PERCENTAGE_OF_BASE_FREIGHT",AD305*Z305,IF(Y305="PER_CHARGEABLE_KG",R305*Z305,P305*Z305))</x:f>
        <x:v>855.3756933525322</x:v>
      </x:c>
      <x:c r="AF305" s="226" t="n">
        <x:f>AD305*AC305</x:f>
        <x:v>68551.84809171577</x:v>
      </x:c>
      <x:c r="AG305" s="226" t="n">
        <x:f>AE305*AC305</x:f>
        <x:v>6740.360463617953</x:v>
      </x:c>
      <x:c r="AH305" s="226" t="str">
        <x:v>EUR</x:v>
      </x:c>
      <x:c r="AI305" s="226" t="n">
        <x:v>1.2213</x:v>
      </x:c>
      <x:c r="AJ305" s="226" t="n">
        <x:f>IF(AH305="EUR",AA305,IF(AH305="GBP",AB305,1))</x:f>
        <x:v>7.88</x:v>
      </x:c>
      <x:c r="AK305" s="226" t="n">
        <x:f>N305*AI305</x:f>
        <x:v>5640.8818175999995</x:v>
      </x:c>
      <x:c r="AL305" s="226" t="n">
        <x:f>AK305*AJ305</x:f>
        <x:v>44450.148722688</x:v>
      </x:c>
      <x:c r="AM305" s="226" t="str">
        <x:v>EUR</x:v>
      </x:c>
      <x:c r="AN305" s="226" t="n">
        <x:v>0.4347</x:v>
      </x:c>
      <x:c r="AO305" s="226" t="n">
        <x:f>IF(AM305="EUR",AA305,IF(AM305="GBP",AB305,1))</x:f>
        <x:v>7.88</x:v>
      </x:c>
      <x:c r="AP305" s="226" t="n">
        <x:f>P305*AN305</x:f>
        <x:v>2108.1600691199997</x:v>
      </x:c>
      <x:c r="AQ305" s="226" t="n">
        <x:f>AP305*AO305</x:f>
        <x:v>16612.301344665597</x:v>
      </x:c>
      <x:c r="AR305" s="226" t="str">
        <x:v>EUR</x:v>
      </x:c>
      <x:c r="AS305" s="226" t="n">
        <x:v>3.312</x:v>
      </x:c>
      <x:c r="AT305" s="226" t="n">
        <x:f>IF(AR305="EUR",AA305,IF(AR305="GBP",AB305,1))</x:f>
        <x:v>7.88</x:v>
      </x:c>
      <x:c r="AU305" s="226" t="n">
        <x:f>T305*AS305</x:f>
        <x:v>764.8653311999999</x:v>
      </x:c>
      <x:c r="AV305" s="226" t="n">
        <x:f>AU305*AT305</x:f>
        <x:v>6027.138809855999</x:v>
      </x:c>
      <x:c r="AW305" s="226" t="str">
        <x:v>EUR</x:v>
      </x:c>
      <x:c r="AX305" s="226" t="n">
        <x:v>2.3805</x:v>
      </x:c>
      <x:c r="AY305" s="226" t="n">
        <x:f>IF(AW305="EUR",AA305,IF(AW305="GBP",AB305,1))</x:f>
        <x:v>7.88</x:v>
      </x:c>
      <x:c r="AZ305" s="226" t="n">
        <x:f>V305*AX305</x:f>
        <x:v>184.7149774848</x:v>
      </x:c>
      <x:c r="BA305" s="226" t="n">
        <x:f>AZ305*AY305</x:f>
        <x:v>1455.5540225802238</x:v>
      </x:c>
      <x:c r="BB305" s="226" t="n">
        <x:f>AF305+AG305+AL305+AQ305+AV305+BA305</x:f>
        <x:v>143837.35145512354</x:v>
      </x:c>
      <x:c r="BC305" s="229" t="n">
        <x:v>0.965</x:v>
      </x:c>
      <x:c r="BD305" s="202"/>
      <x:c r="BE305" s="202" t="str">
        <x:v>正式 Forecast 逐月降低英国空运及 Carrier C 份额，但仍高于 Budget</x:v>
      </x:c>
      <x:c r="BF305" s="202" t="str">
        <x:v>英国 9—12 月订单量分别相对各月正式 Forecast 增加 10%，不复利</x:v>
      </x:c>
      <x:c r="BG305" s="202" t="str">
        <x:v>UNVERIFIED_UNLIMITED_FOR_MVP</x:v>
      </x:c>
    </x:row>
    <x:row r="306">
      <x:c r="A306" s="187" t="str">
        <x:v>SCENARIO_GROWTH_2026_08</x:v>
      </x:c>
      <x:c r="B306" s="187" t="str">
        <x:v>SCENARIO</x:v>
      </x:c>
      <x:c r="C306" s="187" t="str">
        <x:v>GROWTH</x:v>
      </x:c>
      <x:c r="D306" s="217" t="n">
        <x:v>46327</x:v>
      </x:c>
      <x:c r="E306" s="187" t="str">
        <x:v>R_DE_DE_B_ROAD</x:v>
      </x:c>
      <x:c r="F306" s="187" t="str">
        <x:v>DE</x:v>
      </x:c>
      <x:c r="G306" s="187" t="str">
        <x:v>DE_FC</x:v>
      </x:c>
      <x:c r="H306" s="187" t="str">
        <x:v>CARRIER_B</x:v>
      </x:c>
      <x:c r="I306" s="187" t="str">
        <x:v>ROAD</x:v>
      </x:c>
      <x:c r="J306" s="220" t="n">
        <x:v>25767.2</x:v>
      </x:c>
      <x:c r="K306" s="223" t="n">
        <x:v>0.30798845043310874</x:v>
      </x:c>
      <x:c r="L306" s="223" t="n">
        <x:v>0.97</x:v>
      </x:c>
      <x:c r="M306" s="223" t="n">
        <x:v>0.4</x:v>
      </x:c>
      <x:c r="N306" s="226" t="n">
        <x:f>J306*K306*L306*M306</x:f>
        <x:v>3079.168</x:v>
      </x:c>
      <x:c r="O306" s="220" t="n">
        <x:v>1.05</x:v>
      </x:c>
      <x:c r="P306" s="226" t="n">
        <x:f>N306*O306</x:f>
        <x:v>3233.1264</x:v>
      </x:c>
      <x:c r="Q306" s="220" t="n">
        <x:v>0.808</x:v>
      </x:c>
      <x:c r="R306" s="226" t="n">
        <x:f>P306*Q306</x:f>
        <x:v>2612.3661312000004</x:v>
      </x:c>
      <x:c r="S306" s="220" t="n">
        <x:v>0.05</x:v>
      </x:c>
      <x:c r="T306" s="226" t="n">
        <x:f>N306*S306</x:f>
        <x:v>153.9584</x:v>
      </x:c>
      <x:c r="U306" s="226" t="n">
        <x:v>0.013</x:v>
      </x:c>
      <x:c r="V306" s="226" t="n">
        <x:f>P306*U306</x:f>
        <x:v>42.0306432</x:v>
      </x:c>
      <x:c r="W306" s="196" t="str">
        <x:v>EUR</x:v>
      </x:c>
      <x:c r="X306" s="220" t="n">
        <x:v>2.84625</x:v>
      </x:c>
      <x:c r="Y306" s="196" t="str">
        <x:v>PER_CHARGEABLE_KG</x:v>
      </x:c>
      <x:c r="Z306" s="220" t="n">
        <x:v>0.21735</x:v>
      </x:c>
      <x:c r="AA306" s="220" t="n">
        <x:v>7.88</x:v>
      </x:c>
      <x:c r="AB306" s="220" t="n">
        <x:v>9.05</x:v>
      </x:c>
      <x:c r="AC306" s="226" t="n">
        <x:f>IF(W306="EUR",AA306,IF(W306="GBP",AB306,1))</x:f>
        <x:v>7.88</x:v>
      </x:c>
      <x:c r="AD306" s="226" t="n">
        <x:f>R306*X306</x:f>
        <x:v>7435.4471009280005</x:v>
      </x:c>
      <x:c r="AE306" s="226" t="n">
        <x:f>IF(Y306="PERCENTAGE_OF_BASE_FREIGHT",AD306*Z306,IF(Y306="PER_CHARGEABLE_KG",R306*Z306,P306*Z306))</x:f>
        <x:v>567.7977786163201</x:v>
      </x:c>
      <x:c r="AF306" s="226" t="n">
        <x:f>AD306*AC306</x:f>
        <x:v>58591.323155312646</x:v>
      </x:c>
      <x:c r="AG306" s="226" t="n">
        <x:f>AE306*AC306</x:f>
        <x:v>4474.246495496603</x:v>
      </x:c>
      <x:c r="AH306" s="226" t="str">
        <x:v>EUR</x:v>
      </x:c>
      <x:c r="AI306" s="226" t="n">
        <x:v>1.2213</x:v>
      </x:c>
      <x:c r="AJ306" s="226" t="n">
        <x:f>IF(AH306="EUR",AA306,IF(AH306="GBP",AB306,1))</x:f>
        <x:v>7.88</x:v>
      </x:c>
      <x:c r="AK306" s="226" t="n">
        <x:f>N306*AI306</x:f>
        <x:v>3760.5878784</x:v>
      </x:c>
      <x:c r="AL306" s="226" t="n">
        <x:f>AK306*AJ306</x:f>
        <x:v>29633.432481792002</x:v>
      </x:c>
      <x:c r="AM306" s="226" t="str">
        <x:v>EUR</x:v>
      </x:c>
      <x:c r="AN306" s="226" t="n">
        <x:v>0.4347</x:v>
      </x:c>
      <x:c r="AO306" s="226" t="n">
        <x:f>IF(AM306="EUR",AA306,IF(AM306="GBP",AB306,1))</x:f>
        <x:v>7.88</x:v>
      </x:c>
      <x:c r="AP306" s="226" t="n">
        <x:f>P306*AN306</x:f>
        <x:v>1405.44004608</x:v>
      </x:c>
      <x:c r="AQ306" s="226" t="n">
        <x:f>AP306*AO306</x:f>
        <x:v>11074.8675631104</x:v>
      </x:c>
      <x:c r="AR306" s="226" t="str">
        <x:v>EUR</x:v>
      </x:c>
      <x:c r="AS306" s="226" t="n">
        <x:v>3.312</x:v>
      </x:c>
      <x:c r="AT306" s="226" t="n">
        <x:f>IF(AR306="EUR",AA306,IF(AR306="GBP",AB306,1))</x:f>
        <x:v>7.88</x:v>
      </x:c>
      <x:c r="AU306" s="226" t="n">
        <x:f>T306*AS306</x:f>
        <x:v>509.9102208</x:v>
      </x:c>
      <x:c r="AV306" s="226" t="n">
        <x:f>AU306*AT306</x:f>
        <x:v>4018.0925399039998</x:v>
      </x:c>
      <x:c r="AW306" s="226" t="str">
        <x:v>EUR</x:v>
      </x:c>
      <x:c r="AX306" s="226" t="n">
        <x:v>2.3805</x:v>
      </x:c>
      <x:c r="AY306" s="226" t="n">
        <x:f>IF(AW306="EUR",AA306,IF(AW306="GBP",AB306,1))</x:f>
        <x:v>7.88</x:v>
      </x:c>
      <x:c r="AZ306" s="226" t="n">
        <x:f>V306*AX306</x:f>
        <x:v>100.05394613760001</x:v>
      </x:c>
      <x:c r="BA306" s="226" t="n">
        <x:f>AZ306*AY306</x:f>
        <x:v>788.4250955642881</x:v>
      </x:c>
      <x:c r="BB306" s="226" t="n">
        <x:f>AF306+AG306+AL306+AQ306+AV306+BA306</x:f>
        <x:v>108580.38733117994</x:v>
      </x:c>
      <x:c r="BC306" s="229" t="n">
        <x:v>0.976</x:v>
      </x:c>
      <x:c r="BD306" s="202"/>
      <x:c r="BE306" s="202" t="str">
        <x:v>正式 Forecast 逐月降低英国空运及 Carrier C 份额，但仍高于 Budget</x:v>
      </x:c>
      <x:c r="BF306" s="202" t="str">
        <x:v>英国 9—12 月订单量分别相对各月正式 Forecast 增加 10%，不复利</x:v>
      </x:c>
      <x:c r="BG306" s="202" t="str">
        <x:v>UNVERIFIED_UNLIMITED_FOR_MVP</x:v>
      </x:c>
    </x:row>
    <x:row r="307">
      <x:c r="A307" s="187" t="str">
        <x:v>SCENARIO_GROWTH_2026_08</x:v>
      </x:c>
      <x:c r="B307" s="187" t="str">
        <x:v>SCENARIO</x:v>
      </x:c>
      <x:c r="C307" s="187" t="str">
        <x:v>GROWTH</x:v>
      </x:c>
      <x:c r="D307" s="217" t="n">
        <x:v>46327</x:v>
      </x:c>
      <x:c r="E307" s="187" t="str">
        <x:v>R_DE_FR_B_ROAD</x:v>
      </x:c>
      <x:c r="F307" s="187" t="str">
        <x:v>DE</x:v>
      </x:c>
      <x:c r="G307" s="187" t="str">
        <x:v>FR_FC</x:v>
      </x:c>
      <x:c r="H307" s="187" t="str">
        <x:v>CARRIER_B</x:v>
      </x:c>
      <x:c r="I307" s="187" t="str">
        <x:v>ROAD</x:v>
      </x:c>
      <x:c r="J307" s="220" t="n">
        <x:v>25767.2</x:v>
      </x:c>
      <x:c r="K307" s="223" t="n">
        <x:v>0.30798845043310874</x:v>
      </x:c>
      <x:c r="L307" s="223" t="n">
        <x:v>0.03</x:v>
      </x:c>
      <x:c r="M307" s="223" t="n">
        <x:v>1</x:v>
      </x:c>
      <x:c r="N307" s="226" t="n">
        <x:f>J307*K307*L307*M307</x:f>
        <x:v>238.07999999999998</x:v>
      </x:c>
      <x:c r="O307" s="220" t="n">
        <x:v>1.08</x:v>
      </x:c>
      <x:c r="P307" s="226" t="n">
        <x:f>N307*O307</x:f>
        <x:v>257.1264</x:v>
      </x:c>
      <x:c r="Q307" s="220" t="n">
        <x:v>0.8686</x:v>
      </x:c>
      <x:c r="R307" s="226" t="n">
        <x:f>P307*Q307</x:f>
        <x:v>223.33999104</x:v>
      </x:c>
      <x:c r="S307" s="220" t="n">
        <x:v>0.05</x:v>
      </x:c>
      <x:c r="T307" s="226" t="n">
        <x:f>N307*S307</x:f>
        <x:v>11.904</x:v>
      </x:c>
      <x:c r="U307" s="226" t="n">
        <x:v>0.014</x:v>
      </x:c>
      <x:c r="V307" s="226" t="n">
        <x:f>P307*U307</x:f>
        <x:v>3.5997696</x:v>
      </x:c>
      <x:c r="W307" s="196" t="str">
        <x:v>EUR</x:v>
      </x:c>
      <x:c r="X307" s="220" t="n">
        <x:v>3.4155</x:v>
      </x:c>
      <x:c r="Y307" s="196" t="str">
        <x:v>PER_CHARGEABLE_KG</x:v>
      </x:c>
      <x:c r="Z307" s="220" t="n">
        <x:v>0.2484</x:v>
      </x:c>
      <x:c r="AA307" s="220" t="n">
        <x:v>7.88</x:v>
      </x:c>
      <x:c r="AB307" s="220" t="n">
        <x:v>9.05</x:v>
      </x:c>
      <x:c r="AC307" s="226" t="n">
        <x:f>IF(W307="EUR",AA307,IF(W307="GBP",AB307,1))</x:f>
        <x:v>7.88</x:v>
      </x:c>
      <x:c r="AD307" s="226" t="n">
        <x:f>R307*X307</x:f>
        <x:v>762.81773939712</x:v>
      </x:c>
      <x:c r="AE307" s="226" t="n">
        <x:f>IF(Y307="PERCENTAGE_OF_BASE_FREIGHT",AD307*Z307,IF(Y307="PER_CHARGEABLE_KG",R307*Z307,P307*Z307))</x:f>
        <x:v>55.477653774336005</x:v>
      </x:c>
      <x:c r="AF307" s="226" t="n">
        <x:f>AD307*AC307</x:f>
        <x:v>6011.003786449306</x:v>
      </x:c>
      <x:c r="AG307" s="226" t="n">
        <x:f>AE307*AC307</x:f>
        <x:v>437.1639117417677</x:v>
      </x:c>
      <x:c r="AH307" s="226" t="str">
        <x:v>EUR</x:v>
      </x:c>
      <x:c r="AI307" s="226" t="n">
        <x:v>1.08675</x:v>
      </x:c>
      <x:c r="AJ307" s="226" t="n">
        <x:f>IF(AH307="EUR",AA307,IF(AH307="GBP",AB307,1))</x:f>
        <x:v>7.88</x:v>
      </x:c>
      <x:c r="AK307" s="226" t="n">
        <x:f>N307*AI307</x:f>
        <x:v>258.73344000000003</x:v>
      </x:c>
      <x:c r="AL307" s="226" t="n">
        <x:f>AK307*AJ307</x:f>
        <x:v>2038.8195072000003</x:v>
      </x:c>
      <x:c r="AM307" s="226" t="str">
        <x:v>EUR</x:v>
      </x:c>
      <x:c r="AN307" s="226" t="n">
        <x:v>0.3933</x:v>
      </x:c>
      <x:c r="AO307" s="226" t="n">
        <x:f>IF(AM307="EUR",AA307,IF(AM307="GBP",AB307,1))</x:f>
        <x:v>7.88</x:v>
      </x:c>
      <x:c r="AP307" s="226" t="n">
        <x:f>P307*AN307</x:f>
        <x:v>101.12781311999998</x:v>
      </x:c>
      <x:c r="AQ307" s="226" t="n">
        <x:f>AP307*AO307</x:f>
        <x:v>796.8871673855999</x:v>
      </x:c>
      <x:c r="AR307" s="226" t="str">
        <x:v>EUR</x:v>
      </x:c>
      <x:c r="AS307" s="226" t="n">
        <x:v>3.933</x:v>
      </x:c>
      <x:c r="AT307" s="226" t="n">
        <x:f>IF(AR307="EUR",AA307,IF(AR307="GBP",AB307,1))</x:f>
        <x:v>7.88</x:v>
      </x:c>
      <x:c r="AU307" s="226" t="n">
        <x:f>T307*AS307</x:f>
        <x:v>46.818431999999994</x:v>
      </x:c>
      <x:c r="AV307" s="226" t="n">
        <x:f>AU307*AT307</x:f>
        <x:v>368.92924415999994</x:v>
      </x:c>
      <x:c r="AW307" s="226" t="str">
        <x:v>EUR</x:v>
      </x:c>
      <x:c r="AX307" s="226" t="n">
        <x:v>2.3805</x:v>
      </x:c>
      <x:c r="AY307" s="226" t="n">
        <x:f>IF(AW307="EUR",AA307,IF(AW307="GBP",AB307,1))</x:f>
        <x:v>7.88</x:v>
      </x:c>
      <x:c r="AZ307" s="226" t="n">
        <x:f>V307*AX307</x:f>
        <x:v>8.569251532800001</x:v>
      </x:c>
      <x:c r="BA307" s="226" t="n">
        <x:f>AZ307*AY307</x:f>
        <x:v>67.52570207846401</x:v>
      </x:c>
      <x:c r="BB307" s="226" t="n">
        <x:f>AF307+AG307+AL307+AQ307+AV307+BA307</x:f>
        <x:v>9720.329319015138</x:v>
      </x:c>
      <x:c r="BC307" s="229" t="n">
        <x:v>0.968</x:v>
      </x:c>
      <x:c r="BD307" s="202"/>
      <x:c r="BE307" s="202" t="str">
        <x:v>正式 Forecast 逐月降低英国空运及 Carrier C 份额，但仍高于 Budget</x:v>
      </x:c>
      <x:c r="BF307" s="202" t="str">
        <x:v>英国 9—12 月订单量分别相对各月正式 Forecast 增加 10%，不复利</x:v>
      </x:c>
      <x:c r="BG307" s="202" t="str">
        <x:v>UNVERIFIED_UNLIMITED_FOR_MVP</x:v>
      </x:c>
    </x:row>
    <x:row r="308">
      <x:c r="A308" s="187" t="str">
        <x:v>SCENARIO_GROWTH_2026_08</x:v>
      </x:c>
      <x:c r="B308" s="187" t="str">
        <x:v>SCENARIO</x:v>
      </x:c>
      <x:c r="C308" s="187" t="str">
        <x:v>GROWTH</x:v>
      </x:c>
      <x:c r="D308" s="217" t="n">
        <x:v>46327</x:v>
      </x:c>
      <x:c r="E308" s="187" t="str">
        <x:v>R_FR_FR_A_ROAD</x:v>
      </x:c>
      <x:c r="F308" s="187" t="str">
        <x:v>FR</x:v>
      </x:c>
      <x:c r="G308" s="187" t="str">
        <x:v>FR_FC</x:v>
      </x:c>
      <x:c r="H308" s="187" t="str">
        <x:v>CARRIER_A</x:v>
      </x:c>
      <x:c r="I308" s="187" t="str">
        <x:v>ROAD</x:v>
      </x:c>
      <x:c r="J308" s="220" t="n">
        <x:v>25767.2</x:v>
      </x:c>
      <x:c r="K308" s="223" t="n">
        <x:v>0.2791145332050048</x:v>
      </x:c>
      <x:c r="L308" s="223" t="n">
        <x:v>1</x:v>
      </x:c>
      <x:c r="M308" s="223" t="n">
        <x:v>0.35</x:v>
      </x:c>
      <x:c r="N308" s="226" t="n">
        <x:f>J308*K308*L308*M308</x:f>
        <x:v>2517.2</x:v>
      </x:c>
      <x:c r="O308" s="220" t="n">
        <x:v>1.06</x:v>
      </x:c>
      <x:c r="P308" s="226" t="n">
        <x:f>N308*O308</x:f>
        <x:v>2668.232</x:v>
      </x:c>
      <x:c r="Q308" s="220" t="n">
        <x:v>0.7676</x:v>
      </x:c>
      <x:c r="R308" s="226" t="n">
        <x:f>P308*Q308</x:f>
        <x:v>2048.1348832</x:v>
      </x:c>
      <x:c r="S308" s="220" t="n">
        <x:v>0.06</x:v>
      </x:c>
      <x:c r="T308" s="226" t="n">
        <x:f>N308*S308</x:f>
        <x:v>151.03199999999998</x:v>
      </x:c>
      <x:c r="U308" s="226" t="n">
        <x:v>0.017</x:v>
      </x:c>
      <x:c r="V308" s="226" t="n">
        <x:f>P308*U308</x:f>
        <x:v>45.359944000000006</x:v>
      </x:c>
      <x:c r="W308" s="196" t="str">
        <x:v>EUR</x:v>
      </x:c>
      <x:c r="X308" s="220" t="n">
        <x:v>2.1735</x:v>
      </x:c>
      <x:c r="Y308" s="196" t="str">
        <x:v>PERCENTAGE_OF_BASE_FREIGHT</x:v>
      </x:c>
      <x:c r="Z308" s="220" t="n">
        <x:v>0.09315</x:v>
      </x:c>
      <x:c r="AA308" s="220" t="n">
        <x:v>7.88</x:v>
      </x:c>
      <x:c r="AB308" s="220" t="n">
        <x:v>9.05</x:v>
      </x:c>
      <x:c r="AC308" s="226" t="n">
        <x:f>IF(W308="EUR",AA308,IF(W308="GBP",AB308,1))</x:f>
        <x:v>7.88</x:v>
      </x:c>
      <x:c r="AD308" s="226" t="n">
        <x:f>R308*X308</x:f>
        <x:v>4451.6211686352</x:v>
      </x:c>
      <x:c r="AE308" s="226" t="n">
        <x:f>IF(Y308="PERCENTAGE_OF_BASE_FREIGHT",AD308*Z308,IF(Y308="PER_CHARGEABLE_KG",R308*Z308,P308*Z308))</x:f>
        <x:v>414.66851185836884</x:v>
      </x:c>
      <x:c r="AF308" s="226" t="n">
        <x:f>AD308*AC308</x:f>
        <x:v>35078.77480884537</x:v>
      </x:c>
      <x:c r="AG308" s="226" t="n">
        <x:f>AE308*AC308</x:f>
        <x:v>3267.5878734439466</x:v>
      </x:c>
      <x:c r="AH308" s="226" t="str">
        <x:v>EUR</x:v>
      </x:c>
      <x:c r="AI308" s="226" t="n">
        <x:v>1.08675</x:v>
      </x:c>
      <x:c r="AJ308" s="226" t="n">
        <x:f>IF(AH308="EUR",AA308,IF(AH308="GBP",AB308,1))</x:f>
        <x:v>7.88</x:v>
      </x:c>
      <x:c r="AK308" s="226" t="n">
        <x:f>N308*AI308</x:f>
        <x:v>2735.5671</x:v>
      </x:c>
      <x:c r="AL308" s="226" t="n">
        <x:f>AK308*AJ308</x:f>
        <x:v>21556.268748000002</x:v>
      </x:c>
      <x:c r="AM308" s="226" t="str">
        <x:v>EUR</x:v>
      </x:c>
      <x:c r="AN308" s="226" t="n">
        <x:v>0.3933</x:v>
      </x:c>
      <x:c r="AO308" s="226" t="n">
        <x:f>IF(AM308="EUR",AA308,IF(AM308="GBP",AB308,1))</x:f>
        <x:v>7.88</x:v>
      </x:c>
      <x:c r="AP308" s="226" t="n">
        <x:f>P308*AN308</x:f>
        <x:v>1049.4156455999998</x:v>
      </x:c>
      <x:c r="AQ308" s="226" t="n">
        <x:f>AP308*AO308</x:f>
        <x:v>8269.395287327998</x:v>
      </x:c>
      <x:c r="AR308" s="226" t="str">
        <x:v>EUR</x:v>
      </x:c>
      <x:c r="AS308" s="226" t="n">
        <x:v>3.105</x:v>
      </x:c>
      <x:c r="AT308" s="226" t="n">
        <x:f>IF(AR308="EUR",AA308,IF(AR308="GBP",AB308,1))</x:f>
        <x:v>7.88</x:v>
      </x:c>
      <x:c r="AU308" s="226" t="n">
        <x:f>T308*AS308</x:f>
        <x:v>468.95435999999995</x:v>
      </x:c>
      <x:c r="AV308" s="226" t="n">
        <x:f>AU308*AT308</x:f>
        <x:v>3695.3603567999994</x:v>
      </x:c>
      <x:c r="AW308" s="226" t="str">
        <x:v>EUR</x:v>
      </x:c>
      <x:c r="AX308" s="226" t="n">
        <x:v>2.3805</x:v>
      </x:c>
      <x:c r="AY308" s="226" t="n">
        <x:f>IF(AW308="EUR",AA308,IF(AW308="GBP",AB308,1))</x:f>
        <x:v>7.88</x:v>
      </x:c>
      <x:c r="AZ308" s="226" t="n">
        <x:f>V308*AX308</x:f>
        <x:v>107.97934669200002</x:v>
      </x:c>
      <x:c r="BA308" s="226" t="n">
        <x:f>AZ308*AY308</x:f>
        <x:v>850.8772519329601</x:v>
      </x:c>
      <x:c r="BB308" s="226" t="n">
        <x:f>AF308+AG308+AL308+AQ308+AV308+BA308</x:f>
        <x:v>72718.26432635028</x:v>
      </x:c>
      <x:c r="BC308" s="229" t="n">
        <x:v>0.961</x:v>
      </x:c>
      <x:c r="BD308" s="202"/>
      <x:c r="BE308" s="202" t="str">
        <x:v>正式 Forecast 逐月降低英国空运及 Carrier C 份额，但仍高于 Budget</x:v>
      </x:c>
      <x:c r="BF308" s="202" t="str">
        <x:v>英国 9—12 月订单量分别相对各月正式 Forecast 增加 10%，不复利</x:v>
      </x:c>
      <x:c r="BG308" s="202" t="str">
        <x:v>UNVERIFIED_UNLIMITED_FOR_MVP</x:v>
      </x:c>
    </x:row>
    <x:row r="309">
      <x:c r="A309" s="187" t="str">
        <x:v>SCENARIO_GROWTH_2026_08</x:v>
      </x:c>
      <x:c r="B309" s="187" t="str">
        <x:v>SCENARIO</x:v>
      </x:c>
      <x:c r="C309" s="187" t="str">
        <x:v>GROWTH</x:v>
      </x:c>
      <x:c r="D309" s="217" t="n">
        <x:v>46327</x:v>
      </x:c>
      <x:c r="E309" s="187" t="str">
        <x:v>R_FR_FR_B_ROAD</x:v>
      </x:c>
      <x:c r="F309" s="187" t="str">
        <x:v>FR</x:v>
      </x:c>
      <x:c r="G309" s="187" t="str">
        <x:v>FR_FC</x:v>
      </x:c>
      <x:c r="H309" s="187" t="str">
        <x:v>CARRIER_B</x:v>
      </x:c>
      <x:c r="I309" s="187" t="str">
        <x:v>ROAD</x:v>
      </x:c>
      <x:c r="J309" s="220" t="n">
        <x:v>25767.2</x:v>
      </x:c>
      <x:c r="K309" s="223" t="n">
        <x:v>0.2791145332050048</x:v>
      </x:c>
      <x:c r="L309" s="223" t="n">
        <x:v>1</x:v>
      </x:c>
      <x:c r="M309" s="223" t="n">
        <x:v>0.65</x:v>
      </x:c>
      <x:c r="N309" s="226" t="n">
        <x:f>J309*K309*L309*M309</x:f>
        <x:v>4674.8</x:v>
      </x:c>
      <x:c r="O309" s="220" t="n">
        <x:v>1.06</x:v>
      </x:c>
      <x:c r="P309" s="226" t="n">
        <x:f>N309*O309</x:f>
        <x:v>4955.2880000000005</x:v>
      </x:c>
      <x:c r="Q309" s="220" t="n">
        <x:v>0.7979</x:v>
      </x:c>
      <x:c r="R309" s="226" t="n">
        <x:f>P309*Q309</x:f>
        <x:v>3953.8242952000005</x:v>
      </x:c>
      <x:c r="S309" s="220" t="n">
        <x:v>0.06</x:v>
      </x:c>
      <x:c r="T309" s="226" t="n">
        <x:f>N309*S309</x:f>
        <x:v>280.488</x:v>
      </x:c>
      <x:c r="U309" s="226" t="n">
        <x:v>0.014</x:v>
      </x:c>
      <x:c r="V309" s="226" t="n">
        <x:f>P309*U309</x:f>
        <x:v>69.37403200000001</x:v>
      </x:c>
      <x:c r="W309" s="196" t="str">
        <x:v>EUR</x:v>
      </x:c>
      <x:c r="X309" s="220" t="n">
        <x:v>2.691</x:v>
      </x:c>
      <x:c r="Y309" s="196" t="str">
        <x:v>PER_CHARGEABLE_KG</x:v>
      </x:c>
      <x:c r="Z309" s="220" t="n">
        <x:v>0.207</x:v>
      </x:c>
      <x:c r="AA309" s="220" t="n">
        <x:v>7.88</x:v>
      </x:c>
      <x:c r="AB309" s="220" t="n">
        <x:v>9.05</x:v>
      </x:c>
      <x:c r="AC309" s="226" t="n">
        <x:f>IF(W309="EUR",AA309,IF(W309="GBP",AB309,1))</x:f>
        <x:v>7.88</x:v>
      </x:c>
      <x:c r="AD309" s="226" t="n">
        <x:f>R309*X309</x:f>
        <x:v>10639.741178383201</x:v>
      </x:c>
      <x:c r="AE309" s="226" t="n">
        <x:f>IF(Y309="PERCENTAGE_OF_BASE_FREIGHT",AD309*Z309,IF(Y309="PER_CHARGEABLE_KG",R309*Z309,P309*Z309))</x:f>
        <x:v>818.4416291064001</x:v>
      </x:c>
      <x:c r="AF309" s="226" t="n">
        <x:f>AD309*AC309</x:f>
        <x:v>83841.16048565962</x:v>
      </x:c>
      <x:c r="AG309" s="226" t="n">
        <x:f>AE309*AC309</x:f>
        <x:v>6449.320037358433</x:v>
      </x:c>
      <x:c r="AH309" s="226" t="str">
        <x:v>EUR</x:v>
      </x:c>
      <x:c r="AI309" s="226" t="n">
        <x:v>1.08675</x:v>
      </x:c>
      <x:c r="AJ309" s="226" t="n">
        <x:f>IF(AH309="EUR",AA309,IF(AH309="GBP",AB309,1))</x:f>
        <x:v>7.88</x:v>
      </x:c>
      <x:c r="AK309" s="226" t="n">
        <x:f>N309*AI309</x:f>
        <x:v>5080.338900000001</x:v>
      </x:c>
      <x:c r="AL309" s="226" t="n">
        <x:f>AK309*AJ309</x:f>
        <x:v>40033.070532000005</x:v>
      </x:c>
      <x:c r="AM309" s="226" t="str">
        <x:v>EUR</x:v>
      </x:c>
      <x:c r="AN309" s="226" t="n">
        <x:v>0.3933</x:v>
      </x:c>
      <x:c r="AO309" s="226" t="n">
        <x:f>IF(AM309="EUR",AA309,IF(AM309="GBP",AB309,1))</x:f>
        <x:v>7.88</x:v>
      </x:c>
      <x:c r="AP309" s="226" t="n">
        <x:f>P309*AN309</x:f>
        <x:v>1948.9147704000002</x:v>
      </x:c>
      <x:c r="AQ309" s="226" t="n">
        <x:f>AP309*AO309</x:f>
        <x:v>15357.448390752</x:v>
      </x:c>
      <x:c r="AR309" s="226" t="str">
        <x:v>EUR</x:v>
      </x:c>
      <x:c r="AS309" s="226" t="n">
        <x:v>3.105</x:v>
      </x:c>
      <x:c r="AT309" s="226" t="n">
        <x:f>IF(AR309="EUR",AA309,IF(AR309="GBP",AB309,1))</x:f>
        <x:v>7.88</x:v>
      </x:c>
      <x:c r="AU309" s="226" t="n">
        <x:f>T309*AS309</x:f>
        <x:v>870.91524</x:v>
      </x:c>
      <x:c r="AV309" s="226" t="n">
        <x:f>AU309*AT309</x:f>
        <x:v>6862.8120912</x:v>
      </x:c>
      <x:c r="AW309" s="226" t="str">
        <x:v>EUR</x:v>
      </x:c>
      <x:c r="AX309" s="226" t="n">
        <x:v>2.3805</x:v>
      </x:c>
      <x:c r="AY309" s="226" t="n">
        <x:f>IF(AW309="EUR",AA309,IF(AW309="GBP",AB309,1))</x:f>
        <x:v>7.88</x:v>
      </x:c>
      <x:c r="AZ309" s="226" t="n">
        <x:f>V309*AX309</x:f>
        <x:v>165.14488317600004</x:v>
      </x:c>
      <x:c r="BA309" s="226" t="n">
        <x:f>AZ309*AY309</x:f>
        <x:v>1301.3416794268803</x:v>
      </x:c>
      <x:c r="BB309" s="226" t="n">
        <x:f>AF309+AG309+AL309+AQ309+AV309+BA309</x:f>
        <x:v>153845.15321639692</x:v>
      </x:c>
      <x:c r="BC309" s="229" t="n">
        <x:v>0.973</x:v>
      </x:c>
      <x:c r="BD309" s="202"/>
      <x:c r="BE309" s="202" t="str">
        <x:v>正式 Forecast 逐月降低英国空运及 Carrier C 份额，但仍高于 Budget</x:v>
      </x:c>
      <x:c r="BF309" s="202" t="str">
        <x:v>英国 9—12 月订单量分别相对各月正式 Forecast 增加 10%，不复利</x:v>
      </x:c>
      <x:c r="BG309" s="202" t="str">
        <x:v>UNVERIFIED_UNLIMITED_FOR_MVP</x:v>
      </x:c>
    </x:row>
    <x:row r="310">
      <x:c r="A310" s="187" t="str">
        <x:v>SCENARIO_GROWTH_2026_08</x:v>
      </x:c>
      <x:c r="B310" s="187" t="str">
        <x:v>SCENARIO</x:v>
      </x:c>
      <x:c r="C310" s="187" t="str">
        <x:v>GROWTH</x:v>
      </x:c>
      <x:c r="D310" s="217" t="n">
        <x:v>46327</x:v>
      </x:c>
      <x:c r="E310" s="187" t="str">
        <x:v>R_GB_DE_A_ROAD</x:v>
      </x:c>
      <x:c r="F310" s="187" t="str">
        <x:v>GB</x:v>
      </x:c>
      <x:c r="G310" s="187" t="str">
        <x:v>DE_FC</x:v>
      </x:c>
      <x:c r="H310" s="187" t="str">
        <x:v>CARRIER_A</x:v>
      </x:c>
      <x:c r="I310" s="187" t="str">
        <x:v>ROAD</x:v>
      </x:c>
      <x:c r="J310" s="220" t="n">
        <x:v>25767.2</x:v>
      </x:c>
      <x:c r="K310" s="223" t="n">
        <x:v>0.4128970163618864</x:v>
      </x:c>
      <x:c r="L310" s="223" t="n">
        <x:v>0.96</x:v>
      </x:c>
      <x:c r="M310" s="223" t="n">
        <x:v>0.42</x:v>
      </x:c>
      <x:c r="N310" s="226" t="n">
        <x:f>J310*K310*L310*M310</x:f>
        <x:v>4289.725439999999</x:v>
      </x:c>
      <x:c r="O310" s="220" t="n">
        <x:v>1.17</x:v>
      </x:c>
      <x:c r="P310" s="226" t="n">
        <x:f>N310*O310</x:f>
        <x:v>5018.978764799999</x:v>
      </x:c>
      <x:c r="Q310" s="220" t="n">
        <x:v>1.050804</x:v>
      </x:c>
      <x:c r="R310" s="226" t="n">
        <x:f>P310*Q310</x:f>
        <x:v>5273.962961966899</x:v>
      </x:c>
      <x:c r="S310" s="220" t="n">
        <x:v>0.09</x:v>
      </x:c>
      <x:c r="T310" s="226" t="n">
        <x:f>N310*S310</x:f>
        <x:v>386.0752895999999</x:v>
      </x:c>
      <x:c r="U310" s="226" t="n">
        <x:v>0.027</x:v>
      </x:c>
      <x:c r="V310" s="226" t="n">
        <x:f>P310*U310</x:f>
        <x:v>135.51242664959997</x:v>
      </x:c>
      <x:c r="W310" s="196" t="str">
        <x:v>GBP</x:v>
      </x:c>
      <x:c r="X310" s="220" t="n">
        <x:v>4.14</x:v>
      </x:c>
      <x:c r="Y310" s="196" t="str">
        <x:v>PERCENTAGE_OF_BASE_FREIGHT</x:v>
      </x:c>
      <x:c r="Z310" s="220" t="n">
        <x:v>0.1035</x:v>
      </x:c>
      <x:c r="AA310" s="220" t="n">
        <x:v>7.88</x:v>
      </x:c>
      <x:c r="AB310" s="220" t="n">
        <x:v>9.05</x:v>
      </x:c>
      <x:c r="AC310" s="226" t="n">
        <x:f>IF(W310="EUR",AA310,IF(W310="GBP",AB310,1))</x:f>
        <x:v>9.05</x:v>
      </x:c>
      <x:c r="AD310" s="226" t="n">
        <x:f>R310*X310</x:f>
        <x:v>21834.206662542958</x:v>
      </x:c>
      <x:c r="AE310" s="226" t="n">
        <x:f>IF(Y310="PERCENTAGE_OF_BASE_FREIGHT",AD310*Z310,IF(Y310="PER_CHARGEABLE_KG",R310*Z310,P310*Z310))</x:f>
        <x:v>2259.840389573196</x:v>
      </x:c>
      <x:c r="AF310" s="226" t="n">
        <x:f>AD310*AC310</x:f>
        <x:v>197599.5702960138</x:v>
      </x:c>
      <x:c r="AG310" s="226" t="n">
        <x:f>AE310*AC310</x:f>
        <x:v>20451.555525637425</x:v>
      </x:c>
      <x:c r="AH310" s="226" t="str">
        <x:v>EUR</x:v>
      </x:c>
      <x:c r="AI310" s="226" t="n">
        <x:v>1.2213</x:v>
      </x:c>
      <x:c r="AJ310" s="226" t="n">
        <x:f>IF(AH310="EUR",AA310,IF(AH310="GBP",AB310,1))</x:f>
        <x:v>7.88</x:v>
      </x:c>
      <x:c r="AK310" s="226" t="n">
        <x:f>N310*AI310</x:f>
        <x:v>5239.041679871999</x:v>
      </x:c>
      <x:c r="AL310" s="226" t="n">
        <x:f>AK310*AJ310</x:f>
        <x:v>41283.64843739135</x:v>
      </x:c>
      <x:c r="AM310" s="226" t="str">
        <x:v>EUR</x:v>
      </x:c>
      <x:c r="AN310" s="226" t="n">
        <x:v>0.4347</x:v>
      </x:c>
      <x:c r="AO310" s="226" t="n">
        <x:f>IF(AM310="EUR",AA310,IF(AM310="GBP",AB310,1))</x:f>
        <x:v>7.88</x:v>
      </x:c>
      <x:c r="AP310" s="226" t="n">
        <x:f>P310*AN310</x:f>
        <x:v>2181.7500690585593</x:v>
      </x:c>
      <x:c r="AQ310" s="226" t="n">
        <x:f>AP310*AO310</x:f>
        <x:v>17192.19054418145</x:v>
      </x:c>
      <x:c r="AR310" s="226" t="str">
        <x:v>GBP</x:v>
      </x:c>
      <x:c r="AS310" s="226" t="n">
        <x:v>4.968</x:v>
      </x:c>
      <x:c r="AT310" s="226" t="n">
        <x:f>IF(AR310="EUR",AA310,IF(AR310="GBP",AB310,1))</x:f>
        <x:v>9.05</x:v>
      </x:c>
      <x:c r="AU310" s="226" t="n">
        <x:f>T310*AS310</x:f>
        <x:v>1918.0220387327995</x:v>
      </x:c>
      <x:c r="AV310" s="226" t="n">
        <x:f>AU310*AT310</x:f>
        <x:v>17358.099450531838</x:v>
      </x:c>
      <x:c r="AW310" s="226" t="str">
        <x:v>GBP</x:v>
      </x:c>
      <x:c r="AX310" s="226" t="n">
        <x:v>2.3805</x:v>
      </x:c>
      <x:c r="AY310" s="226" t="n">
        <x:f>IF(AW310="EUR",AA310,IF(AW310="GBP",AB310,1))</x:f>
        <x:v>9.05</x:v>
      </x:c>
      <x:c r="AZ310" s="226" t="n">
        <x:f>V310*AX310</x:f>
        <x:v>322.58733163937274</x:v>
      </x:c>
      <x:c r="BA310" s="226" t="n">
        <x:f>AZ310*AY310</x:f>
        <x:v>2919.4153513363235</x:v>
      </x:c>
      <x:c r="BB310" s="226" t="n">
        <x:f>AF310+AG310+AL310+AQ310+AV310+BA310</x:f>
        <x:v>296804.47960509214</x:v>
      </x:c>
      <x:c r="BC310" s="229" t="n">
        <x:v>0.93</x:v>
      </x:c>
      <x:c r="BD310" s="202"/>
      <x:c r="BE310" s="202" t="str">
        <x:v>正式 Forecast 逐月降低英国空运及 Carrier C 份额，但仍高于 Budget</x:v>
      </x:c>
      <x:c r="BF310" s="202" t="str">
        <x:v>英国 9—12 月订单量分别相对各月正式 Forecast 增加 10%，不复利</x:v>
      </x:c>
      <x:c r="BG310" s="202" t="str">
        <x:v>UNVERIFIED_UNLIMITED_FOR_MVP</x:v>
      </x:c>
    </x:row>
    <x:row r="311">
      <x:c r="A311" s="187" t="str">
        <x:v>SCENARIO_GROWTH_2026_08</x:v>
      </x:c>
      <x:c r="B311" s="187" t="str">
        <x:v>SCENARIO</x:v>
      </x:c>
      <x:c r="C311" s="187" t="str">
        <x:v>GROWTH</x:v>
      </x:c>
      <x:c r="D311" s="217" t="n">
        <x:v>46327</x:v>
      </x:c>
      <x:c r="E311" s="187" t="str">
        <x:v>R_GB_DE_B_ROAD</x:v>
      </x:c>
      <x:c r="F311" s="187" t="str">
        <x:v>GB</x:v>
      </x:c>
      <x:c r="G311" s="187" t="str">
        <x:v>DE_FC</x:v>
      </x:c>
      <x:c r="H311" s="187" t="str">
        <x:v>CARRIER_B</x:v>
      </x:c>
      <x:c r="I311" s="187" t="str">
        <x:v>ROAD</x:v>
      </x:c>
      <x:c r="J311" s="220" t="n">
        <x:v>25767.2</x:v>
      </x:c>
      <x:c r="K311" s="223" t="n">
        <x:v>0.4128970163618864</x:v>
      </x:c>
      <x:c r="L311" s="223" t="n">
        <x:v>0.96</x:v>
      </x:c>
      <x:c r="M311" s="223" t="n">
        <x:v>0.23</x:v>
      </x:c>
      <x:c r="N311" s="226" t="n">
        <x:f>J311*K311*L311*M311</x:f>
        <x:v>2349.13536</x:v>
      </x:c>
      <x:c r="O311" s="220" t="n">
        <x:v>1.17</x:v>
      </x:c>
      <x:c r="P311" s="226" t="n">
        <x:f>N311*O311</x:f>
        <x:v>2748.4883712</x:v>
      </x:c>
      <x:c r="Q311" s="220" t="n">
        <x:v>1.0302</x:v>
      </x:c>
      <x:c r="R311" s="226" t="n">
        <x:f>P311*Q311</x:f>
        <x:v>2831.49272001024</x:v>
      </x:c>
      <x:c r="S311" s="220" t="n">
        <x:v>0.09</x:v>
      </x:c>
      <x:c r="T311" s="226" t="n">
        <x:f>N311*S311</x:f>
        <x:v>211.42218240000003</x:v>
      </x:c>
      <x:c r="U311" s="226" t="n">
        <x:v>0.02</x:v>
      </x:c>
      <x:c r="V311" s="226" t="n">
        <x:f>P311*U311</x:f>
        <x:v>54.969767424000004</x:v>
      </x:c>
      <x:c r="W311" s="196" t="str">
        <x:v>GBP</x:v>
      </x:c>
      <x:c r="X311" s="220" t="n">
        <x:v>4.8645</x:v>
      </x:c>
      <x:c r="Y311" s="196" t="str">
        <x:v>PER_CHARGEABLE_KG</x:v>
      </x:c>
      <x:c r="Z311" s="220" t="n">
        <x:v>0.34155</x:v>
      </x:c>
      <x:c r="AA311" s="220" t="n">
        <x:v>7.88</x:v>
      </x:c>
      <x:c r="AB311" s="220" t="n">
        <x:v>9.05</x:v>
      </x:c>
      <x:c r="AC311" s="226" t="n">
        <x:f>IF(W311="EUR",AA311,IF(W311="GBP",AB311,1))</x:f>
        <x:v>9.05</x:v>
      </x:c>
      <x:c r="AD311" s="226" t="n">
        <x:f>R311*X311</x:f>
        <x:v>13773.796336489811</x:v>
      </x:c>
      <x:c r="AE311" s="226" t="n">
        <x:f>IF(Y311="PERCENTAGE_OF_BASE_FREIGHT",AD311*Z311,IF(Y311="PER_CHARGEABLE_KG",R311*Z311,P311*Z311))</x:f>
        <x:v>967.0963385194976</x:v>
      </x:c>
      <x:c r="AF311" s="226" t="n">
        <x:f>AD311*AC311</x:f>
        <x:v>124652.8568452328</x:v>
      </x:c>
      <x:c r="AG311" s="226" t="n">
        <x:f>AE311*AC311</x:f>
        <x:v>8752.221863601455</x:v>
      </x:c>
      <x:c r="AH311" s="226" t="str">
        <x:v>EUR</x:v>
      </x:c>
      <x:c r="AI311" s="226" t="n">
        <x:v>1.2213</x:v>
      </x:c>
      <x:c r="AJ311" s="226" t="n">
        <x:f>IF(AH311="EUR",AA311,IF(AH311="GBP",AB311,1))</x:f>
        <x:v>7.88</x:v>
      </x:c>
      <x:c r="AK311" s="226" t="n">
        <x:f>N311*AI311</x:f>
        <x:v>2868.9990151680004</x:v>
      </x:c>
      <x:c r="AL311" s="226" t="n">
        <x:f>AK311*AJ311</x:f>
        <x:v>22607.712239523844</x:v>
      </x:c>
      <x:c r="AM311" s="226" t="str">
        <x:v>EUR</x:v>
      </x:c>
      <x:c r="AN311" s="226" t="n">
        <x:v>0.4347</x:v>
      </x:c>
      <x:c r="AO311" s="226" t="n">
        <x:f>IF(AM311="EUR",AA311,IF(AM311="GBP",AB311,1))</x:f>
        <x:v>7.88</x:v>
      </x:c>
      <x:c r="AP311" s="226" t="n">
        <x:f>P311*AN311</x:f>
        <x:v>1194.76789496064</x:v>
      </x:c>
      <x:c r="AQ311" s="226" t="n">
        <x:f>AP311*AO311</x:f>
        <x:v>9414.771012289842</x:v>
      </x:c>
      <x:c r="AR311" s="226" t="str">
        <x:v>GBP</x:v>
      </x:c>
      <x:c r="AS311" s="226" t="n">
        <x:v>4.968</x:v>
      </x:c>
      <x:c r="AT311" s="226" t="n">
        <x:f>IF(AR311="EUR",AA311,IF(AR311="GBP",AB311,1))</x:f>
        <x:v>9.05</x:v>
      </x:c>
      <x:c r="AU311" s="226" t="n">
        <x:f>T311*AS311</x:f>
        <x:v>1050.3454021632</x:v>
      </x:c>
      <x:c r="AV311" s="226" t="n">
        <x:f>AU311*AT311</x:f>
        <x:v>9505.625889576962</x:v>
      </x:c>
      <x:c r="AW311" s="226" t="str">
        <x:v>GBP</x:v>
      </x:c>
      <x:c r="AX311" s="226" t="n">
        <x:v>2.3805</x:v>
      </x:c>
      <x:c r="AY311" s="226" t="n">
        <x:f>IF(AW311="EUR",AA311,IF(AW311="GBP",AB311,1))</x:f>
        <x:v>9.05</x:v>
      </x:c>
      <x:c r="AZ311" s="226" t="n">
        <x:f>V311*AX311</x:f>
        <x:v>130.855531352832</x:v>
      </x:c>
      <x:c r="BA311" s="226" t="n">
        <x:f>AZ311*AY311</x:f>
        <x:v>1184.2425587431296</x:v>
      </x:c>
      <x:c r="BB311" s="226" t="n">
        <x:f>AF311+AG311+AL311+AQ311+AV311+BA311</x:f>
        <x:v>176117.43040896804</x:v>
      </x:c>
      <x:c r="BC311" s="229" t="n">
        <x:v>0.95</x:v>
      </x:c>
      <x:c r="BD311" s="202"/>
      <x:c r="BE311" s="202" t="str">
        <x:v>正式 Forecast 逐月降低英国空运及 Carrier C 份额，但仍高于 Budget</x:v>
      </x:c>
      <x:c r="BF311" s="202" t="str">
        <x:v>英国 9—12 月订单量分别相对各月正式 Forecast 增加 10%，不复利</x:v>
      </x:c>
      <x:c r="BG311" s="202" t="str">
        <x:v>UNVERIFIED_UNLIMITED_FOR_MVP</x:v>
      </x:c>
    </x:row>
    <x:row r="312">
      <x:c r="A312" s="187" t="str">
        <x:v>SCENARIO_GROWTH_2026_08</x:v>
      </x:c>
      <x:c r="B312" s="187" t="str">
        <x:v>SCENARIO</x:v>
      </x:c>
      <x:c r="C312" s="187" t="str">
        <x:v>GROWTH</x:v>
      </x:c>
      <x:c r="D312" s="217" t="n">
        <x:v>46327</x:v>
      </x:c>
      <x:c r="E312" s="187" t="str">
        <x:v>R_GB_DE_B_AIR</x:v>
      </x:c>
      <x:c r="F312" s="187" t="str">
        <x:v>GB</x:v>
      </x:c>
      <x:c r="G312" s="187" t="str">
        <x:v>DE_FC</x:v>
      </x:c>
      <x:c r="H312" s="187" t="str">
        <x:v>CARRIER_B</x:v>
      </x:c>
      <x:c r="I312" s="187" t="str">
        <x:v>AIR</x:v>
      </x:c>
      <x:c r="J312" s="220" t="n">
        <x:v>25767.2</x:v>
      </x:c>
      <x:c r="K312" s="223" t="n">
        <x:v>0.4128970163618864</x:v>
      </x:c>
      <x:c r="L312" s="223" t="n">
        <x:v>0.96</x:v>
      </x:c>
      <x:c r="M312" s="223" t="n">
        <x:v>0.22</x:v>
      </x:c>
      <x:c r="N312" s="226" t="n">
        <x:f>J312*K312*L312*M312</x:f>
        <x:v>2246.99904</x:v>
      </x:c>
      <x:c r="O312" s="220" t="n">
        <x:v>1.17</x:v>
      </x:c>
      <x:c r="P312" s="226" t="n">
        <x:f>N312*O312</x:f>
        <x:v>2628.9888768</x:v>
      </x:c>
      <x:c r="Q312" s="220" t="n">
        <x:v>0.968388</x:v>
      </x:c>
      <x:c r="R312" s="226" t="n">
        <x:f>P312*Q312</x:f>
        <x:v>2545.8812804265986</x:v>
      </x:c>
      <x:c r="S312" s="220" t="n">
        <x:v>0.09</x:v>
      </x:c>
      <x:c r="T312" s="226" t="n">
        <x:f>N312*S312</x:f>
        <x:v>202.2299136</x:v>
      </x:c>
      <x:c r="U312" s="226" t="n">
        <x:v>0.016</x:v>
      </x:c>
      <x:c r="V312" s="226" t="n">
        <x:f>P312*U312</x:f>
        <x:v>42.063822028800004</x:v>
      </x:c>
      <x:c r="W312" s="196" t="str">
        <x:v>GBP</x:v>
      </x:c>
      <x:c r="X312" s="220" t="n">
        <x:v>6.67368</x:v>
      </x:c>
      <x:c r="Y312" s="196" t="str">
        <x:v>PERCENTAGE_OF_BASE_FREIGHT</x:v>
      </x:c>
      <x:c r="Z312" s="220" t="n">
        <x:v>0.123786</x:v>
      </x:c>
      <x:c r="AA312" s="220" t="n">
        <x:v>7.88</x:v>
      </x:c>
      <x:c r="AB312" s="220" t="n">
        <x:v>9.05</x:v>
      </x:c>
      <x:c r="AC312" s="226" t="n">
        <x:f>IF(W312="EUR",AA312,IF(W312="GBP",AB312,1))</x:f>
        <x:v>9.05</x:v>
      </x:c>
      <x:c r="AD312" s="226" t="n">
        <x:f>R312*X312</x:f>
        <x:v>16990.39698355738</x:v>
      </x:c>
      <x:c r="AE312" s="226" t="n">
        <x:f>IF(Y312="PERCENTAGE_OF_BASE_FREIGHT",AD312*Z312,IF(Y312="PER_CHARGEABLE_KG",R312*Z312,P312*Z312))</x:f>
        <x:v>2103.1732810066337</x:v>
      </x:c>
      <x:c r="AF312" s="226" t="n">
        <x:f>AD312*AC312</x:f>
        <x:v>153763.0927011943</x:v>
      </x:c>
      <x:c r="AG312" s="226" t="n">
        <x:f>AE312*AC312</x:f>
        <x:v>19033.718193110035</x:v>
      </x:c>
      <x:c r="AH312" s="226" t="str">
        <x:v>EUR</x:v>
      </x:c>
      <x:c r="AI312" s="226" t="n">
        <x:v>1.2213</x:v>
      </x:c>
      <x:c r="AJ312" s="226" t="n">
        <x:f>IF(AH312="EUR",AA312,IF(AH312="GBP",AB312,1))</x:f>
        <x:v>7.88</x:v>
      </x:c>
      <x:c r="AK312" s="226" t="n">
        <x:f>N312*AI312</x:f>
        <x:v>2744.259927552</x:v>
      </x:c>
      <x:c r="AL312" s="226" t="n">
        <x:f>AK312*AJ312</x:f>
        <x:v>21624.76822910976</x:v>
      </x:c>
      <x:c r="AM312" s="226" t="str">
        <x:v>EUR</x:v>
      </x:c>
      <x:c r="AN312" s="226" t="n">
        <x:v>0.4347</x:v>
      </x:c>
      <x:c r="AO312" s="226" t="n">
        <x:f>IF(AM312="EUR",AA312,IF(AM312="GBP",AB312,1))</x:f>
        <x:v>7.88</x:v>
      </x:c>
      <x:c r="AP312" s="226" t="n">
        <x:f>P312*AN312</x:f>
        <x:v>1142.82146474496</x:v>
      </x:c>
      <x:c r="AQ312" s="226" t="n">
        <x:f>AP312*AO312</x:f>
        <x:v>9005.433142190284</x:v>
      </x:c>
      <x:c r="AR312" s="226" t="str">
        <x:v>GBP</x:v>
      </x:c>
      <x:c r="AS312" s="226" t="n">
        <x:v>4.968</x:v>
      </x:c>
      <x:c r="AT312" s="226" t="n">
        <x:f>IF(AR312="EUR",AA312,IF(AR312="GBP",AB312,1))</x:f>
        <x:v>9.05</x:v>
      </x:c>
      <x:c r="AU312" s="226" t="n">
        <x:f>T312*AS312</x:f>
        <x:v>1004.6782107648</x:v>
      </x:c>
      <x:c r="AV312" s="226" t="n">
        <x:f>AU312*AT312</x:f>
        <x:v>9092.337807421442</x:v>
      </x:c>
      <x:c r="AW312" s="226" t="str">
        <x:v>GBP</x:v>
      </x:c>
      <x:c r="AX312" s="226" t="n">
        <x:v>2.898</x:v>
      </x:c>
      <x:c r="AY312" s="226" t="n">
        <x:f>IF(AW312="EUR",AA312,IF(AW312="GBP",AB312,1))</x:f>
        <x:v>9.05</x:v>
      </x:c>
      <x:c r="AZ312" s="226" t="n">
        <x:f>V312*AX312</x:f>
        <x:v>121.90095623946242</x:v>
      </x:c>
      <x:c r="BA312" s="226" t="n">
        <x:f>AZ312*AY312</x:f>
        <x:v>1103.2036539671349</x:v>
      </x:c>
      <x:c r="BB312" s="226" t="n">
        <x:f>AF312+AG312+AL312+AQ312+AV312+BA312</x:f>
        <x:v>213622.55372699298</x:v>
      </x:c>
      <x:c r="BC312" s="229" t="n">
        <x:v>0.974</x:v>
      </x:c>
      <x:c r="BD312" s="202"/>
      <x:c r="BE312" s="202" t="str">
        <x:v>正式 Forecast 逐月降低英国空运及 Carrier C 份额，但仍高于 Budget</x:v>
      </x:c>
      <x:c r="BF312" s="202" t="str">
        <x:v>英国 9—12 月订单量分别相对各月正式 Forecast 增加 10%，不复利</x:v>
      </x:c>
      <x:c r="BG312" s="202" t="str">
        <x:v>UNVERIFIED_UNLIMITED_FOR_MVP</x:v>
      </x:c>
    </x:row>
    <x:row r="313">
      <x:c r="A313" s="187" t="str">
        <x:v>SCENARIO_GROWTH_2026_08</x:v>
      </x:c>
      <x:c r="B313" s="187" t="str">
        <x:v>SCENARIO</x:v>
      </x:c>
      <x:c r="C313" s="187" t="str">
        <x:v>GROWTH</x:v>
      </x:c>
      <x:c r="D313" s="217" t="n">
        <x:v>46327</x:v>
      </x:c>
      <x:c r="E313" s="187" t="str">
        <x:v>R_GB_DE_C_AIR</x:v>
      </x:c>
      <x:c r="F313" s="187" t="str">
        <x:v>GB</x:v>
      </x:c>
      <x:c r="G313" s="187" t="str">
        <x:v>DE_FC</x:v>
      </x:c>
      <x:c r="H313" s="187" t="str">
        <x:v>CARRIER_C</x:v>
      </x:c>
      <x:c r="I313" s="187" t="str">
        <x:v>AIR</x:v>
      </x:c>
      <x:c r="J313" s="220" t="n">
        <x:v>25767.2</x:v>
      </x:c>
      <x:c r="K313" s="223" t="n">
        <x:v>0.4128970163618864</x:v>
      </x:c>
      <x:c r="L313" s="223" t="n">
        <x:v>0.96</x:v>
      </x:c>
      <x:c r="M313" s="223" t="n">
        <x:v>0.13</x:v>
      </x:c>
      <x:c r="N313" s="226" t="n">
        <x:f>J313*K313*L313*M313</x:f>
        <x:v>1327.77216</x:v>
      </x:c>
      <x:c r="O313" s="220" t="n">
        <x:v>1.17</x:v>
      </x:c>
      <x:c r="P313" s="226" t="n">
        <x:f>N313*O313</x:f>
        <x:v>1553.4934271999998</x:v>
      </x:c>
      <x:c r="Q313" s="220" t="n">
        <x:v>0.947784</x:v>
      </x:c>
      <x:c r="R313" s="226" t="n">
        <x:f>P313*Q313</x:f>
        <x:v>1472.3762144053246</x:v>
      </x:c>
      <x:c r="S313" s="220" t="n">
        <x:v>0.09</x:v>
      </x:c>
      <x:c r="T313" s="226" t="n">
        <x:f>N313*S313</x:f>
        <x:v>119.49949439999999</x:v>
      </x:c>
      <x:c r="U313" s="226" t="n">
        <x:v>0.011</x:v>
      </x:c>
      <x:c r="V313" s="226" t="n">
        <x:f>P313*U313</x:f>
        <x:v>17.088427699199997</x:v>
      </x:c>
      <x:c r="W313" s="196" t="str">
        <x:v>GBP</x:v>
      </x:c>
      <x:c r="X313" s="220" t="n">
        <x:v>8.22825</x:v>
      </x:c>
      <x:c r="Y313" s="196" t="str">
        <x:v>PER_CHARGEABLE_KG</x:v>
      </x:c>
      <x:c r="Z313" s="220" t="n">
        <x:v>0.636318</x:v>
      </x:c>
      <x:c r="AA313" s="220" t="n">
        <x:v>7.88</x:v>
      </x:c>
      <x:c r="AB313" s="220" t="n">
        <x:v>9.05</x:v>
      </x:c>
      <x:c r="AC313" s="226" t="n">
        <x:f>IF(W313="EUR",AA313,IF(W313="GBP",AB313,1))</x:f>
        <x:v>9.05</x:v>
      </x:c>
      <x:c r="AD313" s="226" t="n">
        <x:f>R313*X313</x:f>
        <x:v>12115.079586180611</x:v>
      </x:c>
      <x:c r="AE313" s="226" t="n">
        <x:f>IF(Y313="PERCENTAGE_OF_BASE_FREIGHT",AD313*Z313,IF(Y313="PER_CHARGEABLE_KG",R313*Z313,P313*Z313))</x:f>
        <x:v>936.8994879979674</x:v>
      </x:c>
      <x:c r="AF313" s="226" t="n">
        <x:f>AD313*AC313</x:f>
        <x:v>109641.47025493454</x:v>
      </x:c>
      <x:c r="AG313" s="226" t="n">
        <x:f>AE313*AC313</x:f>
        <x:v>8478.940366381607</x:v>
      </x:c>
      <x:c r="AH313" s="226" t="str">
        <x:v>EUR</x:v>
      </x:c>
      <x:c r="AI313" s="226" t="n">
        <x:v>1.2213</x:v>
      </x:c>
      <x:c r="AJ313" s="226" t="n">
        <x:f>IF(AH313="EUR",AA313,IF(AH313="GBP",AB313,1))</x:f>
        <x:v>7.88</x:v>
      </x:c>
      <x:c r="AK313" s="226" t="n">
        <x:f>N313*AI313</x:f>
        <x:v>1621.608139008</x:v>
      </x:c>
      <x:c r="AL313" s="226" t="n">
        <x:f>AK313*AJ313</x:f>
        <x:v>12778.27213538304</x:v>
      </x:c>
      <x:c r="AM313" s="226" t="str">
        <x:v>EUR</x:v>
      </x:c>
      <x:c r="AN313" s="226" t="n">
        <x:v>0.4347</x:v>
      </x:c>
      <x:c r="AO313" s="226" t="n">
        <x:f>IF(AM313="EUR",AA313,IF(AM313="GBP",AB313,1))</x:f>
        <x:v>7.88</x:v>
      </x:c>
      <x:c r="AP313" s="226" t="n">
        <x:f>P313*AN313</x:f>
        <x:v>675.3035928038399</x:v>
      </x:c>
      <x:c r="AQ313" s="226" t="n">
        <x:f>AP313*AO313</x:f>
        <x:v>5321.392311294258</x:v>
      </x:c>
      <x:c r="AR313" s="226" t="str">
        <x:v>GBP</x:v>
      </x:c>
      <x:c r="AS313" s="226" t="n">
        <x:v>4.968</x:v>
      </x:c>
      <x:c r="AT313" s="226" t="n">
        <x:f>IF(AR313="EUR",AA313,IF(AR313="GBP",AB313,1))</x:f>
        <x:v>9.05</x:v>
      </x:c>
      <x:c r="AU313" s="226" t="n">
        <x:f>T313*AS313</x:f>
        <x:v>593.6734881791999</x:v>
      </x:c>
      <x:c r="AV313" s="226" t="n">
        <x:f>AU313*AT313</x:f>
        <x:v>5372.74506802176</x:v>
      </x:c>
      <x:c r="AW313" s="226" t="str">
        <x:v>GBP</x:v>
      </x:c>
      <x:c r="AX313" s="226" t="n">
        <x:v>3.726</x:v>
      </x:c>
      <x:c r="AY313" s="226" t="n">
        <x:f>IF(AW313="EUR",AA313,IF(AW313="GBP",AB313,1))</x:f>
        <x:v>9.05</x:v>
      </x:c>
      <x:c r="AZ313" s="226" t="n">
        <x:f>V313*AX313</x:f>
        <x:v>63.671481607219185</x:v>
      </x:c>
      <x:c r="BA313" s="226" t="n">
        <x:f>AZ313*AY313</x:f>
        <x:v>576.2269085453337</x:v>
      </x:c>
      <x:c r="BB313" s="226" t="n">
        <x:f>AF313+AG313+AL313+AQ313+AV313+BA313</x:f>
        <x:v>142169.04704456055</x:v>
      </x:c>
      <x:c r="BC313" s="229" t="n">
        <x:v>0.988</x:v>
      </x:c>
      <x:c r="BD313" s="202"/>
      <x:c r="BE313" s="202" t="str">
        <x:v>正式 Forecast 逐月降低英国空运及 Carrier C 份额，但仍高于 Budget</x:v>
      </x:c>
      <x:c r="BF313" s="202" t="str">
        <x:v>英国 9—12 月订单量分别相对各月正式 Forecast 增加 10%，不复利</x:v>
      </x:c>
      <x:c r="BG313" s="202" t="str">
        <x:v>UNVERIFIED_UNLIMITED_FOR_MVP</x:v>
      </x:c>
    </x:row>
    <x:row r="314">
      <x:c r="A314" s="187" t="str">
        <x:v>SCENARIO_GROWTH_2026_08</x:v>
      </x:c>
      <x:c r="B314" s="187" t="str">
        <x:v>SCENARIO</x:v>
      </x:c>
      <x:c r="C314" s="187" t="str">
        <x:v>GROWTH</x:v>
      </x:c>
      <x:c r="D314" s="217" t="n">
        <x:v>46327</x:v>
      </x:c>
      <x:c r="E314" s="187" t="str">
        <x:v>R_GB_FR_B_AIR</x:v>
      </x:c>
      <x:c r="F314" s="187" t="str">
        <x:v>GB</x:v>
      </x:c>
      <x:c r="G314" s="187" t="str">
        <x:v>FR_FC</x:v>
      </x:c>
      <x:c r="H314" s="187" t="str">
        <x:v>CARRIER_B</x:v>
      </x:c>
      <x:c r="I314" s="187" t="str">
        <x:v>AIR</x:v>
      </x:c>
      <x:c r="J314" s="220" t="n">
        <x:v>25767.2</x:v>
      </x:c>
      <x:c r="K314" s="223" t="n">
        <x:v>0.4128970163618864</x:v>
      </x:c>
      <x:c r="L314" s="223" t="n">
        <x:v>0.04</x:v>
      </x:c>
      <x:c r="M314" s="223" t="n">
        <x:v>1</x:v>
      </x:c>
      <x:c r="N314" s="226" t="n">
        <x:f>J314*K314*L314*M314</x:f>
        <x:v>425.56800000000004</x:v>
      </x:c>
      <x:c r="O314" s="220" t="n">
        <x:v>1.17</x:v>
      </x:c>
      <x:c r="P314" s="226" t="n">
        <x:f>N314*O314</x:f>
        <x:v>497.91456</x:v>
      </x:c>
      <x:c r="Q314" s="220" t="n">
        <x:v>0.92718</x:v>
      </x:c>
      <x:c r="R314" s="226" t="n">
        <x:f>P314*Q314</x:f>
        <x:v>461.6564217408</x:v>
      </x:c>
      <x:c r="S314" s="220" t="n">
        <x:v>0.09</x:v>
      </x:c>
      <x:c r="T314" s="226" t="n">
        <x:f>N314*S314</x:f>
        <x:v>38.301120000000004</x:v>
      </x:c>
      <x:c r="U314" s="226" t="n">
        <x:v>0.014</x:v>
      </x:c>
      <x:c r="V314" s="226" t="n">
        <x:f>P314*U314</x:f>
        <x:v>6.97080384</x:v>
      </x:c>
      <x:c r="W314" s="196" t="str">
        <x:v>EUR</x:v>
      </x:c>
      <x:c r="X314" s="220" t="n">
        <x:v>6.9345</x:v>
      </x:c>
      <x:c r="Y314" s="196" t="str">
        <x:v>PERCENTAGE_OF_BASE_FREIGHT</x:v>
      </x:c>
      <x:c r="Z314" s="220" t="n">
        <x:v>0.108675</x:v>
      </x:c>
      <x:c r="AA314" s="220" t="n">
        <x:v>7.88</x:v>
      </x:c>
      <x:c r="AB314" s="220" t="n">
        <x:v>9.05</x:v>
      </x:c>
      <x:c r="AC314" s="226" t="n">
        <x:f>IF(W314="EUR",AA314,IF(W314="GBP",AB314,1))</x:f>
        <x:v>7.88</x:v>
      </x:c>
      <x:c r="AD314" s="226" t="n">
        <x:f>R314*X314</x:f>
        <x:v>3201.3564565615775</x:v>
      </x:c>
      <x:c r="AE314" s="226" t="n">
        <x:f>IF(Y314="PERCENTAGE_OF_BASE_FREIGHT",AD314*Z314,IF(Y314="PER_CHARGEABLE_KG",R314*Z314,P314*Z314))</x:f>
        <x:v>347.9074129168294</x:v>
      </x:c>
      <x:c r="AF314" s="226" t="n">
        <x:f>AD314*AC314</x:f>
        <x:v>25226.68887770523</x:v>
      </x:c>
      <x:c r="AG314" s="226" t="n">
        <x:f>AE314*AC314</x:f>
        <x:v>2741.5104137846156</x:v>
      </x:c>
      <x:c r="AH314" s="226" t="str">
        <x:v>EUR</x:v>
      </x:c>
      <x:c r="AI314" s="226" t="n">
        <x:v>1.08675</x:v>
      </x:c>
      <x:c r="AJ314" s="226" t="n">
        <x:f>IF(AH314="EUR",AA314,IF(AH314="GBP",AB314,1))</x:f>
        <x:v>7.88</x:v>
      </x:c>
      <x:c r="AK314" s="226" t="n">
        <x:f>N314*AI314</x:f>
        <x:v>462.4860240000001</x:v>
      </x:c>
      <x:c r="AL314" s="226" t="n">
        <x:f>AK314*AJ314</x:f>
        <x:v>3644.3898691200006</x:v>
      </x:c>
      <x:c r="AM314" s="226" t="str">
        <x:v>EUR</x:v>
      </x:c>
      <x:c r="AN314" s="226" t="n">
        <x:v>0.3933</x:v>
      </x:c>
      <x:c r="AO314" s="226" t="n">
        <x:f>IF(AM314="EUR",AA314,IF(AM314="GBP",AB314,1))</x:f>
        <x:v>7.88</x:v>
      </x:c>
      <x:c r="AP314" s="226" t="n">
        <x:f>P314*AN314</x:f>
        <x:v>195.829796448</x:v>
      </x:c>
      <x:c r="AQ314" s="226" t="n">
        <x:f>AP314*AO314</x:f>
        <x:v>1543.13879601024</x:v>
      </x:c>
      <x:c r="AR314" s="226" t="str">
        <x:v>EUR</x:v>
      </x:c>
      <x:c r="AS314" s="226" t="n">
        <x:v>5.382</x:v>
      </x:c>
      <x:c r="AT314" s="226" t="n">
        <x:f>IF(AR314="EUR",AA314,IF(AR314="GBP",AB314,1))</x:f>
        <x:v>7.88</x:v>
      </x:c>
      <x:c r="AU314" s="226" t="n">
        <x:f>T314*AS314</x:f>
        <x:v>206.13662784000002</x:v>
      </x:c>
      <x:c r="AV314" s="226" t="n">
        <x:f>AU314*AT314</x:f>
        <x:v>1624.3566273792</x:v>
      </x:c>
      <x:c r="AW314" s="226" t="str">
        <x:v>EUR</x:v>
      </x:c>
      <x:c r="AX314" s="226" t="n">
        <x:v>2.898</x:v>
      </x:c>
      <x:c r="AY314" s="226" t="n">
        <x:f>IF(AW314="EUR",AA314,IF(AW314="GBP",AB314,1))</x:f>
        <x:v>7.88</x:v>
      </x:c>
      <x:c r="AZ314" s="226" t="n">
        <x:f>V314*AX314</x:f>
        <x:v>20.201389528320004</x:v>
      </x:c>
      <x:c r="BA314" s="226" t="n">
        <x:f>AZ314*AY314</x:f>
        <x:v>159.1869494831616</x:v>
      </x:c>
      <x:c r="BB314" s="226" t="n">
        <x:f>AF314+AG314+AL314+AQ314+AV314+BA314</x:f>
        <x:v>34939.271533482446</x:v>
      </x:c>
      <x:c r="BC314" s="229" t="n">
        <x:v>0.971</x:v>
      </x:c>
      <x:c r="BD314" s="202"/>
      <x:c r="BE314" s="202" t="str">
        <x:v>正式 Forecast 逐月降低英国空运及 Carrier C 份额，但仍高于 Budget</x:v>
      </x:c>
      <x:c r="BF314" s="202" t="str">
        <x:v>英国 9—12 月订单量分别相对各月正式 Forecast 增加 10%，不复利</x:v>
      </x:c>
      <x:c r="BG314" s="202" t="str">
        <x:v>UNVERIFIED_UNLIMITED_FOR_MVP</x:v>
      </x:c>
    </x:row>
    <x:row r="315">
      <x:c r="A315" s="187" t="str">
        <x:v>SCENARIO_GROWTH_2026_08</x:v>
      </x:c>
      <x:c r="B315" s="187" t="str">
        <x:v>SCENARIO</x:v>
      </x:c>
      <x:c r="C315" s="187" t="str">
        <x:v>GROWTH</x:v>
      </x:c>
      <x:c r="D315" s="217" t="n">
        <x:v>46357</x:v>
      </x:c>
      <x:c r="E315" s="187" t="str">
        <x:v>R_DE_DE_A_ROAD</x:v>
      </x:c>
      <x:c r="F315" s="187" t="str">
        <x:v>DE</x:v>
      </x:c>
      <x:c r="G315" s="187" t="str">
        <x:v>DE_FC</x:v>
      </x:c>
      <x:c r="H315" s="187" t="str">
        <x:v>CARRIER_A</x:v>
      </x:c>
      <x:c r="I315" s="187" t="str">
        <x:v>ROAD</x:v>
      </x:c>
      <x:c r="J315" s="220" t="n">
        <x:v>29744</x:v>
      </x:c>
      <x:c r="K315" s="223" t="n">
        <x:v>0.3076923076923077</x:v>
      </x:c>
      <x:c r="L315" s="223" t="n">
        <x:v>0.97</x:v>
      </x:c>
      <x:c r="M315" s="223" t="n">
        <x:v>0.6</x:v>
      </x:c>
      <x:c r="N315" s="226" t="n">
        <x:f>J315*K315*L315*M315</x:f>
        <x:v>5326.464</x:v>
      </x:c>
      <x:c r="O315" s="220" t="n">
        <x:v>1.05</x:v>
      </x:c>
      <x:c r="P315" s="226" t="n">
        <x:f>N315*O315</x:f>
        <x:v>5592.7872</x:v>
      </x:c>
      <x:c r="Q315" s="220" t="n">
        <x:v>0.7878</x:v>
      </x:c>
      <x:c r="R315" s="226" t="n">
        <x:f>P315*Q315</x:f>
        <x:v>4405.99775616</x:v>
      </x:c>
      <x:c r="S315" s="220" t="n">
        <x:v>0.05</x:v>
      </x:c>
      <x:c r="T315" s="226" t="n">
        <x:f>N315*S315</x:f>
        <x:v>266.3232</x:v>
      </x:c>
      <x:c r="U315" s="226" t="n">
        <x:v>0.016</x:v>
      </x:c>
      <x:c r="V315" s="226" t="n">
        <x:f>P315*U315</x:f>
        <x:v>89.4845952</x:v>
      </x:c>
      <x:c r="W315" s="196" t="str">
        <x:v>EUR</x:v>
      </x:c>
      <x:c r="X315" s="220" t="n">
        <x:v>2.277</x:v>
      </x:c>
      <x:c r="Y315" s="196" t="str">
        <x:v>PERCENTAGE_OF_BASE_FREIGHT</x:v>
      </x:c>
      <x:c r="Z315" s="220" t="n">
        <x:v>0.098325</x:v>
      </x:c>
      <x:c r="AA315" s="220" t="n">
        <x:v>7.86</x:v>
      </x:c>
      <x:c r="AB315" s="220" t="n">
        <x:v>9</x:v>
      </x:c>
      <x:c r="AC315" s="226" t="n">
        <x:f>IF(W315="EUR",AA315,IF(W315="GBP",AB315,1))</x:f>
        <x:v>7.86</x:v>
      </x:c>
      <x:c r="AD315" s="226" t="n">
        <x:f>R315*X315</x:f>
        <x:v>10032.45689077632</x:v>
      </x:c>
      <x:c r="AE315" s="226" t="n">
        <x:f>IF(Y315="PERCENTAGE_OF_BASE_FREIGHT",AD315*Z315,IF(Y315="PER_CHARGEABLE_KG",R315*Z315,P315*Z315))</x:f>
        <x:v>986.4413237855816</x:v>
      </x:c>
      <x:c r="AF315" s="226" t="n">
        <x:f>AD315*AC315</x:f>
        <x:v>78855.11116150189</x:v>
      </x:c>
      <x:c r="AG315" s="226" t="n">
        <x:f>AE315*AC315</x:f>
        <x:v>7753.428804954672</x:v>
      </x:c>
      <x:c r="AH315" s="226" t="str">
        <x:v>EUR</x:v>
      </x:c>
      <x:c r="AI315" s="226" t="n">
        <x:v>1.2213</x:v>
      </x:c>
      <x:c r="AJ315" s="226" t="n">
        <x:f>IF(AH315="EUR",AA315,IF(AH315="GBP",AB315,1))</x:f>
        <x:v>7.86</x:v>
      </x:c>
      <x:c r="AK315" s="226" t="n">
        <x:f>N315*AI315</x:f>
        <x:v>6505.2104832</x:v>
      </x:c>
      <x:c r="AL315" s="226" t="n">
        <x:f>AK315*AJ315</x:f>
        <x:v>51130.954397952</x:v>
      </x:c>
      <x:c r="AM315" s="226" t="str">
        <x:v>EUR</x:v>
      </x:c>
      <x:c r="AN315" s="226" t="n">
        <x:v>0.4347</x:v>
      </x:c>
      <x:c r="AO315" s="226" t="n">
        <x:f>IF(AM315="EUR",AA315,IF(AM315="GBP",AB315,1))</x:f>
        <x:v>7.86</x:v>
      </x:c>
      <x:c r="AP315" s="226" t="n">
        <x:f>P315*AN315</x:f>
        <x:v>2431.18459584</x:v>
      </x:c>
      <x:c r="AQ315" s="226" t="n">
        <x:f>AP315*AO315</x:f>
        <x:v>19109.1109233024</x:v>
      </x:c>
      <x:c r="AR315" s="226" t="str">
        <x:v>EUR</x:v>
      </x:c>
      <x:c r="AS315" s="226" t="n">
        <x:v>3.312</x:v>
      </x:c>
      <x:c r="AT315" s="226" t="n">
        <x:f>IF(AR315="EUR",AA315,IF(AR315="GBP",AB315,1))</x:f>
        <x:v>7.86</x:v>
      </x:c>
      <x:c r="AU315" s="226" t="n">
        <x:f>T315*AS315</x:f>
        <x:v>882.0624383999999</x:v>
      </x:c>
      <x:c r="AV315" s="226" t="n">
        <x:f>AU315*AT315</x:f>
        <x:v>6933.0107658239995</x:v>
      </x:c>
      <x:c r="AW315" s="226" t="str">
        <x:v>EUR</x:v>
      </x:c>
      <x:c r="AX315" s="226" t="n">
        <x:v>2.3805</x:v>
      </x:c>
      <x:c r="AY315" s="226" t="n">
        <x:f>IF(AW315="EUR",AA315,IF(AW315="GBP",AB315,1))</x:f>
        <x:v>7.86</x:v>
      </x:c>
      <x:c r="AZ315" s="226" t="n">
        <x:f>V315*AX315</x:f>
        <x:v>213.01807887360002</x:v>
      </x:c>
      <x:c r="BA315" s="226" t="n">
        <x:f>AZ315*AY315</x:f>
        <x:v>1674.322099946496</x:v>
      </x:c>
      <x:c r="BB315" s="226" t="n">
        <x:f>AF315+AG315+AL315+AQ315+AV315+BA315</x:f>
        <x:v>165455.93815348146</x:v>
      </x:c>
      <x:c r="BC315" s="229" t="n">
        <x:v>0.965</x:v>
      </x:c>
      <x:c r="BD315" s="202"/>
      <x:c r="BE315" s="202" t="str">
        <x:v>正式 Forecast 逐月降低英国空运及 Carrier C 份额，但仍高于 Budget</x:v>
      </x:c>
      <x:c r="BF315" s="202" t="str">
        <x:v>英国 9—12 月订单量分别相对各月正式 Forecast 增加 10%，不复利</x:v>
      </x:c>
      <x:c r="BG315" s="202" t="str">
        <x:v>UNVERIFIED_UNLIMITED_FOR_MVP</x:v>
      </x:c>
    </x:row>
    <x:row r="316">
      <x:c r="A316" s="187" t="str">
        <x:v>SCENARIO_GROWTH_2026_08</x:v>
      </x:c>
      <x:c r="B316" s="187" t="str">
        <x:v>SCENARIO</x:v>
      </x:c>
      <x:c r="C316" s="187" t="str">
        <x:v>GROWTH</x:v>
      </x:c>
      <x:c r="D316" s="217" t="n">
        <x:v>46357</x:v>
      </x:c>
      <x:c r="E316" s="187" t="str">
        <x:v>R_DE_DE_B_ROAD</x:v>
      </x:c>
      <x:c r="F316" s="187" t="str">
        <x:v>DE</x:v>
      </x:c>
      <x:c r="G316" s="187" t="str">
        <x:v>DE_FC</x:v>
      </x:c>
      <x:c r="H316" s="187" t="str">
        <x:v>CARRIER_B</x:v>
      </x:c>
      <x:c r="I316" s="187" t="str">
        <x:v>ROAD</x:v>
      </x:c>
      <x:c r="J316" s="220" t="n">
        <x:v>29744</x:v>
      </x:c>
      <x:c r="K316" s="223" t="n">
        <x:v>0.3076923076923077</x:v>
      </x:c>
      <x:c r="L316" s="223" t="n">
        <x:v>0.97</x:v>
      </x:c>
      <x:c r="M316" s="223" t="n">
        <x:v>0.4</x:v>
      </x:c>
      <x:c r="N316" s="226" t="n">
        <x:f>J316*K316*L316*M316</x:f>
        <x:v>3550.9760000000006</x:v>
      </x:c>
      <x:c r="O316" s="220" t="n">
        <x:v>1.05</x:v>
      </x:c>
      <x:c r="P316" s="226" t="n">
        <x:f>N316*O316</x:f>
        <x:v>3728.5248000000006</x:v>
      </x:c>
      <x:c r="Q316" s="220" t="n">
        <x:v>0.808</x:v>
      </x:c>
      <x:c r="R316" s="226" t="n">
        <x:f>P316*Q316</x:f>
        <x:v>3012.6480384000006</x:v>
      </x:c>
      <x:c r="S316" s="220" t="n">
        <x:v>0.05</x:v>
      </x:c>
      <x:c r="T316" s="226" t="n">
        <x:f>N316*S316</x:f>
        <x:v>177.54880000000003</x:v>
      </x:c>
      <x:c r="U316" s="226" t="n">
        <x:v>0.013</x:v>
      </x:c>
      <x:c r="V316" s="226" t="n">
        <x:f>P316*U316</x:f>
        <x:v>48.4708224</x:v>
      </x:c>
      <x:c r="W316" s="196" t="str">
        <x:v>EUR</x:v>
      </x:c>
      <x:c r="X316" s="220" t="n">
        <x:v>2.84625</x:v>
      </x:c>
      <x:c r="Y316" s="196" t="str">
        <x:v>PER_CHARGEABLE_KG</x:v>
      </x:c>
      <x:c r="Z316" s="220" t="n">
        <x:v>0.21735</x:v>
      </x:c>
      <x:c r="AA316" s="220" t="n">
        <x:v>7.86</x:v>
      </x:c>
      <x:c r="AB316" s="220" t="n">
        <x:v>9</x:v>
      </x:c>
      <x:c r="AC316" s="226" t="n">
        <x:f>IF(W316="EUR",AA316,IF(W316="GBP",AB316,1))</x:f>
        <x:v>7.86</x:v>
      </x:c>
      <x:c r="AD316" s="226" t="n">
        <x:f>R316*X316</x:f>
        <x:v>8574.749479296002</x:v>
      </x:c>
      <x:c r="AE316" s="226" t="n">
        <x:f>IF(Y316="PERCENTAGE_OF_BASE_FREIGHT",AD316*Z316,IF(Y316="PER_CHARGEABLE_KG",R316*Z316,P316*Z316))</x:f>
        <x:v>654.7990511462401</x:v>
      </x:c>
      <x:c r="AF316" s="226" t="n">
        <x:f>AD316*AC316</x:f>
        <x:v>67397.53090726658</x:v>
      </x:c>
      <x:c r="AG316" s="226" t="n">
        <x:f>AE316*AC316</x:f>
        <x:v>5146.720542009448</x:v>
      </x:c>
      <x:c r="AH316" s="226" t="str">
        <x:v>EUR</x:v>
      </x:c>
      <x:c r="AI316" s="226" t="n">
        <x:v>1.2213</x:v>
      </x:c>
      <x:c r="AJ316" s="226" t="n">
        <x:f>IF(AH316="EUR",AA316,IF(AH316="GBP",AB316,1))</x:f>
        <x:v>7.86</x:v>
      </x:c>
      <x:c r="AK316" s="226" t="n">
        <x:f>N316*AI316</x:f>
        <x:v>4336.806988800001</x:v>
      </x:c>
      <x:c r="AL316" s="226" t="n">
        <x:f>AK316*AJ316</x:f>
        <x:v>34087.302931968006</x:v>
      </x:c>
      <x:c r="AM316" s="226" t="str">
        <x:v>EUR</x:v>
      </x:c>
      <x:c r="AN316" s="226" t="n">
        <x:v>0.4347</x:v>
      </x:c>
      <x:c r="AO316" s="226" t="n">
        <x:f>IF(AM316="EUR",AA316,IF(AM316="GBP",AB316,1))</x:f>
        <x:v>7.86</x:v>
      </x:c>
      <x:c r="AP316" s="226" t="n">
        <x:f>P316*AN316</x:f>
        <x:v>1620.7897305600002</x:v>
      </x:c>
      <x:c r="AQ316" s="226" t="n">
        <x:f>AP316*AO316</x:f>
        <x:v>12739.407282201602</x:v>
      </x:c>
      <x:c r="AR316" s="226" t="str">
        <x:v>EUR</x:v>
      </x:c>
      <x:c r="AS316" s="226" t="n">
        <x:v>3.312</x:v>
      </x:c>
      <x:c r="AT316" s="226" t="n">
        <x:f>IF(AR316="EUR",AA316,IF(AR316="GBP",AB316,1))</x:f>
        <x:v>7.86</x:v>
      </x:c>
      <x:c r="AU316" s="226" t="n">
        <x:f>T316*AS316</x:f>
        <x:v>588.0416256000001</x:v>
      </x:c>
      <x:c r="AV316" s="226" t="n">
        <x:f>AU316*AT316</x:f>
        <x:v>4622.007177216001</x:v>
      </x:c>
      <x:c r="AW316" s="226" t="str">
        <x:v>EUR</x:v>
      </x:c>
      <x:c r="AX316" s="226" t="n">
        <x:v>2.3805</x:v>
      </x:c>
      <x:c r="AY316" s="226" t="n">
        <x:f>IF(AW316="EUR",AA316,IF(AW316="GBP",AB316,1))</x:f>
        <x:v>7.86</x:v>
      </x:c>
      <x:c r="AZ316" s="226" t="n">
        <x:f>V316*AX316</x:f>
        <x:v>115.38479272320001</x:v>
      </x:c>
      <x:c r="BA316" s="226" t="n">
        <x:f>AZ316*AY316</x:f>
        <x:v>906.924470804352</x:v>
      </x:c>
      <x:c r="BB316" s="226" t="n">
        <x:f>AF316+AG316+AL316+AQ316+AV316+BA316</x:f>
        <x:v>124899.893311466</x:v>
      </x:c>
      <x:c r="BC316" s="229" t="n">
        <x:v>0.976</x:v>
      </x:c>
      <x:c r="BD316" s="202"/>
      <x:c r="BE316" s="202" t="str">
        <x:v>正式 Forecast 逐月降低英国空运及 Carrier C 份额，但仍高于 Budget</x:v>
      </x:c>
      <x:c r="BF316" s="202" t="str">
        <x:v>英国 9—12 月订单量分别相对各月正式 Forecast 增加 10%，不复利</x:v>
      </x:c>
      <x:c r="BG316" s="202" t="str">
        <x:v>UNVERIFIED_UNLIMITED_FOR_MVP</x:v>
      </x:c>
    </x:row>
    <x:row r="317">
      <x:c r="A317" s="187" t="str">
        <x:v>SCENARIO_GROWTH_2026_08</x:v>
      </x:c>
      <x:c r="B317" s="187" t="str">
        <x:v>SCENARIO</x:v>
      </x:c>
      <x:c r="C317" s="187" t="str">
        <x:v>GROWTH</x:v>
      </x:c>
      <x:c r="D317" s="217" t="n">
        <x:v>46357</x:v>
      </x:c>
      <x:c r="E317" s="187" t="str">
        <x:v>R_DE_FR_B_ROAD</x:v>
      </x:c>
      <x:c r="F317" s="187" t="str">
        <x:v>DE</x:v>
      </x:c>
      <x:c r="G317" s="187" t="str">
        <x:v>FR_FC</x:v>
      </x:c>
      <x:c r="H317" s="187" t="str">
        <x:v>CARRIER_B</x:v>
      </x:c>
      <x:c r="I317" s="187" t="str">
        <x:v>ROAD</x:v>
      </x:c>
      <x:c r="J317" s="220" t="n">
        <x:v>29744</x:v>
      </x:c>
      <x:c r="K317" s="223" t="n">
        <x:v>0.3076923076923077</x:v>
      </x:c>
      <x:c r="L317" s="223" t="n">
        <x:v>0.03</x:v>
      </x:c>
      <x:c r="M317" s="223" t="n">
        <x:v>1</x:v>
      </x:c>
      <x:c r="N317" s="226" t="n">
        <x:f>J317*K317*L317*M317</x:f>
        <x:v>274.56</x:v>
      </x:c>
      <x:c r="O317" s="220" t="n">
        <x:v>1.08</x:v>
      </x:c>
      <x:c r="P317" s="226" t="n">
        <x:f>N317*O317</x:f>
        <x:v>296.5248</x:v>
      </x:c>
      <x:c r="Q317" s="220" t="n">
        <x:v>0.8686</x:v>
      </x:c>
      <x:c r="R317" s="226" t="n">
        <x:f>P317*Q317</x:f>
        <x:v>257.56144128000005</x:v>
      </x:c>
      <x:c r="S317" s="220" t="n">
        <x:v>0.05</x:v>
      </x:c>
      <x:c r="T317" s="226" t="n">
        <x:f>N317*S317</x:f>
        <x:v>13.728000000000002</x:v>
      </x:c>
      <x:c r="U317" s="226" t="n">
        <x:v>0.014</x:v>
      </x:c>
      <x:c r="V317" s="226" t="n">
        <x:f>P317*U317</x:f>
        <x:v>4.151347200000001</x:v>
      </x:c>
      <x:c r="W317" s="196" t="str">
        <x:v>EUR</x:v>
      </x:c>
      <x:c r="X317" s="220" t="n">
        <x:v>3.4155</x:v>
      </x:c>
      <x:c r="Y317" s="196" t="str">
        <x:v>PER_CHARGEABLE_KG</x:v>
      </x:c>
      <x:c r="Z317" s="220" t="n">
        <x:v>0.2484</x:v>
      </x:c>
      <x:c r="AA317" s="220" t="n">
        <x:v>7.86</x:v>
      </x:c>
      <x:c r="AB317" s="220" t="n">
        <x:v>9</x:v>
      </x:c>
      <x:c r="AC317" s="226" t="n">
        <x:f>IF(W317="EUR",AA317,IF(W317="GBP",AB317,1))</x:f>
        <x:v>7.86</x:v>
      </x:c>
      <x:c r="AD317" s="226" t="n">
        <x:f>R317*X317</x:f>
        <x:v>879.7011026918402</x:v>
      </x:c>
      <x:c r="AE317" s="226" t="n">
        <x:f>IF(Y317="PERCENTAGE_OF_BASE_FREIGHT",AD317*Z317,IF(Y317="PER_CHARGEABLE_KG",R317*Z317,P317*Z317))</x:f>
        <x:v>63.97826201395202</x:v>
      </x:c>
      <x:c r="AF317" s="226" t="n">
        <x:f>AD317*AC317</x:f>
        <x:v>6914.450667157865</x:v>
      </x:c>
      <x:c r="AG317" s="226" t="n">
        <x:f>AE317*AC317</x:f>
        <x:v>502.8691394296629</x:v>
      </x:c>
      <x:c r="AH317" s="226" t="str">
        <x:v>EUR</x:v>
      </x:c>
      <x:c r="AI317" s="226" t="n">
        <x:v>1.08675</x:v>
      </x:c>
      <x:c r="AJ317" s="226" t="n">
        <x:f>IF(AH317="EUR",AA317,IF(AH317="GBP",AB317,1))</x:f>
        <x:v>7.86</x:v>
      </x:c>
      <x:c r="AK317" s="226" t="n">
        <x:f>N317*AI317</x:f>
        <x:v>298.37808</x:v>
      </x:c>
      <x:c r="AL317" s="226" t="n">
        <x:f>AK317*AJ317</x:f>
        <x:v>2345.2517088</x:v>
      </x:c>
      <x:c r="AM317" s="226" t="str">
        <x:v>EUR</x:v>
      </x:c>
      <x:c r="AN317" s="226" t="n">
        <x:v>0.3933</x:v>
      </x:c>
      <x:c r="AO317" s="226" t="n">
        <x:f>IF(AM317="EUR",AA317,IF(AM317="GBP",AB317,1))</x:f>
        <x:v>7.86</x:v>
      </x:c>
      <x:c r="AP317" s="226" t="n">
        <x:f>P317*AN317</x:f>
        <x:v>116.62320384</x:v>
      </x:c>
      <x:c r="AQ317" s="226" t="n">
        <x:f>AP317*AO317</x:f>
        <x:v>916.6583821824</x:v>
      </x:c>
      <x:c r="AR317" s="226" t="str">
        <x:v>EUR</x:v>
      </x:c>
      <x:c r="AS317" s="226" t="n">
        <x:v>3.933</x:v>
      </x:c>
      <x:c r="AT317" s="226" t="n">
        <x:f>IF(AR317="EUR",AA317,IF(AR317="GBP",AB317,1))</x:f>
        <x:v>7.86</x:v>
      </x:c>
      <x:c r="AU317" s="226" t="n">
        <x:f>T317*AS317</x:f>
        <x:v>53.992224</x:v>
      </x:c>
      <x:c r="AV317" s="226" t="n">
        <x:f>AU317*AT317</x:f>
        <x:v>424.37888064000003</x:v>
      </x:c>
      <x:c r="AW317" s="226" t="str">
        <x:v>EUR</x:v>
      </x:c>
      <x:c r="AX317" s="226" t="n">
        <x:v>2.3805</x:v>
      </x:c>
      <x:c r="AY317" s="226" t="n">
        <x:f>IF(AW317="EUR",AA317,IF(AW317="GBP",AB317,1))</x:f>
        <x:v>7.86</x:v>
      </x:c>
      <x:c r="AZ317" s="226" t="n">
        <x:f>V317*AX317</x:f>
        <x:v>9.882282009600003</x:v>
      </x:c>
      <x:c r="BA317" s="226" t="n">
        <x:f>AZ317*AY317</x:f>
        <x:v>77.67473659545603</x:v>
      </x:c>
      <x:c r="BB317" s="226" t="n">
        <x:f>AF317+AG317+AL317+AQ317+AV317+BA317</x:f>
        <x:v>11181.283514805385</x:v>
      </x:c>
      <x:c r="BC317" s="229" t="n">
        <x:v>0.968</x:v>
      </x:c>
      <x:c r="BD317" s="202"/>
      <x:c r="BE317" s="202" t="str">
        <x:v>正式 Forecast 逐月降低英国空运及 Carrier C 份额，但仍高于 Budget</x:v>
      </x:c>
      <x:c r="BF317" s="202" t="str">
        <x:v>英国 9—12 月订单量分别相对各月正式 Forecast 增加 10%，不复利</x:v>
      </x:c>
      <x:c r="BG317" s="202" t="str">
        <x:v>UNVERIFIED_UNLIMITED_FOR_MVP</x:v>
      </x:c>
    </x:row>
    <x:row r="318">
      <x:c r="A318" s="187" t="str">
        <x:v>SCENARIO_GROWTH_2026_08</x:v>
      </x:c>
      <x:c r="B318" s="187" t="str">
        <x:v>SCENARIO</x:v>
      </x:c>
      <x:c r="C318" s="187" t="str">
        <x:v>GROWTH</x:v>
      </x:c>
      <x:c r="D318" s="217" t="n">
        <x:v>46357</x:v>
      </x:c>
      <x:c r="E318" s="187" t="str">
        <x:v>R_FR_FR_A_ROAD</x:v>
      </x:c>
      <x:c r="F318" s="187" t="str">
        <x:v>FR</x:v>
      </x:c>
      <x:c r="G318" s="187" t="str">
        <x:v>FR_FC</x:v>
      </x:c>
      <x:c r="H318" s="187" t="str">
        <x:v>CARRIER_A</x:v>
      </x:c>
      <x:c r="I318" s="187" t="str">
        <x:v>ROAD</x:v>
      </x:c>
      <x:c r="J318" s="220" t="n">
        <x:v>29744</x:v>
      </x:c>
      <x:c r="K318" s="223" t="n">
        <x:v>0.2692307692307692</x:v>
      </x:c>
      <x:c r="L318" s="223" t="n">
        <x:v>1</x:v>
      </x:c>
      <x:c r="M318" s="223" t="n">
        <x:v>0.35</x:v>
      </x:c>
      <x:c r="N318" s="226" t="n">
        <x:f>J318*K318*L318*M318</x:f>
        <x:v>2802.7999999999997</x:v>
      </x:c>
      <x:c r="O318" s="220" t="n">
        <x:v>1.06</x:v>
      </x:c>
      <x:c r="P318" s="226" t="n">
        <x:f>N318*O318</x:f>
        <x:v>2970.968</x:v>
      </x:c>
      <x:c r="Q318" s="220" t="n">
        <x:v>0.7676</x:v>
      </x:c>
      <x:c r="R318" s="226" t="n">
        <x:f>P318*Q318</x:f>
        <x:v>2280.5150367999995</x:v>
      </x:c>
      <x:c r="S318" s="220" t="n">
        <x:v>0.06</x:v>
      </x:c>
      <x:c r="T318" s="226" t="n">
        <x:f>N318*S318</x:f>
        <x:v>168.16799999999998</x:v>
      </x:c>
      <x:c r="U318" s="226" t="n">
        <x:v>0.017</x:v>
      </x:c>
      <x:c r="V318" s="226" t="n">
        <x:f>P318*U318</x:f>
        <x:v>50.506456</x:v>
      </x:c>
      <x:c r="W318" s="196" t="str">
        <x:v>EUR</x:v>
      </x:c>
      <x:c r="X318" s="220" t="n">
        <x:v>2.1735</x:v>
      </x:c>
      <x:c r="Y318" s="196" t="str">
        <x:v>PERCENTAGE_OF_BASE_FREIGHT</x:v>
      </x:c>
      <x:c r="Z318" s="220" t="n">
        <x:v>0.09315</x:v>
      </x:c>
      <x:c r="AA318" s="220" t="n">
        <x:v>7.86</x:v>
      </x:c>
      <x:c r="AB318" s="220" t="n">
        <x:v>9</x:v>
      </x:c>
      <x:c r="AC318" s="226" t="n">
        <x:f>IF(W318="EUR",AA318,IF(W318="GBP",AB318,1))</x:f>
        <x:v>7.86</x:v>
      </x:c>
      <x:c r="AD318" s="226" t="n">
        <x:f>R318*X318</x:f>
        <x:v>4956.699432484799</x:v>
      </x:c>
      <x:c r="AE318" s="226" t="n">
        <x:f>IF(Y318="PERCENTAGE_OF_BASE_FREIGHT",AD318*Z318,IF(Y318="PER_CHARGEABLE_KG",R318*Z318,P318*Z318))</x:f>
        <x:v>461.71655213595903</x:v>
      </x:c>
      <x:c r="AF318" s="226" t="n">
        <x:f>AD318*AC318</x:f>
        <x:v>38959.657539330525</x:v>
      </x:c>
      <x:c r="AG318" s="226" t="n">
        <x:f>AE318*AC318</x:f>
        <x:v>3629.0920997886383</x:v>
      </x:c>
      <x:c r="AH318" s="226" t="str">
        <x:v>EUR</x:v>
      </x:c>
      <x:c r="AI318" s="226" t="n">
        <x:v>1.08675</x:v>
      </x:c>
      <x:c r="AJ318" s="226" t="n">
        <x:f>IF(AH318="EUR",AA318,IF(AH318="GBP",AB318,1))</x:f>
        <x:v>7.86</x:v>
      </x:c>
      <x:c r="AK318" s="226" t="n">
        <x:f>N318*AI318</x:f>
        <x:v>3045.9429</x:v>
      </x:c>
      <x:c r="AL318" s="226" t="n">
        <x:f>AK318*AJ318</x:f>
        <x:v>23941.111194</x:v>
      </x:c>
      <x:c r="AM318" s="226" t="str">
        <x:v>EUR</x:v>
      </x:c>
      <x:c r="AN318" s="226" t="n">
        <x:v>0.3933</x:v>
      </x:c>
      <x:c r="AO318" s="226" t="n">
        <x:f>IF(AM318="EUR",AA318,IF(AM318="GBP",AB318,1))</x:f>
        <x:v>7.86</x:v>
      </x:c>
      <x:c r="AP318" s="226" t="n">
        <x:f>P318*AN318</x:f>
        <x:v>1168.4817143999999</x:v>
      </x:c>
      <x:c r="AQ318" s="226" t="n">
        <x:f>AP318*AO318</x:f>
        <x:v>9184.266275184</x:v>
      </x:c>
      <x:c r="AR318" s="226" t="str">
        <x:v>EUR</x:v>
      </x:c>
      <x:c r="AS318" s="226" t="n">
        <x:v>3.105</x:v>
      </x:c>
      <x:c r="AT318" s="226" t="n">
        <x:f>IF(AR318="EUR",AA318,IF(AR318="GBP",AB318,1))</x:f>
        <x:v>7.86</x:v>
      </x:c>
      <x:c r="AU318" s="226" t="n">
        <x:f>T318*AS318</x:f>
        <x:v>522.1616399999999</x:v>
      </x:c>
      <x:c r="AV318" s="226" t="n">
        <x:f>AU318*AT318</x:f>
        <x:v>4104.190490399999</x:v>
      </x:c>
      <x:c r="AW318" s="226" t="str">
        <x:v>EUR</x:v>
      </x:c>
      <x:c r="AX318" s="226" t="n">
        <x:v>2.3805</x:v>
      </x:c>
      <x:c r="AY318" s="226" t="n">
        <x:f>IF(AW318="EUR",AA318,IF(AW318="GBP",AB318,1))</x:f>
        <x:v>7.86</x:v>
      </x:c>
      <x:c r="AZ318" s="226" t="n">
        <x:f>V318*AX318</x:f>
        <x:v>120.230618508</x:v>
      </x:c>
      <x:c r="BA318" s="226" t="n">
        <x:f>AZ318*AY318</x:f>
        <x:v>945.01266147288</x:v>
      </x:c>
      <x:c r="BB318" s="226" t="n">
        <x:f>AF318+AG318+AL318+AQ318+AV318+BA318</x:f>
        <x:v>80763.33026017604</x:v>
      </x:c>
      <x:c r="BC318" s="229" t="n">
        <x:v>0.961</x:v>
      </x:c>
      <x:c r="BD318" s="202"/>
      <x:c r="BE318" s="202" t="str">
        <x:v>正式 Forecast 逐月降低英国空运及 Carrier C 份额，但仍高于 Budget</x:v>
      </x:c>
      <x:c r="BF318" s="202" t="str">
        <x:v>英国 9—12 月订单量分别相对各月正式 Forecast 增加 10%，不复利</x:v>
      </x:c>
      <x:c r="BG318" s="202" t="str">
        <x:v>UNVERIFIED_UNLIMITED_FOR_MVP</x:v>
      </x:c>
    </x:row>
    <x:row r="319">
      <x:c r="A319" s="187" t="str">
        <x:v>SCENARIO_GROWTH_2026_08</x:v>
      </x:c>
      <x:c r="B319" s="187" t="str">
        <x:v>SCENARIO</x:v>
      </x:c>
      <x:c r="C319" s="187" t="str">
        <x:v>GROWTH</x:v>
      </x:c>
      <x:c r="D319" s="217" t="n">
        <x:v>46357</x:v>
      </x:c>
      <x:c r="E319" s="187" t="str">
        <x:v>R_FR_FR_B_ROAD</x:v>
      </x:c>
      <x:c r="F319" s="187" t="str">
        <x:v>FR</x:v>
      </x:c>
      <x:c r="G319" s="187" t="str">
        <x:v>FR_FC</x:v>
      </x:c>
      <x:c r="H319" s="187" t="str">
        <x:v>CARRIER_B</x:v>
      </x:c>
      <x:c r="I319" s="187" t="str">
        <x:v>ROAD</x:v>
      </x:c>
      <x:c r="J319" s="220" t="n">
        <x:v>29744</x:v>
      </x:c>
      <x:c r="K319" s="223" t="n">
        <x:v>0.2692307692307692</x:v>
      </x:c>
      <x:c r="L319" s="223" t="n">
        <x:v>1</x:v>
      </x:c>
      <x:c r="M319" s="223" t="n">
        <x:v>0.65</x:v>
      </x:c>
      <x:c r="N319" s="226" t="n">
        <x:f>J319*K319*L319*M319</x:f>
        <x:v>5205.2</x:v>
      </x:c>
      <x:c r="O319" s="220" t="n">
        <x:v>1.06</x:v>
      </x:c>
      <x:c r="P319" s="226" t="n">
        <x:f>N319*O319</x:f>
        <x:v>5517.512</x:v>
      </x:c>
      <x:c r="Q319" s="220" t="n">
        <x:v>0.7979</x:v>
      </x:c>
      <x:c r="R319" s="226" t="n">
        <x:f>P319*Q319</x:f>
        <x:v>4402.4228248</x:v>
      </x:c>
      <x:c r="S319" s="220" t="n">
        <x:v>0.06</x:v>
      </x:c>
      <x:c r="T319" s="226" t="n">
        <x:f>N319*S319</x:f>
        <x:v>312.31199999999995</x:v>
      </x:c>
      <x:c r="U319" s="226" t="n">
        <x:v>0.014</x:v>
      </x:c>
      <x:c r="V319" s="226" t="n">
        <x:f>P319*U319</x:f>
        <x:v>77.24516799999999</x:v>
      </x:c>
      <x:c r="W319" s="196" t="str">
        <x:v>EUR</x:v>
      </x:c>
      <x:c r="X319" s="220" t="n">
        <x:v>2.691</x:v>
      </x:c>
      <x:c r="Y319" s="196" t="str">
        <x:v>PER_CHARGEABLE_KG</x:v>
      </x:c>
      <x:c r="Z319" s="220" t="n">
        <x:v>0.207</x:v>
      </x:c>
      <x:c r="AA319" s="220" t="n">
        <x:v>7.86</x:v>
      </x:c>
      <x:c r="AB319" s="220" t="n">
        <x:v>9</x:v>
      </x:c>
      <x:c r="AC319" s="226" t="n">
        <x:f>IF(W319="EUR",AA319,IF(W319="GBP",AB319,1))</x:f>
        <x:v>7.86</x:v>
      </x:c>
      <x:c r="AD319" s="226" t="n">
        <x:f>R319*X319</x:f>
        <x:v>11846.9198215368</x:v>
      </x:c>
      <x:c r="AE319" s="226" t="n">
        <x:f>IF(Y319="PERCENTAGE_OF_BASE_FREIGHT",AD319*Z319,IF(Y319="PER_CHARGEABLE_KG",R319*Z319,P319*Z319))</x:f>
        <x:v>911.3015247336</x:v>
      </x:c>
      <x:c r="AF319" s="226" t="n">
        <x:f>AD319*AC319</x:f>
        <x:v>93116.78979727926</x:v>
      </x:c>
      <x:c r="AG319" s="226" t="n">
        <x:f>AE319*AC319</x:f>
        <x:v>7162.829984406097</x:v>
      </x:c>
      <x:c r="AH319" s="226" t="str">
        <x:v>EUR</x:v>
      </x:c>
      <x:c r="AI319" s="226" t="n">
        <x:v>1.08675</x:v>
      </x:c>
      <x:c r="AJ319" s="226" t="n">
        <x:f>IF(AH319="EUR",AA319,IF(AH319="GBP",AB319,1))</x:f>
        <x:v>7.86</x:v>
      </x:c>
      <x:c r="AK319" s="226" t="n">
        <x:f>N319*AI319</x:f>
        <x:v>5656.7511</x:v>
      </x:c>
      <x:c r="AL319" s="226" t="n">
        <x:f>AK319*AJ319</x:f>
        <x:v>44462.063646</x:v>
      </x:c>
      <x:c r="AM319" s="226" t="str">
        <x:v>EUR</x:v>
      </x:c>
      <x:c r="AN319" s="226" t="n">
        <x:v>0.3933</x:v>
      </x:c>
      <x:c r="AO319" s="226" t="n">
        <x:f>IF(AM319="EUR",AA319,IF(AM319="GBP",AB319,1))</x:f>
        <x:v>7.86</x:v>
      </x:c>
      <x:c r="AP319" s="226" t="n">
        <x:f>P319*AN319</x:f>
        <x:v>2170.0374696</x:v>
      </x:c>
      <x:c r="AQ319" s="226" t="n">
        <x:f>AP319*AO319</x:f>
        <x:v>17056.494511056</x:v>
      </x:c>
      <x:c r="AR319" s="226" t="str">
        <x:v>EUR</x:v>
      </x:c>
      <x:c r="AS319" s="226" t="n">
        <x:v>3.105</x:v>
      </x:c>
      <x:c r="AT319" s="226" t="n">
        <x:f>IF(AR319="EUR",AA319,IF(AR319="GBP",AB319,1))</x:f>
        <x:v>7.86</x:v>
      </x:c>
      <x:c r="AU319" s="226" t="n">
        <x:f>T319*AS319</x:f>
        <x:v>969.7287599999999</x:v>
      </x:c>
      <x:c r="AV319" s="226" t="n">
        <x:f>AU319*AT319</x:f>
        <x:v>7622.068053599999</x:v>
      </x:c>
      <x:c r="AW319" s="226" t="str">
        <x:v>EUR</x:v>
      </x:c>
      <x:c r="AX319" s="226" t="n">
        <x:v>2.3805</x:v>
      </x:c>
      <x:c r="AY319" s="226" t="n">
        <x:f>IF(AW319="EUR",AA319,IF(AW319="GBP",AB319,1))</x:f>
        <x:v>7.86</x:v>
      </x:c>
      <x:c r="AZ319" s="226" t="n">
        <x:f>V319*AX319</x:f>
        <x:v>183.882122424</x:v>
      </x:c>
      <x:c r="BA319" s="226" t="n">
        <x:f>AZ319*AY319</x:f>
        <x:v>1445.31348225264</x:v>
      </x:c>
      <x:c r="BB319" s="226" t="n">
        <x:f>AF319+AG319+AL319+AQ319+AV319+BA319</x:f>
        <x:v>170865.559474594</x:v>
      </x:c>
      <x:c r="BC319" s="229" t="n">
        <x:v>0.973</x:v>
      </x:c>
      <x:c r="BD319" s="202"/>
      <x:c r="BE319" s="202" t="str">
        <x:v>正式 Forecast 逐月降低英国空运及 Carrier C 份额，但仍高于 Budget</x:v>
      </x:c>
      <x:c r="BF319" s="202" t="str">
        <x:v>英国 9—12 月订单量分别相对各月正式 Forecast 增加 10%，不复利</x:v>
      </x:c>
      <x:c r="BG319" s="202" t="str">
        <x:v>UNVERIFIED_UNLIMITED_FOR_MVP</x:v>
      </x:c>
    </x:row>
    <x:row r="320">
      <x:c r="A320" s="187" t="str">
        <x:v>SCENARIO_GROWTH_2026_08</x:v>
      </x:c>
      <x:c r="B320" s="187" t="str">
        <x:v>SCENARIO</x:v>
      </x:c>
      <x:c r="C320" s="187" t="str">
        <x:v>GROWTH</x:v>
      </x:c>
      <x:c r="D320" s="217" t="n">
        <x:v>46357</x:v>
      </x:c>
      <x:c r="E320" s="187" t="str">
        <x:v>R_GB_DE_A_ROAD</x:v>
      </x:c>
      <x:c r="F320" s="187" t="str">
        <x:v>GB</x:v>
      </x:c>
      <x:c r="G320" s="187" t="str">
        <x:v>DE_FC</x:v>
      </x:c>
      <x:c r="H320" s="187" t="str">
        <x:v>CARRIER_A</x:v>
      </x:c>
      <x:c r="I320" s="187" t="str">
        <x:v>ROAD</x:v>
      </x:c>
      <x:c r="J320" s="220" t="n">
        <x:v>29744</x:v>
      </x:c>
      <x:c r="K320" s="223" t="n">
        <x:v>0.4230769230769231</x:v>
      </x:c>
      <x:c r="L320" s="223" t="n">
        <x:v>0.96</x:v>
      </x:c>
      <x:c r="M320" s="223" t="n">
        <x:v>0.48</x:v>
      </x:c>
      <x:c r="N320" s="226" t="n">
        <x:f>J320*K320*L320*M320</x:f>
        <x:v>5798.7072</x:v>
      </x:c>
      <x:c r="O320" s="220" t="n">
        <x:v>1.17</x:v>
      </x:c>
      <x:c r="P320" s="226" t="n">
        <x:f>N320*O320</x:f>
        <x:v>6784.487423999999</x:v>
      </x:c>
      <x:c r="Q320" s="220" t="n">
        <x:v>1.050804</x:v>
      </x:c>
      <x:c r="R320" s="226" t="n">
        <x:f>P320*Q320</x:f>
        <x:v>7129.166523088896</x:v>
      </x:c>
      <x:c r="S320" s="220" t="n">
        <x:v>0.09</x:v>
      </x:c>
      <x:c r="T320" s="226" t="n">
        <x:f>N320*S320</x:f>
        <x:v>521.883648</x:v>
      </x:c>
      <x:c r="U320" s="226" t="n">
        <x:v>0.027</x:v>
      </x:c>
      <x:c r="V320" s="226" t="n">
        <x:f>P320*U320</x:f>
        <x:v>183.18116044799996</x:v>
      </x:c>
      <x:c r="W320" s="196" t="str">
        <x:v>GBP</x:v>
      </x:c>
      <x:c r="X320" s="220" t="n">
        <x:v>4.14</x:v>
      </x:c>
      <x:c r="Y320" s="196" t="str">
        <x:v>PERCENTAGE_OF_BASE_FREIGHT</x:v>
      </x:c>
      <x:c r="Z320" s="220" t="n">
        <x:v>0.1035</x:v>
      </x:c>
      <x:c r="AA320" s="220" t="n">
        <x:v>7.86</x:v>
      </x:c>
      <x:c r="AB320" s="220" t="n">
        <x:v>9</x:v>
      </x:c>
      <x:c r="AC320" s="226" t="n">
        <x:f>IF(W320="EUR",AA320,IF(W320="GBP",AB320,1))</x:f>
        <x:v>9</x:v>
      </x:c>
      <x:c r="AD320" s="226" t="n">
        <x:f>R320*X320</x:f>
        <x:v>29514.749405588027</x:v>
      </x:c>
      <x:c r="AE320" s="226" t="n">
        <x:f>IF(Y320="PERCENTAGE_OF_BASE_FREIGHT",AD320*Z320,IF(Y320="PER_CHARGEABLE_KG",R320*Z320,P320*Z320))</x:f>
        <x:v>3054.7765634783605</x:v>
      </x:c>
      <x:c r="AF320" s="226" t="n">
        <x:f>AD320*AC320</x:f>
        <x:v>265632.74465029227</x:v>
      </x:c>
      <x:c r="AG320" s="226" t="n">
        <x:f>AE320*AC320</x:f>
        <x:v>27492.989071305245</x:v>
      </x:c>
      <x:c r="AH320" s="226" t="str">
        <x:v>EUR</x:v>
      </x:c>
      <x:c r="AI320" s="226" t="n">
        <x:v>1.2213</x:v>
      </x:c>
      <x:c r="AJ320" s="226" t="n">
        <x:f>IF(AH320="EUR",AA320,IF(AH320="GBP",AB320,1))</x:f>
        <x:v>7.86</x:v>
      </x:c>
      <x:c r="AK320" s="226" t="n">
        <x:f>N320*AI320</x:f>
        <x:v>7081.96110336</x:v>
      </x:c>
      <x:c r="AL320" s="226" t="n">
        <x:f>AK320*AJ320</x:f>
        <x:v>55664.214272409605</x:v>
      </x:c>
      <x:c r="AM320" s="226" t="str">
        <x:v>EUR</x:v>
      </x:c>
      <x:c r="AN320" s="226" t="n">
        <x:v>0.4347</x:v>
      </x:c>
      <x:c r="AO320" s="226" t="n">
        <x:f>IF(AM320="EUR",AA320,IF(AM320="GBP",AB320,1))</x:f>
        <x:v>7.86</x:v>
      </x:c>
      <x:c r="AP320" s="226" t="n">
        <x:f>P320*AN320</x:f>
        <x:v>2949.2166832127996</x:v>
      </x:c>
      <x:c r="AQ320" s="226" t="n">
        <x:f>AP320*AO320</x:f>
        <x:v>23180.843130052606</x:v>
      </x:c>
      <x:c r="AR320" s="226" t="str">
        <x:v>GBP</x:v>
      </x:c>
      <x:c r="AS320" s="226" t="n">
        <x:v>4.968</x:v>
      </x:c>
      <x:c r="AT320" s="226" t="n">
        <x:f>IF(AR320="EUR",AA320,IF(AR320="GBP",AB320,1))</x:f>
        <x:v>9</x:v>
      </x:c>
      <x:c r="AU320" s="226" t="n">
        <x:f>T320*AS320</x:f>
        <x:v>2592.717963264</x:v>
      </x:c>
      <x:c r="AV320" s="226" t="n">
        <x:f>AU320*AT320</x:f>
        <x:v>23334.461669376</x:v>
      </x:c>
      <x:c r="AW320" s="226" t="str">
        <x:v>GBP</x:v>
      </x:c>
      <x:c r="AX320" s="226" t="n">
        <x:v>2.3805</x:v>
      </x:c>
      <x:c r="AY320" s="226" t="n">
        <x:f>IF(AW320="EUR",AA320,IF(AW320="GBP",AB320,1))</x:f>
        <x:v>9</x:v>
      </x:c>
      <x:c r="AZ320" s="226" t="n">
        <x:f>V320*AX320</x:f>
        <x:v>436.0627524464639</x:v>
      </x:c>
      <x:c r="BA320" s="226" t="n">
        <x:f>AZ320*AY320</x:f>
        <x:v>3924.564772018175</x:v>
      </x:c>
      <x:c r="BB320" s="226" t="n">
        <x:f>AF320+AG320+AL320+AQ320+AV320+BA320</x:f>
        <x:v>399229.81756545394</x:v>
      </x:c>
      <x:c r="BC320" s="229" t="n">
        <x:v>0.93</x:v>
      </x:c>
      <x:c r="BD320" s="202"/>
      <x:c r="BE320" s="202" t="str">
        <x:v>正式 Forecast 逐月降低英国空运及 Carrier C 份额，但仍高于 Budget</x:v>
      </x:c>
      <x:c r="BF320" s="202" t="str">
        <x:v>英国 9—12 月订单量分别相对各月正式 Forecast 增加 10%，不复利</x:v>
      </x:c>
      <x:c r="BG320" s="202" t="str">
        <x:v>UNVERIFIED_UNLIMITED_FOR_MVP</x:v>
      </x:c>
    </x:row>
    <x:row r="321">
      <x:c r="A321" s="187" t="str">
        <x:v>SCENARIO_GROWTH_2026_08</x:v>
      </x:c>
      <x:c r="B321" s="187" t="str">
        <x:v>SCENARIO</x:v>
      </x:c>
      <x:c r="C321" s="187" t="str">
        <x:v>GROWTH</x:v>
      </x:c>
      <x:c r="D321" s="217" t="n">
        <x:v>46357</x:v>
      </x:c>
      <x:c r="E321" s="187" t="str">
        <x:v>R_GB_DE_B_ROAD</x:v>
      </x:c>
      <x:c r="F321" s="187" t="str">
        <x:v>GB</x:v>
      </x:c>
      <x:c r="G321" s="187" t="str">
        <x:v>DE_FC</x:v>
      </x:c>
      <x:c r="H321" s="187" t="str">
        <x:v>CARRIER_B</x:v>
      </x:c>
      <x:c r="I321" s="187" t="str">
        <x:v>ROAD</x:v>
      </x:c>
      <x:c r="J321" s="220" t="n">
        <x:v>29744</x:v>
      </x:c>
      <x:c r="K321" s="223" t="n">
        <x:v>0.4230769230769231</x:v>
      </x:c>
      <x:c r="L321" s="223" t="n">
        <x:v>0.96</x:v>
      </x:c>
      <x:c r="M321" s="223" t="n">
        <x:v>0.25</x:v>
      </x:c>
      <x:c r="N321" s="226" t="n">
        <x:f>J321*K321*L321*M321</x:f>
        <x:v>3020.16</x:v>
      </x:c>
      <x:c r="O321" s="220" t="n">
        <x:v>1.17</x:v>
      </x:c>
      <x:c r="P321" s="226" t="n">
        <x:f>N321*O321</x:f>
        <x:v>3533.5871999999995</x:v>
      </x:c>
      <x:c r="Q321" s="220" t="n">
        <x:v>1.0302</x:v>
      </x:c>
      <x:c r="R321" s="226" t="n">
        <x:f>P321*Q321</x:f>
        <x:v>3640.3015334399993</x:v>
      </x:c>
      <x:c r="S321" s="220" t="n">
        <x:v>0.09</x:v>
      </x:c>
      <x:c r="T321" s="226" t="n">
        <x:f>N321*S321</x:f>
        <x:v>271.8144</x:v>
      </x:c>
      <x:c r="U321" s="226" t="n">
        <x:v>0.02</x:v>
      </x:c>
      <x:c r="V321" s="226" t="n">
        <x:f>P321*U321</x:f>
        <x:v>70.67174399999999</x:v>
      </x:c>
      <x:c r="W321" s="196" t="str">
        <x:v>GBP</x:v>
      </x:c>
      <x:c r="X321" s="220" t="n">
        <x:v>4.8645</x:v>
      </x:c>
      <x:c r="Y321" s="196" t="str">
        <x:v>PER_CHARGEABLE_KG</x:v>
      </x:c>
      <x:c r="Z321" s="220" t="n">
        <x:v>0.34155</x:v>
      </x:c>
      <x:c r="AA321" s="220" t="n">
        <x:v>7.86</x:v>
      </x:c>
      <x:c r="AB321" s="220" t="n">
        <x:v>9</x:v>
      </x:c>
      <x:c r="AC321" s="226" t="n">
        <x:f>IF(W321="EUR",AA321,IF(W321="GBP",AB321,1))</x:f>
        <x:v>9</x:v>
      </x:c>
      <x:c r="AD321" s="226" t="n">
        <x:f>R321*X321</x:f>
        <x:v>17708.246809418873</x:v>
      </x:c>
      <x:c r="AE321" s="226" t="n">
        <x:f>IF(Y321="PERCENTAGE_OF_BASE_FREIGHT",AD321*Z321,IF(Y321="PER_CHARGEABLE_KG",R321*Z321,P321*Z321))</x:f>
        <x:v>1243.344988746432</x:v>
      </x:c>
      <x:c r="AF321" s="226" t="n">
        <x:f>AD321*AC321</x:f>
        <x:v>159374.22128476985</x:v>
      </x:c>
      <x:c r="AG321" s="226" t="n">
        <x:f>AE321*AC321</x:f>
        <x:v>11190.104898717887</x:v>
      </x:c>
      <x:c r="AH321" s="226" t="str">
        <x:v>EUR</x:v>
      </x:c>
      <x:c r="AI321" s="226" t="n">
        <x:v>1.2213</x:v>
      </x:c>
      <x:c r="AJ321" s="226" t="n">
        <x:f>IF(AH321="EUR",AA321,IF(AH321="GBP",AB321,1))</x:f>
        <x:v>7.86</x:v>
      </x:c>
      <x:c r="AK321" s="226" t="n">
        <x:f>N321*AI321</x:f>
        <x:v>3688.521408</x:v>
      </x:c>
      <x:c r="AL321" s="226" t="n">
        <x:f>AK321*AJ321</x:f>
        <x:v>28991.778266880003</x:v>
      </x:c>
      <x:c r="AM321" s="226" t="str">
        <x:v>EUR</x:v>
      </x:c>
      <x:c r="AN321" s="226" t="n">
        <x:v>0.4347</x:v>
      </x:c>
      <x:c r="AO321" s="226" t="n">
        <x:f>IF(AM321="EUR",AA321,IF(AM321="GBP",AB321,1))</x:f>
        <x:v>7.86</x:v>
      </x:c>
      <x:c r="AP321" s="226" t="n">
        <x:f>P321*AN321</x:f>
        <x:v>1536.0503558399996</x:v>
      </x:c>
      <x:c r="AQ321" s="226" t="n">
        <x:f>AP321*AO321</x:f>
        <x:v>12073.355796902397</x:v>
      </x:c>
      <x:c r="AR321" s="226" t="str">
        <x:v>GBP</x:v>
      </x:c>
      <x:c r="AS321" s="226" t="n">
        <x:v>4.968</x:v>
      </x:c>
      <x:c r="AT321" s="226" t="n">
        <x:f>IF(AR321="EUR",AA321,IF(AR321="GBP",AB321,1))</x:f>
        <x:v>9</x:v>
      </x:c>
      <x:c r="AU321" s="226" t="n">
        <x:f>T321*AS321</x:f>
        <x:v>1350.3739392</x:v>
      </x:c>
      <x:c r="AV321" s="226" t="n">
        <x:f>AU321*AT321</x:f>
        <x:v>12153.3654528</x:v>
      </x:c>
      <x:c r="AW321" s="226" t="str">
        <x:v>GBP</x:v>
      </x:c>
      <x:c r="AX321" s="226" t="n">
        <x:v>2.3805</x:v>
      </x:c>
      <x:c r="AY321" s="226" t="n">
        <x:f>IF(AW321="EUR",AA321,IF(AW321="GBP",AB321,1))</x:f>
        <x:v>9</x:v>
      </x:c>
      <x:c r="AZ321" s="226" t="n">
        <x:f>V321*AX321</x:f>
        <x:v>168.23408659199998</x:v>
      </x:c>
      <x:c r="BA321" s="226" t="n">
        <x:f>AZ321*AY321</x:f>
        <x:v>1514.106779328</x:v>
      </x:c>
      <x:c r="BB321" s="226" t="n">
        <x:f>AF321+AG321+AL321+AQ321+AV321+BA321</x:f>
        <x:v>225296.93247939812</x:v>
      </x:c>
      <x:c r="BC321" s="229" t="n">
        <x:v>0.95</x:v>
      </x:c>
      <x:c r="BD321" s="202"/>
      <x:c r="BE321" s="202" t="str">
        <x:v>正式 Forecast 逐月降低英国空运及 Carrier C 份额，但仍高于 Budget</x:v>
      </x:c>
      <x:c r="BF321" s="202" t="str">
        <x:v>英国 9—12 月订单量分别相对各月正式 Forecast 增加 10%，不复利</x:v>
      </x:c>
      <x:c r="BG321" s="202" t="str">
        <x:v>UNVERIFIED_UNLIMITED_FOR_MVP</x:v>
      </x:c>
    </x:row>
    <x:row r="322">
      <x:c r="A322" s="187" t="str">
        <x:v>SCENARIO_GROWTH_2026_08</x:v>
      </x:c>
      <x:c r="B322" s="187" t="str">
        <x:v>SCENARIO</x:v>
      </x:c>
      <x:c r="C322" s="187" t="str">
        <x:v>GROWTH</x:v>
      </x:c>
      <x:c r="D322" s="217" t="n">
        <x:v>46357</x:v>
      </x:c>
      <x:c r="E322" s="187" t="str">
        <x:v>R_GB_DE_B_AIR</x:v>
      </x:c>
      <x:c r="F322" s="187" t="str">
        <x:v>GB</x:v>
      </x:c>
      <x:c r="G322" s="187" t="str">
        <x:v>DE_FC</x:v>
      </x:c>
      <x:c r="H322" s="187" t="str">
        <x:v>CARRIER_B</x:v>
      </x:c>
      <x:c r="I322" s="187" t="str">
        <x:v>AIR</x:v>
      </x:c>
      <x:c r="J322" s="220" t="n">
        <x:v>29744</x:v>
      </x:c>
      <x:c r="K322" s="223" t="n">
        <x:v>0.4230769230769231</x:v>
      </x:c>
      <x:c r="L322" s="223" t="n">
        <x:v>0.96</x:v>
      </x:c>
      <x:c r="M322" s="223" t="n">
        <x:v>0.19</x:v>
      </x:c>
      <x:c r="N322" s="226" t="n">
        <x:f>J322*K322*L322*M322</x:f>
        <x:v>2295.3215999999998</x:v>
      </x:c>
      <x:c r="O322" s="220" t="n">
        <x:v>1.17</x:v>
      </x:c>
      <x:c r="P322" s="226" t="n">
        <x:f>N322*O322</x:f>
        <x:v>2685.5262719999996</x:v>
      </x:c>
      <x:c r="Q322" s="220" t="n">
        <x:v>0.968388</x:v>
      </x:c>
      <x:c r="R322" s="226" t="n">
        <x:f>P322*Q322</x:f>
        <x:v>2600.631415489536</x:v>
      </x:c>
      <x:c r="S322" s="220" t="n">
        <x:v>0.09</x:v>
      </x:c>
      <x:c r="T322" s="226" t="n">
        <x:f>N322*S322</x:f>
        <x:v>206.57894399999998</x:v>
      </x:c>
      <x:c r="U322" s="226" t="n">
        <x:v>0.016</x:v>
      </x:c>
      <x:c r="V322" s="226" t="n">
        <x:f>P322*U322</x:f>
        <x:v>42.968420351999995</x:v>
      </x:c>
      <x:c r="W322" s="196" t="str">
        <x:v>GBP</x:v>
      </x:c>
      <x:c r="X322" s="220" t="n">
        <x:v>6.67368</x:v>
      </x:c>
      <x:c r="Y322" s="196" t="str">
        <x:v>PERCENTAGE_OF_BASE_FREIGHT</x:v>
      </x:c>
      <x:c r="Z322" s="220" t="n">
        <x:v>0.123786</x:v>
      </x:c>
      <x:c r="AA322" s="220" t="n">
        <x:v>7.86</x:v>
      </x:c>
      <x:c r="AB322" s="220" t="n">
        <x:v>9</x:v>
      </x:c>
      <x:c r="AC322" s="226" t="n">
        <x:f>IF(W322="EUR",AA322,IF(W322="GBP",AB322,1))</x:f>
        <x:v>9</x:v>
      </x:c>
      <x:c r="AD322" s="226" t="n">
        <x:f>R322*X322</x:f>
        <x:v>17355.781864924207</x:v>
      </x:c>
      <x:c r="AE322" s="226" t="n">
        <x:f>IF(Y322="PERCENTAGE_OF_BASE_FREIGHT",AD322*Z322,IF(Y322="PER_CHARGEABLE_KG",R322*Z322,P322*Z322))</x:f>
        <x:v>2148.402813931508</x:v>
      </x:c>
      <x:c r="AF322" s="226" t="n">
        <x:f>AD322*AC322</x:f>
        <x:v>156202.03678431787</x:v>
      </x:c>
      <x:c r="AG322" s="226" t="n">
        <x:f>AE322*AC322</x:f>
        <x:v>19335.62532538357</x:v>
      </x:c>
      <x:c r="AH322" s="226" t="str">
        <x:v>EUR</x:v>
      </x:c>
      <x:c r="AI322" s="226" t="n">
        <x:v>1.2213</x:v>
      </x:c>
      <x:c r="AJ322" s="226" t="n">
        <x:f>IF(AH322="EUR",AA322,IF(AH322="GBP",AB322,1))</x:f>
        <x:v>7.86</x:v>
      </x:c>
      <x:c r="AK322" s="226" t="n">
        <x:f>N322*AI322</x:f>
        <x:v>2803.27627008</x:v>
      </x:c>
      <x:c r="AL322" s="226" t="n">
        <x:f>AK322*AJ322</x:f>
        <x:v>22033.7514828288</x:v>
      </x:c>
      <x:c r="AM322" s="226" t="str">
        <x:v>EUR</x:v>
      </x:c>
      <x:c r="AN322" s="226" t="n">
        <x:v>0.4347</x:v>
      </x:c>
      <x:c r="AO322" s="226" t="n">
        <x:f>IF(AM322="EUR",AA322,IF(AM322="GBP",AB322,1))</x:f>
        <x:v>7.86</x:v>
      </x:c>
      <x:c r="AP322" s="226" t="n">
        <x:f>P322*AN322</x:f>
        <x:v>1167.3982704383998</x:v>
      </x:c>
      <x:c r="AQ322" s="226" t="n">
        <x:f>AP322*AO322</x:f>
        <x:v>9175.750405645822</x:v>
      </x:c>
      <x:c r="AR322" s="226" t="str">
        <x:v>GBP</x:v>
      </x:c>
      <x:c r="AS322" s="226" t="n">
        <x:v>4.968</x:v>
      </x:c>
      <x:c r="AT322" s="226" t="n">
        <x:f>IF(AR322="EUR",AA322,IF(AR322="GBP",AB322,1))</x:f>
        <x:v>9</x:v>
      </x:c>
      <x:c r="AU322" s="226" t="n">
        <x:f>T322*AS322</x:f>
        <x:v>1026.284193792</x:v>
      </x:c>
      <x:c r="AV322" s="226" t="n">
        <x:f>AU322*AT322</x:f>
        <x:v>9236.557744128</x:v>
      </x:c>
      <x:c r="AW322" s="226" t="str">
        <x:v>GBP</x:v>
      </x:c>
      <x:c r="AX322" s="226" t="n">
        <x:v>2.898</x:v>
      </x:c>
      <x:c r="AY322" s="226" t="n">
        <x:f>IF(AW322="EUR",AA322,IF(AW322="GBP",AB322,1))</x:f>
        <x:v>9</x:v>
      </x:c>
      <x:c r="AZ322" s="226" t="n">
        <x:f>V322*AX322</x:f>
        <x:v>124.52248218009599</x:v>
      </x:c>
      <x:c r="BA322" s="226" t="n">
        <x:f>AZ322*AY322</x:f>
        <x:v>1120.702339620864</x:v>
      </x:c>
      <x:c r="BB322" s="226" t="n">
        <x:f>AF322+AG322+AL322+AQ322+AV322+BA322</x:f>
        <x:v>217104.4240819249</x:v>
      </x:c>
      <x:c r="BC322" s="229" t="n">
        <x:v>0.974</x:v>
      </x:c>
      <x:c r="BD322" s="202"/>
      <x:c r="BE322" s="202" t="str">
        <x:v>正式 Forecast 逐月降低英国空运及 Carrier C 份额，但仍高于 Budget</x:v>
      </x:c>
      <x:c r="BF322" s="202" t="str">
        <x:v>英国 9—12 月订单量分别相对各月正式 Forecast 增加 10%，不复利</x:v>
      </x:c>
      <x:c r="BG322" s="202" t="str">
        <x:v>UNVERIFIED_UNLIMITED_FOR_MVP</x:v>
      </x:c>
    </x:row>
    <x:row r="323">
      <x:c r="A323" s="187" t="str">
        <x:v>SCENARIO_GROWTH_2026_08</x:v>
      </x:c>
      <x:c r="B323" s="187" t="str">
        <x:v>SCENARIO</x:v>
      </x:c>
      <x:c r="C323" s="187" t="str">
        <x:v>GROWTH</x:v>
      </x:c>
      <x:c r="D323" s="217" t="n">
        <x:v>46357</x:v>
      </x:c>
      <x:c r="E323" s="187" t="str">
        <x:v>R_GB_DE_C_AIR</x:v>
      </x:c>
      <x:c r="F323" s="187" t="str">
        <x:v>GB</x:v>
      </x:c>
      <x:c r="G323" s="187" t="str">
        <x:v>DE_FC</x:v>
      </x:c>
      <x:c r="H323" s="187" t="str">
        <x:v>CARRIER_C</x:v>
      </x:c>
      <x:c r="I323" s="187" t="str">
        <x:v>AIR</x:v>
      </x:c>
      <x:c r="J323" s="220" t="n">
        <x:v>29744</x:v>
      </x:c>
      <x:c r="K323" s="223" t="n">
        <x:v>0.4230769230769231</x:v>
      </x:c>
      <x:c r="L323" s="223" t="n">
        <x:v>0.96</x:v>
      </x:c>
      <x:c r="M323" s="223" t="n">
        <x:v>0.08</x:v>
      </x:c>
      <x:c r="N323" s="226" t="n">
        <x:f>J323*K323*L323*M323</x:f>
        <x:v>966.4512</x:v>
      </x:c>
      <x:c r="O323" s="220" t="n">
        <x:v>1.17</x:v>
      </x:c>
      <x:c r="P323" s="226" t="n">
        <x:f>N323*O323</x:f>
        <x:v>1130.7479039999998</x:v>
      </x:c>
      <x:c r="Q323" s="220" t="n">
        <x:v>0.947784</x:v>
      </x:c>
      <x:c r="R323" s="226" t="n">
        <x:f>P323*Q323</x:f>
        <x:v>1071.7047714447358</x:v>
      </x:c>
      <x:c r="S323" s="220" t="n">
        <x:v>0.09</x:v>
      </x:c>
      <x:c r="T323" s="226" t="n">
        <x:f>N323*S323</x:f>
        <x:v>86.98060799999999</x:v>
      </x:c>
      <x:c r="U323" s="226" t="n">
        <x:v>0.011</x:v>
      </x:c>
      <x:c r="V323" s="226" t="n">
        <x:f>P323*U323</x:f>
        <x:v>12.438226943999997</x:v>
      </x:c>
      <x:c r="W323" s="196" t="str">
        <x:v>GBP</x:v>
      </x:c>
      <x:c r="X323" s="220" t="n">
        <x:v>8.22825</x:v>
      </x:c>
      <x:c r="Y323" s="196" t="str">
        <x:v>PER_CHARGEABLE_KG</x:v>
      </x:c>
      <x:c r="Z323" s="220" t="n">
        <x:v>0.636318</x:v>
      </x:c>
      <x:c r="AA323" s="220" t="n">
        <x:v>7.86</x:v>
      </x:c>
      <x:c r="AB323" s="220" t="n">
        <x:v>9</x:v>
      </x:c>
      <x:c r="AC323" s="226" t="n">
        <x:f>IF(W323="EUR",AA323,IF(W323="GBP",AB323,1))</x:f>
        <x:v>9</x:v>
      </x:c>
      <x:c r="AD323" s="226" t="n">
        <x:f>R323*X323</x:f>
        <x:v>8818.254785640147</x:v>
      </x:c>
      <x:c r="AE323" s="226" t="n">
        <x:f>IF(Y323="PERCENTAGE_OF_BASE_FREIGHT",AD323*Z323,IF(Y323="PER_CHARGEABLE_KG",R323*Z323,P323*Z323))</x:f>
        <x:v>681.9450367561715</x:v>
      </x:c>
      <x:c r="AF323" s="226" t="n">
        <x:f>AD323*AC323</x:f>
        <x:v>79364.29307076133</x:v>
      </x:c>
      <x:c r="AG323" s="226" t="n">
        <x:f>AE323*AC323</x:f>
        <x:v>6137.505330805543</x:v>
      </x:c>
      <x:c r="AH323" s="226" t="str">
        <x:v>EUR</x:v>
      </x:c>
      <x:c r="AI323" s="226" t="n">
        <x:v>1.2213</x:v>
      </x:c>
      <x:c r="AJ323" s="226" t="n">
        <x:f>IF(AH323="EUR",AA323,IF(AH323="GBP",AB323,1))</x:f>
        <x:v>7.86</x:v>
      </x:c>
      <x:c r="AK323" s="226" t="n">
        <x:f>N323*AI323</x:f>
        <x:v>1180.32685056</x:v>
      </x:c>
      <x:c r="AL323" s="226" t="n">
        <x:f>AK323*AJ323</x:f>
        <x:v>9277.3690454016</x:v>
      </x:c>
      <x:c r="AM323" s="226" t="str">
        <x:v>EUR</x:v>
      </x:c>
      <x:c r="AN323" s="226" t="n">
        <x:v>0.4347</x:v>
      </x:c>
      <x:c r="AO323" s="226" t="n">
        <x:f>IF(AM323="EUR",AA323,IF(AM323="GBP",AB323,1))</x:f>
        <x:v>7.86</x:v>
      </x:c>
      <x:c r="AP323" s="226" t="n">
        <x:f>P323*AN323</x:f>
        <x:v>491.5361138687999</x:v>
      </x:c>
      <x:c r="AQ323" s="226" t="n">
        <x:f>AP323*AO323</x:f>
        <x:v>3863.4738550087673</x:v>
      </x:c>
      <x:c r="AR323" s="226" t="str">
        <x:v>GBP</x:v>
      </x:c>
      <x:c r="AS323" s="226" t="n">
        <x:v>4.968</x:v>
      </x:c>
      <x:c r="AT323" s="226" t="n">
        <x:f>IF(AR323="EUR",AA323,IF(AR323="GBP",AB323,1))</x:f>
        <x:v>9</x:v>
      </x:c>
      <x:c r="AU323" s="226" t="n">
        <x:f>T323*AS323</x:f>
        <x:v>432.11966054399994</x:v>
      </x:c>
      <x:c r="AV323" s="226" t="n">
        <x:f>AU323*AT323</x:f>
        <x:v>3889.0769448959995</x:v>
      </x:c>
      <x:c r="AW323" s="226" t="str">
        <x:v>GBP</x:v>
      </x:c>
      <x:c r="AX323" s="226" t="n">
        <x:v>3.726</x:v>
      </x:c>
      <x:c r="AY323" s="226" t="n">
        <x:f>IF(AW323="EUR",AA323,IF(AW323="GBP",AB323,1))</x:f>
        <x:v>9</x:v>
      </x:c>
      <x:c r="AZ323" s="226" t="n">
        <x:f>V323*AX323</x:f>
        <x:v>46.344833593343985</x:v>
      </x:c>
      <x:c r="BA323" s="226" t="n">
        <x:f>AZ323*AY323</x:f>
        <x:v>417.1035023400959</x:v>
      </x:c>
      <x:c r="BB323" s="226" t="n">
        <x:f>AF323+AG323+AL323+AQ323+AV323+BA323</x:f>
        <x:v>102948.82174921333</x:v>
      </x:c>
      <x:c r="BC323" s="229" t="n">
        <x:v>0.988</x:v>
      </x:c>
      <x:c r="BD323" s="202"/>
      <x:c r="BE323" s="202" t="str">
        <x:v>正式 Forecast 逐月降低英国空运及 Carrier C 份额，但仍高于 Budget</x:v>
      </x:c>
      <x:c r="BF323" s="202" t="str">
        <x:v>英国 9—12 月订单量分别相对各月正式 Forecast 增加 10%，不复利</x:v>
      </x:c>
      <x:c r="BG323" s="202" t="str">
        <x:v>UNVERIFIED_UNLIMITED_FOR_MVP</x:v>
      </x:c>
    </x:row>
    <x:row r="324">
      <x:c r="A324" s="187" t="str">
        <x:v>SCENARIO_GROWTH_2026_08</x:v>
      </x:c>
      <x:c r="B324" s="187" t="str">
        <x:v>SCENARIO</x:v>
      </x:c>
      <x:c r="C324" s="187" t="str">
        <x:v>GROWTH</x:v>
      </x:c>
      <x:c r="D324" s="217" t="n">
        <x:v>46357</x:v>
      </x:c>
      <x:c r="E324" s="187" t="str">
        <x:v>R_GB_FR_B_AIR</x:v>
      </x:c>
      <x:c r="F324" s="187" t="str">
        <x:v>GB</x:v>
      </x:c>
      <x:c r="G324" s="187" t="str">
        <x:v>FR_FC</x:v>
      </x:c>
      <x:c r="H324" s="187" t="str">
        <x:v>CARRIER_B</x:v>
      </x:c>
      <x:c r="I324" s="187" t="str">
        <x:v>AIR</x:v>
      </x:c>
      <x:c r="J324" s="220" t="n">
        <x:v>29744</x:v>
      </x:c>
      <x:c r="K324" s="223" t="n">
        <x:v>0.4230769230769231</x:v>
      </x:c>
      <x:c r="L324" s="223" t="n">
        <x:v>0.04</x:v>
      </x:c>
      <x:c r="M324" s="223" t="n">
        <x:v>1</x:v>
      </x:c>
      <x:c r="N324" s="226" t="n">
        <x:f>J324*K324*L324*M324</x:f>
        <x:v>503.36</x:v>
      </x:c>
      <x:c r="O324" s="220" t="n">
        <x:v>1.17</x:v>
      </x:c>
      <x:c r="P324" s="226" t="n">
        <x:f>N324*O324</x:f>
        <x:v>588.9312</x:v>
      </x:c>
      <x:c r="Q324" s="220" t="n">
        <x:v>0.92718</x:v>
      </x:c>
      <x:c r="R324" s="226" t="n">
        <x:f>P324*Q324</x:f>
        <x:v>546.045230016</x:v>
      </x:c>
      <x:c r="S324" s="220" t="n">
        <x:v>0.09</x:v>
      </x:c>
      <x:c r="T324" s="226" t="n">
        <x:f>N324*S324</x:f>
        <x:v>45.3024</x:v>
      </x:c>
      <x:c r="U324" s="226" t="n">
        <x:v>0.014</x:v>
      </x:c>
      <x:c r="V324" s="226" t="n">
        <x:f>P324*U324</x:f>
        <x:v>8.2450368</x:v>
      </x:c>
      <x:c r="W324" s="196" t="str">
        <x:v>EUR</x:v>
      </x:c>
      <x:c r="X324" s="220" t="n">
        <x:v>6.9345</x:v>
      </x:c>
      <x:c r="Y324" s="196" t="str">
        <x:v>PERCENTAGE_OF_BASE_FREIGHT</x:v>
      </x:c>
      <x:c r="Z324" s="220" t="n">
        <x:v>0.108675</x:v>
      </x:c>
      <x:c r="AA324" s="220" t="n">
        <x:v>7.86</x:v>
      </x:c>
      <x:c r="AB324" s="220" t="n">
        <x:v>9</x:v>
      </x:c>
      <x:c r="AC324" s="226" t="n">
        <x:f>IF(W324="EUR",AA324,IF(W324="GBP",AB324,1))</x:f>
        <x:v>7.86</x:v>
      </x:c>
      <x:c r="AD324" s="226" t="n">
        <x:f>R324*X324</x:f>
        <x:v>3786.550647545952</x:v>
      </x:c>
      <x:c r="AE324" s="226" t="n">
        <x:f>IF(Y324="PERCENTAGE_OF_BASE_FREIGHT",AD324*Z324,IF(Y324="PER_CHARGEABLE_KG",R324*Z324,P324*Z324))</x:f>
        <x:v>411.5033916220563</x:v>
      </x:c>
      <x:c r="AF324" s="226" t="n">
        <x:f>AD324*AC324</x:f>
        <x:v>29762.288089711183</x:v>
      </x:c>
      <x:c r="AG324" s="226" t="n">
        <x:f>AE324*AC324</x:f>
        <x:v>3234.416658149363</x:v>
      </x:c>
      <x:c r="AH324" s="226" t="str">
        <x:v>EUR</x:v>
      </x:c>
      <x:c r="AI324" s="226" t="n">
        <x:v>1.08675</x:v>
      </x:c>
      <x:c r="AJ324" s="226" t="n">
        <x:f>IF(AH324="EUR",AA324,IF(AH324="GBP",AB324,1))</x:f>
        <x:v>7.86</x:v>
      </x:c>
      <x:c r="AK324" s="226" t="n">
        <x:f>N324*AI324</x:f>
        <x:v>547.0264800000001</x:v>
      </x:c>
      <x:c r="AL324" s="226" t="n">
        <x:f>AK324*AJ324</x:f>
        <x:v>4299.628132800001</x:v>
      </x:c>
      <x:c r="AM324" s="226" t="str">
        <x:v>EUR</x:v>
      </x:c>
      <x:c r="AN324" s="226" t="n">
        <x:v>0.3933</x:v>
      </x:c>
      <x:c r="AO324" s="226" t="n">
        <x:f>IF(AM324="EUR",AA324,IF(AM324="GBP",AB324,1))</x:f>
        <x:v>7.86</x:v>
      </x:c>
      <x:c r="AP324" s="226" t="n">
        <x:f>P324*AN324</x:f>
        <x:v>231.62664095999997</x:v>
      </x:c>
      <x:c r="AQ324" s="226" t="n">
        <x:f>AP324*AO324</x:f>
        <x:v>1820.5853979455999</x:v>
      </x:c>
      <x:c r="AR324" s="226" t="str">
        <x:v>EUR</x:v>
      </x:c>
      <x:c r="AS324" s="226" t="n">
        <x:v>5.382</x:v>
      </x:c>
      <x:c r="AT324" s="226" t="n">
        <x:f>IF(AR324="EUR",AA324,IF(AR324="GBP",AB324,1))</x:f>
        <x:v>7.86</x:v>
      </x:c>
      <x:c r="AU324" s="226" t="n">
        <x:f>T324*AS324</x:f>
        <x:v>243.81751679999996</x:v>
      </x:c>
      <x:c r="AV324" s="226" t="n">
        <x:f>AU324*AT324</x:f>
        <x:v>1916.4056820479998</x:v>
      </x:c>
      <x:c r="AW324" s="226" t="str">
        <x:v>EUR</x:v>
      </x:c>
      <x:c r="AX324" s="226" t="n">
        <x:v>2.898</x:v>
      </x:c>
      <x:c r="AY324" s="226" t="n">
        <x:f>IF(AW324="EUR",AA324,IF(AW324="GBP",AB324,1))</x:f>
        <x:v>7.86</x:v>
      </x:c>
      <x:c r="AZ324" s="226" t="n">
        <x:f>V324*AX324</x:f>
        <x:v>23.8941166464</x:v>
      </x:c>
      <x:c r="BA324" s="226" t="n">
        <x:f>AZ324*AY324</x:f>
        <x:v>187.807756840704</x:v>
      </x:c>
      <x:c r="BB324" s="226" t="n">
        <x:f>AF324+AG324+AL324+AQ324+AV324+BA324</x:f>
        <x:v>41221.13171749485</x:v>
      </x:c>
      <x:c r="BC324" s="229" t="n">
        <x:v>0.971</x:v>
      </x:c>
      <x:c r="BD324" s="202"/>
      <x:c r="BE324" s="202" t="str">
        <x:v>正式 Forecast 逐月降低英国空运及 Carrier C 份额，但仍高于 Budget</x:v>
      </x:c>
      <x:c r="BF324" s="202" t="str">
        <x:v>英国 9—12 月订单量分别相对各月正式 Forecast 增加 10%，不复利</x:v>
      </x:c>
      <x:c r="BG324" s="202" t="str">
        <x:v>UNVERIFIED_UNLIMITED_FOR_MVP</x:v>
      </x:c>
    </x:row>
    <x:row r="325">
      <x:c r="A325" s="187" t="str">
        <x:v>SCENARIO_COST_SAVING_2026_08</x:v>
      </x:c>
      <x:c r="B325" s="187" t="str">
        <x:v>SCENARIO</x:v>
      </x:c>
      <x:c r="C325" s="187" t="str">
        <x:v>COST_SAVING</x:v>
      </x:c>
      <x:c r="D325" s="217" t="n">
        <x:v>46266</x:v>
      </x:c>
      <x:c r="E325" s="187" t="str">
        <x:v>R_DE_DE_A_ROAD</x:v>
      </x:c>
      <x:c r="F325" s="187" t="str">
        <x:v>DE</x:v>
      </x:c>
      <x:c r="G325" s="187" t="str">
        <x:v>DE_FC</x:v>
      </x:c>
      <x:c r="H325" s="187" t="str">
        <x:v>CARRIER_A</x:v>
      </x:c>
      <x:c r="I325" s="187" t="str">
        <x:v>ROAD</x:v>
      </x:c>
      <x:c r="J325" s="220" t="n">
        <x:v>17200</x:v>
      </x:c>
      <x:c r="K325" s="223" t="n">
        <x:v>0.36</x:v>
      </x:c>
      <x:c r="L325" s="223" t="n">
        <x:v>0.97</x:v>
      </x:c>
      <x:c r="M325" s="223" t="n">
        <x:v>0.6</x:v>
      </x:c>
      <x:c r="N325" s="226" t="n">
        <x:f>J325*K325*L325*M325</x:f>
        <x:v>3603.7439999999997</x:v>
      </x:c>
      <x:c r="O325" s="220" t="n">
        <x:v>1.05</x:v>
      </x:c>
      <x:c r="P325" s="226" t="n">
        <x:f>N325*O325</x:f>
        <x:v>3783.9312</x:v>
      </x:c>
      <x:c r="Q325" s="220" t="n">
        <x:v>0.78</x:v>
      </x:c>
      <x:c r="R325" s="226" t="n">
        <x:f>P325*Q325</x:f>
        <x:v>2951.466336</x:v>
      </x:c>
      <x:c r="S325" s="220" t="n">
        <x:v>0.05</x:v>
      </x:c>
      <x:c r="T325" s="226" t="n">
        <x:f>N325*S325</x:f>
        <x:v>180.1872</x:v>
      </x:c>
      <x:c r="U325" s="226" t="n">
        <x:v>0.016</x:v>
      </x:c>
      <x:c r="V325" s="226" t="n">
        <x:f>P325*U325</x:f>
        <x:v>60.5428992</x:v>
      </x:c>
      <x:c r="W325" s="196" t="str">
        <x:v>EUR</x:v>
      </x:c>
      <x:c r="X325" s="220" t="n">
        <x:v>2.277</x:v>
      </x:c>
      <x:c r="Y325" s="196" t="str">
        <x:v>PERCENTAGE_OF_BASE_FREIGHT</x:v>
      </x:c>
      <x:c r="Z325" s="220" t="n">
        <x:v>0.098325</x:v>
      </x:c>
      <x:c r="AA325" s="220" t="n">
        <x:v>7.92</x:v>
      </x:c>
      <x:c r="AB325" s="220" t="n">
        <x:v>9.15</x:v>
      </x:c>
      <x:c r="AC325" s="226" t="n">
        <x:f>IF(W325="EUR",AA325,IF(W325="GBP",AB325,1))</x:f>
        <x:v>7.92</x:v>
      </x:c>
      <x:c r="AD325" s="226" t="n">
        <x:f>R325*X325</x:f>
        <x:v>6720.488847072001</x:v>
      </x:c>
      <x:c r="AE325" s="226" t="n">
        <x:f>IF(Y325="PERCENTAGE_OF_BASE_FREIGHT",AD325*Z325,IF(Y325="PER_CHARGEABLE_KG",R325*Z325,P325*Z325))</x:f>
        <x:v>660.7920658883544</x:v>
      </x:c>
      <x:c r="AF325" s="226" t="n">
        <x:f>AD325*AC325</x:f>
        <x:v>53226.271668810245</x:v>
      </x:c>
      <x:c r="AG325" s="226" t="n">
        <x:f>AE325*AC325</x:f>
        <x:v>5233.473161835766</x:v>
      </x:c>
      <x:c r="AH325" s="226" t="str">
        <x:v>EUR</x:v>
      </x:c>
      <x:c r="AI325" s="226" t="n">
        <x:v>1.2213</x:v>
      </x:c>
      <x:c r="AJ325" s="226" t="n">
        <x:f>IF(AH325="EUR",AA325,IF(AH325="GBP",AB325,1))</x:f>
        <x:v>7.92</x:v>
      </x:c>
      <x:c r="AK325" s="226" t="n">
        <x:f>N325*AI325</x:f>
        <x:v>4401.2525472</x:v>
      </x:c>
      <x:c r="AL325" s="226" t="n">
        <x:f>AK325*AJ325</x:f>
        <x:v>34857.920173824</x:v>
      </x:c>
      <x:c r="AM325" s="226" t="str">
        <x:v>EUR</x:v>
      </x:c>
      <x:c r="AN325" s="226" t="n">
        <x:v>0.4347</x:v>
      </x:c>
      <x:c r="AO325" s="226" t="n">
        <x:f>IF(AM325="EUR",AA325,IF(AM325="GBP",AB325,1))</x:f>
        <x:v>7.92</x:v>
      </x:c>
      <x:c r="AP325" s="226" t="n">
        <x:f>P325*AN325</x:f>
        <x:v>1644.8748926399999</x:v>
      </x:c>
      <x:c r="AQ325" s="226" t="n">
        <x:f>AP325*AO325</x:f>
        <x:v>13027.4091497088</x:v>
      </x:c>
      <x:c r="AR325" s="226" t="str">
        <x:v>EUR</x:v>
      </x:c>
      <x:c r="AS325" s="226" t="n">
        <x:v>3.312</x:v>
      </x:c>
      <x:c r="AT325" s="226" t="n">
        <x:f>IF(AR325="EUR",AA325,IF(AR325="GBP",AB325,1))</x:f>
        <x:v>7.92</x:v>
      </x:c>
      <x:c r="AU325" s="226" t="n">
        <x:f>T325*AS325</x:f>
        <x:v>596.7800063999999</x:v>
      </x:c>
      <x:c r="AV325" s="226" t="n">
        <x:f>AU325*AT325</x:f>
        <x:v>4726.497650687999</x:v>
      </x:c>
      <x:c r="AW325" s="226" t="str">
        <x:v>EUR</x:v>
      </x:c>
      <x:c r="AX325" s="226" t="n">
        <x:v>2.3805</x:v>
      </x:c>
      <x:c r="AY325" s="226" t="n">
        <x:f>IF(AW325="EUR",AA325,IF(AW325="GBP",AB325,1))</x:f>
        <x:v>7.92</x:v>
      </x:c>
      <x:c r="AZ325" s="226" t="n">
        <x:f>V325*AX325</x:f>
        <x:v>144.1223715456</x:v>
      </x:c>
      <x:c r="BA325" s="226" t="n">
        <x:f>AZ325*AY325</x:f>
        <x:v>1141.449182641152</x:v>
      </x:c>
      <x:c r="BB325" s="226" t="n">
        <x:f>AF325+AG325+AL325+AQ325+AV325+BA325</x:f>
        <x:v>112213.02098750796</x:v>
      </x:c>
      <x:c r="BC325" s="229" t="n">
        <x:v>0.965</x:v>
      </x:c>
      <x:c r="BD325" s="202"/>
      <x:c r="BE325" s="202" t="str">
        <x:v>正式 Forecast 逐月降低英国空运及 Carrier C 份额，但仍高于 Budget</x:v>
      </x:c>
      <x:c r="BF325" s="202" t="str">
        <x:v>准备期：沿用正式 Forecast</x:v>
      </x:c>
      <x:c r="BG325" s="202" t="str">
        <x:v>UNVERIFIED_UNLIMITED_FOR_MVP</x:v>
      </x:c>
    </x:row>
    <x:row r="326">
      <x:c r="A326" s="187" t="str">
        <x:v>SCENARIO_COST_SAVING_2026_08</x:v>
      </x:c>
      <x:c r="B326" s="187" t="str">
        <x:v>SCENARIO</x:v>
      </x:c>
      <x:c r="C326" s="187" t="str">
        <x:v>COST_SAVING</x:v>
      </x:c>
      <x:c r="D326" s="217" t="n">
        <x:v>46266</x:v>
      </x:c>
      <x:c r="E326" s="187" t="str">
        <x:v>R_DE_DE_B_ROAD</x:v>
      </x:c>
      <x:c r="F326" s="187" t="str">
        <x:v>DE</x:v>
      </x:c>
      <x:c r="G326" s="187" t="str">
        <x:v>DE_FC</x:v>
      </x:c>
      <x:c r="H326" s="187" t="str">
        <x:v>CARRIER_B</x:v>
      </x:c>
      <x:c r="I326" s="187" t="str">
        <x:v>ROAD</x:v>
      </x:c>
      <x:c r="J326" s="220" t="n">
        <x:v>17200</x:v>
      </x:c>
      <x:c r="K326" s="223" t="n">
        <x:v>0.36</x:v>
      </x:c>
      <x:c r="L326" s="223" t="n">
        <x:v>0.97</x:v>
      </x:c>
      <x:c r="M326" s="223" t="n">
        <x:v>0.4</x:v>
      </x:c>
      <x:c r="N326" s="226" t="n">
        <x:f>J326*K326*L326*M326</x:f>
        <x:v>2402.496</x:v>
      </x:c>
      <x:c r="O326" s="220" t="n">
        <x:v>1.05</x:v>
      </x:c>
      <x:c r="P326" s="226" t="n">
        <x:f>N326*O326</x:f>
        <x:v>2522.6208</x:v>
      </x:c>
      <x:c r="Q326" s="220" t="n">
        <x:v>0.8</x:v>
      </x:c>
      <x:c r="R326" s="226" t="n">
        <x:f>P326*Q326</x:f>
        <x:v>2018.0966400000002</x:v>
      </x:c>
      <x:c r="S326" s="220" t="n">
        <x:v>0.05</x:v>
      </x:c>
      <x:c r="T326" s="226" t="n">
        <x:f>N326*S326</x:f>
        <x:v>120.12480000000001</x:v>
      </x:c>
      <x:c r="U326" s="226" t="n">
        <x:v>0.013</x:v>
      </x:c>
      <x:c r="V326" s="226" t="n">
        <x:f>P326*U326</x:f>
        <x:v>32.7940704</x:v>
      </x:c>
      <x:c r="W326" s="196" t="str">
        <x:v>EUR</x:v>
      </x:c>
      <x:c r="X326" s="220" t="n">
        <x:v>2.84625</x:v>
      </x:c>
      <x:c r="Y326" s="196" t="str">
        <x:v>PER_CHARGEABLE_KG</x:v>
      </x:c>
      <x:c r="Z326" s="220" t="n">
        <x:v>0.21735</x:v>
      </x:c>
      <x:c r="AA326" s="220" t="n">
        <x:v>7.92</x:v>
      </x:c>
      <x:c r="AB326" s="220" t="n">
        <x:v>9.15</x:v>
      </x:c>
      <x:c r="AC326" s="226" t="n">
        <x:f>IF(W326="EUR",AA326,IF(W326="GBP",AB326,1))</x:f>
        <x:v>7.92</x:v>
      </x:c>
      <x:c r="AD326" s="226" t="n">
        <x:f>R326*X326</x:f>
        <x:v>5744.0075616</x:v>
      </x:c>
      <x:c r="AE326" s="226" t="n">
        <x:f>IF(Y326="PERCENTAGE_OF_BASE_FREIGHT",AD326*Z326,IF(Y326="PER_CHARGEABLE_KG",R326*Z326,P326*Z326))</x:f>
        <x:v>438.633304704</x:v>
      </x:c>
      <x:c r="AF326" s="226" t="n">
        <x:f>AD326*AC326</x:f>
        <x:v>45492.539887872</x:v>
      </x:c>
      <x:c r="AG326" s="226" t="n">
        <x:f>AE326*AC326</x:f>
        <x:v>3473.97577325568</x:v>
      </x:c>
      <x:c r="AH326" s="226" t="str">
        <x:v>EUR</x:v>
      </x:c>
      <x:c r="AI326" s="226" t="n">
        <x:v>1.2213</x:v>
      </x:c>
      <x:c r="AJ326" s="226" t="n">
        <x:f>IF(AH326="EUR",AA326,IF(AH326="GBP",AB326,1))</x:f>
        <x:v>7.92</x:v>
      </x:c>
      <x:c r="AK326" s="226" t="n">
        <x:f>N326*AI326</x:f>
        <x:v>2934.1683648000003</x:v>
      </x:c>
      <x:c r="AL326" s="226" t="n">
        <x:f>AK326*AJ326</x:f>
        <x:v>23238.613449216</x:v>
      </x:c>
      <x:c r="AM326" s="226" t="str">
        <x:v>EUR</x:v>
      </x:c>
      <x:c r="AN326" s="226" t="n">
        <x:v>0.4347</x:v>
      </x:c>
      <x:c r="AO326" s="226" t="n">
        <x:f>IF(AM326="EUR",AA326,IF(AM326="GBP",AB326,1))</x:f>
        <x:v>7.92</x:v>
      </x:c>
      <x:c r="AP326" s="226" t="n">
        <x:f>P326*AN326</x:f>
        <x:v>1096.58326176</x:v>
      </x:c>
      <x:c r="AQ326" s="226" t="n">
        <x:f>AP326*AO326</x:f>
        <x:v>8684.9394331392</x:v>
      </x:c>
      <x:c r="AR326" s="226" t="str">
        <x:v>EUR</x:v>
      </x:c>
      <x:c r="AS326" s="226" t="n">
        <x:v>3.312</x:v>
      </x:c>
      <x:c r="AT326" s="226" t="n">
        <x:f>IF(AR326="EUR",AA326,IF(AR326="GBP",AB326,1))</x:f>
        <x:v>7.92</x:v>
      </x:c>
      <x:c r="AU326" s="226" t="n">
        <x:f>T326*AS326</x:f>
        <x:v>397.85333760000003</x:v>
      </x:c>
      <x:c r="AV326" s="226" t="n">
        <x:f>AU326*AT326</x:f>
        <x:v>3150.998433792</x:v>
      </x:c>
      <x:c r="AW326" s="226" t="str">
        <x:v>EUR</x:v>
      </x:c>
      <x:c r="AX326" s="226" t="n">
        <x:v>2.3805</x:v>
      </x:c>
      <x:c r="AY326" s="226" t="n">
        <x:f>IF(AW326="EUR",AA326,IF(AW326="GBP",AB326,1))</x:f>
        <x:v>7.92</x:v>
      </x:c>
      <x:c r="AZ326" s="226" t="n">
        <x:f>V326*AX326</x:f>
        <x:v>78.0662845872</x:v>
      </x:c>
      <x:c r="BA326" s="226" t="n">
        <x:f>AZ326*AY326</x:f>
        <x:v>618.284973930624</x:v>
      </x:c>
      <x:c r="BB326" s="226" t="n">
        <x:f>AF326+AG326+AL326+AQ326+AV326+BA326</x:f>
        <x:v>84659.3519512055</x:v>
      </x:c>
      <x:c r="BC326" s="229" t="n">
        <x:v>0.976</x:v>
      </x:c>
      <x:c r="BD326" s="202"/>
      <x:c r="BE326" s="202" t="str">
        <x:v>正式 Forecast 逐月降低英国空运及 Carrier C 份额，但仍高于 Budget</x:v>
      </x:c>
      <x:c r="BF326" s="202" t="str">
        <x:v>准备期：沿用正式 Forecast</x:v>
      </x:c>
      <x:c r="BG326" s="202" t="str">
        <x:v>UNVERIFIED_UNLIMITED_FOR_MVP</x:v>
      </x:c>
    </x:row>
    <x:row r="327">
      <x:c r="A327" s="187" t="str">
        <x:v>SCENARIO_COST_SAVING_2026_08</x:v>
      </x:c>
      <x:c r="B327" s="187" t="str">
        <x:v>SCENARIO</x:v>
      </x:c>
      <x:c r="C327" s="187" t="str">
        <x:v>COST_SAVING</x:v>
      </x:c>
      <x:c r="D327" s="217" t="n">
        <x:v>46266</x:v>
      </x:c>
      <x:c r="E327" s="187" t="str">
        <x:v>R_DE_FR_B_ROAD</x:v>
      </x:c>
      <x:c r="F327" s="187" t="str">
        <x:v>DE</x:v>
      </x:c>
      <x:c r="G327" s="187" t="str">
        <x:v>FR_FC</x:v>
      </x:c>
      <x:c r="H327" s="187" t="str">
        <x:v>CARRIER_B</x:v>
      </x:c>
      <x:c r="I327" s="187" t="str">
        <x:v>ROAD</x:v>
      </x:c>
      <x:c r="J327" s="220" t="n">
        <x:v>17200</x:v>
      </x:c>
      <x:c r="K327" s="223" t="n">
        <x:v>0.36</x:v>
      </x:c>
      <x:c r="L327" s="223" t="n">
        <x:v>0.03</x:v>
      </x:c>
      <x:c r="M327" s="223" t="n">
        <x:v>1</x:v>
      </x:c>
      <x:c r="N327" s="226" t="n">
        <x:f>J327*K327*L327*M327</x:f>
        <x:v>185.76</x:v>
      </x:c>
      <x:c r="O327" s="220" t="n">
        <x:v>1.08</x:v>
      </x:c>
      <x:c r="P327" s="226" t="n">
        <x:f>N327*O327</x:f>
        <x:v>200.6208</x:v>
      </x:c>
      <x:c r="Q327" s="220" t="n">
        <x:v>0.86</x:v>
      </x:c>
      <x:c r="R327" s="226" t="n">
        <x:f>P327*Q327</x:f>
        <x:v>172.533888</x:v>
      </x:c>
      <x:c r="S327" s="220" t="n">
        <x:v>0.05</x:v>
      </x:c>
      <x:c r="T327" s="226" t="n">
        <x:f>N327*S327</x:f>
        <x:v>9.288</x:v>
      </x:c>
      <x:c r="U327" s="226" t="n">
        <x:v>0.014</x:v>
      </x:c>
      <x:c r="V327" s="226" t="n">
        <x:f>P327*U327</x:f>
        <x:v>2.8086912</x:v>
      </x:c>
      <x:c r="W327" s="196" t="str">
        <x:v>EUR</x:v>
      </x:c>
      <x:c r="X327" s="220" t="n">
        <x:v>3.4155</x:v>
      </x:c>
      <x:c r="Y327" s="196" t="str">
        <x:v>PER_CHARGEABLE_KG</x:v>
      </x:c>
      <x:c r="Z327" s="220" t="n">
        <x:v>0.2484</x:v>
      </x:c>
      <x:c r="AA327" s="220" t="n">
        <x:v>7.92</x:v>
      </x:c>
      <x:c r="AB327" s="220" t="n">
        <x:v>9.15</x:v>
      </x:c>
      <x:c r="AC327" s="226" t="n">
        <x:f>IF(W327="EUR",AA327,IF(W327="GBP",AB327,1))</x:f>
        <x:v>7.92</x:v>
      </x:c>
      <x:c r="AD327" s="226" t="n">
        <x:f>R327*X327</x:f>
        <x:v>589.289494464</x:v>
      </x:c>
      <x:c r="AE327" s="226" t="n">
        <x:f>IF(Y327="PERCENTAGE_OF_BASE_FREIGHT",AD327*Z327,IF(Y327="PER_CHARGEABLE_KG",R327*Z327,P327*Z327))</x:f>
        <x:v>42.8574177792</x:v>
      </x:c>
      <x:c r="AF327" s="226" t="n">
        <x:f>AD327*AC327</x:f>
        <x:v>4667.1727961548795</x:v>
      </x:c>
      <x:c r="AG327" s="226" t="n">
        <x:f>AE327*AC327</x:f>
        <x:v>339.430748811264</x:v>
      </x:c>
      <x:c r="AH327" s="226" t="str">
        <x:v>EUR</x:v>
      </x:c>
      <x:c r="AI327" s="226" t="n">
        <x:v>1.08675</x:v>
      </x:c>
      <x:c r="AJ327" s="226" t="n">
        <x:f>IF(AH327="EUR",AA327,IF(AH327="GBP",AB327,1))</x:f>
        <x:v>7.92</x:v>
      </x:c>
      <x:c r="AK327" s="226" t="n">
        <x:f>N327*AI327</x:f>
        <x:v>201.87468</x:v>
      </x:c>
      <x:c r="AL327" s="226" t="n">
        <x:f>AK327*AJ327</x:f>
        <x:v>1598.8474656</x:v>
      </x:c>
      <x:c r="AM327" s="226" t="str">
        <x:v>EUR</x:v>
      </x:c>
      <x:c r="AN327" s="226" t="n">
        <x:v>0.3933</x:v>
      </x:c>
      <x:c r="AO327" s="226" t="n">
        <x:f>IF(AM327="EUR",AA327,IF(AM327="GBP",AB327,1))</x:f>
        <x:v>7.92</x:v>
      </x:c>
      <x:c r="AP327" s="226" t="n">
        <x:f>P327*AN327</x:f>
        <x:v>78.90416064</x:v>
      </x:c>
      <x:c r="AQ327" s="226" t="n">
        <x:f>AP327*AO327</x:f>
        <x:v>624.9209522688</x:v>
      </x:c>
      <x:c r="AR327" s="226" t="str">
        <x:v>EUR</x:v>
      </x:c>
      <x:c r="AS327" s="226" t="n">
        <x:v>3.933</x:v>
      </x:c>
      <x:c r="AT327" s="226" t="n">
        <x:f>IF(AR327="EUR",AA327,IF(AR327="GBP",AB327,1))</x:f>
        <x:v>7.92</x:v>
      </x:c>
      <x:c r="AU327" s="226" t="n">
        <x:f>T327*AS327</x:f>
        <x:v>36.529704</x:v>
      </x:c>
      <x:c r="AV327" s="226" t="n">
        <x:f>AU327*AT327</x:f>
        <x:v>289.31525568</x:v>
      </x:c>
      <x:c r="AW327" s="226" t="str">
        <x:v>EUR</x:v>
      </x:c>
      <x:c r="AX327" s="226" t="n">
        <x:v>2.3805</x:v>
      </x:c>
      <x:c r="AY327" s="226" t="n">
        <x:f>IF(AW327="EUR",AA327,IF(AW327="GBP",AB327,1))</x:f>
        <x:v>7.92</x:v>
      </x:c>
      <x:c r="AZ327" s="226" t="n">
        <x:f>V327*AX327</x:f>
        <x:v>6.6860894016</x:v>
      </x:c>
      <x:c r="BA327" s="226" t="n">
        <x:f>AZ327*AY327</x:f>
        <x:v>52.953828060672</x:v>
      </x:c>
      <x:c r="BB327" s="226" t="n">
        <x:f>AF327+AG327+AL327+AQ327+AV327+BA327</x:f>
        <x:v>7572.641046575614</x:v>
      </x:c>
      <x:c r="BC327" s="229" t="n">
        <x:v>0.968</x:v>
      </x:c>
      <x:c r="BD327" s="202"/>
      <x:c r="BE327" s="202" t="str">
        <x:v>正式 Forecast 逐月降低英国空运及 Carrier C 份额，但仍高于 Budget</x:v>
      </x:c>
      <x:c r="BF327" s="202" t="str">
        <x:v>准备期：沿用正式 Forecast</x:v>
      </x:c>
      <x:c r="BG327" s="202" t="str">
        <x:v>UNVERIFIED_UNLIMITED_FOR_MVP</x:v>
      </x:c>
    </x:row>
    <x:row r="328">
      <x:c r="A328" s="187" t="str">
        <x:v>SCENARIO_COST_SAVING_2026_08</x:v>
      </x:c>
      <x:c r="B328" s="187" t="str">
        <x:v>SCENARIO</x:v>
      </x:c>
      <x:c r="C328" s="187" t="str">
        <x:v>COST_SAVING</x:v>
      </x:c>
      <x:c r="D328" s="217" t="n">
        <x:v>46266</x:v>
      </x:c>
      <x:c r="E328" s="187" t="str">
        <x:v>R_FR_FR_A_ROAD</x:v>
      </x:c>
      <x:c r="F328" s="187" t="str">
        <x:v>FR</x:v>
      </x:c>
      <x:c r="G328" s="187" t="str">
        <x:v>FR_FC</x:v>
      </x:c>
      <x:c r="H328" s="187" t="str">
        <x:v>CARRIER_A</x:v>
      </x:c>
      <x:c r="I328" s="187" t="str">
        <x:v>ROAD</x:v>
      </x:c>
      <x:c r="J328" s="220" t="n">
        <x:v>17200</x:v>
      </x:c>
      <x:c r="K328" s="223" t="n">
        <x:v>0.3</x:v>
      </x:c>
      <x:c r="L328" s="223" t="n">
        <x:v>1</x:v>
      </x:c>
      <x:c r="M328" s="223" t="n">
        <x:v>0.35</x:v>
      </x:c>
      <x:c r="N328" s="226" t="n">
        <x:f>J328*K328*L328*M328</x:f>
        <x:v>1805.9999999999998</x:v>
      </x:c>
      <x:c r="O328" s="220" t="n">
        <x:v>1.06</x:v>
      </x:c>
      <x:c r="P328" s="226" t="n">
        <x:f>N328*O328</x:f>
        <x:v>1914.36</x:v>
      </x:c>
      <x:c r="Q328" s="220" t="n">
        <x:v>0.76</x:v>
      </x:c>
      <x:c r="R328" s="226" t="n">
        <x:f>P328*Q328</x:f>
        <x:v>1454.9135999999999</x:v>
      </x:c>
      <x:c r="S328" s="220" t="n">
        <x:v>0.06</x:v>
      </x:c>
      <x:c r="T328" s="226" t="n">
        <x:f>N328*S328</x:f>
        <x:v>108.35999999999999</x:v>
      </x:c>
      <x:c r="U328" s="226" t="n">
        <x:v>0.017</x:v>
      </x:c>
      <x:c r="V328" s="226" t="n">
        <x:f>P328*U328</x:f>
        <x:v>32.54412</x:v>
      </x:c>
      <x:c r="W328" s="196" t="str">
        <x:v>EUR</x:v>
      </x:c>
      <x:c r="X328" s="220" t="n">
        <x:v>2.1735</x:v>
      </x:c>
      <x:c r="Y328" s="196" t="str">
        <x:v>PERCENTAGE_OF_BASE_FREIGHT</x:v>
      </x:c>
      <x:c r="Z328" s="220" t="n">
        <x:v>0.09315</x:v>
      </x:c>
      <x:c r="AA328" s="220" t="n">
        <x:v>7.92</x:v>
      </x:c>
      <x:c r="AB328" s="220" t="n">
        <x:v>9.15</x:v>
      </x:c>
      <x:c r="AC328" s="226" t="n">
        <x:f>IF(W328="EUR",AA328,IF(W328="GBP",AB328,1))</x:f>
        <x:v>7.92</x:v>
      </x:c>
      <x:c r="AD328" s="226" t="n">
        <x:f>R328*X328</x:f>
        <x:v>3162.2547096</x:v>
      </x:c>
      <x:c r="AE328" s="226" t="n">
        <x:f>IF(Y328="PERCENTAGE_OF_BASE_FREIGHT",AD328*Z328,IF(Y328="PER_CHARGEABLE_KG",R328*Z328,P328*Z328))</x:f>
        <x:v>294.56402619923995</x:v>
      </x:c>
      <x:c r="AF328" s="226" t="n">
        <x:f>AD328*AC328</x:f>
        <x:v>25045.057300032</x:v>
      </x:c>
      <x:c r="AG328" s="226" t="n">
        <x:f>AE328*AC328</x:f>
        <x:v>2332.94708749798</x:v>
      </x:c>
      <x:c r="AH328" s="226" t="str">
        <x:v>EUR</x:v>
      </x:c>
      <x:c r="AI328" s="226" t="n">
        <x:v>1.08675</x:v>
      </x:c>
      <x:c r="AJ328" s="226" t="n">
        <x:f>IF(AH328="EUR",AA328,IF(AH328="GBP",AB328,1))</x:f>
        <x:v>7.92</x:v>
      </x:c>
      <x:c r="AK328" s="226" t="n">
        <x:f>N328*AI328</x:f>
        <x:v>1962.6705</x:v>
      </x:c>
      <x:c r="AL328" s="226" t="n">
        <x:f>AK328*AJ328</x:f>
        <x:v>15544.350359999999</x:v>
      </x:c>
      <x:c r="AM328" s="226" t="str">
        <x:v>EUR</x:v>
      </x:c>
      <x:c r="AN328" s="226" t="n">
        <x:v>0.3933</x:v>
      </x:c>
      <x:c r="AO328" s="226" t="n">
        <x:f>IF(AM328="EUR",AA328,IF(AM328="GBP",AB328,1))</x:f>
        <x:v>7.92</x:v>
      </x:c>
      <x:c r="AP328" s="226" t="n">
        <x:f>P328*AN328</x:f>
        <x:v>752.917788</x:v>
      </x:c>
      <x:c r="AQ328" s="226" t="n">
        <x:f>AP328*AO328</x:f>
        <x:v>5963.10888096</x:v>
      </x:c>
      <x:c r="AR328" s="226" t="str">
        <x:v>EUR</x:v>
      </x:c>
      <x:c r="AS328" s="226" t="n">
        <x:v>3.105</x:v>
      </x:c>
      <x:c r="AT328" s="226" t="n">
        <x:f>IF(AR328="EUR",AA328,IF(AR328="GBP",AB328,1))</x:f>
        <x:v>7.92</x:v>
      </x:c>
      <x:c r="AU328" s="226" t="n">
        <x:f>T328*AS328</x:f>
        <x:v>336.45779999999996</x:v>
      </x:c>
      <x:c r="AV328" s="226" t="n">
        <x:f>AU328*AT328</x:f>
        <x:v>2664.7457759999998</x:v>
      </x:c>
      <x:c r="AW328" s="226" t="str">
        <x:v>EUR</x:v>
      </x:c>
      <x:c r="AX328" s="226" t="n">
        <x:v>2.3805</x:v>
      </x:c>
      <x:c r="AY328" s="226" t="n">
        <x:f>IF(AW328="EUR",AA328,IF(AW328="GBP",AB328,1))</x:f>
        <x:v>7.92</x:v>
      </x:c>
      <x:c r="AZ328" s="226" t="n">
        <x:f>V328*AX328</x:f>
        <x:v>77.47127766</x:v>
      </x:c>
      <x:c r="BA328" s="226" t="n">
        <x:f>AZ328*AY328</x:f>
        <x:v>613.5725190672</x:v>
      </x:c>
      <x:c r="BB328" s="226" t="n">
        <x:f>AF328+AG328+AL328+AQ328+AV328+BA328</x:f>
        <x:v>52163.78192355717</x:v>
      </x:c>
      <x:c r="BC328" s="229" t="n">
        <x:v>0.961</x:v>
      </x:c>
      <x:c r="BD328" s="202"/>
      <x:c r="BE328" s="202" t="str">
        <x:v>正式 Forecast 逐月降低英国空运及 Carrier C 份额，但仍高于 Budget</x:v>
      </x:c>
      <x:c r="BF328" s="202" t="str">
        <x:v>准备期：沿用正式 Forecast</x:v>
      </x:c>
      <x:c r="BG328" s="202" t="str">
        <x:v>UNVERIFIED_UNLIMITED_FOR_MVP</x:v>
      </x:c>
    </x:row>
    <x:row r="329">
      <x:c r="A329" s="187" t="str">
        <x:v>SCENARIO_COST_SAVING_2026_08</x:v>
      </x:c>
      <x:c r="B329" s="187" t="str">
        <x:v>SCENARIO</x:v>
      </x:c>
      <x:c r="C329" s="187" t="str">
        <x:v>COST_SAVING</x:v>
      </x:c>
      <x:c r="D329" s="217" t="n">
        <x:v>46266</x:v>
      </x:c>
      <x:c r="E329" s="187" t="str">
        <x:v>R_FR_FR_B_ROAD</x:v>
      </x:c>
      <x:c r="F329" s="187" t="str">
        <x:v>FR</x:v>
      </x:c>
      <x:c r="G329" s="187" t="str">
        <x:v>FR_FC</x:v>
      </x:c>
      <x:c r="H329" s="187" t="str">
        <x:v>CARRIER_B</x:v>
      </x:c>
      <x:c r="I329" s="187" t="str">
        <x:v>ROAD</x:v>
      </x:c>
      <x:c r="J329" s="220" t="n">
        <x:v>17200</x:v>
      </x:c>
      <x:c r="K329" s="223" t="n">
        <x:v>0.3</x:v>
      </x:c>
      <x:c r="L329" s="223" t="n">
        <x:v>1</x:v>
      </x:c>
      <x:c r="M329" s="223" t="n">
        <x:v>0.65</x:v>
      </x:c>
      <x:c r="N329" s="226" t="n">
        <x:f>J329*K329*L329*M329</x:f>
        <x:v>3354</x:v>
      </x:c>
      <x:c r="O329" s="220" t="n">
        <x:v>1.06</x:v>
      </x:c>
      <x:c r="P329" s="226" t="n">
        <x:f>N329*O329</x:f>
        <x:v>3555.2400000000002</x:v>
      </x:c>
      <x:c r="Q329" s="220" t="n">
        <x:v>0.79</x:v>
      </x:c>
      <x:c r="R329" s="226" t="n">
        <x:f>P329*Q329</x:f>
        <x:v>2808.6396000000004</x:v>
      </x:c>
      <x:c r="S329" s="220" t="n">
        <x:v>0.06</x:v>
      </x:c>
      <x:c r="T329" s="226" t="n">
        <x:f>N329*S329</x:f>
        <x:v>201.23999999999998</x:v>
      </x:c>
      <x:c r="U329" s="226" t="n">
        <x:v>0.014</x:v>
      </x:c>
      <x:c r="V329" s="226" t="n">
        <x:f>P329*U329</x:f>
        <x:v>49.773360000000004</x:v>
      </x:c>
      <x:c r="W329" s="196" t="str">
        <x:v>EUR</x:v>
      </x:c>
      <x:c r="X329" s="220" t="n">
        <x:v>2.691</x:v>
      </x:c>
      <x:c r="Y329" s="196" t="str">
        <x:v>PER_CHARGEABLE_KG</x:v>
      </x:c>
      <x:c r="Z329" s="220" t="n">
        <x:v>0.207</x:v>
      </x:c>
      <x:c r="AA329" s="220" t="n">
        <x:v>7.92</x:v>
      </x:c>
      <x:c r="AB329" s="220" t="n">
        <x:v>9.15</x:v>
      </x:c>
      <x:c r="AC329" s="226" t="n">
        <x:f>IF(W329="EUR",AA329,IF(W329="GBP",AB329,1))</x:f>
        <x:v>7.92</x:v>
      </x:c>
      <x:c r="AD329" s="226" t="n">
        <x:f>R329*X329</x:f>
        <x:v>7558.049163600001</x:v>
      </x:c>
      <x:c r="AE329" s="226" t="n">
        <x:f>IF(Y329="PERCENTAGE_OF_BASE_FREIGHT",AD329*Z329,IF(Y329="PER_CHARGEABLE_KG",R329*Z329,P329*Z329))</x:f>
        <x:v>581.3883972000001</x:v>
      </x:c>
      <x:c r="AF329" s="226" t="n">
        <x:f>AD329*AC329</x:f>
        <x:v>59859.749375712</x:v>
      </x:c>
      <x:c r="AG329" s="226" t="n">
        <x:f>AE329*AC329</x:f>
        <x:v>4604.596105824001</x:v>
      </x:c>
      <x:c r="AH329" s="226" t="str">
        <x:v>EUR</x:v>
      </x:c>
      <x:c r="AI329" s="226" t="n">
        <x:v>1.08675</x:v>
      </x:c>
      <x:c r="AJ329" s="226" t="n">
        <x:f>IF(AH329="EUR",AA329,IF(AH329="GBP",AB329,1))</x:f>
        <x:v>7.92</x:v>
      </x:c>
      <x:c r="AK329" s="226" t="n">
        <x:f>N329*AI329</x:f>
        <x:v>3644.9595000000004</x:v>
      </x:c>
      <x:c r="AL329" s="226" t="n">
        <x:f>AK329*AJ329</x:f>
        <x:v>28868.079240000003</x:v>
      </x:c>
      <x:c r="AM329" s="226" t="str">
        <x:v>EUR</x:v>
      </x:c>
      <x:c r="AN329" s="226" t="n">
        <x:v>0.3933</x:v>
      </x:c>
      <x:c r="AO329" s="226" t="n">
        <x:f>IF(AM329="EUR",AA329,IF(AM329="GBP",AB329,1))</x:f>
        <x:v>7.92</x:v>
      </x:c>
      <x:c r="AP329" s="226" t="n">
        <x:f>P329*AN329</x:f>
        <x:v>1398.275892</x:v>
      </x:c>
      <x:c r="AQ329" s="226" t="n">
        <x:f>AP329*AO329</x:f>
        <x:v>11074.345064640002</x:v>
      </x:c>
      <x:c r="AR329" s="226" t="str">
        <x:v>EUR</x:v>
      </x:c>
      <x:c r="AS329" s="226" t="n">
        <x:v>3.105</x:v>
      </x:c>
      <x:c r="AT329" s="226" t="n">
        <x:f>IF(AR329="EUR",AA329,IF(AR329="GBP",AB329,1))</x:f>
        <x:v>7.92</x:v>
      </x:c>
      <x:c r="AU329" s="226" t="n">
        <x:f>T329*AS329</x:f>
        <x:v>624.8502</x:v>
      </x:c>
      <x:c r="AV329" s="226" t="n">
        <x:f>AU329*AT329</x:f>
        <x:v>4948.8135839999995</x:v>
      </x:c>
      <x:c r="AW329" s="226" t="str">
        <x:v>EUR</x:v>
      </x:c>
      <x:c r="AX329" s="226" t="n">
        <x:v>2.3805</x:v>
      </x:c>
      <x:c r="AY329" s="226" t="n">
        <x:f>IF(AW329="EUR",AA329,IF(AW329="GBP",AB329,1))</x:f>
        <x:v>7.92</x:v>
      </x:c>
      <x:c r="AZ329" s="226" t="n">
        <x:f>V329*AX329</x:f>
        <x:v>118.48548348000001</x:v>
      </x:c>
      <x:c r="BA329" s="226" t="n">
        <x:f>AZ329*AY329</x:f>
        <x:v>938.4050291616</x:v>
      </x:c>
      <x:c r="BB329" s="226" t="n">
        <x:f>AF329+AG329+AL329+AQ329+AV329+BA329</x:f>
        <x:v>110293.98839933761</x:v>
      </x:c>
      <x:c r="BC329" s="229" t="n">
        <x:v>0.973</x:v>
      </x:c>
      <x:c r="BD329" s="202"/>
      <x:c r="BE329" s="202" t="str">
        <x:v>正式 Forecast 逐月降低英国空运及 Carrier C 份额，但仍高于 Budget</x:v>
      </x:c>
      <x:c r="BF329" s="202" t="str">
        <x:v>准备期：沿用正式 Forecast</x:v>
      </x:c>
      <x:c r="BG329" s="202" t="str">
        <x:v>UNVERIFIED_UNLIMITED_FOR_MVP</x:v>
      </x:c>
    </x:row>
    <x:row r="330">
      <x:c r="A330" s="187" t="str">
        <x:v>SCENARIO_COST_SAVING_2026_08</x:v>
      </x:c>
      <x:c r="B330" s="187" t="str">
        <x:v>SCENARIO</x:v>
      </x:c>
      <x:c r="C330" s="187" t="str">
        <x:v>COST_SAVING</x:v>
      </x:c>
      <x:c r="D330" s="217" t="n">
        <x:v>46266</x:v>
      </x:c>
      <x:c r="E330" s="187" t="str">
        <x:v>R_GB_DE_A_ROAD</x:v>
      </x:c>
      <x:c r="F330" s="187" t="str">
        <x:v>GB</x:v>
      </x:c>
      <x:c r="G330" s="187" t="str">
        <x:v>DE_FC</x:v>
      </x:c>
      <x:c r="H330" s="187" t="str">
        <x:v>CARRIER_A</x:v>
      </x:c>
      <x:c r="I330" s="187" t="str">
        <x:v>ROAD</x:v>
      </x:c>
      <x:c r="J330" s="220" t="n">
        <x:v>17200</x:v>
      </x:c>
      <x:c r="K330" s="223" t="n">
        <x:v>0.34</x:v>
      </x:c>
      <x:c r="L330" s="223" t="n">
        <x:v>0.96</x:v>
      </x:c>
      <x:c r="M330" s="223" t="n">
        <x:v>0.3</x:v>
      </x:c>
      <x:c r="N330" s="226" t="n">
        <x:f>J330*K330*L330*M330</x:f>
        <x:v>1684.224</x:v>
      </x:c>
      <x:c r="O330" s="220" t="n">
        <x:v>1.19</x:v>
      </x:c>
      <x:c r="P330" s="226" t="n">
        <x:f>N330*O330</x:f>
        <x:v>2004.2265599999998</x:v>
      </x:c>
      <x:c r="Q330" s="220" t="n">
        <x:v>1.0404</x:v>
      </x:c>
      <x:c r="R330" s="226" t="n">
        <x:f>P330*Q330</x:f>
        <x:v>2085.197313024</x:v>
      </x:c>
      <x:c r="S330" s="220" t="n">
        <x:v>0.095</x:v>
      </x:c>
      <x:c r="T330" s="226" t="n">
        <x:f>N330*S330</x:f>
        <x:v>160.00128</x:v>
      </x:c>
      <x:c r="U330" s="226" t="n">
        <x:v>0.027</x:v>
      </x:c>
      <x:c r="V330" s="226" t="n">
        <x:f>P330*U330</x:f>
        <x:v>54.114117119999996</x:v>
      </x:c>
      <x:c r="W330" s="196" t="str">
        <x:v>GBP</x:v>
      </x:c>
      <x:c r="X330" s="220" t="n">
        <x:v>4.14</x:v>
      </x:c>
      <x:c r="Y330" s="196" t="str">
        <x:v>PERCENTAGE_OF_BASE_FREIGHT</x:v>
      </x:c>
      <x:c r="Z330" s="220" t="n">
        <x:v>0.1035</x:v>
      </x:c>
      <x:c r="AA330" s="220" t="n">
        <x:v>7.92</x:v>
      </x:c>
      <x:c r="AB330" s="220" t="n">
        <x:v>9.15</x:v>
      </x:c>
      <x:c r="AC330" s="226" t="n">
        <x:f>IF(W330="EUR",AA330,IF(W330="GBP",AB330,1))</x:f>
        <x:v>9.15</x:v>
      </x:c>
      <x:c r="AD330" s="226" t="n">
        <x:f>R330*X330</x:f>
        <x:v>8632.71687591936</x:v>
      </x:c>
      <x:c r="AE330" s="226" t="n">
        <x:f>IF(Y330="PERCENTAGE_OF_BASE_FREIGHT",AD330*Z330,IF(Y330="PER_CHARGEABLE_KG",R330*Z330,P330*Z330))</x:f>
        <x:v>893.4861966576536</x:v>
      </x:c>
      <x:c r="AF330" s="226" t="n">
        <x:f>AD330*AC330</x:f>
        <x:v>78989.35941466213</x:v>
      </x:c>
      <x:c r="AG330" s="226" t="n">
        <x:f>AE330*AC330</x:f>
        <x:v>8175.398699417531</x:v>
      </x:c>
      <x:c r="AH330" s="226" t="str">
        <x:v>EUR</x:v>
      </x:c>
      <x:c r="AI330" s="226" t="n">
        <x:v>1.2213</x:v>
      </x:c>
      <x:c r="AJ330" s="226" t="n">
        <x:f>IF(AH330="EUR",AA330,IF(AH330="GBP",AB330,1))</x:f>
        <x:v>7.92</x:v>
      </x:c>
      <x:c r="AK330" s="226" t="n">
        <x:f>N330*AI330</x:f>
        <x:v>2056.9427712</x:v>
      </x:c>
      <x:c r="AL330" s="226" t="n">
        <x:f>AK330*AJ330</x:f>
        <x:v>16290.986747904</x:v>
      </x:c>
      <x:c r="AM330" s="226" t="str">
        <x:v>EUR</x:v>
      </x:c>
      <x:c r="AN330" s="226" t="n">
        <x:v>0.4347</x:v>
      </x:c>
      <x:c r="AO330" s="226" t="n">
        <x:f>IF(AM330="EUR",AA330,IF(AM330="GBP",AB330,1))</x:f>
        <x:v>7.92</x:v>
      </x:c>
      <x:c r="AP330" s="226" t="n">
        <x:f>P330*AN330</x:f>
        <x:v>871.2372856319998</x:v>
      </x:c>
      <x:c r="AQ330" s="226" t="n">
        <x:f>AP330*AO330</x:f>
        <x:v>6900.1993022054385</x:v>
      </x:c>
      <x:c r="AR330" s="226" t="str">
        <x:v>GBP</x:v>
      </x:c>
      <x:c r="AS330" s="226" t="n">
        <x:v>4.968</x:v>
      </x:c>
      <x:c r="AT330" s="226" t="n">
        <x:f>IF(AR330="EUR",AA330,IF(AR330="GBP",AB330,1))</x:f>
        <x:v>9.15</x:v>
      </x:c>
      <x:c r="AU330" s="226" t="n">
        <x:f>T330*AS330</x:f>
        <x:v>794.88635904</x:v>
      </x:c>
      <x:c r="AV330" s="226" t="n">
        <x:f>AU330*AT330</x:f>
        <x:v>7273.210185216</x:v>
      </x:c>
      <x:c r="AW330" s="226" t="str">
        <x:v>GBP</x:v>
      </x:c>
      <x:c r="AX330" s="226" t="n">
        <x:v>2.3805</x:v>
      </x:c>
      <x:c r="AY330" s="226" t="n">
        <x:f>IF(AW330="EUR",AA330,IF(AW330="GBP",AB330,1))</x:f>
        <x:v>9.15</x:v>
      </x:c>
      <x:c r="AZ330" s="226" t="n">
        <x:f>V330*AX330</x:f>
        <x:v>128.81865580416</x:v>
      </x:c>
      <x:c r="BA330" s="226" t="n">
        <x:f>AZ330*AY330</x:f>
        <x:v>1178.690700608064</x:v>
      </x:c>
      <x:c r="BB330" s="226" t="n">
        <x:f>AF330+AG330+AL330+AQ330+AV330+BA330</x:f>
        <x:v>118807.84505001316</x:v>
      </x:c>
      <x:c r="BC330" s="229" t="n">
        <x:v>0.93</x:v>
      </x:c>
      <x:c r="BD330" s="202"/>
      <x:c r="BE330" s="202" t="str">
        <x:v>正式 Forecast 逐月降低英国空运及 Carrier C 份额，但仍高于 Budget</x:v>
      </x:c>
      <x:c r="BF330" s="202" t="str">
        <x:v>准备期：沿用正式 Forecast</x:v>
      </x:c>
      <x:c r="BG330" s="202" t="str">
        <x:v>UNVERIFIED_UNLIMITED_FOR_MVP</x:v>
      </x:c>
    </x:row>
    <x:row r="331">
      <x:c r="A331" s="187" t="str">
        <x:v>SCENARIO_COST_SAVING_2026_08</x:v>
      </x:c>
      <x:c r="B331" s="187" t="str">
        <x:v>SCENARIO</x:v>
      </x:c>
      <x:c r="C331" s="187" t="str">
        <x:v>COST_SAVING</x:v>
      </x:c>
      <x:c r="D331" s="217" t="n">
        <x:v>46266</x:v>
      </x:c>
      <x:c r="E331" s="187" t="str">
        <x:v>R_GB_DE_B_ROAD</x:v>
      </x:c>
      <x:c r="F331" s="187" t="str">
        <x:v>GB</x:v>
      </x:c>
      <x:c r="G331" s="187" t="str">
        <x:v>DE_FC</x:v>
      </x:c>
      <x:c r="H331" s="187" t="str">
        <x:v>CARRIER_B</x:v>
      </x:c>
      <x:c r="I331" s="187" t="str">
        <x:v>ROAD</x:v>
      </x:c>
      <x:c r="J331" s="220" t="n">
        <x:v>17200</x:v>
      </x:c>
      <x:c r="K331" s="223" t="n">
        <x:v>0.34</x:v>
      </x:c>
      <x:c r="L331" s="223" t="n">
        <x:v>0.96</x:v>
      </x:c>
      <x:c r="M331" s="223" t="n">
        <x:v>0.17</x:v>
      </x:c>
      <x:c r="N331" s="226" t="n">
        <x:f>J331*K331*L331*M331</x:f>
        <x:v>954.3936000000001</x:v>
      </x:c>
      <x:c r="O331" s="220" t="n">
        <x:v>1.19</x:v>
      </x:c>
      <x:c r="P331" s="226" t="n">
        <x:f>N331*O331</x:f>
        <x:v>1135.728384</x:v>
      </x:c>
      <x:c r="Q331" s="220" t="n">
        <x:v>1.02</x:v>
      </x:c>
      <x:c r="R331" s="226" t="n">
        <x:f>P331*Q331</x:f>
        <x:v>1158.44295168</x:v>
      </x:c>
      <x:c r="S331" s="220" t="n">
        <x:v>0.095</x:v>
      </x:c>
      <x:c r="T331" s="226" t="n">
        <x:f>N331*S331</x:f>
        <x:v>90.667392</x:v>
      </x:c>
      <x:c r="U331" s="226" t="n">
        <x:v>0.02</x:v>
      </x:c>
      <x:c r="V331" s="226" t="n">
        <x:f>P331*U331</x:f>
        <x:v>22.714567680000002</x:v>
      </x:c>
      <x:c r="W331" s="196" t="str">
        <x:v>GBP</x:v>
      </x:c>
      <x:c r="X331" s="220" t="n">
        <x:v>4.8645</x:v>
      </x:c>
      <x:c r="Y331" s="196" t="str">
        <x:v>PER_CHARGEABLE_KG</x:v>
      </x:c>
      <x:c r="Z331" s="220" t="n">
        <x:v>0.34155</x:v>
      </x:c>
      <x:c r="AA331" s="220" t="n">
        <x:v>7.92</x:v>
      </x:c>
      <x:c r="AB331" s="220" t="n">
        <x:v>9.15</x:v>
      </x:c>
      <x:c r="AC331" s="226" t="n">
        <x:f>IF(W331="EUR",AA331,IF(W331="GBP",AB331,1))</x:f>
        <x:v>9.15</x:v>
      </x:c>
      <x:c r="AD331" s="226" t="n">
        <x:f>R331*X331</x:f>
        <x:v>5635.24573844736</x:v>
      </x:c>
      <x:c r="AE331" s="226" t="n">
        <x:f>IF(Y331="PERCENTAGE_OF_BASE_FREIGHT",AD331*Z331,IF(Y331="PER_CHARGEABLE_KG",R331*Z331,P331*Z331))</x:f>
        <x:v>395.6661901463041</x:v>
      </x:c>
      <x:c r="AF331" s="226" t="n">
        <x:f>AD331*AC331</x:f>
        <x:v>51562.498506793345</x:v>
      </x:c>
      <x:c r="AG331" s="226" t="n">
        <x:f>AE331*AC331</x:f>
        <x:v>3620.3456398386825</x:v>
      </x:c>
      <x:c r="AH331" s="226" t="str">
        <x:v>EUR</x:v>
      </x:c>
      <x:c r="AI331" s="226" t="n">
        <x:v>1.2213</x:v>
      </x:c>
      <x:c r="AJ331" s="226" t="n">
        <x:f>IF(AH331="EUR",AA331,IF(AH331="GBP",AB331,1))</x:f>
        <x:v>7.92</x:v>
      </x:c>
      <x:c r="AK331" s="226" t="n">
        <x:f>N331*AI331</x:f>
        <x:v>1165.60090368</x:v>
      </x:c>
      <x:c r="AL331" s="226" t="n">
        <x:f>AK331*AJ331</x:f>
        <x:v>9231.5591571456</x:v>
      </x:c>
      <x:c r="AM331" s="226" t="str">
        <x:v>EUR</x:v>
      </x:c>
      <x:c r="AN331" s="226" t="n">
        <x:v>0.4347</x:v>
      </x:c>
      <x:c r="AO331" s="226" t="n">
        <x:f>IF(AM331="EUR",AA331,IF(AM331="GBP",AB331,1))</x:f>
        <x:v>7.92</x:v>
      </x:c>
      <x:c r="AP331" s="226" t="n">
        <x:f>P331*AN331</x:f>
        <x:v>493.70112852479997</x:v>
      </x:c>
      <x:c r="AQ331" s="226" t="n">
        <x:f>AP331*AO331</x:f>
        <x:v>3910.112937916416</x:v>
      </x:c>
      <x:c r="AR331" s="226" t="str">
        <x:v>GBP</x:v>
      </x:c>
      <x:c r="AS331" s="226" t="n">
        <x:v>4.968</x:v>
      </x:c>
      <x:c r="AT331" s="226" t="n">
        <x:f>IF(AR331="EUR",AA331,IF(AR331="GBP",AB331,1))</x:f>
        <x:v>9.15</x:v>
      </x:c>
      <x:c r="AU331" s="226" t="n">
        <x:f>T331*AS331</x:f>
        <x:v>450.435603456</x:v>
      </x:c>
      <x:c r="AV331" s="226" t="n">
        <x:f>AU331*AT331</x:f>
        <x:v>4121.4857716224005</x:v>
      </x:c>
      <x:c r="AW331" s="226" t="str">
        <x:v>GBP</x:v>
      </x:c>
      <x:c r="AX331" s="226" t="n">
        <x:v>2.3805</x:v>
      </x:c>
      <x:c r="AY331" s="226" t="n">
        <x:f>IF(AW331="EUR",AA331,IF(AW331="GBP",AB331,1))</x:f>
        <x:v>9.15</x:v>
      </x:c>
      <x:c r="AZ331" s="226" t="n">
        <x:f>V331*AX331</x:f>
        <x:v>54.072028362240005</x:v>
      </x:c>
      <x:c r="BA331" s="226" t="n">
        <x:f>AZ331*AY331</x:f>
        <x:v>494.7590595144961</x:v>
      </x:c>
      <x:c r="BB331" s="226" t="n">
        <x:f>AF331+AG331+AL331+AQ331+AV331+BA331</x:f>
        <x:v>72940.76107283095</x:v>
      </x:c>
      <x:c r="BC331" s="229" t="n">
        <x:v>0.95</x:v>
      </x:c>
      <x:c r="BD331" s="202"/>
      <x:c r="BE331" s="202" t="str">
        <x:v>正式 Forecast 逐月降低英国空运及 Carrier C 份额，但仍高于 Budget</x:v>
      </x:c>
      <x:c r="BF331" s="202" t="str">
        <x:v>准备期：沿用正式 Forecast</x:v>
      </x:c>
      <x:c r="BG331" s="202" t="str">
        <x:v>UNVERIFIED_UNLIMITED_FOR_MVP</x:v>
      </x:c>
    </x:row>
    <x:row r="332">
      <x:c r="A332" s="187" t="str">
        <x:v>SCENARIO_COST_SAVING_2026_08</x:v>
      </x:c>
      <x:c r="B332" s="187" t="str">
        <x:v>SCENARIO</x:v>
      </x:c>
      <x:c r="C332" s="187" t="str">
        <x:v>COST_SAVING</x:v>
      </x:c>
      <x:c r="D332" s="217" t="n">
        <x:v>46266</x:v>
      </x:c>
      <x:c r="E332" s="187" t="str">
        <x:v>R_GB_DE_B_AIR</x:v>
      </x:c>
      <x:c r="F332" s="187" t="str">
        <x:v>GB</x:v>
      </x:c>
      <x:c r="G332" s="187" t="str">
        <x:v>DE_FC</x:v>
      </x:c>
      <x:c r="H332" s="187" t="str">
        <x:v>CARRIER_B</x:v>
      </x:c>
      <x:c r="I332" s="187" t="str">
        <x:v>AIR</x:v>
      </x:c>
      <x:c r="J332" s="220" t="n">
        <x:v>17200</x:v>
      </x:c>
      <x:c r="K332" s="223" t="n">
        <x:v>0.34</x:v>
      </x:c>
      <x:c r="L332" s="223" t="n">
        <x:v>0.96</x:v>
      </x:c>
      <x:c r="M332" s="223" t="n">
        <x:v>0.25</x:v>
      </x:c>
      <x:c r="N332" s="226" t="n">
        <x:f>J332*K332*L332*M332</x:f>
        <x:v>1403.52</x:v>
      </x:c>
      <x:c r="O332" s="220" t="n">
        <x:v>1.19</x:v>
      </x:c>
      <x:c r="P332" s="226" t="n">
        <x:f>N332*O332</x:f>
        <x:v>1670.1888</x:v>
      </x:c>
      <x:c r="Q332" s="220" t="n">
        <x:v>0.9588</x:v>
      </x:c>
      <x:c r="R332" s="226" t="n">
        <x:f>P332*Q332</x:f>
        <x:v>1601.37702144</x:v>
      </x:c>
      <x:c r="S332" s="220" t="n">
        <x:v>0.095</x:v>
      </x:c>
      <x:c r="T332" s="226" t="n">
        <x:f>N332*S332</x:f>
        <x:v>133.3344</x:v>
      </x:c>
      <x:c r="U332" s="226" t="n">
        <x:v>0.016</x:v>
      </x:c>
      <x:c r="V332" s="226" t="n">
        <x:f>P332*U332</x:f>
        <x:v>26.7230208</x:v>
      </x:c>
      <x:c r="W332" s="196" t="str">
        <x:v>GBP</x:v>
      </x:c>
      <x:c r="X332" s="220" t="n">
        <x:v>6.67368</x:v>
      </x:c>
      <x:c r="Y332" s="196" t="str">
        <x:v>PERCENTAGE_OF_BASE_FREIGHT</x:v>
      </x:c>
      <x:c r="Z332" s="220" t="n">
        <x:v>0.123786</x:v>
      </x:c>
      <x:c r="AA332" s="220" t="n">
        <x:v>7.92</x:v>
      </x:c>
      <x:c r="AB332" s="220" t="n">
        <x:v>9.15</x:v>
      </x:c>
      <x:c r="AC332" s="226" t="n">
        <x:f>IF(W332="EUR",AA332,IF(W332="GBP",AB332,1))</x:f>
        <x:v>9.15</x:v>
      </x:c>
      <x:c r="AD332" s="226" t="n">
        <x:f>R332*X332</x:f>
        <x:v>10687.077800443698</x:v>
      </x:c>
      <x:c r="AE332" s="226" t="n">
        <x:f>IF(Y332="PERCENTAGE_OF_BASE_FREIGHT",AD332*Z332,IF(Y332="PER_CHARGEABLE_KG",R332*Z332,P332*Z332))</x:f>
        <x:v>1322.9106126057236</x:v>
      </x:c>
      <x:c r="AF332" s="226" t="n">
        <x:f>AD332*AC332</x:f>
        <x:v>97786.76187405984</x:v>
      </x:c>
      <x:c r="AG332" s="226" t="n">
        <x:f>AE332*AC332</x:f>
        <x:v>12104.63210534237</x:v>
      </x:c>
      <x:c r="AH332" s="226" t="str">
        <x:v>EUR</x:v>
      </x:c>
      <x:c r="AI332" s="226" t="n">
        <x:v>1.2213</x:v>
      </x:c>
      <x:c r="AJ332" s="226" t="n">
        <x:f>IF(AH332="EUR",AA332,IF(AH332="GBP",AB332,1))</x:f>
        <x:v>7.92</x:v>
      </x:c>
      <x:c r="AK332" s="226" t="n">
        <x:f>N332*AI332</x:f>
        <x:v>1714.118976</x:v>
      </x:c>
      <x:c r="AL332" s="226" t="n">
        <x:f>AK332*AJ332</x:f>
        <x:v>13575.82228992</x:v>
      </x:c>
      <x:c r="AM332" s="226" t="str">
        <x:v>EUR</x:v>
      </x:c>
      <x:c r="AN332" s="226" t="n">
        <x:v>0.4347</x:v>
      </x:c>
      <x:c r="AO332" s="226" t="n">
        <x:f>IF(AM332="EUR",AA332,IF(AM332="GBP",AB332,1))</x:f>
        <x:v>7.92</x:v>
      </x:c>
      <x:c r="AP332" s="226" t="n">
        <x:f>P332*AN332</x:f>
        <x:v>726.0310713599999</x:v>
      </x:c>
      <x:c r="AQ332" s="226" t="n">
        <x:f>AP332*AO332</x:f>
        <x:v>5750.1660851711995</x:v>
      </x:c>
      <x:c r="AR332" s="226" t="str">
        <x:v>GBP</x:v>
      </x:c>
      <x:c r="AS332" s="226" t="n">
        <x:v>4.968</x:v>
      </x:c>
      <x:c r="AT332" s="226" t="n">
        <x:f>IF(AR332="EUR",AA332,IF(AR332="GBP",AB332,1))</x:f>
        <x:v>9.15</x:v>
      </x:c>
      <x:c r="AU332" s="226" t="n">
        <x:f>T332*AS332</x:f>
        <x:v>662.4052992</x:v>
      </x:c>
      <x:c r="AV332" s="226" t="n">
        <x:f>AU332*AT332</x:f>
        <x:v>6061.00848768</x:v>
      </x:c>
      <x:c r="AW332" s="226" t="str">
        <x:v>GBP</x:v>
      </x:c>
      <x:c r="AX332" s="226" t="n">
        <x:v>2.898</x:v>
      </x:c>
      <x:c r="AY332" s="226" t="n">
        <x:f>IF(AW332="EUR",AA332,IF(AW332="GBP",AB332,1))</x:f>
        <x:v>9.15</x:v>
      </x:c>
      <x:c r="AZ332" s="226" t="n">
        <x:f>V332*AX332</x:f>
        <x:v>77.44331427840001</x:v>
      </x:c>
      <x:c r="BA332" s="226" t="n">
        <x:f>AZ332*AY332</x:f>
        <x:v>708.6063256473601</x:v>
      </x:c>
      <x:c r="BB332" s="226" t="n">
        <x:f>AF332+AG332+AL332+AQ332+AV332+BA332</x:f>
        <x:v>135986.99716782078</x:v>
      </x:c>
      <x:c r="BC332" s="229" t="n">
        <x:v>0.974</x:v>
      </x:c>
      <x:c r="BD332" s="202"/>
      <x:c r="BE332" s="202" t="str">
        <x:v>正式 Forecast 逐月降低英国空运及 Carrier C 份额，但仍高于 Budget</x:v>
      </x:c>
      <x:c r="BF332" s="202" t="str">
        <x:v>准备期：沿用正式 Forecast</x:v>
      </x:c>
      <x:c r="BG332" s="202" t="str">
        <x:v>UNVERIFIED_UNLIMITED_FOR_MVP</x:v>
      </x:c>
    </x:row>
    <x:row r="333">
      <x:c r="A333" s="187" t="str">
        <x:v>SCENARIO_COST_SAVING_2026_08</x:v>
      </x:c>
      <x:c r="B333" s="187" t="str">
        <x:v>SCENARIO</x:v>
      </x:c>
      <x:c r="C333" s="187" t="str">
        <x:v>COST_SAVING</x:v>
      </x:c>
      <x:c r="D333" s="217" t="n">
        <x:v>46266</x:v>
      </x:c>
      <x:c r="E333" s="187" t="str">
        <x:v>R_GB_DE_C_AIR</x:v>
      </x:c>
      <x:c r="F333" s="187" t="str">
        <x:v>GB</x:v>
      </x:c>
      <x:c r="G333" s="187" t="str">
        <x:v>DE_FC</x:v>
      </x:c>
      <x:c r="H333" s="187" t="str">
        <x:v>CARRIER_C</x:v>
      </x:c>
      <x:c r="I333" s="187" t="str">
        <x:v>AIR</x:v>
      </x:c>
      <x:c r="J333" s="220" t="n">
        <x:v>17200</x:v>
      </x:c>
      <x:c r="K333" s="223" t="n">
        <x:v>0.34</x:v>
      </x:c>
      <x:c r="L333" s="223" t="n">
        <x:v>0.96</x:v>
      </x:c>
      <x:c r="M333" s="223" t="n">
        <x:v>0.28</x:v>
      </x:c>
      <x:c r="N333" s="226" t="n">
        <x:f>J333*K333*L333*M333</x:f>
        <x:v>1571.9424000000001</x:v>
      </x:c>
      <x:c r="O333" s="220" t="n">
        <x:v>1.19</x:v>
      </x:c>
      <x:c r="P333" s="226" t="n">
        <x:f>N333*O333</x:f>
        <x:v>1870.611456</x:v>
      </x:c>
      <x:c r="Q333" s="220" t="n">
        <x:v>0.9384</x:v>
      </x:c>
      <x:c r="R333" s="226" t="n">
        <x:f>P333*Q333</x:f>
        <x:v>1755.3817903104</x:v>
      </x:c>
      <x:c r="S333" s="220" t="n">
        <x:v>0.095</x:v>
      </x:c>
      <x:c r="T333" s="226" t="n">
        <x:f>N333*S333</x:f>
        <x:v>149.334528</x:v>
      </x:c>
      <x:c r="U333" s="226" t="n">
        <x:v>0.011</x:v>
      </x:c>
      <x:c r="V333" s="226" t="n">
        <x:f>P333*U333</x:f>
        <x:v>20.576726016</x:v>
      </x:c>
      <x:c r="W333" s="196" t="str">
        <x:v>GBP</x:v>
      </x:c>
      <x:c r="X333" s="220" t="n">
        <x:v>8.22825</x:v>
      </x:c>
      <x:c r="Y333" s="196" t="str">
        <x:v>PER_CHARGEABLE_KG</x:v>
      </x:c>
      <x:c r="Z333" s="220" t="n">
        <x:v>0.636318</x:v>
      </x:c>
      <x:c r="AA333" s="220" t="n">
        <x:v>7.92</x:v>
      </x:c>
      <x:c r="AB333" s="220" t="n">
        <x:v>9.15</x:v>
      </x:c>
      <x:c r="AC333" s="226" t="n">
        <x:f>IF(W333="EUR",AA333,IF(W333="GBP",AB333,1))</x:f>
        <x:v>9.15</x:v>
      </x:c>
      <x:c r="AD333" s="226" t="n">
        <x:f>R333*X333</x:f>
        <x:v>14443.720216121546</x:v>
      </x:c>
      <x:c r="AE333" s="226" t="n">
        <x:f>IF(Y333="PERCENTAGE_OF_BASE_FREIGHT",AD333*Z333,IF(Y333="PER_CHARGEABLE_KG",R333*Z333,P333*Z333))</x:f>
        <x:v>1116.9810300467332</x:v>
      </x:c>
      <x:c r="AF333" s="226" t="n">
        <x:f>AD333*AC333</x:f>
        <x:v>132160.03997751215</x:v>
      </x:c>
      <x:c r="AG333" s="226" t="n">
        <x:f>AE333*AC333</x:f>
        <x:v>10220.376424927608</x:v>
      </x:c>
      <x:c r="AH333" s="226" t="str">
        <x:v>EUR</x:v>
      </x:c>
      <x:c r="AI333" s="226" t="n">
        <x:v>1.2213</x:v>
      </x:c>
      <x:c r="AJ333" s="226" t="n">
        <x:f>IF(AH333="EUR",AA333,IF(AH333="GBP",AB333,1))</x:f>
        <x:v>7.92</x:v>
      </x:c>
      <x:c r="AK333" s="226" t="n">
        <x:f>N333*AI333</x:f>
        <x:v>1919.8132531200004</x:v>
      </x:c>
      <x:c r="AL333" s="226" t="n">
        <x:f>AK333*AJ333</x:f>
        <x:v>15204.920964710403</x:v>
      </x:c>
      <x:c r="AM333" s="226" t="str">
        <x:v>EUR</x:v>
      </x:c>
      <x:c r="AN333" s="226" t="n">
        <x:v>0.4347</x:v>
      </x:c>
      <x:c r="AO333" s="226" t="n">
        <x:f>IF(AM333="EUR",AA333,IF(AM333="GBP",AB333,1))</x:f>
        <x:v>7.92</x:v>
      </x:c>
      <x:c r="AP333" s="226" t="n">
        <x:f>P333*AN333</x:f>
        <x:v>813.1547999232</x:v>
      </x:c>
      <x:c r="AQ333" s="226" t="n">
        <x:f>AP333*AO333</x:f>
        <x:v>6440.186015391744</x:v>
      </x:c>
      <x:c r="AR333" s="226" t="str">
        <x:v>GBP</x:v>
      </x:c>
      <x:c r="AS333" s="226" t="n">
        <x:v>4.968</x:v>
      </x:c>
      <x:c r="AT333" s="226" t="n">
        <x:f>IF(AR333="EUR",AA333,IF(AR333="GBP",AB333,1))</x:f>
        <x:v>9.15</x:v>
      </x:c>
      <x:c r="AU333" s="226" t="n">
        <x:f>T333*AS333</x:f>
        <x:v>741.893935104</x:v>
      </x:c>
      <x:c r="AV333" s="226" t="n">
        <x:f>AU333*AT333</x:f>
        <x:v>6788.3295062016</x:v>
      </x:c>
      <x:c r="AW333" s="226" t="str">
        <x:v>GBP</x:v>
      </x:c>
      <x:c r="AX333" s="226" t="n">
        <x:v>3.726</x:v>
      </x:c>
      <x:c r="AY333" s="226" t="n">
        <x:f>IF(AW333="EUR",AA333,IF(AW333="GBP",AB333,1))</x:f>
        <x:v>9.15</x:v>
      </x:c>
      <x:c r="AZ333" s="226" t="n">
        <x:f>V333*AX333</x:f>
        <x:v>76.66888113561599</x:v>
      </x:c>
      <x:c r="BA333" s="226" t="n">
        <x:f>AZ333*AY333</x:f>
        <x:v>701.5202623908864</x:v>
      </x:c>
      <x:c r="BB333" s="226" t="n">
        <x:f>AF333+AG333+AL333+AQ333+AV333+BA333</x:f>
        <x:v>171515.37315113444</x:v>
      </x:c>
      <x:c r="BC333" s="229" t="n">
        <x:v>0.988</x:v>
      </x:c>
      <x:c r="BD333" s="202"/>
      <x:c r="BE333" s="202" t="str">
        <x:v>正式 Forecast 逐月降低英国空运及 Carrier C 份额，但仍高于 Budget</x:v>
      </x:c>
      <x:c r="BF333" s="202" t="str">
        <x:v>准备期：沿用正式 Forecast</x:v>
      </x:c>
      <x:c r="BG333" s="202" t="str">
        <x:v>UNVERIFIED_UNLIMITED_FOR_MVP</x:v>
      </x:c>
    </x:row>
    <x:row r="334">
      <x:c r="A334" s="187" t="str">
        <x:v>SCENARIO_COST_SAVING_2026_08</x:v>
      </x:c>
      <x:c r="B334" s="187" t="str">
        <x:v>SCENARIO</x:v>
      </x:c>
      <x:c r="C334" s="187" t="str">
        <x:v>COST_SAVING</x:v>
      </x:c>
      <x:c r="D334" s="217" t="n">
        <x:v>46266</x:v>
      </x:c>
      <x:c r="E334" s="187" t="str">
        <x:v>R_GB_FR_B_AIR</x:v>
      </x:c>
      <x:c r="F334" s="187" t="str">
        <x:v>GB</x:v>
      </x:c>
      <x:c r="G334" s="187" t="str">
        <x:v>FR_FC</x:v>
      </x:c>
      <x:c r="H334" s="187" t="str">
        <x:v>CARRIER_B</x:v>
      </x:c>
      <x:c r="I334" s="187" t="str">
        <x:v>AIR</x:v>
      </x:c>
      <x:c r="J334" s="220" t="n">
        <x:v>17200</x:v>
      </x:c>
      <x:c r="K334" s="223" t="n">
        <x:v>0.34</x:v>
      </x:c>
      <x:c r="L334" s="223" t="n">
        <x:v>0.04</x:v>
      </x:c>
      <x:c r="M334" s="223" t="n">
        <x:v>1</x:v>
      </x:c>
      <x:c r="N334" s="226" t="n">
        <x:f>J334*K334*L334*M334</x:f>
        <x:v>233.92000000000002</x:v>
      </x:c>
      <x:c r="O334" s="220" t="n">
        <x:v>1.17</x:v>
      </x:c>
      <x:c r="P334" s="226" t="n">
        <x:f>N334*O334</x:f>
        <x:v>273.6864</x:v>
      </x:c>
      <x:c r="Q334" s="220" t="n">
        <x:v>0.918</x:v>
      </x:c>
      <x:c r="R334" s="226" t="n">
        <x:f>P334*Q334</x:f>
        <x:v>251.2441152</x:v>
      </x:c>
      <x:c r="S334" s="220" t="n">
        <x:v>0.095</x:v>
      </x:c>
      <x:c r="T334" s="226" t="n">
        <x:f>N334*S334</x:f>
        <x:v>22.2224</x:v>
      </x:c>
      <x:c r="U334" s="226" t="n">
        <x:v>0.014</x:v>
      </x:c>
      <x:c r="V334" s="226" t="n">
        <x:f>P334*U334</x:f>
        <x:v>3.8316096</x:v>
      </x:c>
      <x:c r="W334" s="196" t="str">
        <x:v>EUR</x:v>
      </x:c>
      <x:c r="X334" s="220" t="n">
        <x:v>6.9345</x:v>
      </x:c>
      <x:c r="Y334" s="196" t="str">
        <x:v>PERCENTAGE_OF_BASE_FREIGHT</x:v>
      </x:c>
      <x:c r="Z334" s="220" t="n">
        <x:v>0.108675</x:v>
      </x:c>
      <x:c r="AA334" s="220" t="n">
        <x:v>7.92</x:v>
      </x:c>
      <x:c r="AB334" s="220" t="n">
        <x:v>9.15</x:v>
      </x:c>
      <x:c r="AC334" s="226" t="n">
        <x:f>IF(W334="EUR",AA334,IF(W334="GBP",AB334,1))</x:f>
        <x:v>7.92</x:v>
      </x:c>
      <x:c r="AD334" s="226" t="n">
        <x:f>R334*X334</x:f>
        <x:v>1742.2523168544</x:v>
      </x:c>
      <x:c r="AE334" s="226" t="n">
        <x:f>IF(Y334="PERCENTAGE_OF_BASE_FREIGHT",AD334*Z334,IF(Y334="PER_CHARGEABLE_KG",R334*Z334,P334*Z334))</x:f>
        <x:v>189.33927053415192</x:v>
      </x:c>
      <x:c r="AF334" s="226" t="n">
        <x:f>AD334*AC334</x:f>
        <x:v>13798.638349486848</x:v>
      </x:c>
      <x:c r="AG334" s="226" t="n">
        <x:f>AE334*AC334</x:f>
        <x:v>1499.5670226304833</x:v>
      </x:c>
      <x:c r="AH334" s="226" t="str">
        <x:v>EUR</x:v>
      </x:c>
      <x:c r="AI334" s="226" t="n">
        <x:v>1.08675</x:v>
      </x:c>
      <x:c r="AJ334" s="226" t="n">
        <x:f>IF(AH334="EUR",AA334,IF(AH334="GBP",AB334,1))</x:f>
        <x:v>7.92</x:v>
      </x:c>
      <x:c r="AK334" s="226" t="n">
        <x:f>N334*AI334</x:f>
        <x:v>254.21256000000005</x:v>
      </x:c>
      <x:c r="AL334" s="226" t="n">
        <x:f>AK334*AJ334</x:f>
        <x:v>2013.3634752000005</x:v>
      </x:c>
      <x:c r="AM334" s="226" t="str">
        <x:v>EUR</x:v>
      </x:c>
      <x:c r="AN334" s="226" t="n">
        <x:v>0.3933</x:v>
      </x:c>
      <x:c r="AO334" s="226" t="n">
        <x:f>IF(AM334="EUR",AA334,IF(AM334="GBP",AB334,1))</x:f>
        <x:v>7.92</x:v>
      </x:c>
      <x:c r="AP334" s="226" t="n">
        <x:f>P334*AN334</x:f>
        <x:v>107.64086112</x:v>
      </x:c>
      <x:c r="AQ334" s="226" t="n">
        <x:f>AP334*AO334</x:f>
        <x:v>852.5156200704</x:v>
      </x:c>
      <x:c r="AR334" s="226" t="str">
        <x:v>EUR</x:v>
      </x:c>
      <x:c r="AS334" s="226" t="n">
        <x:v>5.382</x:v>
      </x:c>
      <x:c r="AT334" s="226" t="n">
        <x:f>IF(AR334="EUR",AA334,IF(AR334="GBP",AB334,1))</x:f>
        <x:v>7.92</x:v>
      </x:c>
      <x:c r="AU334" s="226" t="n">
        <x:f>T334*AS334</x:f>
        <x:v>119.60095679999999</x:v>
      </x:c>
      <x:c r="AV334" s="226" t="n">
        <x:f>AU334*AT334</x:f>
        <x:v>947.2395778559999</x:v>
      </x:c>
      <x:c r="AW334" s="226" t="str">
        <x:v>EUR</x:v>
      </x:c>
      <x:c r="AX334" s="226" t="n">
        <x:v>2.898</x:v>
      </x:c>
      <x:c r="AY334" s="226" t="n">
        <x:f>IF(AW334="EUR",AA334,IF(AW334="GBP",AB334,1))</x:f>
        <x:v>7.92</x:v>
      </x:c>
      <x:c r="AZ334" s="226" t="n">
        <x:f>V334*AX334</x:f>
        <x:v>11.104004620800001</x:v>
      </x:c>
      <x:c r="BA334" s="226" t="n">
        <x:f>AZ334*AY334</x:f>
        <x:v>87.94371659673601</x:v>
      </x:c>
      <x:c r="BB334" s="226" t="n">
        <x:f>AF334+AG334+AL334+AQ334+AV334+BA334</x:f>
        <x:v>19199.267761840467</x:v>
      </x:c>
      <x:c r="BC334" s="229" t="n">
        <x:v>0.971</x:v>
      </x:c>
      <x:c r="BD334" s="202"/>
      <x:c r="BE334" s="202" t="str">
        <x:v>正式 Forecast 逐月降低英国空运及 Carrier C 份额，但仍高于 Budget</x:v>
      </x:c>
      <x:c r="BF334" s="202" t="str">
        <x:v>准备期：沿用正式 Forecast</x:v>
      </x:c>
      <x:c r="BG334" s="202" t="str">
        <x:v>UNVERIFIED_UNLIMITED_FOR_MVP</x:v>
      </x:c>
    </x:row>
    <x:row r="335">
      <x:c r="A335" s="187" t="str">
        <x:v>SCENARIO_COST_SAVING_2026_08</x:v>
      </x:c>
      <x:c r="B335" s="187" t="str">
        <x:v>SCENARIO</x:v>
      </x:c>
      <x:c r="C335" s="187" t="str">
        <x:v>COST_SAVING</x:v>
      </x:c>
      <x:c r="D335" s="217" t="n">
        <x:v>46296</x:v>
      </x:c>
      <x:c r="E335" s="187" t="str">
        <x:v>R_DE_DE_A_ROAD</x:v>
      </x:c>
      <x:c r="F335" s="187" t="str">
        <x:v>DE</x:v>
      </x:c>
      <x:c r="G335" s="187" t="str">
        <x:v>DE_FC</x:v>
      </x:c>
      <x:c r="H335" s="187" t="str">
        <x:v>CARRIER_A</x:v>
      </x:c>
      <x:c r="I335" s="187" t="str">
        <x:v>ROAD</x:v>
      </x:c>
      <x:c r="J335" s="220" t="n">
        <x:v>19500</x:v>
      </x:c>
      <x:c r="K335" s="223" t="n">
        <x:v>0.34</x:v>
      </x:c>
      <x:c r="L335" s="223" t="n">
        <x:v>0.97</x:v>
      </x:c>
      <x:c r="M335" s="223" t="n">
        <x:v>0.6</x:v>
      </x:c>
      <x:c r="N335" s="226" t="n">
        <x:f>J335*K335*L335*M335</x:f>
        <x:v>3858.66</x:v>
      </x:c>
      <x:c r="O335" s="220" t="n">
        <x:v>1.05</x:v>
      </x:c>
      <x:c r="P335" s="226" t="n">
        <x:f>N335*O335</x:f>
        <x:v>4051.593</x:v>
      </x:c>
      <x:c r="Q335" s="220" t="n">
        <x:v>0.7878</x:v>
      </x:c>
      <x:c r="R335" s="226" t="n">
        <x:f>P335*Q335</x:f>
        <x:v>3191.8449653999996</x:v>
      </x:c>
      <x:c r="S335" s="220" t="n">
        <x:v>0.05</x:v>
      </x:c>
      <x:c r="T335" s="226" t="n">
        <x:f>N335*S335</x:f>
        <x:v>192.933</x:v>
      </x:c>
      <x:c r="U335" s="226" t="n">
        <x:v>0.016</x:v>
      </x:c>
      <x:c r="V335" s="226" t="n">
        <x:f>P335*U335</x:f>
        <x:v>64.82548799999999</x:v>
      </x:c>
      <x:c r="W335" s="196" t="str">
        <x:v>EUR</x:v>
      </x:c>
      <x:c r="X335" s="220" t="n">
        <x:v>2.277</x:v>
      </x:c>
      <x:c r="Y335" s="196" t="str">
        <x:v>PERCENTAGE_OF_BASE_FREIGHT</x:v>
      </x:c>
      <x:c r="Z335" s="220" t="n">
        <x:v>0.098325</x:v>
      </x:c>
      <x:c r="AA335" s="220" t="n">
        <x:v>7.9</x:v>
      </x:c>
      <x:c r="AB335" s="220" t="n">
        <x:v>9.1</x:v>
      </x:c>
      <x:c r="AC335" s="226" t="n">
        <x:f>IF(W335="EUR",AA335,IF(W335="GBP",AB335,1))</x:f>
        <x:v>7.9</x:v>
      </x:c>
      <x:c r="AD335" s="226" t="n">
        <x:f>R335*X335</x:f>
        <x:v>7267.830986215799</x:v>
      </x:c>
      <x:c r="AE335" s="226" t="n">
        <x:f>IF(Y335="PERCENTAGE_OF_BASE_FREIGHT",AD335*Z335,IF(Y335="PER_CHARGEABLE_KG",R335*Z335,P335*Z335))</x:f>
        <x:v>714.6094817196685</x:v>
      </x:c>
      <x:c r="AF335" s="226" t="n">
        <x:f>AD335*AC335</x:f>
        <x:v>57415.86479110482</x:v>
      </x:c>
      <x:c r="AG335" s="226" t="n">
        <x:f>AE335*AC335</x:f>
        <x:v>5645.414905585381</x:v>
      </x:c>
      <x:c r="AH335" s="226" t="str">
        <x:v>EUR</x:v>
      </x:c>
      <x:c r="AI335" s="226" t="n">
        <x:v>1.2213</x:v>
      </x:c>
      <x:c r="AJ335" s="226" t="n">
        <x:f>IF(AH335="EUR",AA335,IF(AH335="GBP",AB335,1))</x:f>
        <x:v>7.9</x:v>
      </x:c>
      <x:c r="AK335" s="226" t="n">
        <x:f>N335*AI335</x:f>
        <x:v>4712.581458</x:v>
      </x:c>
      <x:c r="AL335" s="226" t="n">
        <x:f>AK335*AJ335</x:f>
        <x:v>37229.3935182</x:v>
      </x:c>
      <x:c r="AM335" s="226" t="str">
        <x:v>EUR</x:v>
      </x:c>
      <x:c r="AN335" s="226" t="n">
        <x:v>0.4347</x:v>
      </x:c>
      <x:c r="AO335" s="226" t="n">
        <x:f>IF(AM335="EUR",AA335,IF(AM335="GBP",AB335,1))</x:f>
        <x:v>7.9</x:v>
      </x:c>
      <x:c r="AP335" s="226" t="n">
        <x:f>P335*AN335</x:f>
        <x:v>1761.2274770999998</x:v>
      </x:c>
      <x:c r="AQ335" s="226" t="n">
        <x:f>AP335*AO335</x:f>
        <x:v>13913.697069089998</x:v>
      </x:c>
      <x:c r="AR335" s="226" t="str">
        <x:v>EUR</x:v>
      </x:c>
      <x:c r="AS335" s="226" t="n">
        <x:v>3.312</x:v>
      </x:c>
      <x:c r="AT335" s="226" t="n">
        <x:f>IF(AR335="EUR",AA335,IF(AR335="GBP",AB335,1))</x:f>
        <x:v>7.9</x:v>
      </x:c>
      <x:c r="AU335" s="226" t="n">
        <x:f>T335*AS335</x:f>
        <x:v>638.9940959999999</x:v>
      </x:c>
      <x:c r="AV335" s="226" t="n">
        <x:f>AU335*AT335</x:f>
        <x:v>5048.0533583999995</x:v>
      </x:c>
      <x:c r="AW335" s="226" t="str">
        <x:v>EUR</x:v>
      </x:c>
      <x:c r="AX335" s="226" t="n">
        <x:v>2.3805</x:v>
      </x:c>
      <x:c r="AY335" s="226" t="n">
        <x:f>IF(AW335="EUR",AA335,IF(AW335="GBP",AB335,1))</x:f>
        <x:v>7.9</x:v>
      </x:c>
      <x:c r="AZ335" s="226" t="n">
        <x:f>V335*AX335</x:f>
        <x:v>154.31707418399998</x:v>
      </x:c>
      <x:c r="BA335" s="226" t="n">
        <x:f>AZ335*AY335</x:f>
        <x:v>1219.1048860535998</x:v>
      </x:c>
      <x:c r="BB335" s="226" t="n">
        <x:f>AF335+AG335+AL335+AQ335+AV335+BA335</x:f>
        <x:v>120471.52852843377</x:v>
      </x:c>
      <x:c r="BC335" s="229" t="n">
        <x:v>0.965</x:v>
      </x:c>
      <x:c r="BD335" s="202"/>
      <x:c r="BE335" s="202" t="str">
        <x:v>正式 Forecast 逐月降低英国空运及 Carrier C 份额，但仍高于 Budget</x:v>
      </x:c>
      <x:c r="BF335" s="202" t="str">
        <x:v>仅在现有承运商与有效线路内调整英国运输结构；承运能力未验证；一次性切换成本不适用</x:v>
      </x:c>
      <x:c r="BG335" s="202" t="str">
        <x:v>UNVERIFIED_UNLIMITED_FOR_MVP</x:v>
      </x:c>
    </x:row>
    <x:row r="336">
      <x:c r="A336" s="187" t="str">
        <x:v>SCENARIO_COST_SAVING_2026_08</x:v>
      </x:c>
      <x:c r="B336" s="187" t="str">
        <x:v>SCENARIO</x:v>
      </x:c>
      <x:c r="C336" s="187" t="str">
        <x:v>COST_SAVING</x:v>
      </x:c>
      <x:c r="D336" s="217" t="n">
        <x:v>46296</x:v>
      </x:c>
      <x:c r="E336" s="187" t="str">
        <x:v>R_DE_DE_B_ROAD</x:v>
      </x:c>
      <x:c r="F336" s="187" t="str">
        <x:v>DE</x:v>
      </x:c>
      <x:c r="G336" s="187" t="str">
        <x:v>DE_FC</x:v>
      </x:c>
      <x:c r="H336" s="187" t="str">
        <x:v>CARRIER_B</x:v>
      </x:c>
      <x:c r="I336" s="187" t="str">
        <x:v>ROAD</x:v>
      </x:c>
      <x:c r="J336" s="220" t="n">
        <x:v>19500</x:v>
      </x:c>
      <x:c r="K336" s="223" t="n">
        <x:v>0.34</x:v>
      </x:c>
      <x:c r="L336" s="223" t="n">
        <x:v>0.97</x:v>
      </x:c>
      <x:c r="M336" s="223" t="n">
        <x:v>0.4</x:v>
      </x:c>
      <x:c r="N336" s="226" t="n">
        <x:f>J336*K336*L336*M336</x:f>
        <x:v>2572.4400000000005</x:v>
      </x:c>
      <x:c r="O336" s="220" t="n">
        <x:v>1.05</x:v>
      </x:c>
      <x:c r="P336" s="226" t="n">
        <x:f>N336*O336</x:f>
        <x:v>2701.062000000001</x:v>
      </x:c>
      <x:c r="Q336" s="220" t="n">
        <x:v>0.808</x:v>
      </x:c>
      <x:c r="R336" s="226" t="n">
        <x:f>P336*Q336</x:f>
        <x:v>2182.4580960000008</x:v>
      </x:c>
      <x:c r="S336" s="220" t="n">
        <x:v>0.05</x:v>
      </x:c>
      <x:c r="T336" s="226" t="n">
        <x:f>N336*S336</x:f>
        <x:v>128.62200000000004</x:v>
      </x:c>
      <x:c r="U336" s="226" t="n">
        <x:v>0.013</x:v>
      </x:c>
      <x:c r="V336" s="226" t="n">
        <x:f>P336*U336</x:f>
        <x:v>35.11380600000001</x:v>
      </x:c>
      <x:c r="W336" s="196" t="str">
        <x:v>EUR</x:v>
      </x:c>
      <x:c r="X336" s="220" t="n">
        <x:v>2.84625</x:v>
      </x:c>
      <x:c r="Y336" s="196" t="str">
        <x:v>PER_CHARGEABLE_KG</x:v>
      </x:c>
      <x:c r="Z336" s="220" t="n">
        <x:v>0.21735</x:v>
      </x:c>
      <x:c r="AA336" s="220" t="n">
        <x:v>7.9</x:v>
      </x:c>
      <x:c r="AB336" s="220" t="n">
        <x:v>9.1</x:v>
      </x:c>
      <x:c r="AC336" s="226" t="n">
        <x:f>IF(W336="EUR",AA336,IF(W336="GBP",AB336,1))</x:f>
        <x:v>7.9</x:v>
      </x:c>
      <x:c r="AD336" s="226" t="n">
        <x:f>R336*X336</x:f>
        <x:v>6211.821355740002</x:v>
      </x:c>
      <x:c r="AE336" s="226" t="n">
        <x:f>IF(Y336="PERCENTAGE_OF_BASE_FREIGHT",AD336*Z336,IF(Y336="PER_CHARGEABLE_KG",R336*Z336,P336*Z336))</x:f>
        <x:v>474.35726716560015</x:v>
      </x:c>
      <x:c r="AF336" s="226" t="n">
        <x:f>AD336*AC336</x:f>
        <x:v>49073.38871034602</x:v>
      </x:c>
      <x:c r="AG336" s="226" t="n">
        <x:f>AE336*AC336</x:f>
        <x:v>3747.4224106082415</x:v>
      </x:c>
      <x:c r="AH336" s="226" t="str">
        <x:v>EUR</x:v>
      </x:c>
      <x:c r="AI336" s="226" t="n">
        <x:v>1.2213</x:v>
      </x:c>
      <x:c r="AJ336" s="226" t="n">
        <x:f>IF(AH336="EUR",AA336,IF(AH336="GBP",AB336,1))</x:f>
        <x:v>7.9</x:v>
      </x:c>
      <x:c r="AK336" s="226" t="n">
        <x:f>N336*AI336</x:f>
        <x:v>3141.7209720000005</x:v>
      </x:c>
      <x:c r="AL336" s="226" t="n">
        <x:f>AK336*AJ336</x:f>
        <x:v>24819.595678800004</x:v>
      </x:c>
      <x:c r="AM336" s="226" t="str">
        <x:v>EUR</x:v>
      </x:c>
      <x:c r="AN336" s="226" t="n">
        <x:v>0.4347</x:v>
      </x:c>
      <x:c r="AO336" s="226" t="n">
        <x:f>IF(AM336="EUR",AA336,IF(AM336="GBP",AB336,1))</x:f>
        <x:v>7.9</x:v>
      </x:c>
      <x:c r="AP336" s="226" t="n">
        <x:f>P336*AN336</x:f>
        <x:v>1174.1516514000002</x:v>
      </x:c>
      <x:c r="AQ336" s="226" t="n">
        <x:f>AP336*AO336</x:f>
        <x:v>9275.798046060003</x:v>
      </x:c>
      <x:c r="AR336" s="226" t="str">
        <x:v>EUR</x:v>
      </x:c>
      <x:c r="AS336" s="226" t="n">
        <x:v>3.312</x:v>
      </x:c>
      <x:c r="AT336" s="226" t="n">
        <x:f>IF(AR336="EUR",AA336,IF(AR336="GBP",AB336,1))</x:f>
        <x:v>7.9</x:v>
      </x:c>
      <x:c r="AU336" s="226" t="n">
        <x:f>T336*AS336</x:f>
        <x:v>425.9960640000001</x:v>
      </x:c>
      <x:c r="AV336" s="226" t="n">
        <x:f>AU336*AT336</x:f>
        <x:v>3365.3689056000007</x:v>
      </x:c>
      <x:c r="AW336" s="226" t="str">
        <x:v>EUR</x:v>
      </x:c>
      <x:c r="AX336" s="226" t="n">
        <x:v>2.3805</x:v>
      </x:c>
      <x:c r="AY336" s="226" t="n">
        <x:f>IF(AW336="EUR",AA336,IF(AW336="GBP",AB336,1))</x:f>
        <x:v>7.9</x:v>
      </x:c>
      <x:c r="AZ336" s="226" t="n">
        <x:f>V336*AX336</x:f>
        <x:v>83.58841518300002</x:v>
      </x:c>
      <x:c r="BA336" s="226" t="n">
        <x:f>AZ336*AY336</x:f>
        <x:v>660.3484799457002</x:v>
      </x:c>
      <x:c r="BB336" s="226" t="n">
        <x:f>AF336+AG336+AL336+AQ336+AV336+BA336</x:f>
        <x:v>90941.92223135999</x:v>
      </x:c>
      <x:c r="BC336" s="229" t="n">
        <x:v>0.976</x:v>
      </x:c>
      <x:c r="BD336" s="202"/>
      <x:c r="BE336" s="202" t="str">
        <x:v>正式 Forecast 逐月降低英国空运及 Carrier C 份额，但仍高于 Budget</x:v>
      </x:c>
      <x:c r="BF336" s="202" t="str">
        <x:v>仅在现有承运商与有效线路内调整英国运输结构；承运能力未验证；一次性切换成本不适用</x:v>
      </x:c>
      <x:c r="BG336" s="202" t="str">
        <x:v>UNVERIFIED_UNLIMITED_FOR_MVP</x:v>
      </x:c>
    </x:row>
    <x:row r="337">
      <x:c r="A337" s="187" t="str">
        <x:v>SCENARIO_COST_SAVING_2026_08</x:v>
      </x:c>
      <x:c r="B337" s="187" t="str">
        <x:v>SCENARIO</x:v>
      </x:c>
      <x:c r="C337" s="187" t="str">
        <x:v>COST_SAVING</x:v>
      </x:c>
      <x:c r="D337" s="217" t="n">
        <x:v>46296</x:v>
      </x:c>
      <x:c r="E337" s="187" t="str">
        <x:v>R_DE_FR_B_ROAD</x:v>
      </x:c>
      <x:c r="F337" s="187" t="str">
        <x:v>DE</x:v>
      </x:c>
      <x:c r="G337" s="187" t="str">
        <x:v>FR_FC</x:v>
      </x:c>
      <x:c r="H337" s="187" t="str">
        <x:v>CARRIER_B</x:v>
      </x:c>
      <x:c r="I337" s="187" t="str">
        <x:v>ROAD</x:v>
      </x:c>
      <x:c r="J337" s="220" t="n">
        <x:v>19500</x:v>
      </x:c>
      <x:c r="K337" s="223" t="n">
        <x:v>0.34</x:v>
      </x:c>
      <x:c r="L337" s="223" t="n">
        <x:v>0.03</x:v>
      </x:c>
      <x:c r="M337" s="223" t="n">
        <x:v>1</x:v>
      </x:c>
      <x:c r="N337" s="226" t="n">
        <x:f>J337*K337*L337*M337</x:f>
        <x:v>198.90000000000003</x:v>
      </x:c>
      <x:c r="O337" s="220" t="n">
        <x:v>1.08</x:v>
      </x:c>
      <x:c r="P337" s="226" t="n">
        <x:f>N337*O337</x:f>
        <x:v>214.81200000000004</x:v>
      </x:c>
      <x:c r="Q337" s="220" t="n">
        <x:v>0.8686</x:v>
      </x:c>
      <x:c r="R337" s="226" t="n">
        <x:f>P337*Q337</x:f>
        <x:v>186.58570320000004</x:v>
      </x:c>
      <x:c r="S337" s="220" t="n">
        <x:v>0.05</x:v>
      </x:c>
      <x:c r="T337" s="226" t="n">
        <x:f>N337*S337</x:f>
        <x:v>9.945000000000002</x:v>
      </x:c>
      <x:c r="U337" s="226" t="n">
        <x:v>0.014</x:v>
      </x:c>
      <x:c r="V337" s="226" t="n">
        <x:f>P337*U337</x:f>
        <x:v>3.0073680000000005</x:v>
      </x:c>
      <x:c r="W337" s="196" t="str">
        <x:v>EUR</x:v>
      </x:c>
      <x:c r="X337" s="220" t="n">
        <x:v>3.4155</x:v>
      </x:c>
      <x:c r="Y337" s="196" t="str">
        <x:v>PER_CHARGEABLE_KG</x:v>
      </x:c>
      <x:c r="Z337" s="220" t="n">
        <x:v>0.2484</x:v>
      </x:c>
      <x:c r="AA337" s="220" t="n">
        <x:v>7.9</x:v>
      </x:c>
      <x:c r="AB337" s="220" t="n">
        <x:v>9.1</x:v>
      </x:c>
      <x:c r="AC337" s="226" t="n">
        <x:f>IF(W337="EUR",AA337,IF(W337="GBP",AB337,1))</x:f>
        <x:v>7.9</x:v>
      </x:c>
      <x:c r="AD337" s="226" t="n">
        <x:f>R337*X337</x:f>
        <x:v>637.2834692796001</x:v>
      </x:c>
      <x:c r="AE337" s="226" t="n">
        <x:f>IF(Y337="PERCENTAGE_OF_BASE_FREIGHT",AD337*Z337,IF(Y337="PER_CHARGEABLE_KG",R337*Z337,P337*Z337))</x:f>
        <x:v>46.34788867488001</x:v>
      </x:c>
      <x:c r="AF337" s="226" t="n">
        <x:f>AD337*AC337</x:f>
        <x:v>5034.539407308841</x:v>
      </x:c>
      <x:c r="AG337" s="226" t="n">
        <x:f>AE337*AC337</x:f>
        <x:v>366.1483205315521</x:v>
      </x:c>
      <x:c r="AH337" s="226" t="str">
        <x:v>EUR</x:v>
      </x:c>
      <x:c r="AI337" s="226" t="n">
        <x:v>1.08675</x:v>
      </x:c>
      <x:c r="AJ337" s="226" t="n">
        <x:f>IF(AH337="EUR",AA337,IF(AH337="GBP",AB337,1))</x:f>
        <x:v>7.9</x:v>
      </x:c>
      <x:c r="AK337" s="226" t="n">
        <x:f>N337*AI337</x:f>
        <x:v>216.15457500000005</x:v>
      </x:c>
      <x:c r="AL337" s="226" t="n">
        <x:f>AK337*AJ337</x:f>
        <x:v>1707.6211425000006</x:v>
      </x:c>
      <x:c r="AM337" s="226" t="str">
        <x:v>EUR</x:v>
      </x:c>
      <x:c r="AN337" s="226" t="n">
        <x:v>0.3933</x:v>
      </x:c>
      <x:c r="AO337" s="226" t="n">
        <x:f>IF(AM337="EUR",AA337,IF(AM337="GBP",AB337,1))</x:f>
        <x:v>7.9</x:v>
      </x:c>
      <x:c r="AP337" s="226" t="n">
        <x:f>P337*AN337</x:f>
        <x:v>84.48555960000002</x:v>
      </x:c>
      <x:c r="AQ337" s="226" t="n">
        <x:f>AP337*AO337</x:f>
        <x:v>667.4359208400001</x:v>
      </x:c>
      <x:c r="AR337" s="226" t="str">
        <x:v>EUR</x:v>
      </x:c>
      <x:c r="AS337" s="226" t="n">
        <x:v>3.933</x:v>
      </x:c>
      <x:c r="AT337" s="226" t="n">
        <x:f>IF(AR337="EUR",AA337,IF(AR337="GBP",AB337,1))</x:f>
        <x:v>7.9</x:v>
      </x:c>
      <x:c r="AU337" s="226" t="n">
        <x:f>T337*AS337</x:f>
        <x:v>39.113685000000004</x:v>
      </x:c>
      <x:c r="AV337" s="226" t="n">
        <x:f>AU337*AT337</x:f>
        <x:v>308.99811150000005</x:v>
      </x:c>
      <x:c r="AW337" s="226" t="str">
        <x:v>EUR</x:v>
      </x:c>
      <x:c r="AX337" s="226" t="n">
        <x:v>2.3805</x:v>
      </x:c>
      <x:c r="AY337" s="226" t="n">
        <x:f>IF(AW337="EUR",AA337,IF(AW337="GBP",AB337,1))</x:f>
        <x:v>7.9</x:v>
      </x:c>
      <x:c r="AZ337" s="226" t="n">
        <x:f>V337*AX337</x:f>
        <x:v>7.1590395240000015</x:v>
      </x:c>
      <x:c r="BA337" s="226" t="n">
        <x:f>AZ337*AY337</x:f>
        <x:v>56.556412239600014</x:v>
      </x:c>
      <x:c r="BB337" s="226" t="n">
        <x:f>AF337+AG337+AL337+AQ337+AV337+BA337</x:f>
        <x:v>8141.299314919994</x:v>
      </x:c>
      <x:c r="BC337" s="229" t="n">
        <x:v>0.968</x:v>
      </x:c>
      <x:c r="BD337" s="202"/>
      <x:c r="BE337" s="202" t="str">
        <x:v>正式 Forecast 逐月降低英国空运及 Carrier C 份额，但仍高于 Budget</x:v>
      </x:c>
      <x:c r="BF337" s="202" t="str">
        <x:v>仅在现有承运商与有效线路内调整英国运输结构；承运能力未验证；一次性切换成本不适用</x:v>
      </x:c>
      <x:c r="BG337" s="202" t="str">
        <x:v>UNVERIFIED_UNLIMITED_FOR_MVP</x:v>
      </x:c>
    </x:row>
    <x:row r="338">
      <x:c r="A338" s="187" t="str">
        <x:v>SCENARIO_COST_SAVING_2026_08</x:v>
      </x:c>
      <x:c r="B338" s="187" t="str">
        <x:v>SCENARIO</x:v>
      </x:c>
      <x:c r="C338" s="187" t="str">
        <x:v>COST_SAVING</x:v>
      </x:c>
      <x:c r="D338" s="217" t="n">
        <x:v>46296</x:v>
      </x:c>
      <x:c r="E338" s="187" t="str">
        <x:v>R_FR_FR_A_ROAD</x:v>
      </x:c>
      <x:c r="F338" s="187" t="str">
        <x:v>FR</x:v>
      </x:c>
      <x:c r="G338" s="187" t="str">
        <x:v>FR_FC</x:v>
      </x:c>
      <x:c r="H338" s="187" t="str">
        <x:v>CARRIER_A</x:v>
      </x:c>
      <x:c r="I338" s="187" t="str">
        <x:v>ROAD</x:v>
      </x:c>
      <x:c r="J338" s="220" t="n">
        <x:v>19500</x:v>
      </x:c>
      <x:c r="K338" s="223" t="n">
        <x:v>0.3</x:v>
      </x:c>
      <x:c r="L338" s="223" t="n">
        <x:v>1</x:v>
      </x:c>
      <x:c r="M338" s="223" t="n">
        <x:v>0.35</x:v>
      </x:c>
      <x:c r="N338" s="226" t="n">
        <x:f>J338*K338*L338*M338</x:f>
        <x:v>2047.4999999999998</x:v>
      </x:c>
      <x:c r="O338" s="220" t="n">
        <x:v>1.06</x:v>
      </x:c>
      <x:c r="P338" s="226" t="n">
        <x:f>N338*O338</x:f>
        <x:v>2170.35</x:v>
      </x:c>
      <x:c r="Q338" s="220" t="n">
        <x:v>0.7676</x:v>
      </x:c>
      <x:c r="R338" s="226" t="n">
        <x:f>P338*Q338</x:f>
        <x:v>1665.9606599999997</x:v>
      </x:c>
      <x:c r="S338" s="220" t="n">
        <x:v>0.06</x:v>
      </x:c>
      <x:c r="T338" s="226" t="n">
        <x:f>N338*S338</x:f>
        <x:v>122.84999999999998</x:v>
      </x:c>
      <x:c r="U338" s="226" t="n">
        <x:v>0.017</x:v>
      </x:c>
      <x:c r="V338" s="226" t="n">
        <x:f>P338*U338</x:f>
        <x:v>36.89595</x:v>
      </x:c>
      <x:c r="W338" s="196" t="str">
        <x:v>EUR</x:v>
      </x:c>
      <x:c r="X338" s="220" t="n">
        <x:v>2.1735</x:v>
      </x:c>
      <x:c r="Y338" s="196" t="str">
        <x:v>PERCENTAGE_OF_BASE_FREIGHT</x:v>
      </x:c>
      <x:c r="Z338" s="220" t="n">
        <x:v>0.09315</x:v>
      </x:c>
      <x:c r="AA338" s="220" t="n">
        <x:v>7.9</x:v>
      </x:c>
      <x:c r="AB338" s="220" t="n">
        <x:v>9.1</x:v>
      </x:c>
      <x:c r="AC338" s="226" t="n">
        <x:f>IF(W338="EUR",AA338,IF(W338="GBP",AB338,1))</x:f>
        <x:v>7.9</x:v>
      </x:c>
      <x:c r="AD338" s="226" t="n">
        <x:f>R338*X338</x:f>
        <x:v>3620.9654945099996</x:v>
      </x:c>
      <x:c r="AE338" s="226" t="n">
        <x:f>IF(Y338="PERCENTAGE_OF_BASE_FREIGHT",AD338*Z338,IF(Y338="PER_CHARGEABLE_KG",R338*Z338,P338*Z338))</x:f>
        <x:v>337.29293581360645</x:v>
      </x:c>
      <x:c r="AF338" s="226" t="n">
        <x:f>AD338*AC338</x:f>
        <x:v>28605.627406629</x:v>
      </x:c>
      <x:c r="AG338" s="226" t="n">
        <x:f>AE338*AC338</x:f>
        <x:v>2664.614192927491</x:v>
      </x:c>
      <x:c r="AH338" s="226" t="str">
        <x:v>EUR</x:v>
      </x:c>
      <x:c r="AI338" s="226" t="n">
        <x:v>1.08675</x:v>
      </x:c>
      <x:c r="AJ338" s="226" t="n">
        <x:f>IF(AH338="EUR",AA338,IF(AH338="GBP",AB338,1))</x:f>
        <x:v>7.9</x:v>
      </x:c>
      <x:c r="AK338" s="226" t="n">
        <x:f>N338*AI338</x:f>
        <x:v>2225.120625</x:v>
      </x:c>
      <x:c r="AL338" s="226" t="n">
        <x:f>AK338*AJ338</x:f>
        <x:v>17578.452937500002</x:v>
      </x:c>
      <x:c r="AM338" s="226" t="str">
        <x:v>EUR</x:v>
      </x:c>
      <x:c r="AN338" s="226" t="n">
        <x:v>0.3933</x:v>
      </x:c>
      <x:c r="AO338" s="226" t="n">
        <x:f>IF(AM338="EUR",AA338,IF(AM338="GBP",AB338,1))</x:f>
        <x:v>7.9</x:v>
      </x:c>
      <x:c r="AP338" s="226" t="n">
        <x:f>P338*AN338</x:f>
        <x:v>853.5986549999999</x:v>
      </x:c>
      <x:c r="AQ338" s="226" t="n">
        <x:f>AP338*AO338</x:f>
        <x:v>6743.4293744999995</x:v>
      </x:c>
      <x:c r="AR338" s="226" t="str">
        <x:v>EUR</x:v>
      </x:c>
      <x:c r="AS338" s="226" t="n">
        <x:v>3.105</x:v>
      </x:c>
      <x:c r="AT338" s="226" t="n">
        <x:f>IF(AR338="EUR",AA338,IF(AR338="GBP",AB338,1))</x:f>
        <x:v>7.9</x:v>
      </x:c>
      <x:c r="AU338" s="226" t="n">
        <x:f>T338*AS338</x:f>
        <x:v>381.44924999999995</x:v>
      </x:c>
      <x:c r="AV338" s="226" t="n">
        <x:f>AU338*AT338</x:f>
        <x:v>3013.4490749999995</x:v>
      </x:c>
      <x:c r="AW338" s="226" t="str">
        <x:v>EUR</x:v>
      </x:c>
      <x:c r="AX338" s="226" t="n">
        <x:v>2.3805</x:v>
      </x:c>
      <x:c r="AY338" s="226" t="n">
        <x:f>IF(AW338="EUR",AA338,IF(AW338="GBP",AB338,1))</x:f>
        <x:v>7.9</x:v>
      </x:c>
      <x:c r="AZ338" s="226" t="n">
        <x:f>V338*AX338</x:f>
        <x:v>87.830808975</x:v>
      </x:c>
      <x:c r="BA338" s="226" t="n">
        <x:f>AZ338*AY338</x:f>
        <x:v>693.8633909025</x:v>
      </x:c>
      <x:c r="BB338" s="226" t="n">
        <x:f>AF338+AG338+AL338+AQ338+AV338+BA338</x:f>
        <x:v>59299.436377458995</x:v>
      </x:c>
      <x:c r="BC338" s="229" t="n">
        <x:v>0.961</x:v>
      </x:c>
      <x:c r="BD338" s="202"/>
      <x:c r="BE338" s="202" t="str">
        <x:v>正式 Forecast 逐月降低英国空运及 Carrier C 份额，但仍高于 Budget</x:v>
      </x:c>
      <x:c r="BF338" s="202" t="str">
        <x:v>仅在现有承运商与有效线路内调整英国运输结构；承运能力未验证；一次性切换成本不适用</x:v>
      </x:c>
      <x:c r="BG338" s="202" t="str">
        <x:v>UNVERIFIED_UNLIMITED_FOR_MVP</x:v>
      </x:c>
    </x:row>
    <x:row r="339">
      <x:c r="A339" s="187" t="str">
        <x:v>SCENARIO_COST_SAVING_2026_08</x:v>
      </x:c>
      <x:c r="B339" s="187" t="str">
        <x:v>SCENARIO</x:v>
      </x:c>
      <x:c r="C339" s="187" t="str">
        <x:v>COST_SAVING</x:v>
      </x:c>
      <x:c r="D339" s="217" t="n">
        <x:v>46296</x:v>
      </x:c>
      <x:c r="E339" s="187" t="str">
        <x:v>R_FR_FR_B_ROAD</x:v>
      </x:c>
      <x:c r="F339" s="187" t="str">
        <x:v>FR</x:v>
      </x:c>
      <x:c r="G339" s="187" t="str">
        <x:v>FR_FC</x:v>
      </x:c>
      <x:c r="H339" s="187" t="str">
        <x:v>CARRIER_B</x:v>
      </x:c>
      <x:c r="I339" s="187" t="str">
        <x:v>ROAD</x:v>
      </x:c>
      <x:c r="J339" s="220" t="n">
        <x:v>19500</x:v>
      </x:c>
      <x:c r="K339" s="223" t="n">
        <x:v>0.3</x:v>
      </x:c>
      <x:c r="L339" s="223" t="n">
        <x:v>1</x:v>
      </x:c>
      <x:c r="M339" s="223" t="n">
        <x:v>0.65</x:v>
      </x:c>
      <x:c r="N339" s="226" t="n">
        <x:f>J339*K339*L339*M339</x:f>
        <x:v>3802.5</x:v>
      </x:c>
      <x:c r="O339" s="220" t="n">
        <x:v>1.06</x:v>
      </x:c>
      <x:c r="P339" s="226" t="n">
        <x:f>N339*O339</x:f>
        <x:v>4030.65</x:v>
      </x:c>
      <x:c r="Q339" s="220" t="n">
        <x:v>0.7979</x:v>
      </x:c>
      <x:c r="R339" s="226" t="n">
        <x:f>P339*Q339</x:f>
        <x:v>3216.055635</x:v>
      </x:c>
      <x:c r="S339" s="220" t="n">
        <x:v>0.06</x:v>
      </x:c>
      <x:c r="T339" s="226" t="n">
        <x:f>N339*S339</x:f>
        <x:v>228.15</x:v>
      </x:c>
      <x:c r="U339" s="226" t="n">
        <x:v>0.014</x:v>
      </x:c>
      <x:c r="V339" s="226" t="n">
        <x:f>P339*U339</x:f>
        <x:v>56.429100000000005</x:v>
      </x:c>
      <x:c r="W339" s="196" t="str">
        <x:v>EUR</x:v>
      </x:c>
      <x:c r="X339" s="220" t="n">
        <x:v>2.691</x:v>
      </x:c>
      <x:c r="Y339" s="196" t="str">
        <x:v>PER_CHARGEABLE_KG</x:v>
      </x:c>
      <x:c r="Z339" s="220" t="n">
        <x:v>0.207</x:v>
      </x:c>
      <x:c r="AA339" s="220" t="n">
        <x:v>7.9</x:v>
      </x:c>
      <x:c r="AB339" s="220" t="n">
        <x:v>9.1</x:v>
      </x:c>
      <x:c r="AC339" s="226" t="n">
        <x:f>IF(W339="EUR",AA339,IF(W339="GBP",AB339,1))</x:f>
        <x:v>7.9</x:v>
      </x:c>
      <x:c r="AD339" s="226" t="n">
        <x:f>R339*X339</x:f>
        <x:v>8654.405713785</x:v>
      </x:c>
      <x:c r="AE339" s="226" t="n">
        <x:f>IF(Y339="PERCENTAGE_OF_BASE_FREIGHT",AD339*Z339,IF(Y339="PER_CHARGEABLE_KG",R339*Z339,P339*Z339))</x:f>
        <x:v>665.723516445</x:v>
      </x:c>
      <x:c r="AF339" s="226" t="n">
        <x:f>AD339*AC339</x:f>
        <x:v>68369.8051389015</x:v>
      </x:c>
      <x:c r="AG339" s="226" t="n">
        <x:f>AE339*AC339</x:f>
        <x:v>5259.2157799155</x:v>
      </x:c>
      <x:c r="AH339" s="226" t="str">
        <x:v>EUR</x:v>
      </x:c>
      <x:c r="AI339" s="226" t="n">
        <x:v>1.08675</x:v>
      </x:c>
      <x:c r="AJ339" s="226" t="n">
        <x:f>IF(AH339="EUR",AA339,IF(AH339="GBP",AB339,1))</x:f>
        <x:v>7.9</x:v>
      </x:c>
      <x:c r="AK339" s="226" t="n">
        <x:f>N339*AI339</x:f>
        <x:v>4132.366875000001</x:v>
      </x:c>
      <x:c r="AL339" s="226" t="n">
        <x:f>AK339*AJ339</x:f>
        <x:v>32645.698312500008</x:v>
      </x:c>
      <x:c r="AM339" s="226" t="str">
        <x:v>EUR</x:v>
      </x:c>
      <x:c r="AN339" s="226" t="n">
        <x:v>0.3933</x:v>
      </x:c>
      <x:c r="AO339" s="226" t="n">
        <x:f>IF(AM339="EUR",AA339,IF(AM339="GBP",AB339,1))</x:f>
        <x:v>7.9</x:v>
      </x:c>
      <x:c r="AP339" s="226" t="n">
        <x:f>P339*AN339</x:f>
        <x:v>1585.254645</x:v>
      </x:c>
      <x:c r="AQ339" s="226" t="n">
        <x:f>AP339*AO339</x:f>
        <x:v>12523.511695500001</x:v>
      </x:c>
      <x:c r="AR339" s="226" t="str">
        <x:v>EUR</x:v>
      </x:c>
      <x:c r="AS339" s="226" t="n">
        <x:v>3.105</x:v>
      </x:c>
      <x:c r="AT339" s="226" t="n">
        <x:f>IF(AR339="EUR",AA339,IF(AR339="GBP",AB339,1))</x:f>
        <x:v>7.9</x:v>
      </x:c>
      <x:c r="AU339" s="226" t="n">
        <x:f>T339*AS339</x:f>
        <x:v>708.40575</x:v>
      </x:c>
      <x:c r="AV339" s="226" t="n">
        <x:f>AU339*AT339</x:f>
        <x:v>5596.405425</x:v>
      </x:c>
      <x:c r="AW339" s="226" t="str">
        <x:v>EUR</x:v>
      </x:c>
      <x:c r="AX339" s="226" t="n">
        <x:v>2.3805</x:v>
      </x:c>
      <x:c r="AY339" s="226" t="n">
        <x:f>IF(AW339="EUR",AA339,IF(AW339="GBP",AB339,1))</x:f>
        <x:v>7.9</x:v>
      </x:c>
      <x:c r="AZ339" s="226" t="n">
        <x:f>V339*AX339</x:f>
        <x:v>134.32947255000002</x:v>
      </x:c>
      <x:c r="BA339" s="226" t="n">
        <x:f>AZ339*AY339</x:f>
        <x:v>1061.202833145</x:v>
      </x:c>
      <x:c r="BB339" s="226" t="n">
        <x:f>AF339+AG339+AL339+AQ339+AV339+BA339</x:f>
        <x:v>125455.83918496201</x:v>
      </x:c>
      <x:c r="BC339" s="229" t="n">
        <x:v>0.973</x:v>
      </x:c>
      <x:c r="BD339" s="202"/>
      <x:c r="BE339" s="202" t="str">
        <x:v>正式 Forecast 逐月降低英国空运及 Carrier C 份额，但仍高于 Budget</x:v>
      </x:c>
      <x:c r="BF339" s="202" t="str">
        <x:v>仅在现有承运商与有效线路内调整英国运输结构；承运能力未验证；一次性切换成本不适用</x:v>
      </x:c>
      <x:c r="BG339" s="202" t="str">
        <x:v>UNVERIFIED_UNLIMITED_FOR_MVP</x:v>
      </x:c>
    </x:row>
    <x:row r="340">
      <x:c r="A340" s="187" t="str">
        <x:v>SCENARIO_COST_SAVING_2026_08</x:v>
      </x:c>
      <x:c r="B340" s="187" t="str">
        <x:v>SCENARIO</x:v>
      </x:c>
      <x:c r="C340" s="187" t="str">
        <x:v>COST_SAVING</x:v>
      </x:c>
      <x:c r="D340" s="217" t="n">
        <x:v>46296</x:v>
      </x:c>
      <x:c r="E340" s="187" t="str">
        <x:v>R_GB_DE_A_ROAD</x:v>
      </x:c>
      <x:c r="F340" s="187" t="str">
        <x:v>GB</x:v>
      </x:c>
      <x:c r="G340" s="187" t="str">
        <x:v>DE_FC</x:v>
      </x:c>
      <x:c r="H340" s="187" t="str">
        <x:v>CARRIER_A</x:v>
      </x:c>
      <x:c r="I340" s="187" t="str">
        <x:v>ROAD</x:v>
      </x:c>
      <x:c r="J340" s="220" t="n">
        <x:v>19500</x:v>
      </x:c>
      <x:c r="K340" s="223" t="n">
        <x:v>0.36</x:v>
      </x:c>
      <x:c r="L340" s="223" t="n">
        <x:v>0.96</x:v>
      </x:c>
      <x:c r="M340" s="223" t="n">
        <x:v>0.44</x:v>
      </x:c>
      <x:c r="N340" s="226" t="n">
        <x:f>J340*K340*L340*M340</x:f>
        <x:v>2965.248</x:v>
      </x:c>
      <x:c r="O340" s="220" t="n">
        <x:v>1.15</x:v>
      </x:c>
      <x:c r="P340" s="226" t="n">
        <x:f>N340*O340</x:f>
        <x:v>3410.0352</x:v>
      </x:c>
      <x:c r="Q340" s="220" t="n">
        <x:v>1.050804</x:v>
      </x:c>
      <x:c r="R340" s="226" t="n">
        <x:f>P340*Q340</x:f>
        <x:v>3583.2786283008</x:v>
      </x:c>
      <x:c r="S340" s="220" t="n">
        <x:v>0.09</x:v>
      </x:c>
      <x:c r="T340" s="226" t="n">
        <x:f>N340*S340</x:f>
        <x:v>266.87232</x:v>
      </x:c>
      <x:c r="U340" s="226" t="n">
        <x:v>0.02565</x:v>
      </x:c>
      <x:c r="V340" s="226" t="n">
        <x:f>P340*U340</x:f>
        <x:v>87.46740288</x:v>
      </x:c>
      <x:c r="W340" s="196" t="str">
        <x:v>GBP</x:v>
      </x:c>
      <x:c r="X340" s="220" t="n">
        <x:v>4.14</x:v>
      </x:c>
      <x:c r="Y340" s="196" t="str">
        <x:v>PERCENTAGE_OF_BASE_FREIGHT</x:v>
      </x:c>
      <x:c r="Z340" s="220" t="n">
        <x:v>0.1035</x:v>
      </x:c>
      <x:c r="AA340" s="220" t="n">
        <x:v>7.9</x:v>
      </x:c>
      <x:c r="AB340" s="220" t="n">
        <x:v>9.1</x:v>
      </x:c>
      <x:c r="AC340" s="226" t="n">
        <x:f>IF(W340="EUR",AA340,IF(W340="GBP",AB340,1))</x:f>
        <x:v>9.1</x:v>
      </x:c>
      <x:c r="AD340" s="226" t="n">
        <x:f>R340*X340</x:f>
        <x:v>14834.77352116531</x:v>
      </x:c>
      <x:c r="AE340" s="226" t="n">
        <x:f>IF(Y340="PERCENTAGE_OF_BASE_FREIGHT",AD340*Z340,IF(Y340="PER_CHARGEABLE_KG",R340*Z340,P340*Z340))</x:f>
        <x:v>1535.3990594406096</x:v>
      </x:c>
      <x:c r="AF340" s="226" t="n">
        <x:f>AD340*AC340</x:f>
        <x:v>134996.43904260432</x:v>
      </x:c>
      <x:c r="AG340" s="226" t="n">
        <x:f>AE340*AC340</x:f>
        <x:v>13972.131440909547</x:v>
      </x:c>
      <x:c r="AH340" s="226" t="str">
        <x:v>EUR</x:v>
      </x:c>
      <x:c r="AI340" s="226" t="n">
        <x:v>1.2213</x:v>
      </x:c>
      <x:c r="AJ340" s="226" t="n">
        <x:f>IF(AH340="EUR",AA340,IF(AH340="GBP",AB340,1))</x:f>
        <x:v>7.9</x:v>
      </x:c>
      <x:c r="AK340" s="226" t="n">
        <x:f>N340*AI340</x:f>
        <x:v>3621.4573824000004</x:v>
      </x:c>
      <x:c r="AL340" s="226" t="n">
        <x:f>AK340*AJ340</x:f>
        <x:v>28609.513320960003</x:v>
      </x:c>
      <x:c r="AM340" s="226" t="str">
        <x:v>EUR</x:v>
      </x:c>
      <x:c r="AN340" s="226" t="n">
        <x:v>0.4347</x:v>
      </x:c>
      <x:c r="AO340" s="226" t="n">
        <x:f>IF(AM340="EUR",AA340,IF(AM340="GBP",AB340,1))</x:f>
        <x:v>7.9</x:v>
      </x:c>
      <x:c r="AP340" s="226" t="n">
        <x:f>P340*AN340</x:f>
        <x:v>1482.3423014399998</x:v>
      </x:c>
      <x:c r="AQ340" s="226" t="n">
        <x:f>AP340*AO340</x:f>
        <x:v>11710.504181375998</x:v>
      </x:c>
      <x:c r="AR340" s="226" t="str">
        <x:v>GBP</x:v>
      </x:c>
      <x:c r="AS340" s="226" t="n">
        <x:v>4.968</x:v>
      </x:c>
      <x:c r="AT340" s="226" t="n">
        <x:f>IF(AR340="EUR",AA340,IF(AR340="GBP",AB340,1))</x:f>
        <x:v>9.1</x:v>
      </x:c>
      <x:c r="AU340" s="226" t="n">
        <x:f>T340*AS340</x:f>
        <x:v>1325.82168576</x:v>
      </x:c>
      <x:c r="AV340" s="226" t="n">
        <x:f>AU340*AT340</x:f>
        <x:v>12064.977340416</x:v>
      </x:c>
      <x:c r="AW340" s="226" t="str">
        <x:v>GBP</x:v>
      </x:c>
      <x:c r="AX340" s="226" t="n">
        <x:v>2.3805</x:v>
      </x:c>
      <x:c r="AY340" s="226" t="n">
        <x:f>IF(AW340="EUR",AA340,IF(AW340="GBP",AB340,1))</x:f>
        <x:v>9.1</x:v>
      </x:c>
      <x:c r="AZ340" s="226" t="n">
        <x:f>V340*AX340</x:f>
        <x:v>208.21615255583998</x:v>
      </x:c>
      <x:c r="BA340" s="226" t="n">
        <x:f>AZ340*AY340</x:f>
        <x:v>1894.7669882581438</x:v>
      </x:c>
      <x:c r="BB340" s="226" t="n">
        <x:f>AF340+AG340+AL340+AQ340+AV340+BA340</x:f>
        <x:v>203248.33231452398</x:v>
      </x:c>
      <x:c r="BC340" s="229" t="n">
        <x:v>0.93</x:v>
      </x:c>
      <x:c r="BD340" s="202"/>
      <x:c r="BE340" s="202" t="str">
        <x:v>正式 Forecast 逐月降低英国空运及 Carrier C 份额，但仍高于 Budget</x:v>
      </x:c>
      <x:c r="BF340" s="202" t="str">
        <x:v>仅在现有承运商与有效线路内调整英国运输结构；承运能力未验证；一次性切换成本不适用</x:v>
      </x:c>
      <x:c r="BG340" s="202" t="str">
        <x:v>UNVERIFIED_UNLIMITED_FOR_MVP</x:v>
      </x:c>
    </x:row>
    <x:row r="341">
      <x:c r="A341" s="187" t="str">
        <x:v>SCENARIO_COST_SAVING_2026_08</x:v>
      </x:c>
      <x:c r="B341" s="187" t="str">
        <x:v>SCENARIO</x:v>
      </x:c>
      <x:c r="C341" s="187" t="str">
        <x:v>COST_SAVING</x:v>
      </x:c>
      <x:c r="D341" s="217" t="n">
        <x:v>46296</x:v>
      </x:c>
      <x:c r="E341" s="187" t="str">
        <x:v>R_GB_DE_B_ROAD</x:v>
      </x:c>
      <x:c r="F341" s="187" t="str">
        <x:v>GB</x:v>
      </x:c>
      <x:c r="G341" s="187" t="str">
        <x:v>DE_FC</x:v>
      </x:c>
      <x:c r="H341" s="187" t="str">
        <x:v>CARRIER_B</x:v>
      </x:c>
      <x:c r="I341" s="187" t="str">
        <x:v>ROAD</x:v>
      </x:c>
      <x:c r="J341" s="220" t="n">
        <x:v>19500</x:v>
      </x:c>
      <x:c r="K341" s="223" t="n">
        <x:v>0.36</x:v>
      </x:c>
      <x:c r="L341" s="223" t="n">
        <x:v>0.96</x:v>
      </x:c>
      <x:c r="M341" s="223" t="n">
        <x:v>0.24</x:v>
      </x:c>
      <x:c r="N341" s="226" t="n">
        <x:f>J341*K341*L341*M341</x:f>
        <x:v>1617.408</x:v>
      </x:c>
      <x:c r="O341" s="220" t="n">
        <x:v>1.15</x:v>
      </x:c>
      <x:c r="P341" s="226" t="n">
        <x:f>N341*O341</x:f>
        <x:v>1860.0191999999997</x:v>
      </x:c>
      <x:c r="Q341" s="220" t="n">
        <x:v>1.0302</x:v>
      </x:c>
      <x:c r="R341" s="226" t="n">
        <x:f>P341*Q341</x:f>
        <x:v>1916.1917798399998</x:v>
      </x:c>
      <x:c r="S341" s="220" t="n">
        <x:v>0.09</x:v>
      </x:c>
      <x:c r="T341" s="226" t="n">
        <x:f>N341*S341</x:f>
        <x:v>145.56671999999998</x:v>
      </x:c>
      <x:c r="U341" s="226" t="n">
        <x:v>0.019</x:v>
      </x:c>
      <x:c r="V341" s="226" t="n">
        <x:f>P341*U341</x:f>
        <x:v>35.340364799999996</x:v>
      </x:c>
      <x:c r="W341" s="196" t="str">
        <x:v>GBP</x:v>
      </x:c>
      <x:c r="X341" s="220" t="n">
        <x:v>4.8645</x:v>
      </x:c>
      <x:c r="Y341" s="196" t="str">
        <x:v>PER_CHARGEABLE_KG</x:v>
      </x:c>
      <x:c r="Z341" s="220" t="n">
        <x:v>0.34155</x:v>
      </x:c>
      <x:c r="AA341" s="220" t="n">
        <x:v>7.9</x:v>
      </x:c>
      <x:c r="AB341" s="220" t="n">
        <x:v>9.1</x:v>
      </x:c>
      <x:c r="AC341" s="226" t="n">
        <x:f>IF(W341="EUR",AA341,IF(W341="GBP",AB341,1))</x:f>
        <x:v>9.1</x:v>
      </x:c>
      <x:c r="AD341" s="226" t="n">
        <x:f>R341*X341</x:f>
        <x:v>9321.314913031678</x:v>
      </x:c>
      <x:c r="AE341" s="226" t="n">
        <x:f>IF(Y341="PERCENTAGE_OF_BASE_FREIGHT",AD341*Z341,IF(Y341="PER_CHARGEABLE_KG",R341*Z341,P341*Z341))</x:f>
        <x:v>654.475302404352</x:v>
      </x:c>
      <x:c r="AF341" s="226" t="n">
        <x:f>AD341*AC341</x:f>
        <x:v>84823.96570858826</x:v>
      </x:c>
      <x:c r="AG341" s="226" t="n">
        <x:f>AE341*AC341</x:f>
        <x:v>5955.725251879603</x:v>
      </x:c>
      <x:c r="AH341" s="226" t="str">
        <x:v>EUR</x:v>
      </x:c>
      <x:c r="AI341" s="226" t="n">
        <x:v>1.2213</x:v>
      </x:c>
      <x:c r="AJ341" s="226" t="n">
        <x:f>IF(AH341="EUR",AA341,IF(AH341="GBP",AB341,1))</x:f>
        <x:v>7.9</x:v>
      </x:c>
      <x:c r="AK341" s="226" t="n">
        <x:f>N341*AI341</x:f>
        <x:v>1975.3403904</x:v>
      </x:c>
      <x:c r="AL341" s="226" t="n">
        <x:f>AK341*AJ341</x:f>
        <x:v>15605.18908416</x:v>
      </x:c>
      <x:c r="AM341" s="226" t="str">
        <x:v>EUR</x:v>
      </x:c>
      <x:c r="AN341" s="226" t="n">
        <x:v>0.4347</x:v>
      </x:c>
      <x:c r="AO341" s="226" t="n">
        <x:f>IF(AM341="EUR",AA341,IF(AM341="GBP",AB341,1))</x:f>
        <x:v>7.9</x:v>
      </x:c>
      <x:c r="AP341" s="226" t="n">
        <x:f>P341*AN341</x:f>
        <x:v>808.5503462399998</x:v>
      </x:c>
      <x:c r="AQ341" s="226" t="n">
        <x:f>AP341*AO341</x:f>
        <x:v>6387.547735295999</x:v>
      </x:c>
      <x:c r="AR341" s="226" t="str">
        <x:v>GBP</x:v>
      </x:c>
      <x:c r="AS341" s="226" t="n">
        <x:v>4.968</x:v>
      </x:c>
      <x:c r="AT341" s="226" t="n">
        <x:f>IF(AR341="EUR",AA341,IF(AR341="GBP",AB341,1))</x:f>
        <x:v>9.1</x:v>
      </x:c>
      <x:c r="AU341" s="226" t="n">
        <x:f>T341*AS341</x:f>
        <x:v>723.1754649599999</x:v>
      </x:c>
      <x:c r="AV341" s="226" t="n">
        <x:f>AU341*AT341</x:f>
        <x:v>6580.896731135998</x:v>
      </x:c>
      <x:c r="AW341" s="226" t="str">
        <x:v>GBP</x:v>
      </x:c>
      <x:c r="AX341" s="226" t="n">
        <x:v>2.3805</x:v>
      </x:c>
      <x:c r="AY341" s="226" t="n">
        <x:f>IF(AW341="EUR",AA341,IF(AW341="GBP",AB341,1))</x:f>
        <x:v>9.1</x:v>
      </x:c>
      <x:c r="AZ341" s="226" t="n">
        <x:f>V341*AX341</x:f>
        <x:v>84.1277384064</x:v>
      </x:c>
      <x:c r="BA341" s="226" t="n">
        <x:f>AZ341*AY341</x:f>
        <x:v>765.5624194982399</x:v>
      </x:c>
      <x:c r="BB341" s="226" t="n">
        <x:f>AF341+AG341+AL341+AQ341+AV341+BA341</x:f>
        <x:v>120118.8869305581</x:v>
      </x:c>
      <x:c r="BC341" s="229" t="n">
        <x:v>0.95</x:v>
      </x:c>
      <x:c r="BD341" s="202"/>
      <x:c r="BE341" s="202" t="str">
        <x:v>正式 Forecast 逐月降低英国空运及 Carrier C 份额，但仍高于 Budget</x:v>
      </x:c>
      <x:c r="BF341" s="202" t="str">
        <x:v>仅在现有承运商与有效线路内调整英国运输结构；承运能力未验证；一次性切换成本不适用</x:v>
      </x:c>
      <x:c r="BG341" s="202" t="str">
        <x:v>UNVERIFIED_UNLIMITED_FOR_MVP</x:v>
      </x:c>
    </x:row>
    <x:row r="342">
      <x:c r="A342" s="187" t="str">
        <x:v>SCENARIO_COST_SAVING_2026_08</x:v>
      </x:c>
      <x:c r="B342" s="187" t="str">
        <x:v>SCENARIO</x:v>
      </x:c>
      <x:c r="C342" s="187" t="str">
        <x:v>COST_SAVING</x:v>
      </x:c>
      <x:c r="D342" s="217" t="n">
        <x:v>46296</x:v>
      </x:c>
      <x:c r="E342" s="187" t="str">
        <x:v>R_GB_DE_B_AIR</x:v>
      </x:c>
      <x:c r="F342" s="187" t="str">
        <x:v>GB</x:v>
      </x:c>
      <x:c r="G342" s="187" t="str">
        <x:v>DE_FC</x:v>
      </x:c>
      <x:c r="H342" s="187" t="str">
        <x:v>CARRIER_B</x:v>
      </x:c>
      <x:c r="I342" s="187" t="str">
        <x:v>AIR</x:v>
      </x:c>
      <x:c r="J342" s="220" t="n">
        <x:v>19500</x:v>
      </x:c>
      <x:c r="K342" s="223" t="n">
        <x:v>0.36</x:v>
      </x:c>
      <x:c r="L342" s="223" t="n">
        <x:v>0.96</x:v>
      </x:c>
      <x:c r="M342" s="223" t="n">
        <x:v>0.2</x:v>
      </x:c>
      <x:c r="N342" s="226" t="n">
        <x:f>J342*K342*L342*M342</x:f>
        <x:v>1347.8400000000001</x:v>
      </x:c>
      <x:c r="O342" s="220" t="n">
        <x:v>1.15</x:v>
      </x:c>
      <x:c r="P342" s="226" t="n">
        <x:f>N342*O342</x:f>
        <x:v>1550.016</x:v>
      </x:c>
      <x:c r="Q342" s="220" t="n">
        <x:v>0.968388</x:v>
      </x:c>
      <x:c r="R342" s="226" t="n">
        <x:f>P342*Q342</x:f>
        <x:v>1501.0168942080002</x:v>
      </x:c>
      <x:c r="S342" s="220" t="n">
        <x:v>0.09</x:v>
      </x:c>
      <x:c r="T342" s="226" t="n">
        <x:f>N342*S342</x:f>
        <x:v>121.30560000000001</x:v>
      </x:c>
      <x:c r="U342" s="226" t="n">
        <x:v>0.0152</x:v>
      </x:c>
      <x:c r="V342" s="226" t="n">
        <x:f>P342*U342</x:f>
        <x:v>23.560243200000002</x:v>
      </x:c>
      <x:c r="W342" s="196" t="str">
        <x:v>GBP</x:v>
      </x:c>
      <x:c r="X342" s="220" t="n">
        <x:v>6.67368</x:v>
      </x:c>
      <x:c r="Y342" s="196" t="str">
        <x:v>PERCENTAGE_OF_BASE_FREIGHT</x:v>
      </x:c>
      <x:c r="Z342" s="220" t="n">
        <x:v>0.123786</x:v>
      </x:c>
      <x:c r="AA342" s="220" t="n">
        <x:v>7.9</x:v>
      </x:c>
      <x:c r="AB342" s="220" t="n">
        <x:v>9.1</x:v>
      </x:c>
      <x:c r="AC342" s="226" t="n">
        <x:f>IF(W342="EUR",AA342,IF(W342="GBP",AB342,1))</x:f>
        <x:v>9.1</x:v>
      </x:c>
      <x:c r="AD342" s="226" t="n">
        <x:f>R342*X342</x:f>
        <x:v>10017.306426538047</x:v>
      </x:c>
      <x:c r="AE342" s="226" t="n">
        <x:f>IF(Y342="PERCENTAGE_OF_BASE_FREIGHT",AD342*Z342,IF(Y342="PER_CHARGEABLE_KG",R342*Z342,P342*Z342))</x:f>
        <x:v>1240.0022933154387</x:v>
      </x:c>
      <x:c r="AF342" s="226" t="n">
        <x:f>AD342*AC342</x:f>
        <x:v>91157.48848149623</x:v>
      </x:c>
      <x:c r="AG342" s="226" t="n">
        <x:f>AE342*AC342</x:f>
        <x:v>11284.020869170492</x:v>
      </x:c>
      <x:c r="AH342" s="226" t="str">
        <x:v>EUR</x:v>
      </x:c>
      <x:c r="AI342" s="226" t="n">
        <x:v>1.2213</x:v>
      </x:c>
      <x:c r="AJ342" s="226" t="n">
        <x:f>IF(AH342="EUR",AA342,IF(AH342="GBP",AB342,1))</x:f>
        <x:v>7.9</x:v>
      </x:c>
      <x:c r="AK342" s="226" t="n">
        <x:f>N342*AI342</x:f>
        <x:v>1646.1169920000002</x:v>
      </x:c>
      <x:c r="AL342" s="226" t="n">
        <x:f>AK342*AJ342</x:f>
        <x:v>13004.324236800003</x:v>
      </x:c>
      <x:c r="AM342" s="226" t="str">
        <x:v>EUR</x:v>
      </x:c>
      <x:c r="AN342" s="226" t="n">
        <x:v>0.4347</x:v>
      </x:c>
      <x:c r="AO342" s="226" t="n">
        <x:f>IF(AM342="EUR",AA342,IF(AM342="GBP",AB342,1))</x:f>
        <x:v>7.9</x:v>
      </x:c>
      <x:c r="AP342" s="226" t="n">
        <x:f>P342*AN342</x:f>
        <x:v>673.7919552</x:v>
      </x:c>
      <x:c r="AQ342" s="226" t="n">
        <x:f>AP342*AO342</x:f>
        <x:v>5322.95644608</x:v>
      </x:c>
      <x:c r="AR342" s="226" t="str">
        <x:v>GBP</x:v>
      </x:c>
      <x:c r="AS342" s="226" t="n">
        <x:v>4.968</x:v>
      </x:c>
      <x:c r="AT342" s="226" t="n">
        <x:f>IF(AR342="EUR",AA342,IF(AR342="GBP",AB342,1))</x:f>
        <x:v>9.1</x:v>
      </x:c>
      <x:c r="AU342" s="226" t="n">
        <x:f>T342*AS342</x:f>
        <x:v>602.6462208</x:v>
      </x:c>
      <x:c r="AV342" s="226" t="n">
        <x:f>AU342*AT342</x:f>
        <x:v>5484.08060928</x:v>
      </x:c>
      <x:c r="AW342" s="226" t="str">
        <x:v>GBP</x:v>
      </x:c>
      <x:c r="AX342" s="226" t="n">
        <x:v>2.898</x:v>
      </x:c>
      <x:c r="AY342" s="226" t="n">
        <x:f>IF(AW342="EUR",AA342,IF(AW342="GBP",AB342,1))</x:f>
        <x:v>9.1</x:v>
      </x:c>
      <x:c r="AZ342" s="226" t="n">
        <x:f>V342*AX342</x:f>
        <x:v>68.27758479360001</x:v>
      </x:c>
      <x:c r="BA342" s="226" t="n">
        <x:f>AZ342*AY342</x:f>
        <x:v>621.3260216217601</x:v>
      </x:c>
      <x:c r="BB342" s="226" t="n">
        <x:f>AF342+AG342+AL342+AQ342+AV342+BA342</x:f>
        <x:v>126874.1966644485</x:v>
      </x:c>
      <x:c r="BC342" s="229" t="n">
        <x:v>0.974</x:v>
      </x:c>
      <x:c r="BD342" s="202"/>
      <x:c r="BE342" s="202" t="str">
        <x:v>正式 Forecast 逐月降低英国空运及 Carrier C 份额，但仍高于 Budget</x:v>
      </x:c>
      <x:c r="BF342" s="202" t="str">
        <x:v>仅在现有承运商与有效线路内调整英国运输结构；承运能力未验证；一次性切换成本不适用</x:v>
      </x:c>
      <x:c r="BG342" s="202" t="str">
        <x:v>UNVERIFIED_UNLIMITED_FOR_MVP</x:v>
      </x:c>
    </x:row>
    <x:row r="343">
      <x:c r="A343" s="187" t="str">
        <x:v>SCENARIO_COST_SAVING_2026_08</x:v>
      </x:c>
      <x:c r="B343" s="187" t="str">
        <x:v>SCENARIO</x:v>
      </x:c>
      <x:c r="C343" s="187" t="str">
        <x:v>COST_SAVING</x:v>
      </x:c>
      <x:c r="D343" s="217" t="n">
        <x:v>46296</x:v>
      </x:c>
      <x:c r="E343" s="187" t="str">
        <x:v>R_GB_DE_C_AIR</x:v>
      </x:c>
      <x:c r="F343" s="187" t="str">
        <x:v>GB</x:v>
      </x:c>
      <x:c r="G343" s="187" t="str">
        <x:v>DE_FC</x:v>
      </x:c>
      <x:c r="H343" s="187" t="str">
        <x:v>CARRIER_C</x:v>
      </x:c>
      <x:c r="I343" s="187" t="str">
        <x:v>AIR</x:v>
      </x:c>
      <x:c r="J343" s="220" t="n">
        <x:v>19500</x:v>
      </x:c>
      <x:c r="K343" s="223" t="n">
        <x:v>0.36</x:v>
      </x:c>
      <x:c r="L343" s="223" t="n">
        <x:v>0.96</x:v>
      </x:c>
      <x:c r="M343" s="223" t="n">
        <x:v>0.12</x:v>
      </x:c>
      <x:c r="N343" s="226" t="n">
        <x:f>J343*K343*L343*M343</x:f>
        <x:v>808.704</x:v>
      </x:c>
      <x:c r="O343" s="220" t="n">
        <x:v>1.15</x:v>
      </x:c>
      <x:c r="P343" s="226" t="n">
        <x:f>N343*O343</x:f>
        <x:v>930.0095999999999</x:v>
      </x:c>
      <x:c r="Q343" s="220" t="n">
        <x:v>0.947784</x:v>
      </x:c>
      <x:c r="R343" s="226" t="n">
        <x:f>P343*Q343</x:f>
        <x:v>881.4482187263999</x:v>
      </x:c>
      <x:c r="S343" s="220" t="n">
        <x:v>0.09</x:v>
      </x:c>
      <x:c r="T343" s="226" t="n">
        <x:f>N343*S343</x:f>
        <x:v>72.78335999999999</x:v>
      </x:c>
      <x:c r="U343" s="226" t="n">
        <x:v>0.01045</x:v>
      </x:c>
      <x:c r="V343" s="226" t="n">
        <x:f>P343*U343</x:f>
        <x:v>9.718600319999998</x:v>
      </x:c>
      <x:c r="W343" s="196" t="str">
        <x:v>GBP</x:v>
      </x:c>
      <x:c r="X343" s="220" t="n">
        <x:v>8.22825</x:v>
      </x:c>
      <x:c r="Y343" s="196" t="str">
        <x:v>PER_CHARGEABLE_KG</x:v>
      </x:c>
      <x:c r="Z343" s="220" t="n">
        <x:v>0.636318</x:v>
      </x:c>
      <x:c r="AA343" s="220" t="n">
        <x:v>7.9</x:v>
      </x:c>
      <x:c r="AB343" s="220" t="n">
        <x:v>9.1</x:v>
      </x:c>
      <x:c r="AC343" s="226" t="n">
        <x:f>IF(W343="EUR",AA343,IF(W343="GBP",AB343,1))</x:f>
        <x:v>9.1</x:v>
      </x:c>
      <x:c r="AD343" s="226" t="n">
        <x:f>R343*X343</x:f>
        <x:v>7252.7763057355</x:v>
      </x:c>
      <x:c r="AE343" s="226" t="n">
        <x:f>IF(Y343="PERCENTAGE_OF_BASE_FREIGHT",AD343*Z343,IF(Y343="PER_CHARGEABLE_KG",R343*Z343,P343*Z343))</x:f>
        <x:v>560.8813676435453</x:v>
      </x:c>
      <x:c r="AF343" s="226" t="n">
        <x:f>AD343*AC343</x:f>
        <x:v>66000.26438219304</x:v>
      </x:c>
      <x:c r="AG343" s="226" t="n">
        <x:f>AE343*AC343</x:f>
        <x:v>5104.0204455562625</x:v>
      </x:c>
      <x:c r="AH343" s="226" t="str">
        <x:v>EUR</x:v>
      </x:c>
      <x:c r="AI343" s="226" t="n">
        <x:v>1.2213</x:v>
      </x:c>
      <x:c r="AJ343" s="226" t="n">
        <x:f>IF(AH343="EUR",AA343,IF(AH343="GBP",AB343,1))</x:f>
        <x:v>7.9</x:v>
      </x:c>
      <x:c r="AK343" s="226" t="n">
        <x:f>N343*AI343</x:f>
        <x:v>987.6701952</x:v>
      </x:c>
      <x:c r="AL343" s="226" t="n">
        <x:f>AK343*AJ343</x:f>
        <x:v>7802.59454208</x:v>
      </x:c>
      <x:c r="AM343" s="226" t="str">
        <x:v>EUR</x:v>
      </x:c>
      <x:c r="AN343" s="226" t="n">
        <x:v>0.4347</x:v>
      </x:c>
      <x:c r="AO343" s="226" t="n">
        <x:f>IF(AM343="EUR",AA343,IF(AM343="GBP",AB343,1))</x:f>
        <x:v>7.9</x:v>
      </x:c>
      <x:c r="AP343" s="226" t="n">
        <x:f>P343*AN343</x:f>
        <x:v>404.2751731199999</x:v>
      </x:c>
      <x:c r="AQ343" s="226" t="n">
        <x:f>AP343*AO343</x:f>
        <x:v>3193.7738676479994</x:v>
      </x:c>
      <x:c r="AR343" s="226" t="str">
        <x:v>GBP</x:v>
      </x:c>
      <x:c r="AS343" s="226" t="n">
        <x:v>4.968</x:v>
      </x:c>
      <x:c r="AT343" s="226" t="n">
        <x:f>IF(AR343="EUR",AA343,IF(AR343="GBP",AB343,1))</x:f>
        <x:v>9.1</x:v>
      </x:c>
      <x:c r="AU343" s="226" t="n">
        <x:f>T343*AS343</x:f>
        <x:v>361.58773247999994</x:v>
      </x:c>
      <x:c r="AV343" s="226" t="n">
        <x:f>AU343*AT343</x:f>
        <x:v>3290.448365567999</x:v>
      </x:c>
      <x:c r="AW343" s="226" t="str">
        <x:v>GBP</x:v>
      </x:c>
      <x:c r="AX343" s="226" t="n">
        <x:v>3.726</x:v>
      </x:c>
      <x:c r="AY343" s="226" t="n">
        <x:f>IF(AW343="EUR",AA343,IF(AW343="GBP",AB343,1))</x:f>
        <x:v>9.1</x:v>
      </x:c>
      <x:c r="AZ343" s="226" t="n">
        <x:f>V343*AX343</x:f>
        <x:v>36.21150479231999</x:v>
      </x:c>
      <x:c r="BA343" s="226" t="n">
        <x:f>AZ343*AY343</x:f>
        <x:v>329.5246936101119</x:v>
      </x:c>
      <x:c r="BB343" s="226" t="n">
        <x:f>AF343+AG343+AL343+AQ343+AV343+BA343</x:f>
        <x:v>85720.6262966554</x:v>
      </x:c>
      <x:c r="BC343" s="229" t="n">
        <x:v>0.988</x:v>
      </x:c>
      <x:c r="BD343" s="202"/>
      <x:c r="BE343" s="202" t="str">
        <x:v>正式 Forecast 逐月降低英国空运及 Carrier C 份额，但仍高于 Budget</x:v>
      </x:c>
      <x:c r="BF343" s="202" t="str">
        <x:v>仅在现有承运商与有效线路内调整英国运输结构；承运能力未验证；一次性切换成本不适用</x:v>
      </x:c>
      <x:c r="BG343" s="202" t="str">
        <x:v>UNVERIFIED_UNLIMITED_FOR_MVP</x:v>
      </x:c>
    </x:row>
    <x:row r="344">
      <x:c r="A344" s="187" t="str">
        <x:v>SCENARIO_COST_SAVING_2026_08</x:v>
      </x:c>
      <x:c r="B344" s="187" t="str">
        <x:v>SCENARIO</x:v>
      </x:c>
      <x:c r="C344" s="187" t="str">
        <x:v>COST_SAVING</x:v>
      </x:c>
      <x:c r="D344" s="217" t="n">
        <x:v>46296</x:v>
      </x:c>
      <x:c r="E344" s="187" t="str">
        <x:v>R_GB_FR_B_AIR</x:v>
      </x:c>
      <x:c r="F344" s="187" t="str">
        <x:v>GB</x:v>
      </x:c>
      <x:c r="G344" s="187" t="str">
        <x:v>FR_FC</x:v>
      </x:c>
      <x:c r="H344" s="187" t="str">
        <x:v>CARRIER_B</x:v>
      </x:c>
      <x:c r="I344" s="187" t="str">
        <x:v>AIR</x:v>
      </x:c>
      <x:c r="J344" s="220" t="n">
        <x:v>19500</x:v>
      </x:c>
      <x:c r="K344" s="223" t="n">
        <x:v>0.36</x:v>
      </x:c>
      <x:c r="L344" s="223" t="n">
        <x:v>0.04</x:v>
      </x:c>
      <x:c r="M344" s="223" t="n">
        <x:v>1</x:v>
      </x:c>
      <x:c r="N344" s="226" t="n">
        <x:f>J344*K344*L344*M344</x:f>
        <x:v>280.8</x:v>
      </x:c>
      <x:c r="O344" s="220" t="n">
        <x:v>1.17</x:v>
      </x:c>
      <x:c r="P344" s="226" t="n">
        <x:f>N344*O344</x:f>
        <x:v>328.536</x:v>
      </x:c>
      <x:c r="Q344" s="220" t="n">
        <x:v>0.92718</x:v>
      </x:c>
      <x:c r="R344" s="226" t="n">
        <x:f>P344*Q344</x:f>
        <x:v>304.61200848</x:v>
      </x:c>
      <x:c r="S344" s="220" t="n">
        <x:v>0.09</x:v>
      </x:c>
      <x:c r="T344" s="226" t="n">
        <x:f>N344*S344</x:f>
        <x:v>25.272</x:v>
      </x:c>
      <x:c r="U344" s="226" t="n">
        <x:v>0.0133</x:v>
      </x:c>
      <x:c r="V344" s="226" t="n">
        <x:f>P344*U344</x:f>
        <x:v>4.369528799999999</x:v>
      </x:c>
      <x:c r="W344" s="196" t="str">
        <x:v>EUR</x:v>
      </x:c>
      <x:c r="X344" s="220" t="n">
        <x:v>6.9345</x:v>
      </x:c>
      <x:c r="Y344" s="196" t="str">
        <x:v>PERCENTAGE_OF_BASE_FREIGHT</x:v>
      </x:c>
      <x:c r="Z344" s="220" t="n">
        <x:v>0.108675</x:v>
      </x:c>
      <x:c r="AA344" s="220" t="n">
        <x:v>7.9</x:v>
      </x:c>
      <x:c r="AB344" s="220" t="n">
        <x:v>9.1</x:v>
      </x:c>
      <x:c r="AC344" s="226" t="n">
        <x:f>IF(W344="EUR",AA344,IF(W344="GBP",AB344,1))</x:f>
        <x:v>7.9</x:v>
      </x:c>
      <x:c r="AD344" s="226" t="n">
        <x:f>R344*X344</x:f>
        <x:v>2112.33197280456</x:v>
      </x:c>
      <x:c r="AE344" s="226" t="n">
        <x:f>IF(Y344="PERCENTAGE_OF_BASE_FREIGHT",AD344*Z344,IF(Y344="PER_CHARGEABLE_KG",R344*Z344,P344*Z344))</x:f>
        <x:v>229.55767714453555</x:v>
      </x:c>
      <x:c r="AF344" s="226" t="n">
        <x:f>AD344*AC344</x:f>
        <x:v>16687.422585156022</x:v>
      </x:c>
      <x:c r="AG344" s="226" t="n">
        <x:f>AE344*AC344</x:f>
        <x:v>1813.5056494418309</x:v>
      </x:c>
      <x:c r="AH344" s="226" t="str">
        <x:v>EUR</x:v>
      </x:c>
      <x:c r="AI344" s="226" t="n">
        <x:v>1.08675</x:v>
      </x:c>
      <x:c r="AJ344" s="226" t="n">
        <x:f>IF(AH344="EUR",AA344,IF(AH344="GBP",AB344,1))</x:f>
        <x:v>7.9</x:v>
      </x:c>
      <x:c r="AK344" s="226" t="n">
        <x:f>N344*AI344</x:f>
        <x:v>305.15940000000006</x:v>
      </x:c>
      <x:c r="AL344" s="226" t="n">
        <x:f>AK344*AJ344</x:f>
        <x:v>2410.7592600000007</x:v>
      </x:c>
      <x:c r="AM344" s="226" t="str">
        <x:v>EUR</x:v>
      </x:c>
      <x:c r="AN344" s="226" t="n">
        <x:v>0.3933</x:v>
      </x:c>
      <x:c r="AO344" s="226" t="n">
        <x:f>IF(AM344="EUR",AA344,IF(AM344="GBP",AB344,1))</x:f>
        <x:v>7.9</x:v>
      </x:c>
      <x:c r="AP344" s="226" t="n">
        <x:f>P344*AN344</x:f>
        <x:v>129.2132088</x:v>
      </x:c>
      <x:c r="AQ344" s="226" t="n">
        <x:f>AP344*AO344</x:f>
        <x:v>1020.78434952</x:v>
      </x:c>
      <x:c r="AR344" s="226" t="str">
        <x:v>EUR</x:v>
      </x:c>
      <x:c r="AS344" s="226" t="n">
        <x:v>5.382</x:v>
      </x:c>
      <x:c r="AT344" s="226" t="n">
        <x:f>IF(AR344="EUR",AA344,IF(AR344="GBP",AB344,1))</x:f>
        <x:v>7.9</x:v>
      </x:c>
      <x:c r="AU344" s="226" t="n">
        <x:f>T344*AS344</x:f>
        <x:v>136.013904</x:v>
      </x:c>
      <x:c r="AV344" s="226" t="n">
        <x:f>AU344*AT344</x:f>
        <x:v>1074.5098416</x:v>
      </x:c>
      <x:c r="AW344" s="226" t="str">
        <x:v>EUR</x:v>
      </x:c>
      <x:c r="AX344" s="226" t="n">
        <x:v>2.898</x:v>
      </x:c>
      <x:c r="AY344" s="226" t="n">
        <x:f>IF(AW344="EUR",AA344,IF(AW344="GBP",AB344,1))</x:f>
        <x:v>7.9</x:v>
      </x:c>
      <x:c r="AZ344" s="226" t="n">
        <x:f>V344*AX344</x:f>
        <x:v>12.662894462399999</x:v>
      </x:c>
      <x:c r="BA344" s="226" t="n">
        <x:f>AZ344*AY344</x:f>
        <x:v>100.03686625296</x:v>
      </x:c>
      <x:c r="BB344" s="226" t="n">
        <x:f>AF344+AG344+AL344+AQ344+AV344+BA344</x:f>
        <x:v>23107.018551970817</x:v>
      </x:c>
      <x:c r="BC344" s="229" t="n">
        <x:v>0.971</x:v>
      </x:c>
      <x:c r="BD344" s="202"/>
      <x:c r="BE344" s="202" t="str">
        <x:v>正式 Forecast 逐月降低英国空运及 Carrier C 份额，但仍高于 Budget</x:v>
      </x:c>
      <x:c r="BF344" s="202" t="str">
        <x:v>仅在现有承运商与有效线路内调整英国运输结构；承运能力未验证；一次性切换成本不适用</x:v>
      </x:c>
      <x:c r="BG344" s="202" t="str">
        <x:v>UNVERIFIED_UNLIMITED_FOR_MVP</x:v>
      </x:c>
    </x:row>
    <x:row r="345">
      <x:c r="A345" s="187" t="str">
        <x:v>SCENARIO_COST_SAVING_2026_08</x:v>
      </x:c>
      <x:c r="B345" s="187" t="str">
        <x:v>SCENARIO</x:v>
      </x:c>
      <x:c r="C345" s="187" t="str">
        <x:v>COST_SAVING</x:v>
      </x:c>
      <x:c r="D345" s="217" t="n">
        <x:v>46327</x:v>
      </x:c>
      <x:c r="E345" s="187" t="str">
        <x:v>R_DE_DE_A_ROAD</x:v>
      </x:c>
      <x:c r="F345" s="187" t="str">
        <x:v>DE</x:v>
      </x:c>
      <x:c r="G345" s="187" t="str">
        <x:v>DE_FC</x:v>
      </x:c>
      <x:c r="H345" s="187" t="str">
        <x:v>CARRIER_A</x:v>
      </x:c>
      <x:c r="I345" s="187" t="str">
        <x:v>ROAD</x:v>
      </x:c>
      <x:c r="J345" s="220" t="n">
        <x:v>24800</x:v>
      </x:c>
      <x:c r="K345" s="223" t="n">
        <x:v>0.32</x:v>
      </x:c>
      <x:c r="L345" s="223" t="n">
        <x:v>0.97</x:v>
      </x:c>
      <x:c r="M345" s="223" t="n">
        <x:v>0.6</x:v>
      </x:c>
      <x:c r="N345" s="226" t="n">
        <x:f>J345*K345*L345*M345</x:f>
        <x:v>4618.7519999999995</x:v>
      </x:c>
      <x:c r="O345" s="220" t="n">
        <x:v>1.05</x:v>
      </x:c>
      <x:c r="P345" s="226" t="n">
        <x:f>N345*O345</x:f>
        <x:v>4849.6896</x:v>
      </x:c>
      <x:c r="Q345" s="220" t="n">
        <x:v>0.7878</x:v>
      </x:c>
      <x:c r="R345" s="226" t="n">
        <x:f>P345*Q345</x:f>
        <x:v>3820.5854668799993</x:v>
      </x:c>
      <x:c r="S345" s="220" t="n">
        <x:v>0.05</x:v>
      </x:c>
      <x:c r="T345" s="226" t="n">
        <x:f>N345*S345</x:f>
        <x:v>230.93759999999997</x:v>
      </x:c>
      <x:c r="U345" s="226" t="n">
        <x:v>0.016</x:v>
      </x:c>
      <x:c r="V345" s="226" t="n">
        <x:f>P345*U345</x:f>
        <x:v>77.5950336</x:v>
      </x:c>
      <x:c r="W345" s="196" t="str">
        <x:v>EUR</x:v>
      </x:c>
      <x:c r="X345" s="220" t="n">
        <x:v>2.277</x:v>
      </x:c>
      <x:c r="Y345" s="196" t="str">
        <x:v>PERCENTAGE_OF_BASE_FREIGHT</x:v>
      </x:c>
      <x:c r="Z345" s="220" t="n">
        <x:v>0.098325</x:v>
      </x:c>
      <x:c r="AA345" s="220" t="n">
        <x:v>7.88</x:v>
      </x:c>
      <x:c r="AB345" s="220" t="n">
        <x:v>9.05</x:v>
      </x:c>
      <x:c r="AC345" s="226" t="n">
        <x:f>IF(W345="EUR",AA345,IF(W345="GBP",AB345,1))</x:f>
        <x:v>7.88</x:v>
      </x:c>
      <x:c r="AD345" s="226" t="n">
        <x:f>R345*X345</x:f>
        <x:v>8699.473108085758</x:v>
      </x:c>
      <x:c r="AE345" s="226" t="n">
        <x:f>IF(Y345="PERCENTAGE_OF_BASE_FREIGHT",AD345*Z345,IF(Y345="PER_CHARGEABLE_KG",R345*Z345,P345*Z345))</x:f>
        <x:v>855.3756933525322</x:v>
      </x:c>
      <x:c r="AF345" s="226" t="n">
        <x:f>AD345*AC345</x:f>
        <x:v>68551.84809171577</x:v>
      </x:c>
      <x:c r="AG345" s="226" t="n">
        <x:f>AE345*AC345</x:f>
        <x:v>6740.360463617953</x:v>
      </x:c>
      <x:c r="AH345" s="226" t="str">
        <x:v>EUR</x:v>
      </x:c>
      <x:c r="AI345" s="226" t="n">
        <x:v>1.2213</x:v>
      </x:c>
      <x:c r="AJ345" s="226" t="n">
        <x:f>IF(AH345="EUR",AA345,IF(AH345="GBP",AB345,1))</x:f>
        <x:v>7.88</x:v>
      </x:c>
      <x:c r="AK345" s="226" t="n">
        <x:f>N345*AI345</x:f>
        <x:v>5640.8818175999995</x:v>
      </x:c>
      <x:c r="AL345" s="226" t="n">
        <x:f>AK345*AJ345</x:f>
        <x:v>44450.148722688</x:v>
      </x:c>
      <x:c r="AM345" s="226" t="str">
        <x:v>EUR</x:v>
      </x:c>
      <x:c r="AN345" s="226" t="n">
        <x:v>0.4347</x:v>
      </x:c>
      <x:c r="AO345" s="226" t="n">
        <x:f>IF(AM345="EUR",AA345,IF(AM345="GBP",AB345,1))</x:f>
        <x:v>7.88</x:v>
      </x:c>
      <x:c r="AP345" s="226" t="n">
        <x:f>P345*AN345</x:f>
        <x:v>2108.1600691199997</x:v>
      </x:c>
      <x:c r="AQ345" s="226" t="n">
        <x:f>AP345*AO345</x:f>
        <x:v>16612.301344665597</x:v>
      </x:c>
      <x:c r="AR345" s="226" t="str">
        <x:v>EUR</x:v>
      </x:c>
      <x:c r="AS345" s="226" t="n">
        <x:v>3.312</x:v>
      </x:c>
      <x:c r="AT345" s="226" t="n">
        <x:f>IF(AR345="EUR",AA345,IF(AR345="GBP",AB345,1))</x:f>
        <x:v>7.88</x:v>
      </x:c>
      <x:c r="AU345" s="226" t="n">
        <x:f>T345*AS345</x:f>
        <x:v>764.8653311999999</x:v>
      </x:c>
      <x:c r="AV345" s="226" t="n">
        <x:f>AU345*AT345</x:f>
        <x:v>6027.138809855999</x:v>
      </x:c>
      <x:c r="AW345" s="226" t="str">
        <x:v>EUR</x:v>
      </x:c>
      <x:c r="AX345" s="226" t="n">
        <x:v>2.3805</x:v>
      </x:c>
      <x:c r="AY345" s="226" t="n">
        <x:f>IF(AW345="EUR",AA345,IF(AW345="GBP",AB345,1))</x:f>
        <x:v>7.88</x:v>
      </x:c>
      <x:c r="AZ345" s="226" t="n">
        <x:f>V345*AX345</x:f>
        <x:v>184.7149774848</x:v>
      </x:c>
      <x:c r="BA345" s="226" t="n">
        <x:f>AZ345*AY345</x:f>
        <x:v>1455.5540225802238</x:v>
      </x:c>
      <x:c r="BB345" s="226" t="n">
        <x:f>AF345+AG345+AL345+AQ345+AV345+BA345</x:f>
        <x:v>143837.35145512354</x:v>
      </x:c>
      <x:c r="BC345" s="229" t="n">
        <x:v>0.965</x:v>
      </x:c>
      <x:c r="BD345" s="202"/>
      <x:c r="BE345" s="202" t="str">
        <x:v>正式 Forecast 逐月降低英国空运及 Carrier C 份额，但仍高于 Budget</x:v>
      </x:c>
      <x:c r="BF345" s="202" t="str">
        <x:v>仅在现有承运商与有效线路内调整英国运输结构；承运能力未验证；一次性切换成本不适用</x:v>
      </x:c>
      <x:c r="BG345" s="202" t="str">
        <x:v>UNVERIFIED_UNLIMITED_FOR_MVP</x:v>
      </x:c>
    </x:row>
    <x:row r="346">
      <x:c r="A346" s="187" t="str">
        <x:v>SCENARIO_COST_SAVING_2026_08</x:v>
      </x:c>
      <x:c r="B346" s="187" t="str">
        <x:v>SCENARIO</x:v>
      </x:c>
      <x:c r="C346" s="187" t="str">
        <x:v>COST_SAVING</x:v>
      </x:c>
      <x:c r="D346" s="217" t="n">
        <x:v>46327</x:v>
      </x:c>
      <x:c r="E346" s="187" t="str">
        <x:v>R_DE_DE_B_ROAD</x:v>
      </x:c>
      <x:c r="F346" s="187" t="str">
        <x:v>DE</x:v>
      </x:c>
      <x:c r="G346" s="187" t="str">
        <x:v>DE_FC</x:v>
      </x:c>
      <x:c r="H346" s="187" t="str">
        <x:v>CARRIER_B</x:v>
      </x:c>
      <x:c r="I346" s="187" t="str">
        <x:v>ROAD</x:v>
      </x:c>
      <x:c r="J346" s="220" t="n">
        <x:v>24800</x:v>
      </x:c>
      <x:c r="K346" s="223" t="n">
        <x:v>0.32</x:v>
      </x:c>
      <x:c r="L346" s="223" t="n">
        <x:v>0.97</x:v>
      </x:c>
      <x:c r="M346" s="223" t="n">
        <x:v>0.4</x:v>
      </x:c>
      <x:c r="N346" s="226" t="n">
        <x:f>J346*K346*L346*M346</x:f>
        <x:v>3079.168</x:v>
      </x:c>
      <x:c r="O346" s="220" t="n">
        <x:v>1.05</x:v>
      </x:c>
      <x:c r="P346" s="226" t="n">
        <x:f>N346*O346</x:f>
        <x:v>3233.1264</x:v>
      </x:c>
      <x:c r="Q346" s="220" t="n">
        <x:v>0.808</x:v>
      </x:c>
      <x:c r="R346" s="226" t="n">
        <x:f>P346*Q346</x:f>
        <x:v>2612.3661312000004</x:v>
      </x:c>
      <x:c r="S346" s="220" t="n">
        <x:v>0.05</x:v>
      </x:c>
      <x:c r="T346" s="226" t="n">
        <x:f>N346*S346</x:f>
        <x:v>153.9584</x:v>
      </x:c>
      <x:c r="U346" s="226" t="n">
        <x:v>0.013</x:v>
      </x:c>
      <x:c r="V346" s="226" t="n">
        <x:f>P346*U346</x:f>
        <x:v>42.0306432</x:v>
      </x:c>
      <x:c r="W346" s="196" t="str">
        <x:v>EUR</x:v>
      </x:c>
      <x:c r="X346" s="220" t="n">
        <x:v>2.84625</x:v>
      </x:c>
      <x:c r="Y346" s="196" t="str">
        <x:v>PER_CHARGEABLE_KG</x:v>
      </x:c>
      <x:c r="Z346" s="220" t="n">
        <x:v>0.21735</x:v>
      </x:c>
      <x:c r="AA346" s="220" t="n">
        <x:v>7.88</x:v>
      </x:c>
      <x:c r="AB346" s="220" t="n">
        <x:v>9.05</x:v>
      </x:c>
      <x:c r="AC346" s="226" t="n">
        <x:f>IF(W346="EUR",AA346,IF(W346="GBP",AB346,1))</x:f>
        <x:v>7.88</x:v>
      </x:c>
      <x:c r="AD346" s="226" t="n">
        <x:f>R346*X346</x:f>
        <x:v>7435.4471009280005</x:v>
      </x:c>
      <x:c r="AE346" s="226" t="n">
        <x:f>IF(Y346="PERCENTAGE_OF_BASE_FREIGHT",AD346*Z346,IF(Y346="PER_CHARGEABLE_KG",R346*Z346,P346*Z346))</x:f>
        <x:v>567.7977786163201</x:v>
      </x:c>
      <x:c r="AF346" s="226" t="n">
        <x:f>AD346*AC346</x:f>
        <x:v>58591.323155312646</x:v>
      </x:c>
      <x:c r="AG346" s="226" t="n">
        <x:f>AE346*AC346</x:f>
        <x:v>4474.246495496603</x:v>
      </x:c>
      <x:c r="AH346" s="226" t="str">
        <x:v>EUR</x:v>
      </x:c>
      <x:c r="AI346" s="226" t="n">
        <x:v>1.2213</x:v>
      </x:c>
      <x:c r="AJ346" s="226" t="n">
        <x:f>IF(AH346="EUR",AA346,IF(AH346="GBP",AB346,1))</x:f>
        <x:v>7.88</x:v>
      </x:c>
      <x:c r="AK346" s="226" t="n">
        <x:f>N346*AI346</x:f>
        <x:v>3760.5878784</x:v>
      </x:c>
      <x:c r="AL346" s="226" t="n">
        <x:f>AK346*AJ346</x:f>
        <x:v>29633.432481792002</x:v>
      </x:c>
      <x:c r="AM346" s="226" t="str">
        <x:v>EUR</x:v>
      </x:c>
      <x:c r="AN346" s="226" t="n">
        <x:v>0.4347</x:v>
      </x:c>
      <x:c r="AO346" s="226" t="n">
        <x:f>IF(AM346="EUR",AA346,IF(AM346="GBP",AB346,1))</x:f>
        <x:v>7.88</x:v>
      </x:c>
      <x:c r="AP346" s="226" t="n">
        <x:f>P346*AN346</x:f>
        <x:v>1405.44004608</x:v>
      </x:c>
      <x:c r="AQ346" s="226" t="n">
        <x:f>AP346*AO346</x:f>
        <x:v>11074.8675631104</x:v>
      </x:c>
      <x:c r="AR346" s="226" t="str">
        <x:v>EUR</x:v>
      </x:c>
      <x:c r="AS346" s="226" t="n">
        <x:v>3.312</x:v>
      </x:c>
      <x:c r="AT346" s="226" t="n">
        <x:f>IF(AR346="EUR",AA346,IF(AR346="GBP",AB346,1))</x:f>
        <x:v>7.88</x:v>
      </x:c>
      <x:c r="AU346" s="226" t="n">
        <x:f>T346*AS346</x:f>
        <x:v>509.9102208</x:v>
      </x:c>
      <x:c r="AV346" s="226" t="n">
        <x:f>AU346*AT346</x:f>
        <x:v>4018.0925399039998</x:v>
      </x:c>
      <x:c r="AW346" s="226" t="str">
        <x:v>EUR</x:v>
      </x:c>
      <x:c r="AX346" s="226" t="n">
        <x:v>2.3805</x:v>
      </x:c>
      <x:c r="AY346" s="226" t="n">
        <x:f>IF(AW346="EUR",AA346,IF(AW346="GBP",AB346,1))</x:f>
        <x:v>7.88</x:v>
      </x:c>
      <x:c r="AZ346" s="226" t="n">
        <x:f>V346*AX346</x:f>
        <x:v>100.05394613760001</x:v>
      </x:c>
      <x:c r="BA346" s="226" t="n">
        <x:f>AZ346*AY346</x:f>
        <x:v>788.4250955642881</x:v>
      </x:c>
      <x:c r="BB346" s="226" t="n">
        <x:f>AF346+AG346+AL346+AQ346+AV346+BA346</x:f>
        <x:v>108580.38733117994</x:v>
      </x:c>
      <x:c r="BC346" s="229" t="n">
        <x:v>0.976</x:v>
      </x:c>
      <x:c r="BD346" s="202"/>
      <x:c r="BE346" s="202" t="str">
        <x:v>正式 Forecast 逐月降低英国空运及 Carrier C 份额，但仍高于 Budget</x:v>
      </x:c>
      <x:c r="BF346" s="202" t="str">
        <x:v>仅在现有承运商与有效线路内调整英国运输结构；承运能力未验证；一次性切换成本不适用</x:v>
      </x:c>
      <x:c r="BG346" s="202" t="str">
        <x:v>UNVERIFIED_UNLIMITED_FOR_MVP</x:v>
      </x:c>
    </x:row>
    <x:row r="347">
      <x:c r="A347" s="187" t="str">
        <x:v>SCENARIO_COST_SAVING_2026_08</x:v>
      </x:c>
      <x:c r="B347" s="187" t="str">
        <x:v>SCENARIO</x:v>
      </x:c>
      <x:c r="C347" s="187" t="str">
        <x:v>COST_SAVING</x:v>
      </x:c>
      <x:c r="D347" s="217" t="n">
        <x:v>46327</x:v>
      </x:c>
      <x:c r="E347" s="187" t="str">
        <x:v>R_DE_FR_B_ROAD</x:v>
      </x:c>
      <x:c r="F347" s="187" t="str">
        <x:v>DE</x:v>
      </x:c>
      <x:c r="G347" s="187" t="str">
        <x:v>FR_FC</x:v>
      </x:c>
      <x:c r="H347" s="187" t="str">
        <x:v>CARRIER_B</x:v>
      </x:c>
      <x:c r="I347" s="187" t="str">
        <x:v>ROAD</x:v>
      </x:c>
      <x:c r="J347" s="220" t="n">
        <x:v>24800</x:v>
      </x:c>
      <x:c r="K347" s="223" t="n">
        <x:v>0.32</x:v>
      </x:c>
      <x:c r="L347" s="223" t="n">
        <x:v>0.03</x:v>
      </x:c>
      <x:c r="M347" s="223" t="n">
        <x:v>1</x:v>
      </x:c>
      <x:c r="N347" s="226" t="n">
        <x:f>J347*K347*L347*M347</x:f>
        <x:v>238.07999999999998</x:v>
      </x:c>
      <x:c r="O347" s="220" t="n">
        <x:v>1.08</x:v>
      </x:c>
      <x:c r="P347" s="226" t="n">
        <x:f>N347*O347</x:f>
        <x:v>257.1264</x:v>
      </x:c>
      <x:c r="Q347" s="220" t="n">
        <x:v>0.8686</x:v>
      </x:c>
      <x:c r="R347" s="226" t="n">
        <x:f>P347*Q347</x:f>
        <x:v>223.33999104</x:v>
      </x:c>
      <x:c r="S347" s="220" t="n">
        <x:v>0.05</x:v>
      </x:c>
      <x:c r="T347" s="226" t="n">
        <x:f>N347*S347</x:f>
        <x:v>11.904</x:v>
      </x:c>
      <x:c r="U347" s="226" t="n">
        <x:v>0.014</x:v>
      </x:c>
      <x:c r="V347" s="226" t="n">
        <x:f>P347*U347</x:f>
        <x:v>3.5997696</x:v>
      </x:c>
      <x:c r="W347" s="196" t="str">
        <x:v>EUR</x:v>
      </x:c>
      <x:c r="X347" s="220" t="n">
        <x:v>3.4155</x:v>
      </x:c>
      <x:c r="Y347" s="196" t="str">
        <x:v>PER_CHARGEABLE_KG</x:v>
      </x:c>
      <x:c r="Z347" s="220" t="n">
        <x:v>0.2484</x:v>
      </x:c>
      <x:c r="AA347" s="220" t="n">
        <x:v>7.88</x:v>
      </x:c>
      <x:c r="AB347" s="220" t="n">
        <x:v>9.05</x:v>
      </x:c>
      <x:c r="AC347" s="226" t="n">
        <x:f>IF(W347="EUR",AA347,IF(W347="GBP",AB347,1))</x:f>
        <x:v>7.88</x:v>
      </x:c>
      <x:c r="AD347" s="226" t="n">
        <x:f>R347*X347</x:f>
        <x:v>762.81773939712</x:v>
      </x:c>
      <x:c r="AE347" s="226" t="n">
        <x:f>IF(Y347="PERCENTAGE_OF_BASE_FREIGHT",AD347*Z347,IF(Y347="PER_CHARGEABLE_KG",R347*Z347,P347*Z347))</x:f>
        <x:v>55.477653774336005</x:v>
      </x:c>
      <x:c r="AF347" s="226" t="n">
        <x:f>AD347*AC347</x:f>
        <x:v>6011.003786449306</x:v>
      </x:c>
      <x:c r="AG347" s="226" t="n">
        <x:f>AE347*AC347</x:f>
        <x:v>437.1639117417677</x:v>
      </x:c>
      <x:c r="AH347" s="226" t="str">
        <x:v>EUR</x:v>
      </x:c>
      <x:c r="AI347" s="226" t="n">
        <x:v>1.08675</x:v>
      </x:c>
      <x:c r="AJ347" s="226" t="n">
        <x:f>IF(AH347="EUR",AA347,IF(AH347="GBP",AB347,1))</x:f>
        <x:v>7.88</x:v>
      </x:c>
      <x:c r="AK347" s="226" t="n">
        <x:f>N347*AI347</x:f>
        <x:v>258.73344000000003</x:v>
      </x:c>
      <x:c r="AL347" s="226" t="n">
        <x:f>AK347*AJ347</x:f>
        <x:v>2038.8195072000003</x:v>
      </x:c>
      <x:c r="AM347" s="226" t="str">
        <x:v>EUR</x:v>
      </x:c>
      <x:c r="AN347" s="226" t="n">
        <x:v>0.3933</x:v>
      </x:c>
      <x:c r="AO347" s="226" t="n">
        <x:f>IF(AM347="EUR",AA347,IF(AM347="GBP",AB347,1))</x:f>
        <x:v>7.88</x:v>
      </x:c>
      <x:c r="AP347" s="226" t="n">
        <x:f>P347*AN347</x:f>
        <x:v>101.12781311999998</x:v>
      </x:c>
      <x:c r="AQ347" s="226" t="n">
        <x:f>AP347*AO347</x:f>
        <x:v>796.8871673855999</x:v>
      </x:c>
      <x:c r="AR347" s="226" t="str">
        <x:v>EUR</x:v>
      </x:c>
      <x:c r="AS347" s="226" t="n">
        <x:v>3.933</x:v>
      </x:c>
      <x:c r="AT347" s="226" t="n">
        <x:f>IF(AR347="EUR",AA347,IF(AR347="GBP",AB347,1))</x:f>
        <x:v>7.88</x:v>
      </x:c>
      <x:c r="AU347" s="226" t="n">
        <x:f>T347*AS347</x:f>
        <x:v>46.818431999999994</x:v>
      </x:c>
      <x:c r="AV347" s="226" t="n">
        <x:f>AU347*AT347</x:f>
        <x:v>368.92924415999994</x:v>
      </x:c>
      <x:c r="AW347" s="226" t="str">
        <x:v>EUR</x:v>
      </x:c>
      <x:c r="AX347" s="226" t="n">
        <x:v>2.3805</x:v>
      </x:c>
      <x:c r="AY347" s="226" t="n">
        <x:f>IF(AW347="EUR",AA347,IF(AW347="GBP",AB347,1))</x:f>
        <x:v>7.88</x:v>
      </x:c>
      <x:c r="AZ347" s="226" t="n">
        <x:f>V347*AX347</x:f>
        <x:v>8.569251532800001</x:v>
      </x:c>
      <x:c r="BA347" s="226" t="n">
        <x:f>AZ347*AY347</x:f>
        <x:v>67.52570207846401</x:v>
      </x:c>
      <x:c r="BB347" s="226" t="n">
        <x:f>AF347+AG347+AL347+AQ347+AV347+BA347</x:f>
        <x:v>9720.329319015138</x:v>
      </x:c>
      <x:c r="BC347" s="229" t="n">
        <x:v>0.968</x:v>
      </x:c>
      <x:c r="BD347" s="202"/>
      <x:c r="BE347" s="202" t="str">
        <x:v>正式 Forecast 逐月降低英国空运及 Carrier C 份额，但仍高于 Budget</x:v>
      </x:c>
      <x:c r="BF347" s="202" t="str">
        <x:v>仅在现有承运商与有效线路内调整英国运输结构；承运能力未验证；一次性切换成本不适用</x:v>
      </x:c>
      <x:c r="BG347" s="202" t="str">
        <x:v>UNVERIFIED_UNLIMITED_FOR_MVP</x:v>
      </x:c>
    </x:row>
    <x:row r="348">
      <x:c r="A348" s="187" t="str">
        <x:v>SCENARIO_COST_SAVING_2026_08</x:v>
      </x:c>
      <x:c r="B348" s="187" t="str">
        <x:v>SCENARIO</x:v>
      </x:c>
      <x:c r="C348" s="187" t="str">
        <x:v>COST_SAVING</x:v>
      </x:c>
      <x:c r="D348" s="217" t="n">
        <x:v>46327</x:v>
      </x:c>
      <x:c r="E348" s="187" t="str">
        <x:v>R_FR_FR_A_ROAD</x:v>
      </x:c>
      <x:c r="F348" s="187" t="str">
        <x:v>FR</x:v>
      </x:c>
      <x:c r="G348" s="187" t="str">
        <x:v>FR_FC</x:v>
      </x:c>
      <x:c r="H348" s="187" t="str">
        <x:v>CARRIER_A</x:v>
      </x:c>
      <x:c r="I348" s="187" t="str">
        <x:v>ROAD</x:v>
      </x:c>
      <x:c r="J348" s="220" t="n">
        <x:v>24800</x:v>
      </x:c>
      <x:c r="K348" s="223" t="n">
        <x:v>0.29</x:v>
      </x:c>
      <x:c r="L348" s="223" t="n">
        <x:v>1</x:v>
      </x:c>
      <x:c r="M348" s="223" t="n">
        <x:v>0.35</x:v>
      </x:c>
      <x:c r="N348" s="226" t="n">
        <x:f>J348*K348*L348*M348</x:f>
        <x:v>2517.1999999999994</x:v>
      </x:c>
      <x:c r="O348" s="220" t="n">
        <x:v>1.06</x:v>
      </x:c>
      <x:c r="P348" s="226" t="n">
        <x:f>N348*O348</x:f>
        <x:v>2668.2319999999995</x:v>
      </x:c>
      <x:c r="Q348" s="220" t="n">
        <x:v>0.7676</x:v>
      </x:c>
      <x:c r="R348" s="226" t="n">
        <x:f>P348*Q348</x:f>
        <x:v>2048.1348831999994</x:v>
      </x:c>
      <x:c r="S348" s="220" t="n">
        <x:v>0.06</x:v>
      </x:c>
      <x:c r="T348" s="226" t="n">
        <x:f>N348*S348</x:f>
        <x:v>151.03199999999995</x:v>
      </x:c>
      <x:c r="U348" s="226" t="n">
        <x:v>0.017</x:v>
      </x:c>
      <x:c r="V348" s="226" t="n">
        <x:f>P348*U348</x:f>
        <x:v>45.35994399999999</x:v>
      </x:c>
      <x:c r="W348" s="196" t="str">
        <x:v>EUR</x:v>
      </x:c>
      <x:c r="X348" s="220" t="n">
        <x:v>2.1735</x:v>
      </x:c>
      <x:c r="Y348" s="196" t="str">
        <x:v>PERCENTAGE_OF_BASE_FREIGHT</x:v>
      </x:c>
      <x:c r="Z348" s="220" t="n">
        <x:v>0.09315</x:v>
      </x:c>
      <x:c r="AA348" s="220" t="n">
        <x:v>7.88</x:v>
      </x:c>
      <x:c r="AB348" s="220" t="n">
        <x:v>9.05</x:v>
      </x:c>
      <x:c r="AC348" s="226" t="n">
        <x:f>IF(W348="EUR",AA348,IF(W348="GBP",AB348,1))</x:f>
        <x:v>7.88</x:v>
      </x:c>
      <x:c r="AD348" s="226" t="n">
        <x:f>R348*X348</x:f>
        <x:v>4451.621168635199</x:v>
      </x:c>
      <x:c r="AE348" s="226" t="n">
        <x:f>IF(Y348="PERCENTAGE_OF_BASE_FREIGHT",AD348*Z348,IF(Y348="PER_CHARGEABLE_KG",R348*Z348,P348*Z348))</x:f>
        <x:v>414.6685118583688</x:v>
      </x:c>
      <x:c r="AF348" s="226" t="n">
        <x:f>AD348*AC348</x:f>
        <x:v>35078.774808845366</x:v>
      </x:c>
      <x:c r="AG348" s="226" t="n">
        <x:f>AE348*AC348</x:f>
        <x:v>3267.587873443946</x:v>
      </x:c>
      <x:c r="AH348" s="226" t="str">
        <x:v>EUR</x:v>
      </x:c>
      <x:c r="AI348" s="226" t="n">
        <x:v>1.08675</x:v>
      </x:c>
      <x:c r="AJ348" s="226" t="n">
        <x:f>IF(AH348="EUR",AA348,IF(AH348="GBP",AB348,1))</x:f>
        <x:v>7.88</x:v>
      </x:c>
      <x:c r="AK348" s="226" t="n">
        <x:f>N348*AI348</x:f>
        <x:v>2735.5670999999998</x:v>
      </x:c>
      <x:c r="AL348" s="226" t="n">
        <x:f>AK348*AJ348</x:f>
        <x:v>21556.268748</x:v>
      </x:c>
      <x:c r="AM348" s="226" t="str">
        <x:v>EUR</x:v>
      </x:c>
      <x:c r="AN348" s="226" t="n">
        <x:v>0.3933</x:v>
      </x:c>
      <x:c r="AO348" s="226" t="n">
        <x:f>IF(AM348="EUR",AA348,IF(AM348="GBP",AB348,1))</x:f>
        <x:v>7.88</x:v>
      </x:c>
      <x:c r="AP348" s="226" t="n">
        <x:f>P348*AN348</x:f>
        <x:v>1049.4156455999998</x:v>
      </x:c>
      <x:c r="AQ348" s="226" t="n">
        <x:f>AP348*AO348</x:f>
        <x:v>8269.395287327998</x:v>
      </x:c>
      <x:c r="AR348" s="226" t="str">
        <x:v>EUR</x:v>
      </x:c>
      <x:c r="AS348" s="226" t="n">
        <x:v>3.105</x:v>
      </x:c>
      <x:c r="AT348" s="226" t="n">
        <x:f>IF(AR348="EUR",AA348,IF(AR348="GBP",AB348,1))</x:f>
        <x:v>7.88</x:v>
      </x:c>
      <x:c r="AU348" s="226" t="n">
        <x:f>T348*AS348</x:f>
        <x:v>468.95435999999984</x:v>
      </x:c>
      <x:c r="AV348" s="226" t="n">
        <x:f>AU348*AT348</x:f>
        <x:v>3695.3603567999985</x:v>
      </x:c>
      <x:c r="AW348" s="226" t="str">
        <x:v>EUR</x:v>
      </x:c>
      <x:c r="AX348" s="226" t="n">
        <x:v>2.3805</x:v>
      </x:c>
      <x:c r="AY348" s="226" t="n">
        <x:f>IF(AW348="EUR",AA348,IF(AW348="GBP",AB348,1))</x:f>
        <x:v>7.88</x:v>
      </x:c>
      <x:c r="AZ348" s="226" t="n">
        <x:f>V348*AX348</x:f>
        <x:v>107.97934669199998</x:v>
      </x:c>
      <x:c r="BA348" s="226" t="n">
        <x:f>AZ348*AY348</x:f>
        <x:v>850.8772519329598</x:v>
      </x:c>
      <x:c r="BB348" s="226" t="n">
        <x:f>AF348+AG348+AL348+AQ348+AV348+BA348</x:f>
        <x:v>72718.26432635027</x:v>
      </x:c>
      <x:c r="BC348" s="229" t="n">
        <x:v>0.961</x:v>
      </x:c>
      <x:c r="BD348" s="202"/>
      <x:c r="BE348" s="202" t="str">
        <x:v>正式 Forecast 逐月降低英国空运及 Carrier C 份额，但仍高于 Budget</x:v>
      </x:c>
      <x:c r="BF348" s="202" t="str">
        <x:v>仅在现有承运商与有效线路内调整英国运输结构；承运能力未验证；一次性切换成本不适用</x:v>
      </x:c>
      <x:c r="BG348" s="202" t="str">
        <x:v>UNVERIFIED_UNLIMITED_FOR_MVP</x:v>
      </x:c>
    </x:row>
    <x:row r="349">
      <x:c r="A349" s="187" t="str">
        <x:v>SCENARIO_COST_SAVING_2026_08</x:v>
      </x:c>
      <x:c r="B349" s="187" t="str">
        <x:v>SCENARIO</x:v>
      </x:c>
      <x:c r="C349" s="187" t="str">
        <x:v>COST_SAVING</x:v>
      </x:c>
      <x:c r="D349" s="217" t="n">
        <x:v>46327</x:v>
      </x:c>
      <x:c r="E349" s="187" t="str">
        <x:v>R_FR_FR_B_ROAD</x:v>
      </x:c>
      <x:c r="F349" s="187" t="str">
        <x:v>FR</x:v>
      </x:c>
      <x:c r="G349" s="187" t="str">
        <x:v>FR_FC</x:v>
      </x:c>
      <x:c r="H349" s="187" t="str">
        <x:v>CARRIER_B</x:v>
      </x:c>
      <x:c r="I349" s="187" t="str">
        <x:v>ROAD</x:v>
      </x:c>
      <x:c r="J349" s="220" t="n">
        <x:v>24800</x:v>
      </x:c>
      <x:c r="K349" s="223" t="n">
        <x:v>0.29</x:v>
      </x:c>
      <x:c r="L349" s="223" t="n">
        <x:v>1</x:v>
      </x:c>
      <x:c r="M349" s="223" t="n">
        <x:v>0.65</x:v>
      </x:c>
      <x:c r="N349" s="226" t="n">
        <x:f>J349*K349*L349*M349</x:f>
        <x:v>4674.799999999999</x:v>
      </x:c>
      <x:c r="O349" s="220" t="n">
        <x:v>1.06</x:v>
      </x:c>
      <x:c r="P349" s="226" t="n">
        <x:f>N349*O349</x:f>
        <x:v>4955.288</x:v>
      </x:c>
      <x:c r="Q349" s="220" t="n">
        <x:v>0.7979</x:v>
      </x:c>
      <x:c r="R349" s="226" t="n">
        <x:f>P349*Q349</x:f>
        <x:v>3953.8242952</x:v>
      </x:c>
      <x:c r="S349" s="220" t="n">
        <x:v>0.06</x:v>
      </x:c>
      <x:c r="T349" s="226" t="n">
        <x:f>N349*S349</x:f>
        <x:v>280.48799999999994</x:v>
      </x:c>
      <x:c r="U349" s="226" t="n">
        <x:v>0.014</x:v>
      </x:c>
      <x:c r="V349" s="226" t="n">
        <x:f>P349*U349</x:f>
        <x:v>69.374032</x:v>
      </x:c>
      <x:c r="W349" s="196" t="str">
        <x:v>EUR</x:v>
      </x:c>
      <x:c r="X349" s="220" t="n">
        <x:v>2.691</x:v>
      </x:c>
      <x:c r="Y349" s="196" t="str">
        <x:v>PER_CHARGEABLE_KG</x:v>
      </x:c>
      <x:c r="Z349" s="220" t="n">
        <x:v>0.207</x:v>
      </x:c>
      <x:c r="AA349" s="220" t="n">
        <x:v>7.88</x:v>
      </x:c>
      <x:c r="AB349" s="220" t="n">
        <x:v>9.05</x:v>
      </x:c>
      <x:c r="AC349" s="226" t="n">
        <x:f>IF(W349="EUR",AA349,IF(W349="GBP",AB349,1))</x:f>
        <x:v>7.88</x:v>
      </x:c>
      <x:c r="AD349" s="226" t="n">
        <x:f>R349*X349</x:f>
        <x:v>10639.7411783832</x:v>
      </x:c>
      <x:c r="AE349" s="226" t="n">
        <x:f>IF(Y349="PERCENTAGE_OF_BASE_FREIGHT",AD349*Z349,IF(Y349="PER_CHARGEABLE_KG",R349*Z349,P349*Z349))</x:f>
        <x:v>818.4416291064</x:v>
      </x:c>
      <x:c r="AF349" s="226" t="n">
        <x:f>AD349*AC349</x:f>
        <x:v>83841.16048565961</x:v>
      </x:c>
      <x:c r="AG349" s="226" t="n">
        <x:f>AE349*AC349</x:f>
        <x:v>6449.320037358432</x:v>
      </x:c>
      <x:c r="AH349" s="226" t="str">
        <x:v>EUR</x:v>
      </x:c>
      <x:c r="AI349" s="226" t="n">
        <x:v>1.08675</x:v>
      </x:c>
      <x:c r="AJ349" s="226" t="n">
        <x:f>IF(AH349="EUR",AA349,IF(AH349="GBP",AB349,1))</x:f>
        <x:v>7.88</x:v>
      </x:c>
      <x:c r="AK349" s="226" t="n">
        <x:f>N349*AI349</x:f>
        <x:v>5080.3389</x:v>
      </x:c>
      <x:c r="AL349" s="226" t="n">
        <x:f>AK349*AJ349</x:f>
        <x:v>40033.070532</x:v>
      </x:c>
      <x:c r="AM349" s="226" t="str">
        <x:v>EUR</x:v>
      </x:c>
      <x:c r="AN349" s="226" t="n">
        <x:v>0.3933</x:v>
      </x:c>
      <x:c r="AO349" s="226" t="n">
        <x:f>IF(AM349="EUR",AA349,IF(AM349="GBP",AB349,1))</x:f>
        <x:v>7.88</x:v>
      </x:c>
      <x:c r="AP349" s="226" t="n">
        <x:f>P349*AN349</x:f>
        <x:v>1948.9147703999997</x:v>
      </x:c>
      <x:c r="AQ349" s="226" t="n">
        <x:f>AP349*AO349</x:f>
        <x:v>15357.448390751997</x:v>
      </x:c>
      <x:c r="AR349" s="226" t="str">
        <x:v>EUR</x:v>
      </x:c>
      <x:c r="AS349" s="226" t="n">
        <x:v>3.105</x:v>
      </x:c>
      <x:c r="AT349" s="226" t="n">
        <x:f>IF(AR349="EUR",AA349,IF(AR349="GBP",AB349,1))</x:f>
        <x:v>7.88</x:v>
      </x:c>
      <x:c r="AU349" s="226" t="n">
        <x:f>T349*AS349</x:f>
        <x:v>870.9152399999998</x:v>
      </x:c>
      <x:c r="AV349" s="226" t="n">
        <x:f>AU349*AT349</x:f>
        <x:v>6862.812091199999</x:v>
      </x:c>
      <x:c r="AW349" s="226" t="str">
        <x:v>EUR</x:v>
      </x:c>
      <x:c r="AX349" s="226" t="n">
        <x:v>2.3805</x:v>
      </x:c>
      <x:c r="AY349" s="226" t="n">
        <x:f>IF(AW349="EUR",AA349,IF(AW349="GBP",AB349,1))</x:f>
        <x:v>7.88</x:v>
      </x:c>
      <x:c r="AZ349" s="226" t="n">
        <x:f>V349*AX349</x:f>
        <x:v>165.144883176</x:v>
      </x:c>
      <x:c r="BA349" s="226" t="n">
        <x:f>AZ349*AY349</x:f>
        <x:v>1301.34167942688</x:v>
      </x:c>
      <x:c r="BB349" s="226" t="n">
        <x:f>AF349+AG349+AL349+AQ349+AV349+BA349</x:f>
        <x:v>153845.1532163969</x:v>
      </x:c>
      <x:c r="BC349" s="229" t="n">
        <x:v>0.973</x:v>
      </x:c>
      <x:c r="BD349" s="202"/>
      <x:c r="BE349" s="202" t="str">
        <x:v>正式 Forecast 逐月降低英国空运及 Carrier C 份额，但仍高于 Budget</x:v>
      </x:c>
      <x:c r="BF349" s="202" t="str">
        <x:v>仅在现有承运商与有效线路内调整英国运输结构；承运能力未验证；一次性切换成本不适用</x:v>
      </x:c>
      <x:c r="BG349" s="202" t="str">
        <x:v>UNVERIFIED_UNLIMITED_FOR_MVP</x:v>
      </x:c>
    </x:row>
    <x:row r="350">
      <x:c r="A350" s="187" t="str">
        <x:v>SCENARIO_COST_SAVING_2026_08</x:v>
      </x:c>
      <x:c r="B350" s="187" t="str">
        <x:v>SCENARIO</x:v>
      </x:c>
      <x:c r="C350" s="187" t="str">
        <x:v>COST_SAVING</x:v>
      </x:c>
      <x:c r="D350" s="217" t="n">
        <x:v>46327</x:v>
      </x:c>
      <x:c r="E350" s="187" t="str">
        <x:v>R_GB_DE_A_ROAD</x:v>
      </x:c>
      <x:c r="F350" s="187" t="str">
        <x:v>GB</x:v>
      </x:c>
      <x:c r="G350" s="187" t="str">
        <x:v>DE_FC</x:v>
      </x:c>
      <x:c r="H350" s="187" t="str">
        <x:v>CARRIER_A</x:v>
      </x:c>
      <x:c r="I350" s="187" t="str">
        <x:v>ROAD</x:v>
      </x:c>
      <x:c r="J350" s="220" t="n">
        <x:v>24800</x:v>
      </x:c>
      <x:c r="K350" s="223" t="n">
        <x:v>0.39</x:v>
      </x:c>
      <x:c r="L350" s="223" t="n">
        <x:v>0.96</x:v>
      </x:c>
      <x:c r="M350" s="223" t="n">
        <x:v>0.55</x:v>
      </x:c>
      <x:c r="N350" s="226" t="n">
        <x:f>J350*K350*L350*M350</x:f>
        <x:v>5106.816</x:v>
      </x:c>
      <x:c r="O350" s="220" t="n">
        <x:v>1.13</x:v>
      </x:c>
      <x:c r="P350" s="226" t="n">
        <x:f>N350*O350</x:f>
        <x:v>5770.702079999999</x:v>
      </x:c>
      <x:c r="Q350" s="220" t="n">
        <x:v>1.050804</x:v>
      </x:c>
      <x:c r="R350" s="226" t="n">
        <x:f>P350*Q350</x:f>
        <x:v>6063.876828472319</x:v>
      </x:c>
      <x:c r="S350" s="220" t="n">
        <x:v>0.09</x:v>
      </x:c>
      <x:c r="T350" s="226" t="n">
        <x:f>N350*S350</x:f>
        <x:v>459.61343999999997</x:v>
      </x:c>
      <x:c r="U350" s="226" t="n">
        <x:v>0.0243</x:v>
      </x:c>
      <x:c r="V350" s="226" t="n">
        <x:f>P350*U350</x:f>
        <x:v>140.22806054399996</x:v>
      </x:c>
      <x:c r="W350" s="196" t="str">
        <x:v>GBP</x:v>
      </x:c>
      <x:c r="X350" s="220" t="n">
        <x:v>4.14</x:v>
      </x:c>
      <x:c r="Y350" s="196" t="str">
        <x:v>PERCENTAGE_OF_BASE_FREIGHT</x:v>
      </x:c>
      <x:c r="Z350" s="220" t="n">
        <x:v>0.1035</x:v>
      </x:c>
      <x:c r="AA350" s="220" t="n">
        <x:v>7.88</x:v>
      </x:c>
      <x:c r="AB350" s="220" t="n">
        <x:v>9.05</x:v>
      </x:c>
      <x:c r="AC350" s="226" t="n">
        <x:f>IF(W350="EUR",AA350,IF(W350="GBP",AB350,1))</x:f>
        <x:v>9.05</x:v>
      </x:c>
      <x:c r="AD350" s="226" t="n">
        <x:f>R350*X350</x:f>
        <x:v>25104.4500698754</x:v>
      </x:c>
      <x:c r="AE350" s="226" t="n">
        <x:f>IF(Y350="PERCENTAGE_OF_BASE_FREIGHT",AD350*Z350,IF(Y350="PER_CHARGEABLE_KG",R350*Z350,P350*Z350))</x:f>
        <x:v>2598.3105822321036</x:v>
      </x:c>
      <x:c r="AF350" s="226" t="n">
        <x:f>AD350*AC350</x:f>
        <x:v>227195.2731323724</x:v>
      </x:c>
      <x:c r="AG350" s="226" t="n">
        <x:f>AE350*AC350</x:f>
        <x:v>23514.710769200537</x:v>
      </x:c>
      <x:c r="AH350" s="226" t="str">
        <x:v>EUR</x:v>
      </x:c>
      <x:c r="AI350" s="226" t="n">
        <x:v>1.2213</x:v>
      </x:c>
      <x:c r="AJ350" s="226" t="n">
        <x:f>IF(AH350="EUR",AA350,IF(AH350="GBP",AB350,1))</x:f>
        <x:v>7.88</x:v>
      </x:c>
      <x:c r="AK350" s="226" t="n">
        <x:f>N350*AI350</x:f>
        <x:v>6236.9543808</x:v>
      </x:c>
      <x:c r="AL350" s="226" t="n">
        <x:f>AK350*AJ350</x:f>
        <x:v>49147.200520704</x:v>
      </x:c>
      <x:c r="AM350" s="226" t="str">
        <x:v>EUR</x:v>
      </x:c>
      <x:c r="AN350" s="226" t="n">
        <x:v>0.4347</x:v>
      </x:c>
      <x:c r="AO350" s="226" t="n">
        <x:f>IF(AM350="EUR",AA350,IF(AM350="GBP",AB350,1))</x:f>
        <x:v>7.88</x:v>
      </x:c>
      <x:c r="AP350" s="226" t="n">
        <x:f>P350*AN350</x:f>
        <x:v>2508.5241941759996</x:v>
      </x:c>
      <x:c r="AQ350" s="226" t="n">
        <x:f>AP350*AO350</x:f>
        <x:v>19767.170650106877</x:v>
      </x:c>
      <x:c r="AR350" s="226" t="str">
        <x:v>GBP</x:v>
      </x:c>
      <x:c r="AS350" s="226" t="n">
        <x:v>4.968</x:v>
      </x:c>
      <x:c r="AT350" s="226" t="n">
        <x:f>IF(AR350="EUR",AA350,IF(AR350="GBP",AB350,1))</x:f>
        <x:v>9.05</x:v>
      </x:c>
      <x:c r="AU350" s="226" t="n">
        <x:f>T350*AS350</x:f>
        <x:v>2283.35956992</x:v>
      </x:c>
      <x:c r="AV350" s="226" t="n">
        <x:f>AU350*AT350</x:f>
        <x:v>20664.404107776</x:v>
      </x:c>
      <x:c r="AW350" s="226" t="str">
        <x:v>GBP</x:v>
      </x:c>
      <x:c r="AX350" s="226" t="n">
        <x:v>2.3805</x:v>
      </x:c>
      <x:c r="AY350" s="226" t="n">
        <x:f>IF(AW350="EUR",AA350,IF(AW350="GBP",AB350,1))</x:f>
        <x:v>9.05</x:v>
      </x:c>
      <x:c r="AZ350" s="226" t="n">
        <x:f>V350*AX350</x:f>
        <x:v>333.81289812499193</x:v>
      </x:c>
      <x:c r="BA350" s="226" t="n">
        <x:f>AZ350*AY350</x:f>
        <x:v>3021.0067280311773</x:v>
      </x:c>
      <x:c r="BB350" s="226" t="n">
        <x:f>AF350+AG350+AL350+AQ350+AV350+BA350</x:f>
        <x:v>343309.7659081909</x:v>
      </x:c>
      <x:c r="BC350" s="229" t="n">
        <x:v>0.93</x:v>
      </x:c>
      <x:c r="BD350" s="202"/>
      <x:c r="BE350" s="202" t="str">
        <x:v>正式 Forecast 逐月降低英国空运及 Carrier C 份额，但仍高于 Budget</x:v>
      </x:c>
      <x:c r="BF350" s="202" t="str">
        <x:v>仅在现有承运商与有效线路内调整英国运输结构；承运能力未验证；一次性切换成本不适用</x:v>
      </x:c>
      <x:c r="BG350" s="202" t="str">
        <x:v>UNVERIFIED_UNLIMITED_FOR_MVP</x:v>
      </x:c>
    </x:row>
    <x:row r="351">
      <x:c r="A351" s="187" t="str">
        <x:v>SCENARIO_COST_SAVING_2026_08</x:v>
      </x:c>
      <x:c r="B351" s="187" t="str">
        <x:v>SCENARIO</x:v>
      </x:c>
      <x:c r="C351" s="187" t="str">
        <x:v>COST_SAVING</x:v>
      </x:c>
      <x:c r="D351" s="217" t="n">
        <x:v>46327</x:v>
      </x:c>
      <x:c r="E351" s="187" t="str">
        <x:v>R_GB_DE_B_ROAD</x:v>
      </x:c>
      <x:c r="F351" s="187" t="str">
        <x:v>GB</x:v>
      </x:c>
      <x:c r="G351" s="187" t="str">
        <x:v>DE_FC</x:v>
      </x:c>
      <x:c r="H351" s="187" t="str">
        <x:v>CARRIER_B</x:v>
      </x:c>
      <x:c r="I351" s="187" t="str">
        <x:v>ROAD</x:v>
      </x:c>
      <x:c r="J351" s="220" t="n">
        <x:v>24800</x:v>
      </x:c>
      <x:c r="K351" s="223" t="n">
        <x:v>0.39</x:v>
      </x:c>
      <x:c r="L351" s="223" t="n">
        <x:v>0.96</x:v>
      </x:c>
      <x:c r="M351" s="223" t="n">
        <x:v>0.28</x:v>
      </x:c>
      <x:c r="N351" s="226" t="n">
        <x:f>J351*K351*L351*M351</x:f>
        <x:v>2599.8336</x:v>
      </x:c>
      <x:c r="O351" s="220" t="n">
        <x:v>1.13</x:v>
      </x:c>
      <x:c r="P351" s="226" t="n">
        <x:f>N351*O351</x:f>
        <x:v>2937.8119679999995</x:v>
      </x:c>
      <x:c r="Q351" s="220" t="n">
        <x:v>1.0302</x:v>
      </x:c>
      <x:c r="R351" s="226" t="n">
        <x:f>P351*Q351</x:f>
        <x:v>3026.5338894335996</x:v>
      </x:c>
      <x:c r="S351" s="220" t="n">
        <x:v>0.09</x:v>
      </x:c>
      <x:c r="T351" s="226" t="n">
        <x:f>N351*S351</x:f>
        <x:v>233.98502399999998</x:v>
      </x:c>
      <x:c r="U351" s="226" t="n">
        <x:v>0.018</x:v>
      </x:c>
      <x:c r="V351" s="226" t="n">
        <x:f>P351*U351</x:f>
        <x:v>52.880615423999984</x:v>
      </x:c>
      <x:c r="W351" s="196" t="str">
        <x:v>GBP</x:v>
      </x:c>
      <x:c r="X351" s="220" t="n">
        <x:v>4.8645</x:v>
      </x:c>
      <x:c r="Y351" s="196" t="str">
        <x:v>PER_CHARGEABLE_KG</x:v>
      </x:c>
      <x:c r="Z351" s="220" t="n">
        <x:v>0.34155</x:v>
      </x:c>
      <x:c r="AA351" s="220" t="n">
        <x:v>7.88</x:v>
      </x:c>
      <x:c r="AB351" s="220" t="n">
        <x:v>9.05</x:v>
      </x:c>
      <x:c r="AC351" s="226" t="n">
        <x:f>IF(W351="EUR",AA351,IF(W351="GBP",AB351,1))</x:f>
        <x:v>9.05</x:v>
      </x:c>
      <x:c r="AD351" s="226" t="n">
        <x:f>R351*X351</x:f>
        <x:v>14722.574105149744</x:v>
      </x:c>
      <x:c r="AE351" s="226" t="n">
        <x:f>IF(Y351="PERCENTAGE_OF_BASE_FREIGHT",AD351*Z351,IF(Y351="PER_CHARGEABLE_KG",R351*Z351,P351*Z351))</x:f>
        <x:v>1033.712649936046</x:v>
      </x:c>
      <x:c r="AF351" s="226" t="n">
        <x:f>AD351*AC351</x:f>
        <x:v>133239.2956516052</x:v>
      </x:c>
      <x:c r="AG351" s="226" t="n">
        <x:f>AE351*AC351</x:f>
        <x:v>9355.099481921217</x:v>
      </x:c>
      <x:c r="AH351" s="226" t="str">
        <x:v>EUR</x:v>
      </x:c>
      <x:c r="AI351" s="226" t="n">
        <x:v>1.2213</x:v>
      </x:c>
      <x:c r="AJ351" s="226" t="n">
        <x:f>IF(AH351="EUR",AA351,IF(AH351="GBP",AB351,1))</x:f>
        <x:v>7.88</x:v>
      </x:c>
      <x:c r="AK351" s="226" t="n">
        <x:f>N351*AI351</x:f>
        <x:v>3175.17677568</x:v>
      </x:c>
      <x:c r="AL351" s="226" t="n">
        <x:f>AK351*AJ351</x:f>
        <x:v>25020.3929923584</x:v>
      </x:c>
      <x:c r="AM351" s="226" t="str">
        <x:v>EUR</x:v>
      </x:c>
      <x:c r="AN351" s="226" t="n">
        <x:v>0.4347</x:v>
      </x:c>
      <x:c r="AO351" s="226" t="n">
        <x:f>IF(AM351="EUR",AA351,IF(AM351="GBP",AB351,1))</x:f>
        <x:v>7.88</x:v>
      </x:c>
      <x:c r="AP351" s="226" t="n">
        <x:f>P351*AN351</x:f>
        <x:v>1277.0668624895998</x:v>
      </x:c>
      <x:c r="AQ351" s="226" t="n">
        <x:f>AP351*AO351</x:f>
        <x:v>10063.286876418046</x:v>
      </x:c>
      <x:c r="AR351" s="226" t="str">
        <x:v>GBP</x:v>
      </x:c>
      <x:c r="AS351" s="226" t="n">
        <x:v>4.968</x:v>
      </x:c>
      <x:c r="AT351" s="226" t="n">
        <x:f>IF(AR351="EUR",AA351,IF(AR351="GBP",AB351,1))</x:f>
        <x:v>9.05</x:v>
      </x:c>
      <x:c r="AU351" s="226" t="n">
        <x:f>T351*AS351</x:f>
        <x:v>1162.437599232</x:v>
      </x:c>
      <x:c r="AV351" s="226" t="n">
        <x:f>AU351*AT351</x:f>
        <x:v>10520.0602730496</x:v>
      </x:c>
      <x:c r="AW351" s="226" t="str">
        <x:v>GBP</x:v>
      </x:c>
      <x:c r="AX351" s="226" t="n">
        <x:v>2.3805</x:v>
      </x:c>
      <x:c r="AY351" s="226" t="n">
        <x:f>IF(AW351="EUR",AA351,IF(AW351="GBP",AB351,1))</x:f>
        <x:v>9.05</x:v>
      </x:c>
      <x:c r="AZ351" s="226" t="n">
        <x:f>V351*AX351</x:f>
        <x:v>125.88230501683196</x:v>
      </x:c>
      <x:c r="BA351" s="226" t="n">
        <x:f>AZ351*AY351</x:f>
        <x:v>1139.2348604023293</x:v>
      </x:c>
      <x:c r="BB351" s="226" t="n">
        <x:f>AF351+AG351+AL351+AQ351+AV351+BA351</x:f>
        <x:v>189337.37013575478</x:v>
      </x:c>
      <x:c r="BC351" s="229" t="n">
        <x:v>0.95</x:v>
      </x:c>
      <x:c r="BD351" s="202"/>
      <x:c r="BE351" s="202" t="str">
        <x:v>正式 Forecast 逐月降低英国空运及 Carrier C 份额，但仍高于 Budget</x:v>
      </x:c>
      <x:c r="BF351" s="202" t="str">
        <x:v>仅在现有承运商与有效线路内调整英国运输结构；承运能力未验证；一次性切换成本不适用</x:v>
      </x:c>
      <x:c r="BG351" s="202" t="str">
        <x:v>UNVERIFIED_UNLIMITED_FOR_MVP</x:v>
      </x:c>
    </x:row>
    <x:row r="352">
      <x:c r="A352" s="187" t="str">
        <x:v>SCENARIO_COST_SAVING_2026_08</x:v>
      </x:c>
      <x:c r="B352" s="187" t="str">
        <x:v>SCENARIO</x:v>
      </x:c>
      <x:c r="C352" s="187" t="str">
        <x:v>COST_SAVING</x:v>
      </x:c>
      <x:c r="D352" s="217" t="n">
        <x:v>46327</x:v>
      </x:c>
      <x:c r="E352" s="187" t="str">
        <x:v>R_GB_DE_B_AIR</x:v>
      </x:c>
      <x:c r="F352" s="187" t="str">
        <x:v>GB</x:v>
      </x:c>
      <x:c r="G352" s="187" t="str">
        <x:v>DE_FC</x:v>
      </x:c>
      <x:c r="H352" s="187" t="str">
        <x:v>CARRIER_B</x:v>
      </x:c>
      <x:c r="I352" s="187" t="str">
        <x:v>AIR</x:v>
      </x:c>
      <x:c r="J352" s="220" t="n">
        <x:v>24800</x:v>
      </x:c>
      <x:c r="K352" s="223" t="n">
        <x:v>0.39</x:v>
      </x:c>
      <x:c r="L352" s="223" t="n">
        <x:v>0.96</x:v>
      </x:c>
      <x:c r="M352" s="223" t="n">
        <x:v>0.13</x:v>
      </x:c>
      <x:c r="N352" s="226" t="n">
        <x:f>J352*K352*L352*M352</x:f>
        <x:v>1207.0656</x:v>
      </x:c>
      <x:c r="O352" s="220" t="n">
        <x:v>1.13</x:v>
      </x:c>
      <x:c r="P352" s="226" t="n">
        <x:f>N352*O352</x:f>
        <x:v>1363.9841279999998</x:v>
      </x:c>
      <x:c r="Q352" s="220" t="n">
        <x:v>0.968388</x:v>
      </x:c>
      <x:c r="R352" s="226" t="n">
        <x:f>P352*Q352</x:f>
        <x:v>1320.8658617456638</x:v>
      </x:c>
      <x:c r="S352" s="220" t="n">
        <x:v>0.09</x:v>
      </x:c>
      <x:c r="T352" s="226" t="n">
        <x:f>N352*S352</x:f>
        <x:v>108.63590399999998</x:v>
      </x:c>
      <x:c r="U352" s="226" t="n">
        <x:v>0.0144</x:v>
      </x:c>
      <x:c r="V352" s="226" t="n">
        <x:f>P352*U352</x:f>
        <x:v>19.641371443199997</x:v>
      </x:c>
      <x:c r="W352" s="196" t="str">
        <x:v>GBP</x:v>
      </x:c>
      <x:c r="X352" s="220" t="n">
        <x:v>6.67368</x:v>
      </x:c>
      <x:c r="Y352" s="196" t="str">
        <x:v>PERCENTAGE_OF_BASE_FREIGHT</x:v>
      </x:c>
      <x:c r="Z352" s="220" t="n">
        <x:v>0.123786</x:v>
      </x:c>
      <x:c r="AA352" s="220" t="n">
        <x:v>7.88</x:v>
      </x:c>
      <x:c r="AB352" s="220" t="n">
        <x:v>9.05</x:v>
      </x:c>
      <x:c r="AC352" s="226" t="n">
        <x:f>IF(W352="EUR",AA352,IF(W352="GBP",AB352,1))</x:f>
        <x:v>9.05</x:v>
      </x:c>
      <x:c r="AD352" s="226" t="n">
        <x:f>R352*X352</x:f>
        <x:v>8815.036084214802</x:v>
      </x:c>
      <x:c r="AE352" s="226" t="n">
        <x:f>IF(Y352="PERCENTAGE_OF_BASE_FREIGHT",AD352*Z352,IF(Y352="PER_CHARGEABLE_KG",R352*Z352,P352*Z352))</x:f>
        <x:v>1091.1780567206133</x:v>
      </x:c>
      <x:c r="AF352" s="226" t="n">
        <x:f>AD352*AC352</x:f>
        <x:v>79776.07656214396</x:v>
      </x:c>
      <x:c r="AG352" s="226" t="n">
        <x:f>AE352*AC352</x:f>
        <x:v>9875.161413321552</x:v>
      </x:c>
      <x:c r="AH352" s="226" t="str">
        <x:v>EUR</x:v>
      </x:c>
      <x:c r="AI352" s="226" t="n">
        <x:v>1.2213</x:v>
      </x:c>
      <x:c r="AJ352" s="226" t="n">
        <x:f>IF(AH352="EUR",AA352,IF(AH352="GBP",AB352,1))</x:f>
        <x:v>7.88</x:v>
      </x:c>
      <x:c r="AK352" s="226" t="n">
        <x:f>N352*AI352</x:f>
        <x:v>1474.1892172799999</x:v>
      </x:c>
      <x:c r="AL352" s="226" t="n">
        <x:f>AK352*AJ352</x:f>
        <x:v>11616.611032166398</x:v>
      </x:c>
      <x:c r="AM352" s="226" t="str">
        <x:v>EUR</x:v>
      </x:c>
      <x:c r="AN352" s="226" t="n">
        <x:v>0.4347</x:v>
      </x:c>
      <x:c r="AO352" s="226" t="n">
        <x:f>IF(AM352="EUR",AA352,IF(AM352="GBP",AB352,1))</x:f>
        <x:v>7.88</x:v>
      </x:c>
      <x:c r="AP352" s="226" t="n">
        <x:f>P352*AN352</x:f>
        <x:v>592.9239004415999</x:v>
      </x:c>
      <x:c r="AQ352" s="226" t="n">
        <x:f>AP352*AO352</x:f>
        <x:v>4672.240335479807</x:v>
      </x:c>
      <x:c r="AR352" s="226" t="str">
        <x:v>GBP</x:v>
      </x:c>
      <x:c r="AS352" s="226" t="n">
        <x:v>4.968</x:v>
      </x:c>
      <x:c r="AT352" s="226" t="n">
        <x:f>IF(AR352="EUR",AA352,IF(AR352="GBP",AB352,1))</x:f>
        <x:v>9.05</x:v>
      </x:c>
      <x:c r="AU352" s="226" t="n">
        <x:f>T352*AS352</x:f>
        <x:v>539.7031710719999</x:v>
      </x:c>
      <x:c r="AV352" s="226" t="n">
        <x:f>AU352*AT352</x:f>
        <x:v>4884.313698201599</x:v>
      </x:c>
      <x:c r="AW352" s="226" t="str">
        <x:v>GBP</x:v>
      </x:c>
      <x:c r="AX352" s="226" t="n">
        <x:v>2.898</x:v>
      </x:c>
      <x:c r="AY352" s="226" t="n">
        <x:f>IF(AW352="EUR",AA352,IF(AW352="GBP",AB352,1))</x:f>
        <x:v>9.05</x:v>
      </x:c>
      <x:c r="AZ352" s="226" t="n">
        <x:f>V352*AX352</x:f>
        <x:v>56.9206944423936</x:v>
      </x:c>
      <x:c r="BA352" s="226" t="n">
        <x:f>AZ352*AY352</x:f>
        <x:v>515.1322847036621</x:v>
      </x:c>
      <x:c r="BB352" s="226" t="n">
        <x:f>AF352+AG352+AL352+AQ352+AV352+BA352</x:f>
        <x:v>111339.53532601698</x:v>
      </x:c>
      <x:c r="BC352" s="229" t="n">
        <x:v>0.974</x:v>
      </x:c>
      <x:c r="BD352" s="202"/>
      <x:c r="BE352" s="202" t="str">
        <x:v>正式 Forecast 逐月降低英国空运及 Carrier C 份额，但仍高于 Budget</x:v>
      </x:c>
      <x:c r="BF352" s="202" t="str">
        <x:v>仅在现有承运商与有效线路内调整英国运输结构；承运能力未验证；一次性切换成本不适用</x:v>
      </x:c>
      <x:c r="BG352" s="202" t="str">
        <x:v>UNVERIFIED_UNLIMITED_FOR_MVP</x:v>
      </x:c>
    </x:row>
    <x:row r="353">
      <x:c r="A353" s="187" t="str">
        <x:v>SCENARIO_COST_SAVING_2026_08</x:v>
      </x:c>
      <x:c r="B353" s="187" t="str">
        <x:v>SCENARIO</x:v>
      </x:c>
      <x:c r="C353" s="187" t="str">
        <x:v>COST_SAVING</x:v>
      </x:c>
      <x:c r="D353" s="217" t="n">
        <x:v>46327</x:v>
      </x:c>
      <x:c r="E353" s="187" t="str">
        <x:v>R_GB_DE_C_AIR</x:v>
      </x:c>
      <x:c r="F353" s="187" t="str">
        <x:v>GB</x:v>
      </x:c>
      <x:c r="G353" s="187" t="str">
        <x:v>DE_FC</x:v>
      </x:c>
      <x:c r="H353" s="187" t="str">
        <x:v>CARRIER_C</x:v>
      </x:c>
      <x:c r="I353" s="187" t="str">
        <x:v>AIR</x:v>
      </x:c>
      <x:c r="J353" s="220" t="n">
        <x:v>24800</x:v>
      </x:c>
      <x:c r="K353" s="223" t="n">
        <x:v>0.39</x:v>
      </x:c>
      <x:c r="L353" s="223" t="n">
        <x:v>0.96</x:v>
      </x:c>
      <x:c r="M353" s="223" t="n">
        <x:v>0.04</x:v>
      </x:c>
      <x:c r="N353" s="226" t="n">
        <x:f>J353*K353*L353*M353</x:f>
        <x:v>371.40479999999997</x:v>
      </x:c>
      <x:c r="O353" s="220" t="n">
        <x:v>1.13</x:v>
      </x:c>
      <x:c r="P353" s="226" t="n">
        <x:f>N353*O353</x:f>
        <x:v>419.6874239999999</x:v>
      </x:c>
      <x:c r="Q353" s="220" t="n">
        <x:v>0.947784</x:v>
      </x:c>
      <x:c r="R353" s="226" t="n">
        <x:f>P353*Q353</x:f>
        <x:v>397.7730254684159</x:v>
      </x:c>
      <x:c r="S353" s="220" t="n">
        <x:v>0.09</x:v>
      </x:c>
      <x:c r="T353" s="226" t="n">
        <x:f>N353*S353</x:f>
        <x:v>33.426432</x:v>
      </x:c>
      <x:c r="U353" s="226" t="n">
        <x:v>0.0099</x:v>
      </x:c>
      <x:c r="V353" s="226" t="n">
        <x:f>P353*U353</x:f>
        <x:v>4.1549054976</x:v>
      </x:c>
      <x:c r="W353" s="196" t="str">
        <x:v>GBP</x:v>
      </x:c>
      <x:c r="X353" s="220" t="n">
        <x:v>8.22825</x:v>
      </x:c>
      <x:c r="Y353" s="196" t="str">
        <x:v>PER_CHARGEABLE_KG</x:v>
      </x:c>
      <x:c r="Z353" s="220" t="n">
        <x:v>0.636318</x:v>
      </x:c>
      <x:c r="AA353" s="220" t="n">
        <x:v>7.88</x:v>
      </x:c>
      <x:c r="AB353" s="220" t="n">
        <x:v>9.05</x:v>
      </x:c>
      <x:c r="AC353" s="226" t="n">
        <x:f>IF(W353="EUR",AA353,IF(W353="GBP",AB353,1))</x:f>
        <x:v>9.05</x:v>
      </x:c>
      <x:c r="AD353" s="226" t="n">
        <x:f>R353*X353</x:f>
        <x:v>3272.9758968104925</x:v>
      </x:c>
      <x:c r="AE353" s="226" t="n">
        <x:f>IF(Y353="PERCENTAGE_OF_BASE_FREIGHT",AD353*Z353,IF(Y353="PER_CHARGEABLE_KG",R353*Z353,P353*Z353))</x:f>
        <x:v>253.11013602001148</x:v>
      </x:c>
      <x:c r="AF353" s="226" t="n">
        <x:f>AD353*AC353</x:f>
        <x:v>29620.43186613496</x:v>
      </x:c>
      <x:c r="AG353" s="226" t="n">
        <x:f>AE353*AC353</x:f>
        <x:v>2290.646730981104</x:v>
      </x:c>
      <x:c r="AH353" s="226" t="str">
        <x:v>EUR</x:v>
      </x:c>
      <x:c r="AI353" s="226" t="n">
        <x:v>1.2213</x:v>
      </x:c>
      <x:c r="AJ353" s="226" t="n">
        <x:f>IF(AH353="EUR",AA353,IF(AH353="GBP",AB353,1))</x:f>
        <x:v>7.88</x:v>
      </x:c>
      <x:c r="AK353" s="226" t="n">
        <x:f>N353*AI353</x:f>
        <x:v>453.59668223999995</x:v>
      </x:c>
      <x:c r="AL353" s="226" t="n">
        <x:f>AK353*AJ353</x:f>
        <x:v>3574.3418560511996</x:v>
      </x:c>
      <x:c r="AM353" s="226" t="str">
        <x:v>EUR</x:v>
      </x:c>
      <x:c r="AN353" s="226" t="n">
        <x:v>0.4347</x:v>
      </x:c>
      <x:c r="AO353" s="226" t="n">
        <x:f>IF(AM353="EUR",AA353,IF(AM353="GBP",AB353,1))</x:f>
        <x:v>7.88</x:v>
      </x:c>
      <x:c r="AP353" s="226" t="n">
        <x:f>P353*AN353</x:f>
        <x:v>182.43812321279995</x:v>
      </x:c>
      <x:c r="AQ353" s="226" t="n">
        <x:f>AP353*AO353</x:f>
        <x:v>1437.6124109168636</x:v>
      </x:c>
      <x:c r="AR353" s="226" t="str">
        <x:v>GBP</x:v>
      </x:c>
      <x:c r="AS353" s="226" t="n">
        <x:v>4.968</x:v>
      </x:c>
      <x:c r="AT353" s="226" t="n">
        <x:f>IF(AR353="EUR",AA353,IF(AR353="GBP",AB353,1))</x:f>
        <x:v>9.05</x:v>
      </x:c>
      <x:c r="AU353" s="226" t="n">
        <x:f>T353*AS353</x:f>
        <x:v>166.06251417599998</x:v>
      </x:c>
      <x:c r="AV353" s="226" t="n">
        <x:f>AU353*AT353</x:f>
        <x:v>1502.8657532928</x:v>
      </x:c>
      <x:c r="AW353" s="226" t="str">
        <x:v>GBP</x:v>
      </x:c>
      <x:c r="AX353" s="226" t="n">
        <x:v>3.726</x:v>
      </x:c>
      <x:c r="AY353" s="226" t="n">
        <x:f>IF(AW353="EUR",AA353,IF(AW353="GBP",AB353,1))</x:f>
        <x:v>9.05</x:v>
      </x:c>
      <x:c r="AZ353" s="226" t="n">
        <x:f>V353*AX353</x:f>
        <x:v>15.4811778840576</x:v>
      </x:c>
      <x:c r="BA353" s="226" t="n">
        <x:f>AZ353*AY353</x:f>
        <x:v>140.10465985072128</x:v>
      </x:c>
      <x:c r="BB353" s="226" t="n">
        <x:f>AF353+AG353+AL353+AQ353+AV353+BA353</x:f>
        <x:v>38566.00327722765</x:v>
      </x:c>
      <x:c r="BC353" s="229" t="n">
        <x:v>0.988</x:v>
      </x:c>
      <x:c r="BD353" s="202"/>
      <x:c r="BE353" s="202" t="str">
        <x:v>正式 Forecast 逐月降低英国空运及 Carrier C 份额，但仍高于 Budget</x:v>
      </x:c>
      <x:c r="BF353" s="202" t="str">
        <x:v>仅在现有承运商与有效线路内调整英国运输结构；承运能力未验证；一次性切换成本不适用</x:v>
      </x:c>
      <x:c r="BG353" s="202" t="str">
        <x:v>UNVERIFIED_UNLIMITED_FOR_MVP</x:v>
      </x:c>
    </x:row>
    <x:row r="354">
      <x:c r="A354" s="187" t="str">
        <x:v>SCENARIO_COST_SAVING_2026_08</x:v>
      </x:c>
      <x:c r="B354" s="187" t="str">
        <x:v>SCENARIO</x:v>
      </x:c>
      <x:c r="C354" s="187" t="str">
        <x:v>COST_SAVING</x:v>
      </x:c>
      <x:c r="D354" s="217" t="n">
        <x:v>46327</x:v>
      </x:c>
      <x:c r="E354" s="187" t="str">
        <x:v>R_GB_FR_B_AIR</x:v>
      </x:c>
      <x:c r="F354" s="187" t="str">
        <x:v>GB</x:v>
      </x:c>
      <x:c r="G354" s="187" t="str">
        <x:v>FR_FC</x:v>
      </x:c>
      <x:c r="H354" s="187" t="str">
        <x:v>CARRIER_B</x:v>
      </x:c>
      <x:c r="I354" s="187" t="str">
        <x:v>AIR</x:v>
      </x:c>
      <x:c r="J354" s="220" t="n">
        <x:v>24800</x:v>
      </x:c>
      <x:c r="K354" s="223" t="n">
        <x:v>0.39</x:v>
      </x:c>
      <x:c r="L354" s="223" t="n">
        <x:v>0.04</x:v>
      </x:c>
      <x:c r="M354" s="223" t="n">
        <x:v>1</x:v>
      </x:c>
      <x:c r="N354" s="226" t="n">
        <x:f>J354*K354*L354*M354</x:f>
        <x:v>386.88</x:v>
      </x:c>
      <x:c r="O354" s="220" t="n">
        <x:v>1.17</x:v>
      </x:c>
      <x:c r="P354" s="226" t="n">
        <x:f>N354*O354</x:f>
        <x:v>452.64959999999996</x:v>
      </x:c>
      <x:c r="Q354" s="220" t="n">
        <x:v>0.92718</x:v>
      </x:c>
      <x:c r="R354" s="226" t="n">
        <x:f>P354*Q354</x:f>
        <x:v>419.68765612799996</x:v>
      </x:c>
      <x:c r="S354" s="220" t="n">
        <x:v>0.09</x:v>
      </x:c>
      <x:c r="T354" s="226" t="n">
        <x:f>N354*S354</x:f>
        <x:v>34.819199999999995</x:v>
      </x:c>
      <x:c r="U354" s="226" t="n">
        <x:v>0.0126</x:v>
      </x:c>
      <x:c r="V354" s="226" t="n">
        <x:f>P354*U354</x:f>
        <x:v>5.703384959999999</x:v>
      </x:c>
      <x:c r="W354" s="196" t="str">
        <x:v>EUR</x:v>
      </x:c>
      <x:c r="X354" s="220" t="n">
        <x:v>6.9345</x:v>
      </x:c>
      <x:c r="Y354" s="196" t="str">
        <x:v>PERCENTAGE_OF_BASE_FREIGHT</x:v>
      </x:c>
      <x:c r="Z354" s="220" t="n">
        <x:v>0.108675</x:v>
      </x:c>
      <x:c r="AA354" s="220" t="n">
        <x:v>7.88</x:v>
      </x:c>
      <x:c r="AB354" s="220" t="n">
        <x:v>9.05</x:v>
      </x:c>
      <x:c r="AC354" s="226" t="n">
        <x:f>IF(W354="EUR",AA354,IF(W354="GBP",AB354,1))</x:f>
        <x:v>7.88</x:v>
      </x:c>
      <x:c r="AD354" s="226" t="n">
        <x:f>R354*X354</x:f>
        <x:v>2910.3240514196154</x:v>
      </x:c>
      <x:c r="AE354" s="226" t="n">
        <x:f>IF(Y354="PERCENTAGE_OF_BASE_FREIGHT",AD354*Z354,IF(Y354="PER_CHARGEABLE_KG",R354*Z354,P354*Z354))</x:f>
        <x:v>316.2794662880267</x:v>
      </x:c>
      <x:c r="AF354" s="226" t="n">
        <x:f>AD354*AC354</x:f>
        <x:v>22933.35352518657</x:v>
      </x:c>
      <x:c r="AG354" s="226" t="n">
        <x:f>AE354*AC354</x:f>
        <x:v>2492.28219434965</x:v>
      </x:c>
      <x:c r="AH354" s="226" t="str">
        <x:v>EUR</x:v>
      </x:c>
      <x:c r="AI354" s="226" t="n">
        <x:v>1.08675</x:v>
      </x:c>
      <x:c r="AJ354" s="226" t="n">
        <x:f>IF(AH354="EUR",AA354,IF(AH354="GBP",AB354,1))</x:f>
        <x:v>7.88</x:v>
      </x:c>
      <x:c r="AK354" s="226" t="n">
        <x:f>N354*AI354</x:f>
        <x:v>420.44184</x:v>
      </x:c>
      <x:c r="AL354" s="226" t="n">
        <x:f>AK354*AJ354</x:f>
        <x:v>3313.0816992</x:v>
      </x:c>
      <x:c r="AM354" s="226" t="str">
        <x:v>EUR</x:v>
      </x:c>
      <x:c r="AN354" s="226" t="n">
        <x:v>0.3933</x:v>
      </x:c>
      <x:c r="AO354" s="226" t="n">
        <x:f>IF(AM354="EUR",AA354,IF(AM354="GBP",AB354,1))</x:f>
        <x:v>7.88</x:v>
      </x:c>
      <x:c r="AP354" s="226" t="n">
        <x:f>P354*AN354</x:f>
        <x:v>178.02708767999997</x:v>
      </x:c>
      <x:c r="AQ354" s="226" t="n">
        <x:f>AP354*AO354</x:f>
        <x:v>1402.8534509183996</x:v>
      </x:c>
      <x:c r="AR354" s="226" t="str">
        <x:v>EUR</x:v>
      </x:c>
      <x:c r="AS354" s="226" t="n">
        <x:v>5.382</x:v>
      </x:c>
      <x:c r="AT354" s="226" t="n">
        <x:f>IF(AR354="EUR",AA354,IF(AR354="GBP",AB354,1))</x:f>
        <x:v>7.88</x:v>
      </x:c>
      <x:c r="AU354" s="226" t="n">
        <x:f>T354*AS354</x:f>
        <x:v>187.39693439999996</x:v>
      </x:c>
      <x:c r="AV354" s="226" t="n">
        <x:f>AU354*AT354</x:f>
        <x:v>1476.6878430719996</x:v>
      </x:c>
      <x:c r="AW354" s="226" t="str">
        <x:v>EUR</x:v>
      </x:c>
      <x:c r="AX354" s="226" t="n">
        <x:v>2.898</x:v>
      </x:c>
      <x:c r="AY354" s="226" t="n">
        <x:f>IF(AW354="EUR",AA354,IF(AW354="GBP",AB354,1))</x:f>
        <x:v>7.88</x:v>
      </x:c>
      <x:c r="AZ354" s="226" t="n">
        <x:f>V354*AX354</x:f>
        <x:v>16.528409614079997</x:v>
      </x:c>
      <x:c r="BA354" s="226" t="n">
        <x:f>AZ354*AY354</x:f>
        <x:v>130.2438677589504</x:v>
      </x:c>
      <x:c r="BB354" s="226" t="n">
        <x:f>AF354+AG354+AL354+AQ354+AV354+BA354</x:f>
        <x:v>31748.502580485565</x:v>
      </x:c>
      <x:c r="BC354" s="229" t="n">
        <x:v>0.971</x:v>
      </x:c>
      <x:c r="BD354" s="202"/>
      <x:c r="BE354" s="202" t="str">
        <x:v>正式 Forecast 逐月降低英国空运及 Carrier C 份额，但仍高于 Budget</x:v>
      </x:c>
      <x:c r="BF354" s="202" t="str">
        <x:v>仅在现有承运商与有效线路内调整英国运输结构；承运能力未验证；一次性切换成本不适用</x:v>
      </x:c>
      <x:c r="BG354" s="202" t="str">
        <x:v>UNVERIFIED_UNLIMITED_FOR_MVP</x:v>
      </x:c>
    </x:row>
    <x:row r="355">
      <x:c r="A355" s="187" t="str">
        <x:v>SCENARIO_COST_SAVING_2026_08</x:v>
      </x:c>
      <x:c r="B355" s="187" t="str">
        <x:v>SCENARIO</x:v>
      </x:c>
      <x:c r="C355" s="187" t="str">
        <x:v>COST_SAVING</x:v>
      </x:c>
      <x:c r="D355" s="217" t="n">
        <x:v>46357</x:v>
      </x:c>
      <x:c r="E355" s="187" t="str">
        <x:v>R_DE_DE_A_ROAD</x:v>
      </x:c>
      <x:c r="F355" s="187" t="str">
        <x:v>DE</x:v>
      </x:c>
      <x:c r="G355" s="187" t="str">
        <x:v>DE_FC</x:v>
      </x:c>
      <x:c r="H355" s="187" t="str">
        <x:v>CARRIER_A</x:v>
      </x:c>
      <x:c r="I355" s="187" t="str">
        <x:v>ROAD</x:v>
      </x:c>
      <x:c r="J355" s="220" t="n">
        <x:v>28600</x:v>
      </x:c>
      <x:c r="K355" s="223" t="n">
        <x:v>0.32</x:v>
      </x:c>
      <x:c r="L355" s="223" t="n">
        <x:v>0.97</x:v>
      </x:c>
      <x:c r="M355" s="223" t="n">
        <x:v>0.6</x:v>
      </x:c>
      <x:c r="N355" s="226" t="n">
        <x:f>J355*K355*L355*M355</x:f>
        <x:v>5326.464</x:v>
      </x:c>
      <x:c r="O355" s="220" t="n">
        <x:v>1.05</x:v>
      </x:c>
      <x:c r="P355" s="226" t="n">
        <x:f>N355*O355</x:f>
        <x:v>5592.7872</x:v>
      </x:c>
      <x:c r="Q355" s="220" t="n">
        <x:v>0.7878</x:v>
      </x:c>
      <x:c r="R355" s="226" t="n">
        <x:f>P355*Q355</x:f>
        <x:v>4405.99775616</x:v>
      </x:c>
      <x:c r="S355" s="220" t="n">
        <x:v>0.05</x:v>
      </x:c>
      <x:c r="T355" s="226" t="n">
        <x:f>N355*S355</x:f>
        <x:v>266.3232</x:v>
      </x:c>
      <x:c r="U355" s="226" t="n">
        <x:v>0.016</x:v>
      </x:c>
      <x:c r="V355" s="226" t="n">
        <x:f>P355*U355</x:f>
        <x:v>89.4845952</x:v>
      </x:c>
      <x:c r="W355" s="196" t="str">
        <x:v>EUR</x:v>
      </x:c>
      <x:c r="X355" s="220" t="n">
        <x:v>2.277</x:v>
      </x:c>
      <x:c r="Y355" s="196" t="str">
        <x:v>PERCENTAGE_OF_BASE_FREIGHT</x:v>
      </x:c>
      <x:c r="Z355" s="220" t="n">
        <x:v>0.098325</x:v>
      </x:c>
      <x:c r="AA355" s="220" t="n">
        <x:v>7.86</x:v>
      </x:c>
      <x:c r="AB355" s="220" t="n">
        <x:v>9</x:v>
      </x:c>
      <x:c r="AC355" s="226" t="n">
        <x:f>IF(W355="EUR",AA355,IF(W355="GBP",AB355,1))</x:f>
        <x:v>7.86</x:v>
      </x:c>
      <x:c r="AD355" s="226" t="n">
        <x:f>R355*X355</x:f>
        <x:v>10032.45689077632</x:v>
      </x:c>
      <x:c r="AE355" s="226" t="n">
        <x:f>IF(Y355="PERCENTAGE_OF_BASE_FREIGHT",AD355*Z355,IF(Y355="PER_CHARGEABLE_KG",R355*Z355,P355*Z355))</x:f>
        <x:v>986.4413237855816</x:v>
      </x:c>
      <x:c r="AF355" s="226" t="n">
        <x:f>AD355*AC355</x:f>
        <x:v>78855.11116150189</x:v>
      </x:c>
      <x:c r="AG355" s="226" t="n">
        <x:f>AE355*AC355</x:f>
        <x:v>7753.428804954672</x:v>
      </x:c>
      <x:c r="AH355" s="226" t="str">
        <x:v>EUR</x:v>
      </x:c>
      <x:c r="AI355" s="226" t="n">
        <x:v>1.2213</x:v>
      </x:c>
      <x:c r="AJ355" s="226" t="n">
        <x:f>IF(AH355="EUR",AA355,IF(AH355="GBP",AB355,1))</x:f>
        <x:v>7.86</x:v>
      </x:c>
      <x:c r="AK355" s="226" t="n">
        <x:f>N355*AI355</x:f>
        <x:v>6505.2104832</x:v>
      </x:c>
      <x:c r="AL355" s="226" t="n">
        <x:f>AK355*AJ355</x:f>
        <x:v>51130.954397952</x:v>
      </x:c>
      <x:c r="AM355" s="226" t="str">
        <x:v>EUR</x:v>
      </x:c>
      <x:c r="AN355" s="226" t="n">
        <x:v>0.4347</x:v>
      </x:c>
      <x:c r="AO355" s="226" t="n">
        <x:f>IF(AM355="EUR",AA355,IF(AM355="GBP",AB355,1))</x:f>
        <x:v>7.86</x:v>
      </x:c>
      <x:c r="AP355" s="226" t="n">
        <x:f>P355*AN355</x:f>
        <x:v>2431.18459584</x:v>
      </x:c>
      <x:c r="AQ355" s="226" t="n">
        <x:f>AP355*AO355</x:f>
        <x:v>19109.1109233024</x:v>
      </x:c>
      <x:c r="AR355" s="226" t="str">
        <x:v>EUR</x:v>
      </x:c>
      <x:c r="AS355" s="226" t="n">
        <x:v>3.312</x:v>
      </x:c>
      <x:c r="AT355" s="226" t="n">
        <x:f>IF(AR355="EUR",AA355,IF(AR355="GBP",AB355,1))</x:f>
        <x:v>7.86</x:v>
      </x:c>
      <x:c r="AU355" s="226" t="n">
        <x:f>T355*AS355</x:f>
        <x:v>882.0624383999999</x:v>
      </x:c>
      <x:c r="AV355" s="226" t="n">
        <x:f>AU355*AT355</x:f>
        <x:v>6933.0107658239995</x:v>
      </x:c>
      <x:c r="AW355" s="226" t="str">
        <x:v>EUR</x:v>
      </x:c>
      <x:c r="AX355" s="226" t="n">
        <x:v>2.3805</x:v>
      </x:c>
      <x:c r="AY355" s="226" t="n">
        <x:f>IF(AW355="EUR",AA355,IF(AW355="GBP",AB355,1))</x:f>
        <x:v>7.86</x:v>
      </x:c>
      <x:c r="AZ355" s="226" t="n">
        <x:f>V355*AX355</x:f>
        <x:v>213.01807887360002</x:v>
      </x:c>
      <x:c r="BA355" s="226" t="n">
        <x:f>AZ355*AY355</x:f>
        <x:v>1674.322099946496</x:v>
      </x:c>
      <x:c r="BB355" s="226" t="n">
        <x:f>AF355+AG355+AL355+AQ355+AV355+BA355</x:f>
        <x:v>165455.93815348146</x:v>
      </x:c>
      <x:c r="BC355" s="229" t="n">
        <x:v>0.965</x:v>
      </x:c>
      <x:c r="BD355" s="202"/>
      <x:c r="BE355" s="202" t="str">
        <x:v>正式 Forecast 逐月降低英国空运及 Carrier C 份额，但仍高于 Budget</x:v>
      </x:c>
      <x:c r="BF355" s="202" t="str">
        <x:v>仅在现有承运商与有效线路内调整英国运输结构；承运能力未验证；一次性切换成本不适用</x:v>
      </x:c>
      <x:c r="BG355" s="202" t="str">
        <x:v>UNVERIFIED_UNLIMITED_FOR_MVP</x:v>
      </x:c>
    </x:row>
    <x:row r="356">
      <x:c r="A356" s="187" t="str">
        <x:v>SCENARIO_COST_SAVING_2026_08</x:v>
      </x:c>
      <x:c r="B356" s="187" t="str">
        <x:v>SCENARIO</x:v>
      </x:c>
      <x:c r="C356" s="187" t="str">
        <x:v>COST_SAVING</x:v>
      </x:c>
      <x:c r="D356" s="217" t="n">
        <x:v>46357</x:v>
      </x:c>
      <x:c r="E356" s="187" t="str">
        <x:v>R_DE_DE_B_ROAD</x:v>
      </x:c>
      <x:c r="F356" s="187" t="str">
        <x:v>DE</x:v>
      </x:c>
      <x:c r="G356" s="187" t="str">
        <x:v>DE_FC</x:v>
      </x:c>
      <x:c r="H356" s="187" t="str">
        <x:v>CARRIER_B</x:v>
      </x:c>
      <x:c r="I356" s="187" t="str">
        <x:v>ROAD</x:v>
      </x:c>
      <x:c r="J356" s="220" t="n">
        <x:v>28600</x:v>
      </x:c>
      <x:c r="K356" s="223" t="n">
        <x:v>0.32</x:v>
      </x:c>
      <x:c r="L356" s="223" t="n">
        <x:v>0.97</x:v>
      </x:c>
      <x:c r="M356" s="223" t="n">
        <x:v>0.4</x:v>
      </x:c>
      <x:c r="N356" s="226" t="n">
        <x:f>J356*K356*L356*M356</x:f>
        <x:v>3550.9760000000006</x:v>
      </x:c>
      <x:c r="O356" s="220" t="n">
        <x:v>1.05</x:v>
      </x:c>
      <x:c r="P356" s="226" t="n">
        <x:f>N356*O356</x:f>
        <x:v>3728.5248000000006</x:v>
      </x:c>
      <x:c r="Q356" s="220" t="n">
        <x:v>0.808</x:v>
      </x:c>
      <x:c r="R356" s="226" t="n">
        <x:f>P356*Q356</x:f>
        <x:v>3012.6480384000006</x:v>
      </x:c>
      <x:c r="S356" s="220" t="n">
        <x:v>0.05</x:v>
      </x:c>
      <x:c r="T356" s="226" t="n">
        <x:f>N356*S356</x:f>
        <x:v>177.54880000000003</x:v>
      </x:c>
      <x:c r="U356" s="226" t="n">
        <x:v>0.013</x:v>
      </x:c>
      <x:c r="V356" s="226" t="n">
        <x:f>P356*U356</x:f>
        <x:v>48.4708224</x:v>
      </x:c>
      <x:c r="W356" s="196" t="str">
        <x:v>EUR</x:v>
      </x:c>
      <x:c r="X356" s="220" t="n">
        <x:v>2.84625</x:v>
      </x:c>
      <x:c r="Y356" s="196" t="str">
        <x:v>PER_CHARGEABLE_KG</x:v>
      </x:c>
      <x:c r="Z356" s="220" t="n">
        <x:v>0.21735</x:v>
      </x:c>
      <x:c r="AA356" s="220" t="n">
        <x:v>7.86</x:v>
      </x:c>
      <x:c r="AB356" s="220" t="n">
        <x:v>9</x:v>
      </x:c>
      <x:c r="AC356" s="226" t="n">
        <x:f>IF(W356="EUR",AA356,IF(W356="GBP",AB356,1))</x:f>
        <x:v>7.86</x:v>
      </x:c>
      <x:c r="AD356" s="226" t="n">
        <x:f>R356*X356</x:f>
        <x:v>8574.749479296002</x:v>
      </x:c>
      <x:c r="AE356" s="226" t="n">
        <x:f>IF(Y356="PERCENTAGE_OF_BASE_FREIGHT",AD356*Z356,IF(Y356="PER_CHARGEABLE_KG",R356*Z356,P356*Z356))</x:f>
        <x:v>654.7990511462401</x:v>
      </x:c>
      <x:c r="AF356" s="226" t="n">
        <x:f>AD356*AC356</x:f>
        <x:v>67397.53090726658</x:v>
      </x:c>
      <x:c r="AG356" s="226" t="n">
        <x:f>AE356*AC356</x:f>
        <x:v>5146.720542009448</x:v>
      </x:c>
      <x:c r="AH356" s="226" t="str">
        <x:v>EUR</x:v>
      </x:c>
      <x:c r="AI356" s="226" t="n">
        <x:v>1.2213</x:v>
      </x:c>
      <x:c r="AJ356" s="226" t="n">
        <x:f>IF(AH356="EUR",AA356,IF(AH356="GBP",AB356,1))</x:f>
        <x:v>7.86</x:v>
      </x:c>
      <x:c r="AK356" s="226" t="n">
        <x:f>N356*AI356</x:f>
        <x:v>4336.806988800001</x:v>
      </x:c>
      <x:c r="AL356" s="226" t="n">
        <x:f>AK356*AJ356</x:f>
        <x:v>34087.302931968006</x:v>
      </x:c>
      <x:c r="AM356" s="226" t="str">
        <x:v>EUR</x:v>
      </x:c>
      <x:c r="AN356" s="226" t="n">
        <x:v>0.4347</x:v>
      </x:c>
      <x:c r="AO356" s="226" t="n">
        <x:f>IF(AM356="EUR",AA356,IF(AM356="GBP",AB356,1))</x:f>
        <x:v>7.86</x:v>
      </x:c>
      <x:c r="AP356" s="226" t="n">
        <x:f>P356*AN356</x:f>
        <x:v>1620.7897305600002</x:v>
      </x:c>
      <x:c r="AQ356" s="226" t="n">
        <x:f>AP356*AO356</x:f>
        <x:v>12739.407282201602</x:v>
      </x:c>
      <x:c r="AR356" s="226" t="str">
        <x:v>EUR</x:v>
      </x:c>
      <x:c r="AS356" s="226" t="n">
        <x:v>3.312</x:v>
      </x:c>
      <x:c r="AT356" s="226" t="n">
        <x:f>IF(AR356="EUR",AA356,IF(AR356="GBP",AB356,1))</x:f>
        <x:v>7.86</x:v>
      </x:c>
      <x:c r="AU356" s="226" t="n">
        <x:f>T356*AS356</x:f>
        <x:v>588.0416256000001</x:v>
      </x:c>
      <x:c r="AV356" s="226" t="n">
        <x:f>AU356*AT356</x:f>
        <x:v>4622.007177216001</x:v>
      </x:c>
      <x:c r="AW356" s="226" t="str">
        <x:v>EUR</x:v>
      </x:c>
      <x:c r="AX356" s="226" t="n">
        <x:v>2.3805</x:v>
      </x:c>
      <x:c r="AY356" s="226" t="n">
        <x:f>IF(AW356="EUR",AA356,IF(AW356="GBP",AB356,1))</x:f>
        <x:v>7.86</x:v>
      </x:c>
      <x:c r="AZ356" s="226" t="n">
        <x:f>V356*AX356</x:f>
        <x:v>115.38479272320001</x:v>
      </x:c>
      <x:c r="BA356" s="226" t="n">
        <x:f>AZ356*AY356</x:f>
        <x:v>906.924470804352</x:v>
      </x:c>
      <x:c r="BB356" s="226" t="n">
        <x:f>AF356+AG356+AL356+AQ356+AV356+BA356</x:f>
        <x:v>124899.893311466</x:v>
      </x:c>
      <x:c r="BC356" s="229" t="n">
        <x:v>0.976</x:v>
      </x:c>
      <x:c r="BD356" s="202"/>
      <x:c r="BE356" s="202" t="str">
        <x:v>正式 Forecast 逐月降低英国空运及 Carrier C 份额，但仍高于 Budget</x:v>
      </x:c>
      <x:c r="BF356" s="202" t="str">
        <x:v>仅在现有承运商与有效线路内调整英国运输结构；承运能力未验证；一次性切换成本不适用</x:v>
      </x:c>
      <x:c r="BG356" s="202" t="str">
        <x:v>UNVERIFIED_UNLIMITED_FOR_MVP</x:v>
      </x:c>
    </x:row>
    <x:row r="357">
      <x:c r="A357" s="187" t="str">
        <x:v>SCENARIO_COST_SAVING_2026_08</x:v>
      </x:c>
      <x:c r="B357" s="187" t="str">
        <x:v>SCENARIO</x:v>
      </x:c>
      <x:c r="C357" s="187" t="str">
        <x:v>COST_SAVING</x:v>
      </x:c>
      <x:c r="D357" s="217" t="n">
        <x:v>46357</x:v>
      </x:c>
      <x:c r="E357" s="187" t="str">
        <x:v>R_DE_FR_B_ROAD</x:v>
      </x:c>
      <x:c r="F357" s="187" t="str">
        <x:v>DE</x:v>
      </x:c>
      <x:c r="G357" s="187" t="str">
        <x:v>FR_FC</x:v>
      </x:c>
      <x:c r="H357" s="187" t="str">
        <x:v>CARRIER_B</x:v>
      </x:c>
      <x:c r="I357" s="187" t="str">
        <x:v>ROAD</x:v>
      </x:c>
      <x:c r="J357" s="220" t="n">
        <x:v>28600</x:v>
      </x:c>
      <x:c r="K357" s="223" t="n">
        <x:v>0.32</x:v>
      </x:c>
      <x:c r="L357" s="223" t="n">
        <x:v>0.03</x:v>
      </x:c>
      <x:c r="M357" s="223" t="n">
        <x:v>1</x:v>
      </x:c>
      <x:c r="N357" s="226" t="n">
        <x:f>J357*K357*L357*M357</x:f>
        <x:v>274.56</x:v>
      </x:c>
      <x:c r="O357" s="220" t="n">
        <x:v>1.08</x:v>
      </x:c>
      <x:c r="P357" s="226" t="n">
        <x:f>N357*O357</x:f>
        <x:v>296.5248</x:v>
      </x:c>
      <x:c r="Q357" s="220" t="n">
        <x:v>0.8686</x:v>
      </x:c>
      <x:c r="R357" s="226" t="n">
        <x:f>P357*Q357</x:f>
        <x:v>257.56144128000005</x:v>
      </x:c>
      <x:c r="S357" s="220" t="n">
        <x:v>0.05</x:v>
      </x:c>
      <x:c r="T357" s="226" t="n">
        <x:f>N357*S357</x:f>
        <x:v>13.728000000000002</x:v>
      </x:c>
      <x:c r="U357" s="226" t="n">
        <x:v>0.014</x:v>
      </x:c>
      <x:c r="V357" s="226" t="n">
        <x:f>P357*U357</x:f>
        <x:v>4.151347200000001</x:v>
      </x:c>
      <x:c r="W357" s="196" t="str">
        <x:v>EUR</x:v>
      </x:c>
      <x:c r="X357" s="220" t="n">
        <x:v>3.4155</x:v>
      </x:c>
      <x:c r="Y357" s="196" t="str">
        <x:v>PER_CHARGEABLE_KG</x:v>
      </x:c>
      <x:c r="Z357" s="220" t="n">
        <x:v>0.2484</x:v>
      </x:c>
      <x:c r="AA357" s="220" t="n">
        <x:v>7.86</x:v>
      </x:c>
      <x:c r="AB357" s="220" t="n">
        <x:v>9</x:v>
      </x:c>
      <x:c r="AC357" s="226" t="n">
        <x:f>IF(W357="EUR",AA357,IF(W357="GBP",AB357,1))</x:f>
        <x:v>7.86</x:v>
      </x:c>
      <x:c r="AD357" s="226" t="n">
        <x:f>R357*X357</x:f>
        <x:v>879.7011026918402</x:v>
      </x:c>
      <x:c r="AE357" s="226" t="n">
        <x:f>IF(Y357="PERCENTAGE_OF_BASE_FREIGHT",AD357*Z357,IF(Y357="PER_CHARGEABLE_KG",R357*Z357,P357*Z357))</x:f>
        <x:v>63.97826201395202</x:v>
      </x:c>
      <x:c r="AF357" s="226" t="n">
        <x:f>AD357*AC357</x:f>
        <x:v>6914.450667157865</x:v>
      </x:c>
      <x:c r="AG357" s="226" t="n">
        <x:f>AE357*AC357</x:f>
        <x:v>502.8691394296629</x:v>
      </x:c>
      <x:c r="AH357" s="226" t="str">
        <x:v>EUR</x:v>
      </x:c>
      <x:c r="AI357" s="226" t="n">
        <x:v>1.08675</x:v>
      </x:c>
      <x:c r="AJ357" s="226" t="n">
        <x:f>IF(AH357="EUR",AA357,IF(AH357="GBP",AB357,1))</x:f>
        <x:v>7.86</x:v>
      </x:c>
      <x:c r="AK357" s="226" t="n">
        <x:f>N357*AI357</x:f>
        <x:v>298.37808</x:v>
      </x:c>
      <x:c r="AL357" s="226" t="n">
        <x:f>AK357*AJ357</x:f>
        <x:v>2345.2517088</x:v>
      </x:c>
      <x:c r="AM357" s="226" t="str">
        <x:v>EUR</x:v>
      </x:c>
      <x:c r="AN357" s="226" t="n">
        <x:v>0.3933</x:v>
      </x:c>
      <x:c r="AO357" s="226" t="n">
        <x:f>IF(AM357="EUR",AA357,IF(AM357="GBP",AB357,1))</x:f>
        <x:v>7.86</x:v>
      </x:c>
      <x:c r="AP357" s="226" t="n">
        <x:f>P357*AN357</x:f>
        <x:v>116.62320384</x:v>
      </x:c>
      <x:c r="AQ357" s="226" t="n">
        <x:f>AP357*AO357</x:f>
        <x:v>916.6583821824</x:v>
      </x:c>
      <x:c r="AR357" s="226" t="str">
        <x:v>EUR</x:v>
      </x:c>
      <x:c r="AS357" s="226" t="n">
        <x:v>3.933</x:v>
      </x:c>
      <x:c r="AT357" s="226" t="n">
        <x:f>IF(AR357="EUR",AA357,IF(AR357="GBP",AB357,1))</x:f>
        <x:v>7.86</x:v>
      </x:c>
      <x:c r="AU357" s="226" t="n">
        <x:f>T357*AS357</x:f>
        <x:v>53.992224</x:v>
      </x:c>
      <x:c r="AV357" s="226" t="n">
        <x:f>AU357*AT357</x:f>
        <x:v>424.37888064000003</x:v>
      </x:c>
      <x:c r="AW357" s="226" t="str">
        <x:v>EUR</x:v>
      </x:c>
      <x:c r="AX357" s="226" t="n">
        <x:v>2.3805</x:v>
      </x:c>
      <x:c r="AY357" s="226" t="n">
        <x:f>IF(AW357="EUR",AA357,IF(AW357="GBP",AB357,1))</x:f>
        <x:v>7.86</x:v>
      </x:c>
      <x:c r="AZ357" s="226" t="n">
        <x:f>V357*AX357</x:f>
        <x:v>9.882282009600003</x:v>
      </x:c>
      <x:c r="BA357" s="226" t="n">
        <x:f>AZ357*AY357</x:f>
        <x:v>77.67473659545603</x:v>
      </x:c>
      <x:c r="BB357" s="226" t="n">
        <x:f>AF357+AG357+AL357+AQ357+AV357+BA357</x:f>
        <x:v>11181.283514805385</x:v>
      </x:c>
      <x:c r="BC357" s="229" t="n">
        <x:v>0.968</x:v>
      </x:c>
      <x:c r="BD357" s="202"/>
      <x:c r="BE357" s="202" t="str">
        <x:v>正式 Forecast 逐月降低英国空运及 Carrier C 份额，但仍高于 Budget</x:v>
      </x:c>
      <x:c r="BF357" s="202" t="str">
        <x:v>仅在现有承运商与有效线路内调整英国运输结构；承运能力未验证；一次性切换成本不适用</x:v>
      </x:c>
      <x:c r="BG357" s="202" t="str">
        <x:v>UNVERIFIED_UNLIMITED_FOR_MVP</x:v>
      </x:c>
    </x:row>
    <x:row r="358">
      <x:c r="A358" s="187" t="str">
        <x:v>SCENARIO_COST_SAVING_2026_08</x:v>
      </x:c>
      <x:c r="B358" s="187" t="str">
        <x:v>SCENARIO</x:v>
      </x:c>
      <x:c r="C358" s="187" t="str">
        <x:v>COST_SAVING</x:v>
      </x:c>
      <x:c r="D358" s="217" t="n">
        <x:v>46357</x:v>
      </x:c>
      <x:c r="E358" s="187" t="str">
        <x:v>R_FR_FR_A_ROAD</x:v>
      </x:c>
      <x:c r="F358" s="187" t="str">
        <x:v>FR</x:v>
      </x:c>
      <x:c r="G358" s="187" t="str">
        <x:v>FR_FC</x:v>
      </x:c>
      <x:c r="H358" s="187" t="str">
        <x:v>CARRIER_A</x:v>
      </x:c>
      <x:c r="I358" s="187" t="str">
        <x:v>ROAD</x:v>
      </x:c>
      <x:c r="J358" s="220" t="n">
        <x:v>28600</x:v>
      </x:c>
      <x:c r="K358" s="223" t="n">
        <x:v>0.28</x:v>
      </x:c>
      <x:c r="L358" s="223" t="n">
        <x:v>1</x:v>
      </x:c>
      <x:c r="M358" s="223" t="n">
        <x:v>0.35</x:v>
      </x:c>
      <x:c r="N358" s="226" t="n">
        <x:f>J358*K358*L358*M358</x:f>
        <x:v>2802.8</x:v>
      </x:c>
      <x:c r="O358" s="220" t="n">
        <x:v>1.06</x:v>
      </x:c>
      <x:c r="P358" s="226" t="n">
        <x:f>N358*O358</x:f>
        <x:v>2970.9680000000003</x:v>
      </x:c>
      <x:c r="Q358" s="220" t="n">
        <x:v>0.7676</x:v>
      </x:c>
      <x:c r="R358" s="226" t="n">
        <x:f>P358*Q358</x:f>
        <x:v>2280.5150368</x:v>
      </x:c>
      <x:c r="S358" s="220" t="n">
        <x:v>0.06</x:v>
      </x:c>
      <x:c r="T358" s="226" t="n">
        <x:f>N358*S358</x:f>
        <x:v>168.168</x:v>
      </x:c>
      <x:c r="U358" s="226" t="n">
        <x:v>0.017</x:v>
      </x:c>
      <x:c r="V358" s="226" t="n">
        <x:f>P358*U358</x:f>
        <x:v>50.50645600000001</x:v>
      </x:c>
      <x:c r="W358" s="196" t="str">
        <x:v>EUR</x:v>
      </x:c>
      <x:c r="X358" s="220" t="n">
        <x:v>2.1735</x:v>
      </x:c>
      <x:c r="Y358" s="196" t="str">
        <x:v>PERCENTAGE_OF_BASE_FREIGHT</x:v>
      </x:c>
      <x:c r="Z358" s="220" t="n">
        <x:v>0.09315</x:v>
      </x:c>
      <x:c r="AA358" s="220" t="n">
        <x:v>7.86</x:v>
      </x:c>
      <x:c r="AB358" s="220" t="n">
        <x:v>9</x:v>
      </x:c>
      <x:c r="AC358" s="226" t="n">
        <x:f>IF(W358="EUR",AA358,IF(W358="GBP",AB358,1))</x:f>
        <x:v>7.86</x:v>
      </x:c>
      <x:c r="AD358" s="226" t="n">
        <x:f>R358*X358</x:f>
        <x:v>4956.6994324848</x:v>
      </x:c>
      <x:c r="AE358" s="226" t="n">
        <x:f>IF(Y358="PERCENTAGE_OF_BASE_FREIGHT",AD358*Z358,IF(Y358="PER_CHARGEABLE_KG",R358*Z358,P358*Z358))</x:f>
        <x:v>461.7165521359591</x:v>
      </x:c>
      <x:c r="AF358" s="226" t="n">
        <x:f>AD358*AC358</x:f>
        <x:v>38959.65753933053</x:v>
      </x:c>
      <x:c r="AG358" s="226" t="n">
        <x:f>AE358*AC358</x:f>
        <x:v>3629.0920997886387</x:v>
      </x:c>
      <x:c r="AH358" s="226" t="str">
        <x:v>EUR</x:v>
      </x:c>
      <x:c r="AI358" s="226" t="n">
        <x:v>1.08675</x:v>
      </x:c>
      <x:c r="AJ358" s="226" t="n">
        <x:f>IF(AH358="EUR",AA358,IF(AH358="GBP",AB358,1))</x:f>
        <x:v>7.86</x:v>
      </x:c>
      <x:c r="AK358" s="226" t="n">
        <x:f>N358*AI358</x:f>
        <x:v>3045.9429000000005</x:v>
      </x:c>
      <x:c r="AL358" s="226" t="n">
        <x:f>AK358*AJ358</x:f>
        <x:v>23941.111194000005</x:v>
      </x:c>
      <x:c r="AM358" s="226" t="str">
        <x:v>EUR</x:v>
      </x:c>
      <x:c r="AN358" s="226" t="n">
        <x:v>0.3933</x:v>
      </x:c>
      <x:c r="AO358" s="226" t="n">
        <x:f>IF(AM358="EUR",AA358,IF(AM358="GBP",AB358,1))</x:f>
        <x:v>7.86</x:v>
      </x:c>
      <x:c r="AP358" s="226" t="n">
        <x:f>P358*AN358</x:f>
        <x:v>1168.4817144</x:v>
      </x:c>
      <x:c r="AQ358" s="226" t="n">
        <x:f>AP358*AO358</x:f>
        <x:v>9184.266275184002</x:v>
      </x:c>
      <x:c r="AR358" s="226" t="str">
        <x:v>EUR</x:v>
      </x:c>
      <x:c r="AS358" s="226" t="n">
        <x:v>3.105</x:v>
      </x:c>
      <x:c r="AT358" s="226" t="n">
        <x:f>IF(AR358="EUR",AA358,IF(AR358="GBP",AB358,1))</x:f>
        <x:v>7.86</x:v>
      </x:c>
      <x:c r="AU358" s="226" t="n">
        <x:f>T358*AS358</x:f>
        <x:v>522.16164</x:v>
      </x:c>
      <x:c r="AV358" s="226" t="n">
        <x:f>AU358*AT358</x:f>
        <x:v>4104.1904904</x:v>
      </x:c>
      <x:c r="AW358" s="226" t="str">
        <x:v>EUR</x:v>
      </x:c>
      <x:c r="AX358" s="226" t="n">
        <x:v>2.3805</x:v>
      </x:c>
      <x:c r="AY358" s="226" t="n">
        <x:f>IF(AW358="EUR",AA358,IF(AW358="GBP",AB358,1))</x:f>
        <x:v>7.86</x:v>
      </x:c>
      <x:c r="AZ358" s="226" t="n">
        <x:f>V358*AX358</x:f>
        <x:v>120.23061850800002</x:v>
      </x:c>
      <x:c r="BA358" s="226" t="n">
        <x:f>AZ358*AY358</x:f>
        <x:v>945.0126614728802</x:v>
      </x:c>
      <x:c r="BB358" s="226" t="n">
        <x:f>AF358+AG358+AL358+AQ358+AV358+BA358</x:f>
        <x:v>80763.33026017604</x:v>
      </x:c>
      <x:c r="BC358" s="229" t="n">
        <x:v>0.961</x:v>
      </x:c>
      <x:c r="BD358" s="202"/>
      <x:c r="BE358" s="202" t="str">
        <x:v>正式 Forecast 逐月降低英国空运及 Carrier C 份额，但仍高于 Budget</x:v>
      </x:c>
      <x:c r="BF358" s="202" t="str">
        <x:v>仅在现有承运商与有效线路内调整英国运输结构；承运能力未验证；一次性切换成本不适用</x:v>
      </x:c>
      <x:c r="BG358" s="202" t="str">
        <x:v>UNVERIFIED_UNLIMITED_FOR_MVP</x:v>
      </x:c>
    </x:row>
    <x:row r="359">
      <x:c r="A359" s="187" t="str">
        <x:v>SCENARIO_COST_SAVING_2026_08</x:v>
      </x:c>
      <x:c r="B359" s="187" t="str">
        <x:v>SCENARIO</x:v>
      </x:c>
      <x:c r="C359" s="187" t="str">
        <x:v>COST_SAVING</x:v>
      </x:c>
      <x:c r="D359" s="217" t="n">
        <x:v>46357</x:v>
      </x:c>
      <x:c r="E359" s="187" t="str">
        <x:v>R_FR_FR_B_ROAD</x:v>
      </x:c>
      <x:c r="F359" s="187" t="str">
        <x:v>FR</x:v>
      </x:c>
      <x:c r="G359" s="187" t="str">
        <x:v>FR_FC</x:v>
      </x:c>
      <x:c r="H359" s="187" t="str">
        <x:v>CARRIER_B</x:v>
      </x:c>
      <x:c r="I359" s="187" t="str">
        <x:v>ROAD</x:v>
      </x:c>
      <x:c r="J359" s="220" t="n">
        <x:v>28600</x:v>
      </x:c>
      <x:c r="K359" s="223" t="n">
        <x:v>0.28</x:v>
      </x:c>
      <x:c r="L359" s="223" t="n">
        <x:v>1</x:v>
      </x:c>
      <x:c r="M359" s="223" t="n">
        <x:v>0.65</x:v>
      </x:c>
      <x:c r="N359" s="226" t="n">
        <x:f>J359*K359*L359*M359</x:f>
        <x:v>5205.200000000001</x:v>
      </x:c>
      <x:c r="O359" s="220" t="n">
        <x:v>1.06</x:v>
      </x:c>
      <x:c r="P359" s="226" t="n">
        <x:f>N359*O359</x:f>
        <x:v>5517.512000000001</x:v>
      </x:c>
      <x:c r="Q359" s="220" t="n">
        <x:v>0.7979</x:v>
      </x:c>
      <x:c r="R359" s="226" t="n">
        <x:f>P359*Q359</x:f>
        <x:v>4402.422824800001</x:v>
      </x:c>
      <x:c r="S359" s="220" t="n">
        <x:v>0.06</x:v>
      </x:c>
      <x:c r="T359" s="226" t="n">
        <x:f>N359*S359</x:f>
        <x:v>312.312</x:v>
      </x:c>
      <x:c r="U359" s="226" t="n">
        <x:v>0.014</x:v>
      </x:c>
      <x:c r="V359" s="226" t="n">
        <x:f>P359*U359</x:f>
        <x:v>77.245168</x:v>
      </x:c>
      <x:c r="W359" s="196" t="str">
        <x:v>EUR</x:v>
      </x:c>
      <x:c r="X359" s="220" t="n">
        <x:v>2.691</x:v>
      </x:c>
      <x:c r="Y359" s="196" t="str">
        <x:v>PER_CHARGEABLE_KG</x:v>
      </x:c>
      <x:c r="Z359" s="220" t="n">
        <x:v>0.207</x:v>
      </x:c>
      <x:c r="AA359" s="220" t="n">
        <x:v>7.86</x:v>
      </x:c>
      <x:c r="AB359" s="220" t="n">
        <x:v>9</x:v>
      </x:c>
      <x:c r="AC359" s="226" t="n">
        <x:f>IF(W359="EUR",AA359,IF(W359="GBP",AB359,1))</x:f>
        <x:v>7.86</x:v>
      </x:c>
      <x:c r="AD359" s="226" t="n">
        <x:f>R359*X359</x:f>
        <x:v>11846.919821536801</x:v>
      </x:c>
      <x:c r="AE359" s="226" t="n">
        <x:f>IF(Y359="PERCENTAGE_OF_BASE_FREIGHT",AD359*Z359,IF(Y359="PER_CHARGEABLE_KG",R359*Z359,P359*Z359))</x:f>
        <x:v>911.3015247336001</x:v>
      </x:c>
      <x:c r="AF359" s="226" t="n">
        <x:f>AD359*AC359</x:f>
        <x:v>93116.78979727926</x:v>
      </x:c>
      <x:c r="AG359" s="226" t="n">
        <x:f>AE359*AC359</x:f>
        <x:v>7162.8299844060975</x:v>
      </x:c>
      <x:c r="AH359" s="226" t="str">
        <x:v>EUR</x:v>
      </x:c>
      <x:c r="AI359" s="226" t="n">
        <x:v>1.08675</x:v>
      </x:c>
      <x:c r="AJ359" s="226" t="n">
        <x:f>IF(AH359="EUR",AA359,IF(AH359="GBP",AB359,1))</x:f>
        <x:v>7.86</x:v>
      </x:c>
      <x:c r="AK359" s="226" t="n">
        <x:f>N359*AI359</x:f>
        <x:v>5656.751100000001</x:v>
      </x:c>
      <x:c r="AL359" s="226" t="n">
        <x:f>AK359*AJ359</x:f>
        <x:v>44462.06364600001</x:v>
      </x:c>
      <x:c r="AM359" s="226" t="str">
        <x:v>EUR</x:v>
      </x:c>
      <x:c r="AN359" s="226" t="n">
        <x:v>0.3933</x:v>
      </x:c>
      <x:c r="AO359" s="226" t="n">
        <x:f>IF(AM359="EUR",AA359,IF(AM359="GBP",AB359,1))</x:f>
        <x:v>7.86</x:v>
      </x:c>
      <x:c r="AP359" s="226" t="n">
        <x:f>P359*AN359</x:f>
        <x:v>2170.0374696000003</x:v>
      </x:c>
      <x:c r="AQ359" s="226" t="n">
        <x:f>AP359*AO359</x:f>
        <x:v>17056.494511056004</x:v>
      </x:c>
      <x:c r="AR359" s="226" t="str">
        <x:v>EUR</x:v>
      </x:c>
      <x:c r="AS359" s="226" t="n">
        <x:v>3.105</x:v>
      </x:c>
      <x:c r="AT359" s="226" t="n">
        <x:f>IF(AR359="EUR",AA359,IF(AR359="GBP",AB359,1))</x:f>
        <x:v>7.86</x:v>
      </x:c>
      <x:c r="AU359" s="226" t="n">
        <x:f>T359*AS359</x:f>
        <x:v>969.7287600000001</x:v>
      </x:c>
      <x:c r="AV359" s="226" t="n">
        <x:f>AU359*AT359</x:f>
        <x:v>7622.068053600001</x:v>
      </x:c>
      <x:c r="AW359" s="226" t="str">
        <x:v>EUR</x:v>
      </x:c>
      <x:c r="AX359" s="226" t="n">
        <x:v>2.3805</x:v>
      </x:c>
      <x:c r="AY359" s="226" t="n">
        <x:f>IF(AW359="EUR",AA359,IF(AW359="GBP",AB359,1))</x:f>
        <x:v>7.86</x:v>
      </x:c>
      <x:c r="AZ359" s="226" t="n">
        <x:f>V359*AX359</x:f>
        <x:v>183.88212242400002</x:v>
      </x:c>
      <x:c r="BA359" s="226" t="n">
        <x:f>AZ359*AY359</x:f>
        <x:v>1445.3134822526401</x:v>
      </x:c>
      <x:c r="BB359" s="226" t="n">
        <x:f>AF359+AG359+AL359+AQ359+AV359+BA359</x:f>
        <x:v>170865.559474594</x:v>
      </x:c>
      <x:c r="BC359" s="229" t="n">
        <x:v>0.973</x:v>
      </x:c>
      <x:c r="BD359" s="202"/>
      <x:c r="BE359" s="202" t="str">
        <x:v>正式 Forecast 逐月降低英国空运及 Carrier C 份额，但仍高于 Budget</x:v>
      </x:c>
      <x:c r="BF359" s="202" t="str">
        <x:v>仅在现有承运商与有效线路内调整英国运输结构；承运能力未验证；一次性切换成本不适用</x:v>
      </x:c>
      <x:c r="BG359" s="202" t="str">
        <x:v>UNVERIFIED_UNLIMITED_FOR_MVP</x:v>
      </x:c>
    </x:row>
    <x:row r="360">
      <x:c r="A360" s="187" t="str">
        <x:v>SCENARIO_COST_SAVING_2026_08</x:v>
      </x:c>
      <x:c r="B360" s="187" t="str">
        <x:v>SCENARIO</x:v>
      </x:c>
      <x:c r="C360" s="187" t="str">
        <x:v>COST_SAVING</x:v>
      </x:c>
      <x:c r="D360" s="217" t="n">
        <x:v>46357</x:v>
      </x:c>
      <x:c r="E360" s="187" t="str">
        <x:v>R_GB_DE_A_ROAD</x:v>
      </x:c>
      <x:c r="F360" s="187" t="str">
        <x:v>GB</x:v>
      </x:c>
      <x:c r="G360" s="187" t="str">
        <x:v>DE_FC</x:v>
      </x:c>
      <x:c r="H360" s="187" t="str">
        <x:v>CARRIER_A</x:v>
      </x:c>
      <x:c r="I360" s="187" t="str">
        <x:v>ROAD</x:v>
      </x:c>
      <x:c r="J360" s="220" t="n">
        <x:v>28600</x:v>
      </x:c>
      <x:c r="K360" s="223" t="n">
        <x:v>0.4</x:v>
      </x:c>
      <x:c r="L360" s="223" t="n">
        <x:v>0.96</x:v>
      </x:c>
      <x:c r="M360" s="223" t="n">
        <x:v>0.58</x:v>
      </x:c>
      <x:c r="N360" s="226" t="n">
        <x:f>J360*K360*L360*M360</x:f>
        <x:v>6369.7919999999995</x:v>
      </x:c>
      <x:c r="O360" s="220" t="n">
        <x:v>1.13</x:v>
      </x:c>
      <x:c r="P360" s="226" t="n">
        <x:f>N360*O360</x:f>
        <x:v>7197.864959999999</x:v>
      </x:c>
      <x:c r="Q360" s="220" t="n">
        <x:v>1.050804</x:v>
      </x:c>
      <x:c r="R360" s="226" t="n">
        <x:f>P360*Q360</x:f>
        <x:v>7563.545291427839</x:v>
      </x:c>
      <x:c r="S360" s="220" t="n">
        <x:v>0.09</x:v>
      </x:c>
      <x:c r="T360" s="226" t="n">
        <x:f>N360*S360</x:f>
        <x:v>573.2812799999999</x:v>
      </x:c>
      <x:c r="U360" s="226" t="n">
        <x:v>0.0243</x:v>
      </x:c>
      <x:c r="V360" s="226" t="n">
        <x:f>P360*U360</x:f>
        <x:v>174.90811852799996</x:v>
      </x:c>
      <x:c r="W360" s="196" t="str">
        <x:v>GBP</x:v>
      </x:c>
      <x:c r="X360" s="220" t="n">
        <x:v>4.14</x:v>
      </x:c>
      <x:c r="Y360" s="196" t="str">
        <x:v>PERCENTAGE_OF_BASE_FREIGHT</x:v>
      </x:c>
      <x:c r="Z360" s="220" t="n">
        <x:v>0.1035</x:v>
      </x:c>
      <x:c r="AA360" s="220" t="n">
        <x:v>7.86</x:v>
      </x:c>
      <x:c r="AB360" s="220" t="n">
        <x:v>9</x:v>
      </x:c>
      <x:c r="AC360" s="226" t="n">
        <x:f>IF(W360="EUR",AA360,IF(W360="GBP",AB360,1))</x:f>
        <x:v>9</x:v>
      </x:c>
      <x:c r="AD360" s="226" t="n">
        <x:f>R360*X360</x:f>
        <x:v>31313.077506511254</x:v>
      </x:c>
      <x:c r="AE360" s="226" t="n">
        <x:f>IF(Y360="PERCENTAGE_OF_BASE_FREIGHT",AD360*Z360,IF(Y360="PER_CHARGEABLE_KG",R360*Z360,P360*Z360))</x:f>
        <x:v>3240.9035219239145</x:v>
      </x:c>
      <x:c r="AF360" s="226" t="n">
        <x:f>AD360*AC360</x:f>
        <x:v>281817.69755860127</x:v>
      </x:c>
      <x:c r="AG360" s="226" t="n">
        <x:f>AE360*AC360</x:f>
        <x:v>29168.13169731523</x:v>
      </x:c>
      <x:c r="AH360" s="226" t="str">
        <x:v>EUR</x:v>
      </x:c>
      <x:c r="AI360" s="226" t="n">
        <x:v>1.2213</x:v>
      </x:c>
      <x:c r="AJ360" s="226" t="n">
        <x:f>IF(AH360="EUR",AA360,IF(AH360="GBP",AB360,1))</x:f>
        <x:v>7.86</x:v>
      </x:c>
      <x:c r="AK360" s="226" t="n">
        <x:f>N360*AI360</x:f>
        <x:v>7779.4269696</x:v>
      </x:c>
      <x:c r="AL360" s="226" t="n">
        <x:f>AK360*AJ360</x:f>
        <x:v>61146.295981056006</x:v>
      </x:c>
      <x:c r="AM360" s="226" t="str">
        <x:v>EUR</x:v>
      </x:c>
      <x:c r="AN360" s="226" t="n">
        <x:v>0.4347</x:v>
      </x:c>
      <x:c r="AO360" s="226" t="n">
        <x:f>IF(AM360="EUR",AA360,IF(AM360="GBP",AB360,1))</x:f>
        <x:v>7.86</x:v>
      </x:c>
      <x:c r="AP360" s="226" t="n">
        <x:f>P360*AN360</x:f>
        <x:v>3128.9118981119996</x:v>
      </x:c>
      <x:c r="AQ360" s="226" t="n">
        <x:f>AP360*AO360</x:f>
        <x:v>24593.24751916032</x:v>
      </x:c>
      <x:c r="AR360" s="226" t="str">
        <x:v>GBP</x:v>
      </x:c>
      <x:c r="AS360" s="226" t="n">
        <x:v>4.968</x:v>
      </x:c>
      <x:c r="AT360" s="226" t="n">
        <x:f>IF(AR360="EUR",AA360,IF(AR360="GBP",AB360,1))</x:f>
        <x:v>9</x:v>
      </x:c>
      <x:c r="AU360" s="226" t="n">
        <x:f>T360*AS360</x:f>
        <x:v>2848.0613990399997</x:v>
      </x:c>
      <x:c r="AV360" s="226" t="n">
        <x:f>AU360*AT360</x:f>
        <x:v>25632.55259136</x:v>
      </x:c>
      <x:c r="AW360" s="226" t="str">
        <x:v>GBP</x:v>
      </x:c>
      <x:c r="AX360" s="226" t="n">
        <x:v>2.3805</x:v>
      </x:c>
      <x:c r="AY360" s="226" t="n">
        <x:f>IF(AW360="EUR",AA360,IF(AW360="GBP",AB360,1))</x:f>
        <x:v>9</x:v>
      </x:c>
      <x:c r="AZ360" s="226" t="n">
        <x:f>V360*AX360</x:f>
        <x:v>416.3687761559039</x:v>
      </x:c>
      <x:c r="BA360" s="226" t="n">
        <x:f>AZ360*AY360</x:f>
        <x:v>3747.3189854031352</x:v>
      </x:c>
      <x:c r="BB360" s="226" t="n">
        <x:f>AF360+AG360+AL360+AQ360+AV360+BA360</x:f>
        <x:v>426105.24433289596</x:v>
      </x:c>
      <x:c r="BC360" s="229" t="n">
        <x:v>0.93</x:v>
      </x:c>
      <x:c r="BD360" s="202"/>
      <x:c r="BE360" s="202" t="str">
        <x:v>正式 Forecast 逐月降低英国空运及 Carrier C 份额，但仍高于 Budget</x:v>
      </x:c>
      <x:c r="BF360" s="202" t="str">
        <x:v>仅在现有承运商与有效线路内调整英国运输结构；承运能力未验证；一次性切换成本不适用</x:v>
      </x:c>
      <x:c r="BG360" s="202" t="str">
        <x:v>UNVERIFIED_UNLIMITED_FOR_MVP</x:v>
      </x:c>
    </x:row>
    <x:row r="361">
      <x:c r="A361" s="187" t="str">
        <x:v>SCENARIO_COST_SAVING_2026_08</x:v>
      </x:c>
      <x:c r="B361" s="187" t="str">
        <x:v>SCENARIO</x:v>
      </x:c>
      <x:c r="C361" s="187" t="str">
        <x:v>COST_SAVING</x:v>
      </x:c>
      <x:c r="D361" s="217" t="n">
        <x:v>46357</x:v>
      </x:c>
      <x:c r="E361" s="187" t="str">
        <x:v>R_GB_DE_B_ROAD</x:v>
      </x:c>
      <x:c r="F361" s="187" t="str">
        <x:v>GB</x:v>
      </x:c>
      <x:c r="G361" s="187" t="str">
        <x:v>DE_FC</x:v>
      </x:c>
      <x:c r="H361" s="187" t="str">
        <x:v>CARRIER_B</x:v>
      </x:c>
      <x:c r="I361" s="187" t="str">
        <x:v>ROAD</x:v>
      </x:c>
      <x:c r="J361" s="220" t="n">
        <x:v>28600</x:v>
      </x:c>
      <x:c r="K361" s="223" t="n">
        <x:v>0.4</x:v>
      </x:c>
      <x:c r="L361" s="223" t="n">
        <x:v>0.96</x:v>
      </x:c>
      <x:c r="M361" s="223" t="n">
        <x:v>0.28</x:v>
      </x:c>
      <x:c r="N361" s="226" t="n">
        <x:f>J361*K361*L361*M361</x:f>
        <x:v>3075.072</x:v>
      </x:c>
      <x:c r="O361" s="220" t="n">
        <x:v>1.13</x:v>
      </x:c>
      <x:c r="P361" s="226" t="n">
        <x:f>N361*O361</x:f>
        <x:v>3474.8313599999997</x:v>
      </x:c>
      <x:c r="Q361" s="220" t="n">
        <x:v>1.0302</x:v>
      </x:c>
      <x:c r="R361" s="226" t="n">
        <x:f>P361*Q361</x:f>
        <x:v>3579.771267072</x:v>
      </x:c>
      <x:c r="S361" s="220" t="n">
        <x:v>0.09</x:v>
      </x:c>
      <x:c r="T361" s="226" t="n">
        <x:f>N361*S361</x:f>
        <x:v>276.75648</x:v>
      </x:c>
      <x:c r="U361" s="226" t="n">
        <x:v>0.018</x:v>
      </x:c>
      <x:c r="V361" s="226" t="n">
        <x:f>P361*U361</x:f>
        <x:v>62.54696447999999</x:v>
      </x:c>
      <x:c r="W361" s="196" t="str">
        <x:v>GBP</x:v>
      </x:c>
      <x:c r="X361" s="220" t="n">
        <x:v>4.8645</x:v>
      </x:c>
      <x:c r="Y361" s="196" t="str">
        <x:v>PER_CHARGEABLE_KG</x:v>
      </x:c>
      <x:c r="Z361" s="220" t="n">
        <x:v>0.34155</x:v>
      </x:c>
      <x:c r="AA361" s="220" t="n">
        <x:v>7.86</x:v>
      </x:c>
      <x:c r="AB361" s="220" t="n">
        <x:v>9</x:v>
      </x:c>
      <x:c r="AC361" s="226" t="n">
        <x:f>IF(W361="EUR",AA361,IF(W361="GBP",AB361,1))</x:f>
        <x:v>9</x:v>
      </x:c>
      <x:c r="AD361" s="226" t="n">
        <x:f>R361*X361</x:f>
        <x:v>17413.797328671742</x:v>
      </x:c>
      <x:c r="AE361" s="226" t="n">
        <x:f>IF(Y361="PERCENTAGE_OF_BASE_FREIGHT",AD361*Z361,IF(Y361="PER_CHARGEABLE_KG",R361*Z361,P361*Z361))</x:f>
        <x:v>1222.6708762684416</x:v>
      </x:c>
      <x:c r="AF361" s="226" t="n">
        <x:f>AD361*AC361</x:f>
        <x:v>156724.17595804567</x:v>
      </x:c>
      <x:c r="AG361" s="226" t="n">
        <x:f>AE361*AC361</x:f>
        <x:v>11004.037886415974</x:v>
      </x:c>
      <x:c r="AH361" s="226" t="str">
        <x:v>EUR</x:v>
      </x:c>
      <x:c r="AI361" s="226" t="n">
        <x:v>1.2213</x:v>
      </x:c>
      <x:c r="AJ361" s="226" t="n">
        <x:f>IF(AH361="EUR",AA361,IF(AH361="GBP",AB361,1))</x:f>
        <x:v>7.86</x:v>
      </x:c>
      <x:c r="AK361" s="226" t="n">
        <x:f>N361*AI361</x:f>
        <x:v>3755.5854336</x:v>
      </x:c>
      <x:c r="AL361" s="226" t="n">
        <x:f>AK361*AJ361</x:f>
        <x:v>29518.901508096</x:v>
      </x:c>
      <x:c r="AM361" s="226" t="str">
        <x:v>EUR</x:v>
      </x:c>
      <x:c r="AN361" s="226" t="n">
        <x:v>0.4347</x:v>
      </x:c>
      <x:c r="AO361" s="226" t="n">
        <x:f>IF(AM361="EUR",AA361,IF(AM361="GBP",AB361,1))</x:f>
        <x:v>7.86</x:v>
      </x:c>
      <x:c r="AP361" s="226" t="n">
        <x:f>P361*AN361</x:f>
        <x:v>1510.5091921919998</x:v>
      </x:c>
      <x:c r="AQ361" s="226" t="n">
        <x:f>AP361*AO361</x:f>
        <x:v>11872.60225062912</x:v>
      </x:c>
      <x:c r="AR361" s="226" t="str">
        <x:v>GBP</x:v>
      </x:c>
      <x:c r="AS361" s="226" t="n">
        <x:v>4.968</x:v>
      </x:c>
      <x:c r="AT361" s="226" t="n">
        <x:f>IF(AR361="EUR",AA361,IF(AR361="GBP",AB361,1))</x:f>
        <x:v>9</x:v>
      </x:c>
      <x:c r="AU361" s="226" t="n">
        <x:f>T361*AS361</x:f>
        <x:v>1374.92619264</x:v>
      </x:c>
      <x:c r="AV361" s="226" t="n">
        <x:f>AU361*AT361</x:f>
        <x:v>12374.33573376</x:v>
      </x:c>
      <x:c r="AW361" s="226" t="str">
        <x:v>GBP</x:v>
      </x:c>
      <x:c r="AX361" s="226" t="n">
        <x:v>2.3805</x:v>
      </x:c>
      <x:c r="AY361" s="226" t="n">
        <x:f>IF(AW361="EUR",AA361,IF(AW361="GBP",AB361,1))</x:f>
        <x:v>9</x:v>
      </x:c>
      <x:c r="AZ361" s="226" t="n">
        <x:f>V361*AX361</x:f>
        <x:v>148.89304894464</x:v>
      </x:c>
      <x:c r="BA361" s="226" t="n">
        <x:f>AZ361*AY361</x:f>
        <x:v>1340.0374405017599</x:v>
      </x:c>
      <x:c r="BB361" s="226" t="n">
        <x:f>AF361+AG361+AL361+AQ361+AV361+BA361</x:f>
        <x:v>222834.09077744855</x:v>
      </x:c>
      <x:c r="BC361" s="229" t="n">
        <x:v>0.95</x:v>
      </x:c>
      <x:c r="BD361" s="202"/>
      <x:c r="BE361" s="202" t="str">
        <x:v>正式 Forecast 逐月降低英国空运及 Carrier C 份额，但仍高于 Budget</x:v>
      </x:c>
      <x:c r="BF361" s="202" t="str">
        <x:v>仅在现有承运商与有效线路内调整英国运输结构；承运能力未验证；一次性切换成本不适用</x:v>
      </x:c>
      <x:c r="BG361" s="202" t="str">
        <x:v>UNVERIFIED_UNLIMITED_FOR_MVP</x:v>
      </x:c>
    </x:row>
    <x:row r="362">
      <x:c r="A362" s="187" t="str">
        <x:v>SCENARIO_COST_SAVING_2026_08</x:v>
      </x:c>
      <x:c r="B362" s="187" t="str">
        <x:v>SCENARIO</x:v>
      </x:c>
      <x:c r="C362" s="187" t="str">
        <x:v>COST_SAVING</x:v>
      </x:c>
      <x:c r="D362" s="217" t="n">
        <x:v>46357</x:v>
      </x:c>
      <x:c r="E362" s="187" t="str">
        <x:v>R_GB_DE_B_AIR</x:v>
      </x:c>
      <x:c r="F362" s="187" t="str">
        <x:v>GB</x:v>
      </x:c>
      <x:c r="G362" s="187" t="str">
        <x:v>DE_FC</x:v>
      </x:c>
      <x:c r="H362" s="187" t="str">
        <x:v>CARRIER_B</x:v>
      </x:c>
      <x:c r="I362" s="187" t="str">
        <x:v>AIR</x:v>
      </x:c>
      <x:c r="J362" s="220" t="n">
        <x:v>28600</x:v>
      </x:c>
      <x:c r="K362" s="223" t="n">
        <x:v>0.4</x:v>
      </x:c>
      <x:c r="L362" s="223" t="n">
        <x:v>0.96</x:v>
      </x:c>
      <x:c r="M362" s="223" t="n">
        <x:v>0.1</x:v>
      </x:c>
      <x:c r="N362" s="226" t="n">
        <x:f>J362*K362*L362*M362</x:f>
        <x:v>1098.24</x:v>
      </x:c>
      <x:c r="O362" s="220" t="n">
        <x:v>1.13</x:v>
      </x:c>
      <x:c r="P362" s="226" t="n">
        <x:f>N362*O362</x:f>
        <x:v>1241.0112</x:v>
      </x:c>
      <x:c r="Q362" s="220" t="n">
        <x:v>0.968388</x:v>
      </x:c>
      <x:c r="R362" s="226" t="n">
        <x:f>P362*Q362</x:f>
        <x:v>1201.7803539456</x:v>
      </x:c>
      <x:c r="S362" s="220" t="n">
        <x:v>0.09</x:v>
      </x:c>
      <x:c r="T362" s="226" t="n">
        <x:f>N362*S362</x:f>
        <x:v>98.8416</x:v>
      </x:c>
      <x:c r="U362" s="226" t="n">
        <x:v>0.0144</x:v>
      </x:c>
      <x:c r="V362" s="226" t="n">
        <x:f>P362*U362</x:f>
        <x:v>17.870561279999997</x:v>
      </x:c>
      <x:c r="W362" s="196" t="str">
        <x:v>GBP</x:v>
      </x:c>
      <x:c r="X362" s="220" t="n">
        <x:v>6.67368</x:v>
      </x:c>
      <x:c r="Y362" s="196" t="str">
        <x:v>PERCENTAGE_OF_BASE_FREIGHT</x:v>
      </x:c>
      <x:c r="Z362" s="220" t="n">
        <x:v>0.123786</x:v>
      </x:c>
      <x:c r="AA362" s="220" t="n">
        <x:v>7.86</x:v>
      </x:c>
      <x:c r="AB362" s="220" t="n">
        <x:v>9</x:v>
      </x:c>
      <x:c r="AC362" s="226" t="n">
        <x:f>IF(W362="EUR",AA362,IF(W362="GBP",AB362,1))</x:f>
        <x:v>9</x:v>
      </x:c>
      <x:c r="AD362" s="226" t="n">
        <x:f>R362*X362</x:f>
        <x:v>8020.297512519672</x:v>
      </x:c>
      <x:c r="AE362" s="226" t="n">
        <x:f>IF(Y362="PERCENTAGE_OF_BASE_FREIGHT",AD362*Z362,IF(Y362="PER_CHARGEABLE_KG",R362*Z362,P362*Z362))</x:f>
        <x:v>992.80054788476</x:v>
      </x:c>
      <x:c r="AF362" s="226" t="n">
        <x:f>AD362*AC362</x:f>
        <x:v>72182.67761267704</x:v>
      </x:c>
      <x:c r="AG362" s="226" t="n">
        <x:f>AE362*AC362</x:f>
        <x:v>8935.20493096284</x:v>
      </x:c>
      <x:c r="AH362" s="226" t="str">
        <x:v>EUR</x:v>
      </x:c>
      <x:c r="AI362" s="226" t="n">
        <x:v>1.2213</x:v>
      </x:c>
      <x:c r="AJ362" s="226" t="n">
        <x:f>IF(AH362="EUR",AA362,IF(AH362="GBP",AB362,1))</x:f>
        <x:v>7.86</x:v>
      </x:c>
      <x:c r="AK362" s="226" t="n">
        <x:f>N362*AI362</x:f>
        <x:v>1341.280512</x:v>
      </x:c>
      <x:c r="AL362" s="226" t="n">
        <x:f>AK362*AJ362</x:f>
        <x:v>10542.46482432</x:v>
      </x:c>
      <x:c r="AM362" s="226" t="str">
        <x:v>EUR</x:v>
      </x:c>
      <x:c r="AN362" s="226" t="n">
        <x:v>0.4347</x:v>
      </x:c>
      <x:c r="AO362" s="226" t="n">
        <x:f>IF(AM362="EUR",AA362,IF(AM362="GBP",AB362,1))</x:f>
        <x:v>7.86</x:v>
      </x:c>
      <x:c r="AP362" s="226" t="n">
        <x:f>P362*AN362</x:f>
        <x:v>539.46756864</x:v>
      </x:c>
      <x:c r="AQ362" s="226" t="n">
        <x:f>AP362*AO362</x:f>
        <x:v>4240.2150895104</x:v>
      </x:c>
      <x:c r="AR362" s="226" t="str">
        <x:v>GBP</x:v>
      </x:c>
      <x:c r="AS362" s="226" t="n">
        <x:v>4.968</x:v>
      </x:c>
      <x:c r="AT362" s="226" t="n">
        <x:f>IF(AR362="EUR",AA362,IF(AR362="GBP",AB362,1))</x:f>
        <x:v>9</x:v>
      </x:c>
      <x:c r="AU362" s="226" t="n">
        <x:f>T362*AS362</x:f>
        <x:v>491.04506879999997</x:v>
      </x:c>
      <x:c r="AV362" s="226" t="n">
        <x:f>AU362*AT362</x:f>
        <x:v>4419.4056192</x:v>
      </x:c>
      <x:c r="AW362" s="226" t="str">
        <x:v>GBP</x:v>
      </x:c>
      <x:c r="AX362" s="226" t="n">
        <x:v>2.898</x:v>
      </x:c>
      <x:c r="AY362" s="226" t="n">
        <x:f>IF(AW362="EUR",AA362,IF(AW362="GBP",AB362,1))</x:f>
        <x:v>9</x:v>
      </x:c>
      <x:c r="AZ362" s="226" t="n">
        <x:f>V362*AX362</x:f>
        <x:v>51.78888658943999</x:v>
      </x:c>
      <x:c r="BA362" s="226" t="n">
        <x:f>AZ362*AY362</x:f>
        <x:v>466.0999793049599</x:v>
      </x:c>
      <x:c r="BB362" s="226" t="n">
        <x:f>AF362+AG362+AL362+AQ362+AV362+BA362</x:f>
        <x:v>100786.06805597524</x:v>
      </x:c>
      <x:c r="BC362" s="229" t="n">
        <x:v>0.974</x:v>
      </x:c>
      <x:c r="BD362" s="202"/>
      <x:c r="BE362" s="202" t="str">
        <x:v>正式 Forecast 逐月降低英国空运及 Carrier C 份额，但仍高于 Budget</x:v>
      </x:c>
      <x:c r="BF362" s="202" t="str">
        <x:v>仅在现有承运商与有效线路内调整英国运输结构；承运能力未验证；一次性切换成本不适用</x:v>
      </x:c>
      <x:c r="BG362" s="202" t="str">
        <x:v>UNVERIFIED_UNLIMITED_FOR_MVP</x:v>
      </x:c>
    </x:row>
    <x:row r="363">
      <x:c r="A363" s="187" t="str">
        <x:v>SCENARIO_COST_SAVING_2026_08</x:v>
      </x:c>
      <x:c r="B363" s="187" t="str">
        <x:v>SCENARIO</x:v>
      </x:c>
      <x:c r="C363" s="187" t="str">
        <x:v>COST_SAVING</x:v>
      </x:c>
      <x:c r="D363" s="217" t="n">
        <x:v>46357</x:v>
      </x:c>
      <x:c r="E363" s="187" t="str">
        <x:v>R_GB_DE_C_AIR</x:v>
      </x:c>
      <x:c r="F363" s="187" t="str">
        <x:v>GB</x:v>
      </x:c>
      <x:c r="G363" s="187" t="str">
        <x:v>DE_FC</x:v>
      </x:c>
      <x:c r="H363" s="187" t="str">
        <x:v>CARRIER_C</x:v>
      </x:c>
      <x:c r="I363" s="187" t="str">
        <x:v>AIR</x:v>
      </x:c>
      <x:c r="J363" s="220" t="n">
        <x:v>28600</x:v>
      </x:c>
      <x:c r="K363" s="223" t="n">
        <x:v>0.4</x:v>
      </x:c>
      <x:c r="L363" s="223" t="n">
        <x:v>0.96</x:v>
      </x:c>
      <x:c r="M363" s="223" t="n">
        <x:v>0.04</x:v>
      </x:c>
      <x:c r="N363" s="226" t="n">
        <x:f>J363*K363*L363*M363</x:f>
        <x:v>439.296</x:v>
      </x:c>
      <x:c r="O363" s="220" t="n">
        <x:v>1.13</x:v>
      </x:c>
      <x:c r="P363" s="226" t="n">
        <x:f>N363*O363</x:f>
        <x:v>496.4044799999999</x:v>
      </x:c>
      <x:c r="Q363" s="220" t="n">
        <x:v>0.947784</x:v>
      </x:c>
      <x:c r="R363" s="226" t="n">
        <x:f>P363*Q363</x:f>
        <x:v>470.4842236723199</x:v>
      </x:c>
      <x:c r="S363" s="220" t="n">
        <x:v>0.09</x:v>
      </x:c>
      <x:c r="T363" s="226" t="n">
        <x:f>N363*S363</x:f>
        <x:v>39.53664</x:v>
      </x:c>
      <x:c r="U363" s="226" t="n">
        <x:v>0.0099</x:v>
      </x:c>
      <x:c r="V363" s="226" t="n">
        <x:f>P363*U363</x:f>
        <x:v>4.914404352</x:v>
      </x:c>
      <x:c r="W363" s="196" t="str">
        <x:v>GBP</x:v>
      </x:c>
      <x:c r="X363" s="220" t="n">
        <x:v>8.22825</x:v>
      </x:c>
      <x:c r="Y363" s="196" t="str">
        <x:v>PER_CHARGEABLE_KG</x:v>
      </x:c>
      <x:c r="Z363" s="220" t="n">
        <x:v>0.636318</x:v>
      </x:c>
      <x:c r="AA363" s="220" t="n">
        <x:v>7.86</x:v>
      </x:c>
      <x:c r="AB363" s="220" t="n">
        <x:v>9</x:v>
      </x:c>
      <x:c r="AC363" s="226" t="n">
        <x:f>IF(W363="EUR",AA363,IF(W363="GBP",AB363,1))</x:f>
        <x:v>9</x:v>
      </x:c>
      <x:c r="AD363" s="226" t="n">
        <x:f>R363*X363</x:f>
        <x:v>3871.261813431766</x:v>
      </x:c>
      <x:c r="AE363" s="226" t="n">
        <x:f>IF(Y363="PERCENTAGE_OF_BASE_FREIGHT",AD363*Z363,IF(Y363="PER_CHARGEABLE_KG",R363*Z363,P363*Z363))</x:f>
        <x:v>299.3775802387233</x:v>
      </x:c>
      <x:c r="AF363" s="226" t="n">
        <x:f>AD363*AC363</x:f>
        <x:v>34841.35632088589</x:v>
      </x:c>
      <x:c r="AG363" s="226" t="n">
        <x:f>AE363*AC363</x:f>
        <x:v>2694.3982221485094</x:v>
      </x:c>
      <x:c r="AH363" s="226" t="str">
        <x:v>EUR</x:v>
      </x:c>
      <x:c r="AI363" s="226" t="n">
        <x:v>1.2213</x:v>
      </x:c>
      <x:c r="AJ363" s="226" t="n">
        <x:f>IF(AH363="EUR",AA363,IF(AH363="GBP",AB363,1))</x:f>
        <x:v>7.86</x:v>
      </x:c>
      <x:c r="AK363" s="226" t="n">
        <x:f>N363*AI363</x:f>
        <x:v>536.5122048000001</x:v>
      </x:c>
      <x:c r="AL363" s="226" t="n">
        <x:f>AK363*AJ363</x:f>
        <x:v>4216.985929728001</x:v>
      </x:c>
      <x:c r="AM363" s="226" t="str">
        <x:v>EUR</x:v>
      </x:c>
      <x:c r="AN363" s="226" t="n">
        <x:v>0.4347</x:v>
      </x:c>
      <x:c r="AO363" s="226" t="n">
        <x:f>IF(AM363="EUR",AA363,IF(AM363="GBP",AB363,1))</x:f>
        <x:v>7.86</x:v>
      </x:c>
      <x:c r="AP363" s="226" t="n">
        <x:f>P363*AN363</x:f>
        <x:v>215.78702745599995</x:v>
      </x:c>
      <x:c r="AQ363" s="226" t="n">
        <x:f>AP363*AO363</x:f>
        <x:v>1696.0860358041596</x:v>
      </x:c>
      <x:c r="AR363" s="226" t="str">
        <x:v>GBP</x:v>
      </x:c>
      <x:c r="AS363" s="226" t="n">
        <x:v>4.968</x:v>
      </x:c>
      <x:c r="AT363" s="226" t="n">
        <x:f>IF(AR363="EUR",AA363,IF(AR363="GBP",AB363,1))</x:f>
        <x:v>9</x:v>
      </x:c>
      <x:c r="AU363" s="226" t="n">
        <x:f>T363*AS363</x:f>
        <x:v>196.41802751999998</x:v>
      </x:c>
      <x:c r="AV363" s="226" t="n">
        <x:f>AU363*AT363</x:f>
        <x:v>1767.7622476799997</x:v>
      </x:c>
      <x:c r="AW363" s="226" t="str">
        <x:v>GBP</x:v>
      </x:c>
      <x:c r="AX363" s="226" t="n">
        <x:v>3.726</x:v>
      </x:c>
      <x:c r="AY363" s="226" t="n">
        <x:f>IF(AW363="EUR",AA363,IF(AW363="GBP",AB363,1))</x:f>
        <x:v>9</x:v>
      </x:c>
      <x:c r="AZ363" s="226" t="n">
        <x:f>V363*AX363</x:f>
        <x:v>18.311070615552</x:v>
      </x:c>
      <x:c r="BA363" s="226" t="n">
        <x:f>AZ363*AY363</x:f>
        <x:v>164.79963553996802</x:v>
      </x:c>
      <x:c r="BB363" s="226" t="n">
        <x:f>AF363+AG363+AL363+AQ363+AV363+BA363</x:f>
        <x:v>45381.38839178653</x:v>
      </x:c>
      <x:c r="BC363" s="229" t="n">
        <x:v>0.988</x:v>
      </x:c>
      <x:c r="BD363" s="202"/>
      <x:c r="BE363" s="202" t="str">
        <x:v>正式 Forecast 逐月降低英国空运及 Carrier C 份额，但仍高于 Budget</x:v>
      </x:c>
      <x:c r="BF363" s="202" t="str">
        <x:v>仅在现有承运商与有效线路内调整英国运输结构；承运能力未验证；一次性切换成本不适用</x:v>
      </x:c>
      <x:c r="BG363" s="202" t="str">
        <x:v>UNVERIFIED_UNLIMITED_FOR_MVP</x:v>
      </x:c>
    </x:row>
    <x:row r="364">
      <x:c r="A364" s="188" t="str">
        <x:v>SCENARIO_COST_SAVING_2026_08</x:v>
      </x:c>
      <x:c r="B364" s="188" t="str">
        <x:v>SCENARIO</x:v>
      </x:c>
      <x:c r="C364" s="188" t="str">
        <x:v>COST_SAVING</x:v>
      </x:c>
      <x:c r="D364" s="218" t="n">
        <x:v>46357</x:v>
      </x:c>
      <x:c r="E364" s="188" t="str">
        <x:v>R_GB_FR_B_AIR</x:v>
      </x:c>
      <x:c r="F364" s="188" t="str">
        <x:v>GB</x:v>
      </x:c>
      <x:c r="G364" s="188" t="str">
        <x:v>FR_FC</x:v>
      </x:c>
      <x:c r="H364" s="188" t="str">
        <x:v>CARRIER_B</x:v>
      </x:c>
      <x:c r="I364" s="188" t="str">
        <x:v>AIR</x:v>
      </x:c>
      <x:c r="J364" s="221" t="n">
        <x:v>28600</x:v>
      </x:c>
      <x:c r="K364" s="224" t="n">
        <x:v>0.4</x:v>
      </x:c>
      <x:c r="L364" s="224" t="n">
        <x:v>0.04</x:v>
      </x:c>
      <x:c r="M364" s="224" t="n">
        <x:v>1</x:v>
      </x:c>
      <x:c r="N364" s="227" t="n">
        <x:f>J364*K364*L364*M364</x:f>
        <x:v>457.6</x:v>
      </x:c>
      <x:c r="O364" s="221" t="n">
        <x:v>1.17</x:v>
      </x:c>
      <x:c r="P364" s="227" t="n">
        <x:f>N364*O364</x:f>
        <x:v>535.3919999999999</x:v>
      </x:c>
      <x:c r="Q364" s="221" t="n">
        <x:v>0.92718</x:v>
      </x:c>
      <x:c r="R364" s="227" t="n">
        <x:f>P364*Q364</x:f>
        <x:v>496.40475455999996</x:v>
      </x:c>
      <x:c r="S364" s="221" t="n">
        <x:v>0.09</x:v>
      </x:c>
      <x:c r="T364" s="227" t="n">
        <x:f>N364*S364</x:f>
        <x:v>41.184</x:v>
      </x:c>
      <x:c r="U364" s="227" t="n">
        <x:v>0.0126</x:v>
      </x:c>
      <x:c r="V364" s="227" t="n">
        <x:f>P364*U364</x:f>
        <x:v>6.7459392</x:v>
      </x:c>
      <x:c r="W364" s="197" t="str">
        <x:v>EUR</x:v>
      </x:c>
      <x:c r="X364" s="221" t="n">
        <x:v>6.9345</x:v>
      </x:c>
      <x:c r="Y364" s="197" t="str">
        <x:v>PERCENTAGE_OF_BASE_FREIGHT</x:v>
      </x:c>
      <x:c r="Z364" s="221" t="n">
        <x:v>0.108675</x:v>
      </x:c>
      <x:c r="AA364" s="221" t="n">
        <x:v>7.86</x:v>
      </x:c>
      <x:c r="AB364" s="221" t="n">
        <x:v>9</x:v>
      </x:c>
      <x:c r="AC364" s="227" t="n">
        <x:f>IF(W364="EUR",AA364,IF(W364="GBP",AB364,1))</x:f>
        <x:v>7.86</x:v>
      </x:c>
      <x:c r="AD364" s="227" t="n">
        <x:f>R364*X364</x:f>
        <x:v>3442.3187704963198</x:v>
      </x:c>
      <x:c r="AE364" s="227" t="n">
        <x:f>IF(Y364="PERCENTAGE_OF_BASE_FREIGHT",AD364*Z364,IF(Y364="PER_CHARGEABLE_KG",R364*Z364,P364*Z364))</x:f>
        <x:v>374.0939923836875</x:v>
      </x:c>
      <x:c r="AF364" s="227" t="n">
        <x:f>AD364*AC364</x:f>
        <x:v>27056.625536101074</x:v>
      </x:c>
      <x:c r="AG364" s="227" t="n">
        <x:f>AE364*AC364</x:f>
        <x:v>2940.378780135784</x:v>
      </x:c>
      <x:c r="AH364" s="227" t="str">
        <x:v>EUR</x:v>
      </x:c>
      <x:c r="AI364" s="227" t="n">
        <x:v>1.08675</x:v>
      </x:c>
      <x:c r="AJ364" s="227" t="n">
        <x:f>IF(AH364="EUR",AA364,IF(AH364="GBP",AB364,1))</x:f>
        <x:v>7.86</x:v>
      </x:c>
      <x:c r="AK364" s="227" t="n">
        <x:f>N364*AI364</x:f>
        <x:v>497.2968000000001</x:v>
      </x:c>
      <x:c r="AL364" s="227" t="n">
        <x:f>AK364*AJ364</x:f>
        <x:v>3908.7528480000005</x:v>
      </x:c>
      <x:c r="AM364" s="227" t="str">
        <x:v>EUR</x:v>
      </x:c>
      <x:c r="AN364" s="227" t="n">
        <x:v>0.3933</x:v>
      </x:c>
      <x:c r="AO364" s="227" t="n">
        <x:f>IF(AM364="EUR",AA364,IF(AM364="GBP",AB364,1))</x:f>
        <x:v>7.86</x:v>
      </x:c>
      <x:c r="AP364" s="227" t="n">
        <x:f>P364*AN364</x:f>
        <x:v>210.56967359999996</x:v>
      </x:c>
      <x:c r="AQ364" s="227" t="n">
        <x:f>AP364*AO364</x:f>
        <x:v>1655.0776344959997</x:v>
      </x:c>
      <x:c r="AR364" s="227" t="str">
        <x:v>EUR</x:v>
      </x:c>
      <x:c r="AS364" s="227" t="n">
        <x:v>5.382</x:v>
      </x:c>
      <x:c r="AT364" s="227" t="n">
        <x:f>IF(AR364="EUR",AA364,IF(AR364="GBP",AB364,1))</x:f>
        <x:v>7.86</x:v>
      </x:c>
      <x:c r="AU364" s="227" t="n">
        <x:f>T364*AS364</x:f>
        <x:v>221.65228799999997</x:v>
      </x:c>
      <x:c r="AV364" s="227" t="n">
        <x:f>AU364*AT364</x:f>
        <x:v>1742.18698368</x:v>
      </x:c>
      <x:c r="AW364" s="227" t="str">
        <x:v>EUR</x:v>
      </x:c>
      <x:c r="AX364" s="227" t="n">
        <x:v>2.898</x:v>
      </x:c>
      <x:c r="AY364" s="227" t="n">
        <x:f>IF(AW364="EUR",AA364,IF(AW364="GBP",AB364,1))</x:f>
        <x:v>7.86</x:v>
      </x:c>
      <x:c r="AZ364" s="227" t="n">
        <x:f>V364*AX364</x:f>
        <x:v>19.5497318016</x:v>
      </x:c>
      <x:c r="BA364" s="227" t="n">
        <x:f>AZ364*AY364</x:f>
        <x:v>153.660891960576</x:v>
      </x:c>
      <x:c r="BB364" s="227" t="n">
        <x:f>AF364+AG364+AL364+AQ364+AV364+BA364</x:f>
        <x:v>37456.68267437344</x:v>
      </x:c>
      <x:c r="BC364" s="230" t="n">
        <x:v>0.971</x:v>
      </x:c>
      <x:c r="BD364" s="205"/>
      <x:c r="BE364" s="205" t="str">
        <x:v>正式 Forecast 逐月降低英国空运及 Carrier C 份额，但仍高于 Budget</x:v>
      </x:c>
      <x:c r="BF364" s="205" t="str">
        <x:v>仅在现有承运商与有效线路内调整英国运输结构；承运能力未验证；一次性切换成本不适用</x:v>
      </x:c>
      <x:c r="BG364" s="205" t="str">
        <x:v>UNVERIFIED_UNLIMITED_FOR_MVP</x:v>
      </x:c>
    </x:row>
  </x:sheetData>
  <x:mergeCells>
    <x:mergeCell ref="A1:BG1"/>
    <x:mergeCell ref="A2:BG2"/>
  </x:mergeCells>
  <x:pageMargins left="0.7" right="0.7" top="0.75" bottom="0.75" header="0.3" footer="0.3"/>
  <x:tableParts count="1">
    <x:tablePart xmlns:r="http://schemas.openxmlformats.org/officeDocument/2006/relationships" r:id="Re169b43b587643b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6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32" customHeight="1">
      <x:c r="A1" s="3" t="str">
        <x:v>履约变动成本事实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8" customHeight="1">
      <x:c r="A2" s="7" t="str">
        <x:v>每条成本事实与 Model_Calc 的线路公式列直接勾稽；Actual 权威金额差异必须为零。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0" customHeight="1">
      <x:c r="A4" s="179" t="str">
        <x:v>Version</x:v>
      </x:c>
      <x:c r="B4" s="180" t="str">
        <x:v>Type</x:v>
      </x:c>
      <x:c r="C4" s="180" t="str">
        <x:v>Scenario</x:v>
      </x:c>
      <x:c r="D4" s="180" t="str">
        <x:v>Month</x:v>
      </x:c>
      <x:c r="E4" s="180" t="str">
        <x:v>Route</x:v>
      </x:c>
      <x:c r="F4" s="180" t="str">
        <x:v>Destination</x:v>
      </x:c>
      <x:c r="G4" s="180" t="str">
        <x:v>FC</x:v>
      </x:c>
      <x:c r="H4" s="180" t="str">
        <x:v>Carrier</x:v>
      </x:c>
      <x:c r="I4" s="180" t="str">
        <x:v>Mode</x:v>
      </x:c>
      <x:c r="J4" s="180" t="str">
        <x:v>Cost Component</x:v>
      </x:c>
      <x:c r="K4" s="180" t="str">
        <x:v>Currency</x:v>
      </x:c>
      <x:c r="L4" s="180" t="str">
        <x:v>Original Amount</x:v>
      </x:c>
      <x:c r="M4" s="180" t="str">
        <x:v>FX</x:v>
      </x:c>
      <x:c r="N4" s="180" t="str">
        <x:v>High Precision CNY (text)</x:v>
      </x:c>
      <x:c r="O4" s="180" t="str">
        <x:v>Report CNY</x:v>
      </x:c>
      <x:c r="P4" s="180" t="str">
        <x:v>Authority CNY</x:v>
      </x:c>
      <x:c r="Q4" s="180" t="str">
        <x:v>Authority Delta</x:v>
      </x:c>
      <x:c r="R4" s="180" t="str">
        <x:v>Posting Basis</x:v>
      </x:c>
      <x:c r="S4" s="180" t="str">
        <x:v>Model Recalc CNY</x:v>
      </x:c>
      <x:c r="T4" s="181" t="str">
        <x:v>Recalc Delta</x:v>
      </x:c>
    </x:row>
    <x:row r="5">
      <x:c r="A5" s="186" t="str">
        <x:v>BUDGET_2026_V1</x:v>
      </x:c>
      <x:c r="B5" s="186" t="str">
        <x:v>BUDGET</x:v>
      </x:c>
      <x:c r="C5" s="186"/>
      <x:c r="D5" s="216" t="n">
        <x:v>46023</x:v>
      </x:c>
      <x:c r="E5" s="186" t="str">
        <x:v>R_DE_DE_A_ROAD</x:v>
      </x:c>
      <x:c r="F5" s="186" t="str">
        <x:v>DE</x:v>
      </x:c>
      <x:c r="G5" s="186" t="str">
        <x:v>DE_FC</x:v>
      </x:c>
      <x:c r="H5" s="186" t="str">
        <x:v>CARRIER_A</x:v>
      </x:c>
      <x:c r="I5" s="186" t="str">
        <x:v>ROAD</x:v>
      </x:c>
      <x:c r="J5" s="186" t="str">
        <x:v>BASE_FREIGHT</x:v>
      </x:c>
      <x:c r="K5" s="186" t="str">
        <x:v>EUR</x:v>
      </x:c>
      <x:c r="L5" s="231" t="n">
        <x:v>6166.047888</x:v>
      </x:c>
      <x:c r="M5" s="231" t="n">
        <x:v>7.8</x:v>
      </x:c>
      <x:c r="N5" s="186" t="str">
        <x:v>48095.17352640000000</x:v>
      </x:c>
      <x:c r="O5" s="234" t="n">
        <x:v>48095.1735</x:v>
      </x:c>
      <x:c r="P5" s="234"/>
      <x:c r="Q5" s="234"/>
      <x:c r="R5" s="234" t="str">
        <x:v>INVOICE_OR_PLAN</x:v>
      </x:c>
      <x:c r="S5" s="237" t="n">
        <x:f>'Model_Calc'!AF5</x:f>
        <x:v>48095.1735264</x:v>
      </x:c>
      <x:c r="T5" s="237" t="n">
        <x:f>ROUND(S5-O5,4)</x:f>
        <x:v>0</x:v>
      </x:c>
    </x:row>
    <x:row r="6">
      <x:c r="A6" s="187" t="str">
        <x:v>BUDGET_2026_V1</x:v>
      </x:c>
      <x:c r="B6" s="187" t="str">
        <x:v>BUDGET</x:v>
      </x:c>
      <x:c r="C6" s="187"/>
      <x:c r="D6" s="217" t="n">
        <x:v>46023</x:v>
      </x:c>
      <x:c r="E6" s="187" t="str">
        <x:v>R_DE_DE_A_ROAD</x:v>
      </x:c>
      <x:c r="F6" s="187" t="str">
        <x:v>DE</x:v>
      </x:c>
      <x:c r="G6" s="187" t="str">
        <x:v>DE_FC</x:v>
      </x:c>
      <x:c r="H6" s="187" t="str">
        <x:v>CARRIER_A</x:v>
      </x:c>
      <x:c r="I6" s="187" t="str">
        <x:v>ROAD</x:v>
      </x:c>
      <x:c r="J6" s="187" t="str">
        <x:v>FUEL_SURCHARGE</x:v>
      </x:c>
      <x:c r="K6" s="187" t="str">
        <x:v>EUR</x:v>
      </x:c>
      <x:c r="L6" s="232" t="n">
        <x:v>585.77454936</x:v>
      </x:c>
      <x:c r="M6" s="232" t="n">
        <x:v>7.8</x:v>
      </x:c>
      <x:c r="N6" s="187" t="str">
        <x:v>4569.04148500800000000</x:v>
      </x:c>
      <x:c r="O6" s="235" t="n">
        <x:v>4569.0415</x:v>
      </x:c>
      <x:c r="P6" s="235"/>
      <x:c r="Q6" s="235"/>
      <x:c r="R6" s="235" t="str">
        <x:v>INVOICE_OR_PLAN</x:v>
      </x:c>
      <x:c r="S6" s="238" t="n">
        <x:f>'Model_Calc'!AG5</x:f>
        <x:v>4569.041485008001</x:v>
      </x:c>
      <x:c r="T6" s="238" t="n">
        <x:f>ROUND(S6-O6,4)</x:f>
        <x:v>0</x:v>
      </x:c>
    </x:row>
    <x:row r="7">
      <x:c r="A7" s="187" t="str">
        <x:v>BUDGET_2026_V1</x:v>
      </x:c>
      <x:c r="B7" s="187" t="str">
        <x:v>BUDGET</x:v>
      </x:c>
      <x:c r="C7" s="187"/>
      <x:c r="D7" s="217" t="n">
        <x:v>46023</x:v>
      </x:c>
      <x:c r="E7" s="187" t="str">
        <x:v>R_DE_DE_A_ROAD</x:v>
      </x:c>
      <x:c r="F7" s="187" t="str">
        <x:v>DE</x:v>
      </x:c>
      <x:c r="G7" s="187" t="str">
        <x:v>DE_FC</x:v>
      </x:c>
      <x:c r="H7" s="187" t="str">
        <x:v>CARRIER_A</x:v>
      </x:c>
      <x:c r="I7" s="187" t="str">
        <x:v>ROAD</x:v>
      </x:c>
      <x:c r="J7" s="187" t="str">
        <x:v>WAREHOUSE_OPERATION</x:v>
      </x:c>
      <x:c r="K7" s="187" t="str">
        <x:v>EUR</x:v>
      </x:c>
      <x:c r="L7" s="232" t="n">
        <x:v>4038.1488</x:v>
      </x:c>
      <x:c r="M7" s="232" t="n">
        <x:v>7.8</x:v>
      </x:c>
      <x:c r="N7" s="187" t="str">
        <x:v>31497.5606400000</x:v>
      </x:c>
      <x:c r="O7" s="235" t="n">
        <x:v>31497.5606</x:v>
      </x:c>
      <x:c r="P7" s="235"/>
      <x:c r="Q7" s="235"/>
      <x:c r="R7" s="235" t="str">
        <x:v>INVOICE_OR_PLAN</x:v>
      </x:c>
      <x:c r="S7" s="238" t="n">
        <x:f>'Model_Calc'!AL5</x:f>
        <x:v>31497.560639999992</x:v>
      </x:c>
      <x:c r="T7" s="238" t="n">
        <x:f>ROUND(S7-O7,4)</x:f>
        <x:v>0</x:v>
      </x:c>
    </x:row>
    <x:row r="8">
      <x:c r="A8" s="187" t="str">
        <x:v>BUDGET_2026_V1</x:v>
      </x:c>
      <x:c r="B8" s="187" t="str">
        <x:v>BUDGET</x:v>
      </x:c>
      <x:c r="C8" s="187"/>
      <x:c r="D8" s="217" t="n">
        <x:v>46023</x:v>
      </x:c>
      <x:c r="E8" s="187" t="str">
        <x:v>R_DE_DE_A_ROAD</x:v>
      </x:c>
      <x:c r="F8" s="187" t="str">
        <x:v>DE</x:v>
      </x:c>
      <x:c r="G8" s="187" t="str">
        <x:v>DE_FC</x:v>
      </x:c>
      <x:c r="H8" s="187" t="str">
        <x:v>CARRIER_A</x:v>
      </x:c>
      <x:c r="I8" s="187" t="str">
        <x:v>ROAD</x:v>
      </x:c>
      <x:c r="J8" s="187" t="str">
        <x:v>PACKAGING</x:v>
      </x:c>
      <x:c r="K8" s="187" t="str">
        <x:v>EUR</x:v>
      </x:c>
      <x:c r="L8" s="232" t="n">
        <x:v>1509.17256</x:v>
      </x:c>
      <x:c r="M8" s="232" t="n">
        <x:v>7.8</x:v>
      </x:c>
      <x:c r="N8" s="187" t="str">
        <x:v>11771.545968000000</x:v>
      </x:c>
      <x:c r="O8" s="235" t="n">
        <x:v>11771.546</x:v>
      </x:c>
      <x:c r="P8" s="235"/>
      <x:c r="Q8" s="235"/>
      <x:c r="R8" s="235" t="str">
        <x:v>INVOICE_OR_PLAN</x:v>
      </x:c>
      <x:c r="S8" s="238" t="n">
        <x:f>'Model_Calc'!AQ5</x:f>
        <x:v>11771.545967999999</x:v>
      </x:c>
      <x:c r="T8" s="238" t="n">
        <x:f>ROUND(S8-O8,4)</x:f>
        <x:v>0</x:v>
      </x:c>
    </x:row>
    <x:row r="9">
      <x:c r="A9" s="187" t="str">
        <x:v>BUDGET_2026_V1</x:v>
      </x:c>
      <x:c r="B9" s="187" t="str">
        <x:v>BUDGET</x:v>
      </x:c>
      <x:c r="C9" s="187"/>
      <x:c r="D9" s="217" t="n">
        <x:v>46023</x:v>
      </x:c>
      <x:c r="E9" s="187" t="str">
        <x:v>R_DE_DE_A_ROAD</x:v>
      </x:c>
      <x:c r="F9" s="187" t="str">
        <x:v>DE</x:v>
      </x:c>
      <x:c r="G9" s="187" t="str">
        <x:v>DE_FC</x:v>
      </x:c>
      <x:c r="H9" s="187" t="str">
        <x:v>CARRIER_A</x:v>
      </x:c>
      <x:c r="I9" s="187" t="str">
        <x:v>ROAD</x:v>
      </x:c>
      <x:c r="J9" s="187" t="str">
        <x:v>RETURN_LOGISTICS</x:v>
      </x:c>
      <x:c r="K9" s="187" t="str">
        <x:v>EUR</x:v>
      </x:c>
      <x:c r="L9" s="232" t="n">
        <x:v>547.5456</x:v>
      </x:c>
      <x:c r="M9" s="232" t="n">
        <x:v>7.8</x:v>
      </x:c>
      <x:c r="N9" s="187" t="str">
        <x:v>4270.8556800000000</x:v>
      </x:c>
      <x:c r="O9" s="235" t="n">
        <x:v>4270.8557</x:v>
      </x:c>
      <x:c r="P9" s="235"/>
      <x:c r="Q9" s="235"/>
      <x:c r="R9" s="235" t="str">
        <x:v>INVOICE_OR_PLAN</x:v>
      </x:c>
      <x:c r="S9" s="238" t="n">
        <x:f>'Model_Calc'!AV5</x:f>
        <x:v>4270.85568</x:v>
      </x:c>
      <x:c r="T9" s="238" t="n">
        <x:f>ROUND(S9-O9,4)</x:f>
        <x:v>0</x:v>
      </x:c>
    </x:row>
    <x:row r="10">
      <x:c r="A10" s="187" t="str">
        <x:v>BUDGET_2026_V1</x:v>
      </x:c>
      <x:c r="B10" s="187" t="str">
        <x:v>BUDGET</x:v>
      </x:c>
      <x:c r="C10" s="187"/>
      <x:c r="D10" s="217" t="n">
        <x:v>46023</x:v>
      </x:c>
      <x:c r="E10" s="187" t="str">
        <x:v>R_DE_DE_A_ROAD</x:v>
      </x:c>
      <x:c r="F10" s="187" t="str">
        <x:v>DE</x:v>
      </x:c>
      <x:c r="G10" s="187" t="str">
        <x:v>DE_FC</x:v>
      </x:c>
      <x:c r="H10" s="187" t="str">
        <x:v>CARRIER_A</x:v>
      </x:c>
      <x:c r="I10" s="187" t="str">
        <x:v>ROAD</x:v>
      </x:c>
      <x:c r="J10" s="187" t="str">
        <x:v>BILLABLE_EXCEPTION</x:v>
      </x:c>
      <x:c r="K10" s="187" t="str">
        <x:v>EUR</x:v>
      </x:c>
      <x:c r="L10" s="232" t="n">
        <x:v>132.2322624</x:v>
      </x:c>
      <x:c r="M10" s="232" t="n">
        <x:v>7.8</x:v>
      </x:c>
      <x:c r="N10" s="187" t="str">
        <x:v>1031.411646720000000</x:v>
      </x:c>
      <x:c r="O10" s="235" t="n">
        <x:v>1031.4116</x:v>
      </x:c>
      <x:c r="P10" s="235"/>
      <x:c r="Q10" s="235"/>
      <x:c r="R10" s="235" t="str">
        <x:v>INVOICE_OR_PLAN</x:v>
      </x:c>
      <x:c r="S10" s="238" t="n">
        <x:f>'Model_Calc'!BA5</x:f>
        <x:v>1031.4116467199997</x:v>
      </x:c>
      <x:c r="T10" s="238" t="n">
        <x:f>ROUND(S10-O10,4)</x:f>
        <x:v>0</x:v>
      </x:c>
    </x:row>
    <x:row r="11">
      <x:c r="A11" s="187" t="str">
        <x:v>BUDGET_2026_V1</x:v>
      </x:c>
      <x:c r="B11" s="187" t="str">
        <x:v>BUDGET</x:v>
      </x:c>
      <x:c r="C11" s="187"/>
      <x:c r="D11" s="217" t="n">
        <x:v>46023</x:v>
      </x:c>
      <x:c r="E11" s="187" t="str">
        <x:v>R_DE_DE_B_ROAD</x:v>
      </x:c>
      <x:c r="F11" s="187" t="str">
        <x:v>DE</x:v>
      </x:c>
      <x:c r="G11" s="187" t="str">
        <x:v>DE_FC</x:v>
      </x:c>
      <x:c r="H11" s="187" t="str">
        <x:v>CARRIER_B</x:v>
      </x:c>
      <x:c r="I11" s="187" t="str">
        <x:v>ROAD</x:v>
      </x:c>
      <x:c r="J11" s="187" t="str">
        <x:v>BASE_FREIGHT</x:v>
      </x:c>
      <x:c r="K11" s="187" t="str">
        <x:v>EUR</x:v>
      </x:c>
      <x:c r="L11" s="232" t="n">
        <x:v>5270.1264</x:v>
      </x:c>
      <x:c r="M11" s="232" t="n">
        <x:v>7.8</x:v>
      </x:c>
      <x:c r="N11" s="187" t="str">
        <x:v>41106.98592000000000</x:v>
      </x:c>
      <x:c r="O11" s="235" t="n">
        <x:v>41106.9859</x:v>
      </x:c>
      <x:c r="P11" s="235"/>
      <x:c r="Q11" s="235"/>
      <x:c r="R11" s="235" t="str">
        <x:v>INVOICE_OR_PLAN</x:v>
      </x:c>
      <x:c r="S11" s="238" t="n">
        <x:f>'Model_Calc'!AF6</x:f>
        <x:v>41106.98592</x:v>
      </x:c>
      <x:c r="T11" s="238" t="n">
        <x:f>ROUND(S11-O11,4)</x:f>
        <x:v>0</x:v>
      </x:c>
    </x:row>
    <x:row r="12">
      <x:c r="A12" s="187" t="str">
        <x:v>BUDGET_2026_V1</x:v>
      </x:c>
      <x:c r="B12" s="187" t="str">
        <x:v>BUDGET</x:v>
      </x:c>
      <x:c r="C12" s="187"/>
      <x:c r="D12" s="217" t="n">
        <x:v>46023</x:v>
      </x:c>
      <x:c r="E12" s="187" t="str">
        <x:v>R_DE_DE_B_ROAD</x:v>
      </x:c>
      <x:c r="F12" s="187" t="str">
        <x:v>DE</x:v>
      </x:c>
      <x:c r="G12" s="187" t="str">
        <x:v>DE_FC</x:v>
      </x:c>
      <x:c r="H12" s="187" t="str">
        <x:v>CARRIER_B</x:v>
      </x:c>
      <x:c r="I12" s="187" t="str">
        <x:v>ROAD</x:v>
      </x:c>
      <x:c r="J12" s="187" t="str">
        <x:v>FUEL_SURCHARGE</x:v>
      </x:c>
      <x:c r="K12" s="187" t="str">
        <x:v>EUR</x:v>
      </x:c>
      <x:c r="L12" s="232" t="n">
        <x:v>402.446016</x:v>
      </x:c>
      <x:c r="M12" s="232" t="n">
        <x:v>7.8</x:v>
      </x:c>
      <x:c r="N12" s="187" t="str">
        <x:v>3139.07892480000000</x:v>
      </x:c>
      <x:c r="O12" s="235" t="n">
        <x:v>3139.0789</x:v>
      </x:c>
      <x:c r="P12" s="235"/>
      <x:c r="Q12" s="235"/>
      <x:c r="R12" s="235" t="str">
        <x:v>INVOICE_OR_PLAN</x:v>
      </x:c>
      <x:c r="S12" s="238" t="n">
        <x:f>'Model_Calc'!AG6</x:f>
        <x:v>3139.0789248</x:v>
      </x:c>
      <x:c r="T12" s="238" t="n">
        <x:f>ROUND(S12-O12,4)</x:f>
        <x:v>0</x:v>
      </x:c>
    </x:row>
    <x:row r="13">
      <x:c r="A13" s="187" t="str">
        <x:v>BUDGET_2026_V1</x:v>
      </x:c>
      <x:c r="B13" s="187" t="str">
        <x:v>BUDGET</x:v>
      </x:c>
      <x:c r="C13" s="187"/>
      <x:c r="D13" s="217" t="n">
        <x:v>46023</x:v>
      </x:c>
      <x:c r="E13" s="187" t="str">
        <x:v>R_DE_DE_B_ROAD</x:v>
      </x:c>
      <x:c r="F13" s="187" t="str">
        <x:v>DE</x:v>
      </x:c>
      <x:c r="G13" s="187" t="str">
        <x:v>DE_FC</x:v>
      </x:c>
      <x:c r="H13" s="187" t="str">
        <x:v>CARRIER_B</x:v>
      </x:c>
      <x:c r="I13" s="187" t="str">
        <x:v>ROAD</x:v>
      </x:c>
      <x:c r="J13" s="187" t="str">
        <x:v>WAREHOUSE_OPERATION</x:v>
      </x:c>
      <x:c r="K13" s="187" t="str">
        <x:v>EUR</x:v>
      </x:c>
      <x:c r="L13" s="232" t="n">
        <x:v>2692.0992</x:v>
      </x:c>
      <x:c r="M13" s="232" t="n">
        <x:v>7.8</x:v>
      </x:c>
      <x:c r="N13" s="187" t="str">
        <x:v>20998.3737600000</x:v>
      </x:c>
      <x:c r="O13" s="235" t="n">
        <x:v>20998.3738</x:v>
      </x:c>
      <x:c r="P13" s="235"/>
      <x:c r="Q13" s="235"/>
      <x:c r="R13" s="235" t="str">
        <x:v>INVOICE_OR_PLAN</x:v>
      </x:c>
      <x:c r="S13" s="238" t="n">
        <x:f>'Model_Calc'!AL6</x:f>
        <x:v>20998.37376</x:v>
      </x:c>
      <x:c r="T13" s="238" t="n">
        <x:f>ROUND(S13-O13,4)</x:f>
        <x:v>0</x:v>
      </x:c>
    </x:row>
    <x:row r="14">
      <x:c r="A14" s="187" t="str">
        <x:v>BUDGET_2026_V1</x:v>
      </x:c>
      <x:c r="B14" s="187" t="str">
        <x:v>BUDGET</x:v>
      </x:c>
      <x:c r="C14" s="187"/>
      <x:c r="D14" s="217" t="n">
        <x:v>46023</x:v>
      </x:c>
      <x:c r="E14" s="187" t="str">
        <x:v>R_DE_DE_B_ROAD</x:v>
      </x:c>
      <x:c r="F14" s="187" t="str">
        <x:v>DE</x:v>
      </x:c>
      <x:c r="G14" s="187" t="str">
        <x:v>DE_FC</x:v>
      </x:c>
      <x:c r="H14" s="187" t="str">
        <x:v>CARRIER_B</x:v>
      </x:c>
      <x:c r="I14" s="187" t="str">
        <x:v>ROAD</x:v>
      </x:c>
      <x:c r="J14" s="187" t="str">
        <x:v>PACKAGING</x:v>
      </x:c>
      <x:c r="K14" s="187" t="str">
        <x:v>EUR</x:v>
      </x:c>
      <x:c r="L14" s="232" t="n">
        <x:v>1006.11504</x:v>
      </x:c>
      <x:c r="M14" s="232" t="n">
        <x:v>7.8</x:v>
      </x:c>
      <x:c r="N14" s="187" t="str">
        <x:v>7847.697312000000</x:v>
      </x:c>
      <x:c r="O14" s="235" t="n">
        <x:v>7847.6973</x:v>
      </x:c>
      <x:c r="P14" s="235"/>
      <x:c r="Q14" s="235"/>
      <x:c r="R14" s="235" t="str">
        <x:v>INVOICE_OR_PLAN</x:v>
      </x:c>
      <x:c r="S14" s="238" t="n">
        <x:f>'Model_Calc'!AQ6</x:f>
        <x:v>7847.697312</x:v>
      </x:c>
      <x:c r="T14" s="238" t="n">
        <x:f>ROUND(S14-O14,4)</x:f>
        <x:v>0</x:v>
      </x:c>
    </x:row>
    <x:row r="15">
      <x:c r="A15" s="187" t="str">
        <x:v>BUDGET_2026_V1</x:v>
      </x:c>
      <x:c r="B15" s="187" t="str">
        <x:v>BUDGET</x:v>
      </x:c>
      <x:c r="C15" s="187"/>
      <x:c r="D15" s="217" t="n">
        <x:v>46023</x:v>
      </x:c>
      <x:c r="E15" s="187" t="str">
        <x:v>R_DE_DE_B_ROAD</x:v>
      </x:c>
      <x:c r="F15" s="187" t="str">
        <x:v>DE</x:v>
      </x:c>
      <x:c r="G15" s="187" t="str">
        <x:v>DE_FC</x:v>
      </x:c>
      <x:c r="H15" s="187" t="str">
        <x:v>CARRIER_B</x:v>
      </x:c>
      <x:c r="I15" s="187" t="str">
        <x:v>ROAD</x:v>
      </x:c>
      <x:c r="J15" s="187" t="str">
        <x:v>RETURN_LOGISTICS</x:v>
      </x:c>
      <x:c r="K15" s="187" t="str">
        <x:v>EUR</x:v>
      </x:c>
      <x:c r="L15" s="232" t="n">
        <x:v>365.0304</x:v>
      </x:c>
      <x:c r="M15" s="232" t="n">
        <x:v>7.8</x:v>
      </x:c>
      <x:c r="N15" s="187" t="str">
        <x:v>2847.2371200000000</x:v>
      </x:c>
      <x:c r="O15" s="235" t="n">
        <x:v>2847.2371</x:v>
      </x:c>
      <x:c r="P15" s="235"/>
      <x:c r="Q15" s="235"/>
      <x:c r="R15" s="235" t="str">
        <x:v>INVOICE_OR_PLAN</x:v>
      </x:c>
      <x:c r="S15" s="238" t="n">
        <x:f>'Model_Calc'!AV6</x:f>
        <x:v>2847.2371200000002</x:v>
      </x:c>
      <x:c r="T15" s="238" t="n">
        <x:f>ROUND(S15-O15,4)</x:f>
        <x:v>0</x:v>
      </x:c>
    </x:row>
    <x:row r="16">
      <x:c r="A16" s="187" t="str">
        <x:v>BUDGET_2026_V1</x:v>
      </x:c>
      <x:c r="B16" s="187" t="str">
        <x:v>BUDGET</x:v>
      </x:c>
      <x:c r="C16" s="187"/>
      <x:c r="D16" s="217" t="n">
        <x:v>46023</x:v>
      </x:c>
      <x:c r="E16" s="187" t="str">
        <x:v>R_DE_DE_B_ROAD</x:v>
      </x:c>
      <x:c r="F16" s="187" t="str">
        <x:v>DE</x:v>
      </x:c>
      <x:c r="G16" s="187" t="str">
        <x:v>DE_FC</x:v>
      </x:c>
      <x:c r="H16" s="187" t="str">
        <x:v>CARRIER_B</x:v>
      </x:c>
      <x:c r="I16" s="187" t="str">
        <x:v>ROAD</x:v>
      </x:c>
      <x:c r="J16" s="187" t="str">
        <x:v>BILLABLE_EXCEPTION</x:v>
      </x:c>
      <x:c r="K16" s="187" t="str">
        <x:v>EUR</x:v>
      </x:c>
      <x:c r="L16" s="232" t="n">
        <x:v>71.6258088</x:v>
      </x:c>
      <x:c r="M16" s="232" t="n">
        <x:v>7.8</x:v>
      </x:c>
      <x:c r="N16" s="187" t="str">
        <x:v>558.681308640000000</x:v>
      </x:c>
      <x:c r="O16" s="235" t="n">
        <x:v>558.6813</x:v>
      </x:c>
      <x:c r="P16" s="235"/>
      <x:c r="Q16" s="235"/>
      <x:c r="R16" s="235" t="str">
        <x:v>INVOICE_OR_PLAN</x:v>
      </x:c>
      <x:c r="S16" s="238" t="n">
        <x:f>'Model_Calc'!BA6</x:f>
        <x:v>558.68130864</x:v>
      </x:c>
      <x:c r="T16" s="238" t="n">
        <x:f>ROUND(S16-O16,4)</x:f>
        <x:v>0</x:v>
      </x:c>
    </x:row>
    <x:row r="17">
      <x:c r="A17" s="187" t="str">
        <x:v>BUDGET_2026_V1</x:v>
      </x:c>
      <x:c r="B17" s="187" t="str">
        <x:v>BUDGET</x:v>
      </x:c>
      <x:c r="C17" s="187"/>
      <x:c r="D17" s="217" t="n">
        <x:v>46023</x:v>
      </x:c>
      <x:c r="E17" s="187" t="str">
        <x:v>R_DE_FR_B_ROAD</x:v>
      </x:c>
      <x:c r="F17" s="187" t="str">
        <x:v>DE</x:v>
      </x:c>
      <x:c r="G17" s="187" t="str">
        <x:v>FR_FC</x:v>
      </x:c>
      <x:c r="H17" s="187" t="str">
        <x:v>CARRIER_B</x:v>
      </x:c>
      <x:c r="I17" s="187" t="str">
        <x:v>ROAD</x:v>
      </x:c>
      <x:c r="J17" s="187" t="str">
        <x:v>BASE_FREIGHT</x:v>
      </x:c>
      <x:c r="K17" s="187" t="str">
        <x:v>EUR</x:v>
      </x:c>
      <x:c r="L17" s="232" t="n">
        <x:v>540.673056</x:v>
      </x:c>
      <x:c r="M17" s="232" t="n">
        <x:v>7.8</x:v>
      </x:c>
      <x:c r="N17" s="187" t="str">
        <x:v>4217.249836800000</x:v>
      </x:c>
      <x:c r="O17" s="235" t="n">
        <x:v>4217.2498</x:v>
      </x:c>
      <x:c r="P17" s="235"/>
      <x:c r="Q17" s="235"/>
      <x:c r="R17" s="235" t="str">
        <x:v>INVOICE_OR_PLAN</x:v>
      </x:c>
      <x:c r="S17" s="238" t="n">
        <x:f>'Model_Calc'!AF7</x:f>
        <x:v>4217.249836800001</x:v>
      </x:c>
      <x:c r="T17" s="238" t="n">
        <x:f>ROUND(S17-O17,4)</x:f>
        <x:v>0</x:v>
      </x:c>
    </x:row>
    <x:row r="18">
      <x:c r="A18" s="187" t="str">
        <x:v>BUDGET_2026_V1</x:v>
      </x:c>
      <x:c r="B18" s="187" t="str">
        <x:v>BUDGET</x:v>
      </x:c>
      <x:c r="C18" s="187"/>
      <x:c r="D18" s="217" t="n">
        <x:v>46023</x:v>
      </x:c>
      <x:c r="E18" s="187" t="str">
        <x:v>R_DE_FR_B_ROAD</x:v>
      </x:c>
      <x:c r="F18" s="187" t="str">
        <x:v>DE</x:v>
      </x:c>
      <x:c r="G18" s="187" t="str">
        <x:v>FR_FC</x:v>
      </x:c>
      <x:c r="H18" s="187" t="str">
        <x:v>CARRIER_B</x:v>
      </x:c>
      <x:c r="I18" s="187" t="str">
        <x:v>ROAD</x:v>
      </x:c>
      <x:c r="J18" s="187" t="str">
        <x:v>FUEL_SURCHARGE</x:v>
      </x:c>
      <x:c r="K18" s="187" t="str">
        <x:v>EUR</x:v>
      </x:c>
      <x:c r="L18" s="232" t="n">
        <x:v>39.3216768</x:v>
      </x:c>
      <x:c r="M18" s="232" t="n">
        <x:v>7.8</x:v>
      </x:c>
      <x:c r="N18" s="187" t="str">
        <x:v>306.709079040000</x:v>
      </x:c>
      <x:c r="O18" s="235" t="n">
        <x:v>306.7091</x:v>
      </x:c>
      <x:c r="P18" s="235"/>
      <x:c r="Q18" s="235"/>
      <x:c r="R18" s="235" t="str">
        <x:v>INVOICE_OR_PLAN</x:v>
      </x:c>
      <x:c r="S18" s="238" t="n">
        <x:f>'Model_Calc'!AG7</x:f>
        <x:v>306.70907904000006</x:v>
      </x:c>
      <x:c r="T18" s="238" t="n">
        <x:f>ROUND(S18-O18,4)</x:f>
        <x:v>0</x:v>
      </x:c>
    </x:row>
    <x:row r="19">
      <x:c r="A19" s="187" t="str">
        <x:v>BUDGET_2026_V1</x:v>
      </x:c>
      <x:c r="B19" s="187" t="str">
        <x:v>BUDGET</x:v>
      </x:c>
      <x:c r="C19" s="187"/>
      <x:c r="D19" s="217" t="n">
        <x:v>46023</x:v>
      </x:c>
      <x:c r="E19" s="187" t="str">
        <x:v>R_DE_FR_B_ROAD</x:v>
      </x:c>
      <x:c r="F19" s="187" t="str">
        <x:v>DE</x:v>
      </x:c>
      <x:c r="G19" s="187" t="str">
        <x:v>FR_FC</x:v>
      </x:c>
      <x:c r="H19" s="187" t="str">
        <x:v>CARRIER_B</x:v>
      </x:c>
      <x:c r="I19" s="187" t="str">
        <x:v>ROAD</x:v>
      </x:c>
      <x:c r="J19" s="187" t="str">
        <x:v>WAREHOUSE_OPERATION</x:v>
      </x:c>
      <x:c r="K19" s="187" t="str">
        <x:v>EUR</x:v>
      </x:c>
      <x:c r="L19" s="232" t="n">
        <x:v>185.22</x:v>
      </x:c>
      <x:c r="M19" s="232" t="n">
        <x:v>7.8</x:v>
      </x:c>
      <x:c r="N19" s="187" t="str">
        <x:v>1444.71600000</x:v>
      </x:c>
      <x:c r="O19" s="235" t="n">
        <x:v>1444.716</x:v>
      </x:c>
      <x:c r="P19" s="235"/>
      <x:c r="Q19" s="235"/>
      <x:c r="R19" s="235" t="str">
        <x:v>INVOICE_OR_PLAN</x:v>
      </x:c>
      <x:c r="S19" s="238" t="n">
        <x:f>'Model_Calc'!AL7</x:f>
        <x:v>1444.7160000000001</x:v>
      </x:c>
      <x:c r="T19" s="238" t="n">
        <x:f>ROUND(S19-O19,4)</x:f>
        <x:v>0</x:v>
      </x:c>
    </x:row>
    <x:row r="20">
      <x:c r="A20" s="187" t="str">
        <x:v>BUDGET_2026_V1</x:v>
      </x:c>
      <x:c r="B20" s="187" t="str">
        <x:v>BUDGET</x:v>
      </x:c>
      <x:c r="C20" s="187"/>
      <x:c r="D20" s="217" t="n">
        <x:v>46023</x:v>
      </x:c>
      <x:c r="E20" s="187" t="str">
        <x:v>R_DE_FR_B_ROAD</x:v>
      </x:c>
      <x:c r="F20" s="187" t="str">
        <x:v>DE</x:v>
      </x:c>
      <x:c r="G20" s="187" t="str">
        <x:v>FR_FC</x:v>
      </x:c>
      <x:c r="H20" s="187" t="str">
        <x:v>CARRIER_B</x:v>
      </x:c>
      <x:c r="I20" s="187" t="str">
        <x:v>ROAD</x:v>
      </x:c>
      <x:c r="J20" s="187" t="str">
        <x:v>PACKAGING</x:v>
      </x:c>
      <x:c r="K20" s="187" t="str">
        <x:v>EUR</x:v>
      </x:c>
      <x:c r="L20" s="232" t="n">
        <x:v>72.39456</x:v>
      </x:c>
      <x:c r="M20" s="232" t="n">
        <x:v>7.8</x:v>
      </x:c>
      <x:c r="N20" s="187" t="str">
        <x:v>564.6775680000</x:v>
      </x:c>
      <x:c r="O20" s="235" t="n">
        <x:v>564.6776</x:v>
      </x:c>
      <x:c r="P20" s="235"/>
      <x:c r="Q20" s="235"/>
      <x:c r="R20" s="235" t="str">
        <x:v>INVOICE_OR_PLAN</x:v>
      </x:c>
      <x:c r="S20" s="238" t="n">
        <x:f>'Model_Calc'!AQ7</x:f>
        <x:v>564.6775680000001</x:v>
      </x:c>
      <x:c r="T20" s="238" t="n">
        <x:f>ROUND(S20-O20,4)</x:f>
        <x:v>0</x:v>
      </x:c>
    </x:row>
    <x:row r="21">
      <x:c r="A21" s="187" t="str">
        <x:v>BUDGET_2026_V1</x:v>
      </x:c>
      <x:c r="B21" s="187" t="str">
        <x:v>BUDGET</x:v>
      </x:c>
      <x:c r="C21" s="187"/>
      <x:c r="D21" s="217" t="n">
        <x:v>46023</x:v>
      </x:c>
      <x:c r="E21" s="187" t="str">
        <x:v>R_DE_FR_B_ROAD</x:v>
      </x:c>
      <x:c r="F21" s="187" t="str">
        <x:v>DE</x:v>
      </x:c>
      <x:c r="G21" s="187" t="str">
        <x:v>FR_FC</x:v>
      </x:c>
      <x:c r="H21" s="187" t="str">
        <x:v>CARRIER_B</x:v>
      </x:c>
      <x:c r="I21" s="187" t="str">
        <x:v>ROAD</x:v>
      </x:c>
      <x:c r="J21" s="187" t="str">
        <x:v>RETURN_LOGISTICS</x:v>
      </x:c>
      <x:c r="K21" s="187" t="str">
        <x:v>EUR</x:v>
      </x:c>
      <x:c r="L21" s="232" t="n">
        <x:v>33.516</x:v>
      </x:c>
      <x:c r="M21" s="232" t="n">
        <x:v>7.8</x:v>
      </x:c>
      <x:c r="N21" s="187" t="str">
        <x:v>261.42480000000</x:v>
      </x:c>
      <x:c r="O21" s="235" t="n">
        <x:v>261.4248</x:v>
      </x:c>
      <x:c r="P21" s="235"/>
      <x:c r="Q21" s="235"/>
      <x:c r="R21" s="235" t="str">
        <x:v>INVOICE_OR_PLAN</x:v>
      </x:c>
      <x:c r="S21" s="238" t="n">
        <x:f>'Model_Calc'!AV7</x:f>
        <x:v>261.4248</x:v>
      </x:c>
      <x:c r="T21" s="238" t="n">
        <x:f>ROUND(S21-O21,4)</x:f>
        <x:v>0</x:v>
      </x:c>
    </x:row>
    <x:row r="22">
      <x:c r="A22" s="187" t="str">
        <x:v>BUDGET_2026_V1</x:v>
      </x:c>
      <x:c r="B22" s="187" t="str">
        <x:v>BUDGET</x:v>
      </x:c>
      <x:c r="C22" s="187"/>
      <x:c r="D22" s="217" t="n">
        <x:v>46023</x:v>
      </x:c>
      <x:c r="E22" s="187" t="str">
        <x:v>R_DE_FR_B_ROAD</x:v>
      </x:c>
      <x:c r="F22" s="187" t="str">
        <x:v>DE</x:v>
      </x:c>
      <x:c r="G22" s="187" t="str">
        <x:v>FR_FC</x:v>
      </x:c>
      <x:c r="H22" s="187" t="str">
        <x:v>CARRIER_B</x:v>
      </x:c>
      <x:c r="I22" s="187" t="str">
        <x:v>ROAD</x:v>
      </x:c>
      <x:c r="J22" s="187" t="str">
        <x:v>BILLABLE_EXCEPTION</x:v>
      </x:c>
      <x:c r="K22" s="187" t="str">
        <x:v>EUR</x:v>
      </x:c>
      <x:c r="L22" s="232" t="n">
        <x:v>6.1344864</x:v>
      </x:c>
      <x:c r="M22" s="232" t="n">
        <x:v>7.8</x:v>
      </x:c>
      <x:c r="N22" s="187" t="str">
        <x:v>47.8489939200000</x:v>
      </x:c>
      <x:c r="O22" s="235" t="n">
        <x:v>47.849</x:v>
      </x:c>
      <x:c r="P22" s="235"/>
      <x:c r="Q22" s="235"/>
      <x:c r="R22" s="235" t="str">
        <x:v>INVOICE_OR_PLAN</x:v>
      </x:c>
      <x:c r="S22" s="238" t="n">
        <x:f>'Model_Calc'!BA7</x:f>
        <x:v>47.848993920000005</x:v>
      </x:c>
      <x:c r="T22" s="238" t="n">
        <x:f>ROUND(S22-O22,4)</x:f>
        <x:v>0</x:v>
      </x:c>
    </x:row>
    <x:row r="23">
      <x:c r="A23" s="187" t="str">
        <x:v>BUDGET_2026_V1</x:v>
      </x:c>
      <x:c r="B23" s="187" t="str">
        <x:v>BUDGET</x:v>
      </x:c>
      <x:c r="C23" s="187"/>
      <x:c r="D23" s="217" t="n">
        <x:v>46023</x:v>
      </x:c>
      <x:c r="E23" s="187" t="str">
        <x:v>R_FR_FR_A_ROAD</x:v>
      </x:c>
      <x:c r="F23" s="187" t="str">
        <x:v>FR</x:v>
      </x:c>
      <x:c r="G23" s="187" t="str">
        <x:v>FR_FC</x:v>
      </x:c>
      <x:c r="H23" s="187" t="str">
        <x:v>CARRIER_A</x:v>
      </x:c>
      <x:c r="I23" s="187" t="str">
        <x:v>ROAD</x:v>
      </x:c>
      <x:c r="J23" s="187" t="str">
        <x:v>BASE_FREIGHT</x:v>
      </x:c>
      <x:c r="K23" s="187" t="str">
        <x:v>EUR</x:v>
      </x:c>
      <x:c r="L23" s="232" t="n">
        <x:v>2652.67968</x:v>
      </x:c>
      <x:c r="M23" s="232" t="n">
        <x:v>7.8</x:v>
      </x:c>
      <x:c r="N23" s="187" t="str">
        <x:v>20690.901504000000</x:v>
      </x:c>
      <x:c r="O23" s="235" t="n">
        <x:v>20690.9015</x:v>
      </x:c>
      <x:c r="P23" s="235"/>
      <x:c r="Q23" s="235"/>
      <x:c r="R23" s="235" t="str">
        <x:v>INVOICE_OR_PLAN</x:v>
      </x:c>
      <x:c r="S23" s="238" t="n">
        <x:f>'Model_Calc'!AF8</x:f>
        <x:v>20690.901504</x:v>
      </x:c>
      <x:c r="T23" s="238" t="n">
        <x:f>ROUND(S23-O23,4)</x:f>
        <x:v>0</x:v>
      </x:c>
    </x:row>
    <x:row r="24">
      <x:c r="A24" s="187" t="str">
        <x:v>BUDGET_2026_V1</x:v>
      </x:c>
      <x:c r="B24" s="187" t="str">
        <x:v>BUDGET</x:v>
      </x:c>
      <x:c r="C24" s="187"/>
      <x:c r="D24" s="217" t="n">
        <x:v>46023</x:v>
      </x:c>
      <x:c r="E24" s="187" t="str">
        <x:v>R_FR_FR_A_ROAD</x:v>
      </x:c>
      <x:c r="F24" s="187" t="str">
        <x:v>FR</x:v>
      </x:c>
      <x:c r="G24" s="187" t="str">
        <x:v>FR_FC</x:v>
      </x:c>
      <x:c r="H24" s="187" t="str">
        <x:v>CARRIER_A</x:v>
      </x:c>
      <x:c r="I24" s="187" t="str">
        <x:v>ROAD</x:v>
      </x:c>
      <x:c r="J24" s="187" t="str">
        <x:v>FUEL_SURCHARGE</x:v>
      </x:c>
      <x:c r="K24" s="187" t="str">
        <x:v>EUR</x:v>
      </x:c>
      <x:c r="L24" s="232" t="n">
        <x:v>238.7411712</x:v>
      </x:c>
      <x:c r="M24" s="232" t="n">
        <x:v>7.8</x:v>
      </x:c>
      <x:c r="N24" s="187" t="str">
        <x:v>1862.181135360000000</x:v>
      </x:c>
      <x:c r="O24" s="235" t="n">
        <x:v>1862.1811</x:v>
      </x:c>
      <x:c r="P24" s="235"/>
      <x:c r="Q24" s="235"/>
      <x:c r="R24" s="235" t="str">
        <x:v>INVOICE_OR_PLAN</x:v>
      </x:c>
      <x:c r="S24" s="238" t="n">
        <x:f>'Model_Calc'!AG8</x:f>
        <x:v>1862.1811353599999</x:v>
      </x:c>
      <x:c r="T24" s="238" t="n">
        <x:f>ROUND(S24-O24,4)</x:f>
        <x:v>0</x:v>
      </x:c>
    </x:row>
    <x:row r="25">
      <x:c r="A25" s="187" t="str">
        <x:v>BUDGET_2026_V1</x:v>
      </x:c>
      <x:c r="B25" s="187" t="str">
        <x:v>BUDGET</x:v>
      </x:c>
      <x:c r="C25" s="187"/>
      <x:c r="D25" s="217" t="n">
        <x:v>46023</x:v>
      </x:c>
      <x:c r="E25" s="187" t="str">
        <x:v>R_FR_FR_A_ROAD</x:v>
      </x:c>
      <x:c r="F25" s="187" t="str">
        <x:v>FR</x:v>
      </x:c>
      <x:c r="G25" s="187" t="str">
        <x:v>FR_FC</x:v>
      </x:c>
      <x:c r="H25" s="187" t="str">
        <x:v>CARRIER_A</x:v>
      </x:c>
      <x:c r="I25" s="187" t="str">
        <x:v>ROAD</x:v>
      </x:c>
      <x:c r="J25" s="187" t="str">
        <x:v>WAREHOUSE_OPERATION</x:v>
      </x:c>
      <x:c r="K25" s="187" t="str">
        <x:v>EUR</x:v>
      </x:c>
      <x:c r="L25" s="232" t="n">
        <x:v>1646.4</x:v>
      </x:c>
      <x:c r="M25" s="232" t="n">
        <x:v>7.8</x:v>
      </x:c>
      <x:c r="N25" s="187" t="str">
        <x:v>12841.92000000</x:v>
      </x:c>
      <x:c r="O25" s="235" t="n">
        <x:v>12841.92</x:v>
      </x:c>
      <x:c r="P25" s="235"/>
      <x:c r="Q25" s="235"/>
      <x:c r="R25" s="235" t="str">
        <x:v>INVOICE_OR_PLAN</x:v>
      </x:c>
      <x:c r="S25" s="238" t="n">
        <x:f>'Model_Calc'!AL8</x:f>
        <x:v>12841.92</x:v>
      </x:c>
      <x:c r="T25" s="238" t="n">
        <x:f>ROUND(S25-O25,4)</x:f>
        <x:v>0</x:v>
      </x:c>
    </x:row>
    <x:row r="26">
      <x:c r="A26" s="187" t="str">
        <x:v>BUDGET_2026_V1</x:v>
      </x:c>
      <x:c r="B26" s="187" t="str">
        <x:v>BUDGET</x:v>
      </x:c>
      <x:c r="C26" s="187"/>
      <x:c r="D26" s="217" t="n">
        <x:v>46023</x:v>
      </x:c>
      <x:c r="E26" s="187" t="str">
        <x:v>R_FR_FR_A_ROAD</x:v>
      </x:c>
      <x:c r="F26" s="187" t="str">
        <x:v>FR</x:v>
      </x:c>
      <x:c r="G26" s="187" t="str">
        <x:v>FR_FC</x:v>
      </x:c>
      <x:c r="H26" s="187" t="str">
        <x:v>CARRIER_A</x:v>
      </x:c>
      <x:c r="I26" s="187" t="str">
        <x:v>ROAD</x:v>
      </x:c>
      <x:c r="J26" s="187" t="str">
        <x:v>PACKAGING</x:v>
      </x:c>
      <x:c r="K26" s="187" t="str">
        <x:v>EUR</x:v>
      </x:c>
      <x:c r="L26" s="232" t="n">
        <x:v>631.5904</x:v>
      </x:c>
      <x:c r="M26" s="232" t="n">
        <x:v>7.8</x:v>
      </x:c>
      <x:c r="N26" s="187" t="str">
        <x:v>4926.4051200000</x:v>
      </x:c>
      <x:c r="O26" s="235" t="n">
        <x:v>4926.4051</x:v>
      </x:c>
      <x:c r="P26" s="235"/>
      <x:c r="Q26" s="235"/>
      <x:c r="R26" s="235" t="str">
        <x:v>INVOICE_OR_PLAN</x:v>
      </x:c>
      <x:c r="S26" s="238" t="n">
        <x:f>'Model_Calc'!AQ8</x:f>
        <x:v>4926.40512</x:v>
      </x:c>
      <x:c r="T26" s="238" t="n">
        <x:f>ROUND(S26-O26,4)</x:f>
        <x:v>0</x:v>
      </x:c>
    </x:row>
    <x:row r="27">
      <x:c r="A27" s="187" t="str">
        <x:v>BUDGET_2026_V1</x:v>
      </x:c>
      <x:c r="B27" s="187" t="str">
        <x:v>BUDGET</x:v>
      </x:c>
      <x:c r="C27" s="187"/>
      <x:c r="D27" s="217" t="n">
        <x:v>46023</x:v>
      </x:c>
      <x:c r="E27" s="187" t="str">
        <x:v>R_FR_FR_A_ROAD</x:v>
      </x:c>
      <x:c r="F27" s="187" t="str">
        <x:v>FR</x:v>
      </x:c>
      <x:c r="G27" s="187" t="str">
        <x:v>FR_FC</x:v>
      </x:c>
      <x:c r="H27" s="187" t="str">
        <x:v>CARRIER_A</x:v>
      </x:c>
      <x:c r="I27" s="187" t="str">
        <x:v>ROAD</x:v>
      </x:c>
      <x:c r="J27" s="187" t="str">
        <x:v>RETURN_LOGISTICS</x:v>
      </x:c>
      <x:c r="K27" s="187" t="str">
        <x:v>EUR</x:v>
      </x:c>
      <x:c r="L27" s="232" t="n">
        <x:v>282.24</x:v>
      </x:c>
      <x:c r="M27" s="232" t="n">
        <x:v>7.8</x:v>
      </x:c>
      <x:c r="N27" s="187" t="str">
        <x:v>2201.47200000000</x:v>
      </x:c>
      <x:c r="O27" s="235" t="n">
        <x:v>2201.472</x:v>
      </x:c>
      <x:c r="P27" s="235"/>
      <x:c r="Q27" s="235"/>
      <x:c r="R27" s="235" t="str">
        <x:v>INVOICE_OR_PLAN</x:v>
      </x:c>
      <x:c r="S27" s="238" t="n">
        <x:f>'Model_Calc'!AV8</x:f>
        <x:v>2201.472</x:v>
      </x:c>
      <x:c r="T27" s="238" t="n">
        <x:f>ROUND(S27-O27,4)</x:f>
        <x:v>0</x:v>
      </x:c>
    </x:row>
    <x:row r="28">
      <x:c r="A28" s="187" t="str">
        <x:v>BUDGET_2026_V1</x:v>
      </x:c>
      <x:c r="B28" s="187" t="str">
        <x:v>BUDGET</x:v>
      </x:c>
      <x:c r="C28" s="187"/>
      <x:c r="D28" s="217" t="n">
        <x:v>46023</x:v>
      </x:c>
      <x:c r="E28" s="187" t="str">
        <x:v>R_FR_FR_A_ROAD</x:v>
      </x:c>
      <x:c r="F28" s="187" t="str">
        <x:v>FR</x:v>
      </x:c>
      <x:c r="G28" s="187" t="str">
        <x:v>FR_FC</x:v>
      </x:c>
      <x:c r="H28" s="187" t="str">
        <x:v>CARRIER_A</x:v>
      </x:c>
      <x:c r="I28" s="187" t="str">
        <x:v>ROAD</x:v>
      </x:c>
      <x:c r="J28" s="187" t="str">
        <x:v>BILLABLE_EXCEPTION</x:v>
      </x:c>
      <x:c r="K28" s="187" t="str">
        <x:v>EUR</x:v>
      </x:c>
      <x:c r="L28" s="232" t="n">
        <x:v>64.987328</x:v>
      </x:c>
      <x:c r="M28" s="232" t="n">
        <x:v>7.8</x:v>
      </x:c>
      <x:c r="N28" s="187" t="str">
        <x:v>506.9011584000000</x:v>
      </x:c>
      <x:c r="O28" s="235" t="n">
        <x:v>506.9012</x:v>
      </x:c>
      <x:c r="P28" s="235"/>
      <x:c r="Q28" s="235"/>
      <x:c r="R28" s="235" t="str">
        <x:v>INVOICE_OR_PLAN</x:v>
      </x:c>
      <x:c r="S28" s="238" t="n">
        <x:f>'Model_Calc'!BA8</x:f>
        <x:v>506.90115840000004</x:v>
      </x:c>
      <x:c r="T28" s="238" t="n">
        <x:f>ROUND(S28-O28,4)</x:f>
        <x:v>0</x:v>
      </x:c>
    </x:row>
    <x:row r="29">
      <x:c r="A29" s="187" t="str">
        <x:v>BUDGET_2026_V1</x:v>
      </x:c>
      <x:c r="B29" s="187" t="str">
        <x:v>BUDGET</x:v>
      </x:c>
      <x:c r="C29" s="187"/>
      <x:c r="D29" s="217" t="n">
        <x:v>46023</x:v>
      </x:c>
      <x:c r="E29" s="187" t="str">
        <x:v>R_FR_FR_B_ROAD</x:v>
      </x:c>
      <x:c r="F29" s="187" t="str">
        <x:v>FR</x:v>
      </x:c>
      <x:c r="G29" s="187" t="str">
        <x:v>FR_FC</x:v>
      </x:c>
      <x:c r="H29" s="187" t="str">
        <x:v>CARRIER_B</x:v>
      </x:c>
      <x:c r="I29" s="187" t="str">
        <x:v>ROAD</x:v>
      </x:c>
      <x:c r="J29" s="187" t="str">
        <x:v>BASE_FREIGHT</x:v>
      </x:c>
      <x:c r="K29" s="187" t="str">
        <x:v>EUR</x:v>
      </x:c>
      <x:c r="L29" s="232" t="n">
        <x:v>6340.12288</x:v>
      </x:c>
      <x:c r="M29" s="232" t="n">
        <x:v>7.8</x:v>
      </x:c>
      <x:c r="N29" s="187" t="str">
        <x:v>49452.958464000000</x:v>
      </x:c>
      <x:c r="O29" s="235" t="n">
        <x:v>49452.9585</x:v>
      </x:c>
      <x:c r="P29" s="235"/>
      <x:c r="Q29" s="235"/>
      <x:c r="R29" s="235" t="str">
        <x:v>INVOICE_OR_PLAN</x:v>
      </x:c>
      <x:c r="S29" s="238" t="n">
        <x:f>'Model_Calc'!AF9</x:f>
        <x:v>49452.95846400001</x:v>
      </x:c>
      <x:c r="T29" s="238" t="n">
        <x:f>ROUND(S29-O29,4)</x:f>
        <x:v>0</x:v>
      </x:c>
    </x:row>
    <x:row r="30">
      <x:c r="A30" s="187" t="str">
        <x:v>BUDGET_2026_V1</x:v>
      </x:c>
      <x:c r="B30" s="187" t="str">
        <x:v>BUDGET</x:v>
      </x:c>
      <x:c r="C30" s="187"/>
      <x:c r="D30" s="217" t="n">
        <x:v>46023</x:v>
      </x:c>
      <x:c r="E30" s="187" t="str">
        <x:v>R_FR_FR_B_ROAD</x:v>
      </x:c>
      <x:c r="F30" s="187" t="str">
        <x:v>FR</x:v>
      </x:c>
      <x:c r="G30" s="187" t="str">
        <x:v>FR_FC</x:v>
      </x:c>
      <x:c r="H30" s="187" t="str">
        <x:v>CARRIER_B</x:v>
      </x:c>
      <x:c r="I30" s="187" t="str">
        <x:v>ROAD</x:v>
      </x:c>
      <x:c r="J30" s="187" t="str">
        <x:v>FUEL_SURCHARGE</x:v>
      </x:c>
      <x:c r="K30" s="187" t="str">
        <x:v>EUR</x:v>
      </x:c>
      <x:c r="L30" s="232" t="n">
        <x:v>487.70176</x:v>
      </x:c>
      <x:c r="M30" s="232" t="n">
        <x:v>7.8</x:v>
      </x:c>
      <x:c r="N30" s="187" t="str">
        <x:v>3804.073728000000</x:v>
      </x:c>
      <x:c r="O30" s="235" t="n">
        <x:v>3804.0737</x:v>
      </x:c>
      <x:c r="P30" s="235"/>
      <x:c r="Q30" s="235"/>
      <x:c r="R30" s="235" t="str">
        <x:v>INVOICE_OR_PLAN</x:v>
      </x:c>
      <x:c r="S30" s="238" t="n">
        <x:f>'Model_Calc'!AG9</x:f>
        <x:v>3804.073728000001</x:v>
      </x:c>
      <x:c r="T30" s="238" t="n">
        <x:f>ROUND(S30-O30,4)</x:f>
        <x:v>0</x:v>
      </x:c>
    </x:row>
    <x:row r="31">
      <x:c r="A31" s="187" t="str">
        <x:v>BUDGET_2026_V1</x:v>
      </x:c>
      <x:c r="B31" s="187" t="str">
        <x:v>BUDGET</x:v>
      </x:c>
      <x:c r="C31" s="187"/>
      <x:c r="D31" s="217" t="n">
        <x:v>46023</x:v>
      </x:c>
      <x:c r="E31" s="187" t="str">
        <x:v>R_FR_FR_B_ROAD</x:v>
      </x:c>
      <x:c r="F31" s="187" t="str">
        <x:v>FR</x:v>
      </x:c>
      <x:c r="G31" s="187" t="str">
        <x:v>FR_FC</x:v>
      </x:c>
      <x:c r="H31" s="187" t="str">
        <x:v>CARRIER_B</x:v>
      </x:c>
      <x:c r="I31" s="187" t="str">
        <x:v>ROAD</x:v>
      </x:c>
      <x:c r="J31" s="187" t="str">
        <x:v>WAREHOUSE_OPERATION</x:v>
      </x:c>
      <x:c r="K31" s="187" t="str">
        <x:v>EUR</x:v>
      </x:c>
      <x:c r="L31" s="232" t="n">
        <x:v>3057.6</x:v>
      </x:c>
      <x:c r="M31" s="232" t="n">
        <x:v>7.8</x:v>
      </x:c>
      <x:c r="N31" s="187" t="str">
        <x:v>23849.28000000</x:v>
      </x:c>
      <x:c r="O31" s="235" t="n">
        <x:v>23849.28</x:v>
      </x:c>
      <x:c r="P31" s="235"/>
      <x:c r="Q31" s="235"/>
      <x:c r="R31" s="235" t="str">
        <x:v>INVOICE_OR_PLAN</x:v>
      </x:c>
      <x:c r="S31" s="238" t="n">
        <x:f>'Model_Calc'!AL9</x:f>
        <x:v>23849.28</x:v>
      </x:c>
      <x:c r="T31" s="238" t="n">
        <x:f>ROUND(S31-O31,4)</x:f>
        <x:v>0</x:v>
      </x:c>
    </x:row>
    <x:row r="32">
      <x:c r="A32" s="187" t="str">
        <x:v>BUDGET_2026_V1</x:v>
      </x:c>
      <x:c r="B32" s="187" t="str">
        <x:v>BUDGET</x:v>
      </x:c>
      <x:c r="C32" s="187"/>
      <x:c r="D32" s="217" t="n">
        <x:v>46023</x:v>
      </x:c>
      <x:c r="E32" s="187" t="str">
        <x:v>R_FR_FR_B_ROAD</x:v>
      </x:c>
      <x:c r="F32" s="187" t="str">
        <x:v>FR</x:v>
      </x:c>
      <x:c r="G32" s="187" t="str">
        <x:v>FR_FC</x:v>
      </x:c>
      <x:c r="H32" s="187" t="str">
        <x:v>CARRIER_B</x:v>
      </x:c>
      <x:c r="I32" s="187" t="str">
        <x:v>ROAD</x:v>
      </x:c>
      <x:c r="J32" s="187" t="str">
        <x:v>PACKAGING</x:v>
      </x:c>
      <x:c r="K32" s="187" t="str">
        <x:v>EUR</x:v>
      </x:c>
      <x:c r="L32" s="232" t="n">
        <x:v>1172.9536</x:v>
      </x:c>
      <x:c r="M32" s="232" t="n">
        <x:v>7.8</x:v>
      </x:c>
      <x:c r="N32" s="187" t="str">
        <x:v>9149.0380800000</x:v>
      </x:c>
      <x:c r="O32" s="235" t="n">
        <x:v>9149.0381</x:v>
      </x:c>
      <x:c r="P32" s="235"/>
      <x:c r="Q32" s="235"/>
      <x:c r="R32" s="235" t="str">
        <x:v>INVOICE_OR_PLAN</x:v>
      </x:c>
      <x:c r="S32" s="238" t="n">
        <x:f>'Model_Calc'!AQ9</x:f>
        <x:v>9149.03808</x:v>
      </x:c>
      <x:c r="T32" s="238" t="n">
        <x:f>ROUND(S32-O32,4)</x:f>
        <x:v>0</x:v>
      </x:c>
    </x:row>
    <x:row r="33">
      <x:c r="A33" s="187" t="str">
        <x:v>BUDGET_2026_V1</x:v>
      </x:c>
      <x:c r="B33" s="187" t="str">
        <x:v>BUDGET</x:v>
      </x:c>
      <x:c r="C33" s="187"/>
      <x:c r="D33" s="217" t="n">
        <x:v>46023</x:v>
      </x:c>
      <x:c r="E33" s="187" t="str">
        <x:v>R_FR_FR_B_ROAD</x:v>
      </x:c>
      <x:c r="F33" s="187" t="str">
        <x:v>FR</x:v>
      </x:c>
      <x:c r="G33" s="187" t="str">
        <x:v>FR_FC</x:v>
      </x:c>
      <x:c r="H33" s="187" t="str">
        <x:v>CARRIER_B</x:v>
      </x:c>
      <x:c r="I33" s="187" t="str">
        <x:v>ROAD</x:v>
      </x:c>
      <x:c r="J33" s="187" t="str">
        <x:v>RETURN_LOGISTICS</x:v>
      </x:c>
      <x:c r="K33" s="187" t="str">
        <x:v>EUR</x:v>
      </x:c>
      <x:c r="L33" s="232" t="n">
        <x:v>524.16</x:v>
      </x:c>
      <x:c r="M33" s="232" t="n">
        <x:v>7.8</x:v>
      </x:c>
      <x:c r="N33" s="187" t="str">
        <x:v>4088.44800000000</x:v>
      </x:c>
      <x:c r="O33" s="235" t="n">
        <x:v>4088.448</x:v>
      </x:c>
      <x:c r="P33" s="235"/>
      <x:c r="Q33" s="235"/>
      <x:c r="R33" s="235" t="str">
        <x:v>INVOICE_OR_PLAN</x:v>
      </x:c>
      <x:c r="S33" s="238" t="n">
        <x:f>'Model_Calc'!AV9</x:f>
        <x:v>4088.448</x:v>
      </x:c>
      <x:c r="T33" s="238" t="n">
        <x:f>ROUND(S33-O33,4)</x:f>
        <x:v>0</x:v>
      </x:c>
    </x:row>
    <x:row r="34">
      <x:c r="A34" s="187" t="str">
        <x:v>BUDGET_2026_V1</x:v>
      </x:c>
      <x:c r="B34" s="187" t="str">
        <x:v>BUDGET</x:v>
      </x:c>
      <x:c r="C34" s="187"/>
      <x:c r="D34" s="217" t="n">
        <x:v>46023</x:v>
      </x:c>
      <x:c r="E34" s="187" t="str">
        <x:v>R_FR_FR_B_ROAD</x:v>
      </x:c>
      <x:c r="F34" s="187" t="str">
        <x:v>FR</x:v>
      </x:c>
      <x:c r="G34" s="187" t="str">
        <x:v>FR_FC</x:v>
      </x:c>
      <x:c r="H34" s="187" t="str">
        <x:v>CARRIER_B</x:v>
      </x:c>
      <x:c r="I34" s="187" t="str">
        <x:v>ROAD</x:v>
      </x:c>
      <x:c r="J34" s="187" t="str">
        <x:v>BILLABLE_EXCEPTION</x:v>
      </x:c>
      <x:c r="K34" s="187" t="str">
        <x:v>EUR</x:v>
      </x:c>
      <x:c r="L34" s="232" t="n">
        <x:v>99.392384</x:v>
      </x:c>
      <x:c r="M34" s="232" t="n">
        <x:v>7.8</x:v>
      </x:c>
      <x:c r="N34" s="187" t="str">
        <x:v>775.2605952000000</x:v>
      </x:c>
      <x:c r="O34" s="235" t="n">
        <x:v>775.2606</x:v>
      </x:c>
      <x:c r="P34" s="235"/>
      <x:c r="Q34" s="235"/>
      <x:c r="R34" s="235" t="str">
        <x:v>INVOICE_OR_PLAN</x:v>
      </x:c>
      <x:c r="S34" s="238" t="n">
        <x:f>'Model_Calc'!BA9</x:f>
        <x:v>775.2605951999999</x:v>
      </x:c>
      <x:c r="T34" s="238" t="n">
        <x:f>ROUND(S34-O34,4)</x:f>
        <x:v>0</x:v>
      </x:c>
    </x:row>
    <x:row r="35">
      <x:c r="A35" s="187" t="str">
        <x:v>BUDGET_2026_V1</x:v>
      </x:c>
      <x:c r="B35" s="187" t="str">
        <x:v>BUDGET</x:v>
      </x:c>
      <x:c r="C35" s="187"/>
      <x:c r="D35" s="217" t="n">
        <x:v>46023</x:v>
      </x:c>
      <x:c r="E35" s="187" t="str">
        <x:v>R_GB_DE_A_ROAD</x:v>
      </x:c>
      <x:c r="F35" s="187" t="str">
        <x:v>GB</x:v>
      </x:c>
      <x:c r="G35" s="187" t="str">
        <x:v>DE_FC</x:v>
      </x:c>
      <x:c r="H35" s="187" t="str">
        <x:v>CARRIER_A</x:v>
      </x:c>
      <x:c r="I35" s="187" t="str">
        <x:v>ROAD</x:v>
      </x:c>
      <x:c r="J35" s="187" t="str">
        <x:v>BASE_FREIGHT</x:v>
      </x:c>
      <x:c r="K35" s="187" t="str">
        <x:v>GBP</x:v>
      </x:c>
      <x:c r="L35" s="232" t="n">
        <x:v>10379.206656</x:v>
      </x:c>
      <x:c r="M35" s="232" t="n">
        <x:v>9</x:v>
      </x:c>
      <x:c r="N35" s="187" t="str">
        <x:v>93412.85990400000000</x:v>
      </x:c>
      <x:c r="O35" s="235" t="n">
        <x:v>93412.8599</x:v>
      </x:c>
      <x:c r="P35" s="235"/>
      <x:c r="Q35" s="235"/>
      <x:c r="R35" s="235" t="str">
        <x:v>INVOICE_OR_PLAN</x:v>
      </x:c>
      <x:c r="S35" s="238" t="n">
        <x:f>'Model_Calc'!AF10</x:f>
        <x:v>93412.859904</x:v>
      </x:c>
      <x:c r="T35" s="238" t="n">
        <x:f>ROUND(S35-O35,4)</x:f>
        <x:v>0</x:v>
      </x:c>
    </x:row>
    <x:row r="36">
      <x:c r="A36" s="187" t="str">
        <x:v>BUDGET_2026_V1</x:v>
      </x:c>
      <x:c r="B36" s="187" t="str">
        <x:v>BUDGET</x:v>
      </x:c>
      <x:c r="C36" s="187"/>
      <x:c r="D36" s="217" t="n">
        <x:v>46023</x:v>
      </x:c>
      <x:c r="E36" s="187" t="str">
        <x:v>R_GB_DE_A_ROAD</x:v>
      </x:c>
      <x:c r="F36" s="187" t="str">
        <x:v>GB</x:v>
      </x:c>
      <x:c r="G36" s="187" t="str">
        <x:v>DE_FC</x:v>
      </x:c>
      <x:c r="H36" s="187" t="str">
        <x:v>CARRIER_A</x:v>
      </x:c>
      <x:c r="I36" s="187" t="str">
        <x:v>ROAD</x:v>
      </x:c>
      <x:c r="J36" s="187" t="str">
        <x:v>FUEL_SURCHARGE</x:v>
      </x:c>
      <x:c r="K36" s="187" t="str">
        <x:v>GBP</x:v>
      </x:c>
      <x:c r="L36" s="232" t="n">
        <x:v>1037.9206656</x:v>
      </x:c>
      <x:c r="M36" s="232" t="n">
        <x:v>9</x:v>
      </x:c>
      <x:c r="N36" s="187" t="str">
        <x:v>9341.28599040000000000</x:v>
      </x:c>
      <x:c r="O36" s="235" t="n">
        <x:v>9341.286</x:v>
      </x:c>
      <x:c r="P36" s="235"/>
      <x:c r="Q36" s="235"/>
      <x:c r="R36" s="235" t="str">
        <x:v>INVOICE_OR_PLAN</x:v>
      </x:c>
      <x:c r="S36" s="238" t="n">
        <x:f>'Model_Calc'!AG10</x:f>
        <x:v>9341.285990400002</x:v>
      </x:c>
      <x:c r="T36" s="238" t="n">
        <x:f>ROUND(S36-O36,4)</x:f>
        <x:v>0</x:v>
      </x:c>
    </x:row>
    <x:row r="37">
      <x:c r="A37" s="187" t="str">
        <x:v>BUDGET_2026_V1</x:v>
      </x:c>
      <x:c r="B37" s="187" t="str">
        <x:v>BUDGET</x:v>
      </x:c>
      <x:c r="C37" s="187"/>
      <x:c r="D37" s="217" t="n">
        <x:v>46023</x:v>
      </x:c>
      <x:c r="E37" s="187" t="str">
        <x:v>R_GB_DE_A_ROAD</x:v>
      </x:c>
      <x:c r="F37" s="187" t="str">
        <x:v>GB</x:v>
      </x:c>
      <x:c r="G37" s="187" t="str">
        <x:v>DE_FC</x:v>
      </x:c>
      <x:c r="H37" s="187" t="str">
        <x:v>CARRIER_A</x:v>
      </x:c>
      <x:c r="I37" s="187" t="str">
        <x:v>ROAD</x:v>
      </x:c>
      <x:c r="J37" s="187" t="str">
        <x:v>WAREHOUSE_OPERATION</x:v>
      </x:c>
      <x:c r="K37" s="187" t="str">
        <x:v>EUR</x:v>
      </x:c>
      <x:c r="L37" s="232" t="n">
        <x:v>2680.2048</x:v>
      </x:c>
      <x:c r="M37" s="232" t="n">
        <x:v>7.8</x:v>
      </x:c>
      <x:c r="N37" s="187" t="str">
        <x:v>20905.5974400000</x:v>
      </x:c>
      <x:c r="O37" s="235" t="n">
        <x:v>20905.5974</x:v>
      </x:c>
      <x:c r="P37" s="235"/>
      <x:c r="Q37" s="235"/>
      <x:c r="R37" s="235" t="str">
        <x:v>INVOICE_OR_PLAN</x:v>
      </x:c>
      <x:c r="S37" s="238" t="n">
        <x:f>'Model_Calc'!AL10</x:f>
        <x:v>20905.597439999998</x:v>
      </x:c>
      <x:c r="T37" s="238" t="n">
        <x:f>ROUND(S37-O37,4)</x:f>
        <x:v>0</x:v>
      </x:c>
    </x:row>
    <x:row r="38">
      <x:c r="A38" s="187" t="str">
        <x:v>BUDGET_2026_V1</x:v>
      </x:c>
      <x:c r="B38" s="187" t="str">
        <x:v>BUDGET</x:v>
      </x:c>
      <x:c r="C38" s="187"/>
      <x:c r="D38" s="217" t="n">
        <x:v>46023</x:v>
      </x:c>
      <x:c r="E38" s="187" t="str">
        <x:v>R_GB_DE_A_ROAD</x:v>
      </x:c>
      <x:c r="F38" s="187" t="str">
        <x:v>GB</x:v>
      </x:c>
      <x:c r="G38" s="187" t="str">
        <x:v>DE_FC</x:v>
      </x:c>
      <x:c r="H38" s="187" t="str">
        <x:v>CARRIER_A</x:v>
      </x:c>
      <x:c r="I38" s="187" t="str">
        <x:v>ROAD</x:v>
      </x:c>
      <x:c r="J38" s="187" t="str">
        <x:v>PACKAGING</x:v>
      </x:c>
      <x:c r="K38" s="187" t="str">
        <x:v>EUR</x:v>
      </x:c>
      <x:c r="L38" s="232" t="n">
        <x:v>1068.447744</x:v>
      </x:c>
      <x:c r="M38" s="232" t="n">
        <x:v>7.8</x:v>
      </x:c>
      <x:c r="N38" s="187" t="str">
        <x:v>8333.892403200000</x:v>
      </x:c>
      <x:c r="O38" s="235" t="n">
        <x:v>8333.8924</x:v>
      </x:c>
      <x:c r="P38" s="235"/>
      <x:c r="Q38" s="235"/>
      <x:c r="R38" s="235" t="str">
        <x:v>INVOICE_OR_PLAN</x:v>
      </x:c>
      <x:c r="S38" s="238" t="n">
        <x:f>'Model_Calc'!AQ10</x:f>
        <x:v>8333.8924032</x:v>
      </x:c>
      <x:c r="T38" s="238" t="n">
        <x:f>ROUND(S38-O38,4)</x:f>
        <x:v>0</x:v>
      </x:c>
    </x:row>
    <x:row r="39">
      <x:c r="A39" s="187" t="str">
        <x:v>BUDGET_2026_V1</x:v>
      </x:c>
      <x:c r="B39" s="187" t="str">
        <x:v>BUDGET</x:v>
      </x:c>
      <x:c r="C39" s="187"/>
      <x:c r="D39" s="217" t="n">
        <x:v>46023</x:v>
      </x:c>
      <x:c r="E39" s="187" t="str">
        <x:v>R_GB_DE_A_ROAD</x:v>
      </x:c>
      <x:c r="F39" s="187" t="str">
        <x:v>GB</x:v>
      </x:c>
      <x:c r="G39" s="187" t="str">
        <x:v>DE_FC</x:v>
      </x:c>
      <x:c r="H39" s="187" t="str">
        <x:v>CARRIER_A</x:v>
      </x:c>
      <x:c r="I39" s="187" t="str">
        <x:v>ROAD</x:v>
      </x:c>
      <x:c r="J39" s="187" t="str">
        <x:v>RETURN_LOGISTICS</x:v>
      </x:c>
      <x:c r="K39" s="187" t="str">
        <x:v>GBP</x:v>
      </x:c>
      <x:c r="L39" s="232" t="n">
        <x:v>872.20224</x:v>
      </x:c>
      <x:c r="M39" s="232" t="n">
        <x:v>9</x:v>
      </x:c>
      <x:c r="N39" s="187" t="str">
        <x:v>7849.8201600000000</x:v>
      </x:c>
      <x:c r="O39" s="235" t="n">
        <x:v>7849.8202</x:v>
      </x:c>
      <x:c r="P39" s="235"/>
      <x:c r="Q39" s="235"/>
      <x:c r="R39" s="235" t="str">
        <x:v>INVOICE_OR_PLAN</x:v>
      </x:c>
      <x:c r="S39" s="238" t="n">
        <x:f>'Model_Calc'!AV10</x:f>
        <x:v>7849.820160000001</x:v>
      </x:c>
      <x:c r="T39" s="238" t="n">
        <x:f>ROUND(S39-O39,4)</x:f>
        <x:v>0</x:v>
      </x:c>
    </x:row>
    <x:row r="40">
      <x:c r="A40" s="187" t="str">
        <x:v>BUDGET_2026_V1</x:v>
      </x:c>
      <x:c r="B40" s="187" t="str">
        <x:v>BUDGET</x:v>
      </x:c>
      <x:c r="C40" s="187"/>
      <x:c r="D40" s="217" t="n">
        <x:v>46023</x:v>
      </x:c>
      <x:c r="E40" s="187" t="str">
        <x:v>R_GB_DE_A_ROAD</x:v>
      </x:c>
      <x:c r="F40" s="187" t="str">
        <x:v>GB</x:v>
      </x:c>
      <x:c r="G40" s="187" t="str">
        <x:v>DE_FC</x:v>
      </x:c>
      <x:c r="H40" s="187" t="str">
        <x:v>CARRIER_A</x:v>
      </x:c>
      <x:c r="I40" s="187" t="str">
        <x:v>ROAD</x:v>
      </x:c>
      <x:c r="J40" s="187" t="str">
        <x:v>BILLABLE_EXCEPTION</x:v>
      </x:c>
      <x:c r="K40" s="187" t="str">
        <x:v>GBP</x:v>
      </x:c>
      <x:c r="L40" s="232" t="n">
        <x:v>128.72251392</x:v>
      </x:c>
      <x:c r="M40" s="232" t="n">
        <x:v>9</x:v>
      </x:c>
      <x:c r="N40" s="187" t="str">
        <x:v>1158.502625280000000</x:v>
      </x:c>
      <x:c r="O40" s="235" t="n">
        <x:v>1158.5026</x:v>
      </x:c>
      <x:c r="P40" s="235"/>
      <x:c r="Q40" s="235"/>
      <x:c r="R40" s="235" t="str">
        <x:v>INVOICE_OR_PLAN</x:v>
      </x:c>
      <x:c r="S40" s="238" t="n">
        <x:f>'Model_Calc'!BA10</x:f>
        <x:v>1158.5026252799998</x:v>
      </x:c>
      <x:c r="T40" s="238" t="n">
        <x:f>ROUND(S40-O40,4)</x:f>
        <x:v>0</x:v>
      </x:c>
    </x:row>
    <x:row r="41">
      <x:c r="A41" s="187" t="str">
        <x:v>BUDGET_2026_V1</x:v>
      </x:c>
      <x:c r="B41" s="187" t="str">
        <x:v>BUDGET</x:v>
      </x:c>
      <x:c r="C41" s="187"/>
      <x:c r="D41" s="217" t="n">
        <x:v>46023</x:v>
      </x:c>
      <x:c r="E41" s="187" t="str">
        <x:v>R_GB_DE_B_ROAD</x:v>
      </x:c>
      <x:c r="F41" s="187" t="str">
        <x:v>GB</x:v>
      </x:c>
      <x:c r="G41" s="187" t="str">
        <x:v>DE_FC</x:v>
      </x:c>
      <x:c r="H41" s="187" t="str">
        <x:v>CARRIER_B</x:v>
      </x:c>
      <x:c r="I41" s="187" t="str">
        <x:v>ROAD</x:v>
      </x:c>
      <x:c r="J41" s="187" t="str">
        <x:v>BASE_FREIGHT</x:v>
      </x:c>
      <x:c r="K41" s="187" t="str">
        <x:v>GBP</x:v>
      </x:c>
      <x:c r="L41" s="232" t="n">
        <x:v>4598.6304</x:v>
      </x:c>
      <x:c r="M41" s="232" t="n">
        <x:v>9</x:v>
      </x:c>
      <x:c r="N41" s="187" t="str">
        <x:v>41387.67360000000000</x:v>
      </x:c>
      <x:c r="O41" s="235" t="n">
        <x:v>41387.6736</x:v>
      </x:c>
      <x:c r="P41" s="235"/>
      <x:c r="Q41" s="235"/>
      <x:c r="R41" s="235" t="str">
        <x:v>INVOICE_OR_PLAN</x:v>
      </x:c>
      <x:c r="S41" s="238" t="n">
        <x:f>'Model_Calc'!AF11</x:f>
        <x:v>41387.67360000001</x:v>
      </x:c>
      <x:c r="T41" s="238" t="n">
        <x:f>ROUND(S41-O41,4)</x:f>
        <x:v>0</x:v>
      </x:c>
    </x:row>
    <x:row r="42">
      <x:c r="A42" s="187" t="str">
        <x:v>BUDGET_2026_V1</x:v>
      </x:c>
      <x:c r="B42" s="187" t="str">
        <x:v>BUDGET</x:v>
      </x:c>
      <x:c r="C42" s="187"/>
      <x:c r="D42" s="217" t="n">
        <x:v>46023</x:v>
      </x:c>
      <x:c r="E42" s="187" t="str">
        <x:v>R_GB_DE_B_ROAD</x:v>
      </x:c>
      <x:c r="F42" s="187" t="str">
        <x:v>GB</x:v>
      </x:c>
      <x:c r="G42" s="187" t="str">
        <x:v>DE_FC</x:v>
      </x:c>
      <x:c r="H42" s="187" t="str">
        <x:v>CARRIER_B</x:v>
      </x:c>
      <x:c r="I42" s="187" t="str">
        <x:v>ROAD</x:v>
      </x:c>
      <x:c r="J42" s="187" t="str">
        <x:v>FUEL_SURCHARGE</x:v>
      </x:c>
      <x:c r="K42" s="187" t="str">
        <x:v>GBP</x:v>
      </x:c>
      <x:c r="L42" s="232" t="n">
        <x:v>322.88256</x:v>
      </x:c>
      <x:c r="M42" s="232" t="n">
        <x:v>9</x:v>
      </x:c>
      <x:c r="N42" s="187" t="str">
        <x:v>2905.94304000000000</x:v>
      </x:c>
      <x:c r="O42" s="235" t="n">
        <x:v>2905.943</x:v>
      </x:c>
      <x:c r="P42" s="235"/>
      <x:c r="Q42" s="235"/>
      <x:c r="R42" s="235" t="str">
        <x:v>INVOICE_OR_PLAN</x:v>
      </x:c>
      <x:c r="S42" s="238" t="n">
        <x:f>'Model_Calc'!AG11</x:f>
        <x:v>2905.9430400000006</x:v>
      </x:c>
      <x:c r="T42" s="238" t="n">
        <x:f>ROUND(S42-O42,4)</x:f>
        <x:v>0</x:v>
      </x:c>
    </x:row>
    <x:row r="43">
      <x:c r="A43" s="187" t="str">
        <x:v>BUDGET_2026_V1</x:v>
      </x:c>
      <x:c r="B43" s="187" t="str">
        <x:v>BUDGET</x:v>
      </x:c>
      <x:c r="C43" s="187"/>
      <x:c r="D43" s="217" t="n">
        <x:v>46023</x:v>
      </x:c>
      <x:c r="E43" s="187" t="str">
        <x:v>R_GB_DE_B_ROAD</x:v>
      </x:c>
      <x:c r="F43" s="187" t="str">
        <x:v>GB</x:v>
      </x:c>
      <x:c r="G43" s="187" t="str">
        <x:v>DE_FC</x:v>
      </x:c>
      <x:c r="H43" s="187" t="str">
        <x:v>CARRIER_B</x:v>
      </x:c>
      <x:c r="I43" s="187" t="str">
        <x:v>ROAD</x:v>
      </x:c>
      <x:c r="J43" s="187" t="str">
        <x:v>WAREHOUSE_OPERATION</x:v>
      </x:c>
      <x:c r="K43" s="187" t="str">
        <x:v>EUR</x:v>
      </x:c>
      <x:c r="L43" s="232" t="n">
        <x:v>1030.848</x:v>
      </x:c>
      <x:c r="M43" s="232" t="n">
        <x:v>7.8</x:v>
      </x:c>
      <x:c r="N43" s="187" t="str">
        <x:v>8040.6144000000</x:v>
      </x:c>
      <x:c r="O43" s="235" t="n">
        <x:v>8040.6144</x:v>
      </x:c>
      <x:c r="P43" s="235"/>
      <x:c r="Q43" s="235"/>
      <x:c r="R43" s="235" t="str">
        <x:v>INVOICE_OR_PLAN</x:v>
      </x:c>
      <x:c r="S43" s="238" t="n">
        <x:f>'Model_Calc'!AL11</x:f>
        <x:v>8040.6143999999995</x:v>
      </x:c>
      <x:c r="T43" s="238" t="n">
        <x:f>ROUND(S43-O43,4)</x:f>
        <x:v>0</x:v>
      </x:c>
    </x:row>
    <x:row r="44">
      <x:c r="A44" s="187" t="str">
        <x:v>BUDGET_2026_V1</x:v>
      </x:c>
      <x:c r="B44" s="187" t="str">
        <x:v>BUDGET</x:v>
      </x:c>
      <x:c r="C44" s="187"/>
      <x:c r="D44" s="217" t="n">
        <x:v>46023</x:v>
      </x:c>
      <x:c r="E44" s="187" t="str">
        <x:v>R_GB_DE_B_ROAD</x:v>
      </x:c>
      <x:c r="F44" s="187" t="str">
        <x:v>GB</x:v>
      </x:c>
      <x:c r="G44" s="187" t="str">
        <x:v>DE_FC</x:v>
      </x:c>
      <x:c r="H44" s="187" t="str">
        <x:v>CARRIER_B</x:v>
      </x:c>
      <x:c r="I44" s="187" t="str">
        <x:v>ROAD</x:v>
      </x:c>
      <x:c r="J44" s="187" t="str">
        <x:v>PACKAGING</x:v>
      </x:c>
      <x:c r="K44" s="187" t="str">
        <x:v>EUR</x:v>
      </x:c>
      <x:c r="L44" s="232" t="n">
        <x:v>410.94144</x:v>
      </x:c>
      <x:c r="M44" s="232" t="n">
        <x:v>7.8</x:v>
      </x:c>
      <x:c r="N44" s="187" t="str">
        <x:v>3205.343232000000</x:v>
      </x:c>
      <x:c r="O44" s="235" t="n">
        <x:v>3205.3432</x:v>
      </x:c>
      <x:c r="P44" s="235"/>
      <x:c r="Q44" s="235"/>
      <x:c r="R44" s="235" t="str">
        <x:v>INVOICE_OR_PLAN</x:v>
      </x:c>
      <x:c r="S44" s="238" t="n">
        <x:f>'Model_Calc'!AQ11</x:f>
        <x:v>3205.343232</x:v>
      </x:c>
      <x:c r="T44" s="238" t="n">
        <x:f>ROUND(S44-O44,4)</x:f>
        <x:v>0</x:v>
      </x:c>
    </x:row>
    <x:row r="45">
      <x:c r="A45" s="187" t="str">
        <x:v>BUDGET_2026_V1</x:v>
      </x:c>
      <x:c r="B45" s="187" t="str">
        <x:v>BUDGET</x:v>
      </x:c>
      <x:c r="C45" s="187"/>
      <x:c r="D45" s="217" t="n">
        <x:v>46023</x:v>
      </x:c>
      <x:c r="E45" s="187" t="str">
        <x:v>R_GB_DE_B_ROAD</x:v>
      </x:c>
      <x:c r="F45" s="187" t="str">
        <x:v>GB</x:v>
      </x:c>
      <x:c r="G45" s="187" t="str">
        <x:v>DE_FC</x:v>
      </x:c>
      <x:c r="H45" s="187" t="str">
        <x:v>CARRIER_B</x:v>
      </x:c>
      <x:c r="I45" s="187" t="str">
        <x:v>ROAD</x:v>
      </x:c>
      <x:c r="J45" s="187" t="str">
        <x:v>RETURN_LOGISTICS</x:v>
      </x:c>
      <x:c r="K45" s="187" t="str">
        <x:v>GBP</x:v>
      </x:c>
      <x:c r="L45" s="232" t="n">
        <x:v>335.4624</x:v>
      </x:c>
      <x:c r="M45" s="232" t="n">
        <x:v>9</x:v>
      </x:c>
      <x:c r="N45" s="187" t="str">
        <x:v>3019.1616000000000</x:v>
      </x:c>
      <x:c r="O45" s="235" t="n">
        <x:v>3019.1616</x:v>
      </x:c>
      <x:c r="P45" s="235"/>
      <x:c r="Q45" s="235"/>
      <x:c r="R45" s="235" t="str">
        <x:v>INVOICE_OR_PLAN</x:v>
      </x:c>
      <x:c r="S45" s="238" t="n">
        <x:f>'Model_Calc'!AV11</x:f>
        <x:v>3019.1616</x:v>
      </x:c>
      <x:c r="T45" s="238" t="n">
        <x:f>ROUND(S45-O45,4)</x:f>
        <x:v>0</x:v>
      </x:c>
    </x:row>
    <x:row r="46">
      <x:c r="A46" s="187" t="str">
        <x:v>BUDGET_2026_V1</x:v>
      </x:c>
      <x:c r="B46" s="187" t="str">
        <x:v>BUDGET</x:v>
      </x:c>
      <x:c r="C46" s="187"/>
      <x:c r="D46" s="217" t="n">
        <x:v>46023</x:v>
      </x:c>
      <x:c r="E46" s="187" t="str">
        <x:v>R_GB_DE_B_ROAD</x:v>
      </x:c>
      <x:c r="F46" s="187" t="str">
        <x:v>GB</x:v>
      </x:c>
      <x:c r="G46" s="187" t="str">
        <x:v>DE_FC</x:v>
      </x:c>
      <x:c r="H46" s="187" t="str">
        <x:v>CARRIER_B</x:v>
      </x:c>
      <x:c r="I46" s="187" t="str">
        <x:v>ROAD</x:v>
      </x:c>
      <x:c r="J46" s="187" t="str">
        <x:v>BILLABLE_EXCEPTION</x:v>
      </x:c>
      <x:c r="K46" s="187" t="str">
        <x:v>GBP</x:v>
      </x:c>
      <x:c r="L46" s="232" t="n">
        <x:v>38.2566912</x:v>
      </x:c>
      <x:c r="M46" s="232" t="n">
        <x:v>9</x:v>
      </x:c>
      <x:c r="N46" s="187" t="str">
        <x:v>344.310220800000000</x:v>
      </x:c>
      <x:c r="O46" s="235" t="n">
        <x:v>344.3102</x:v>
      </x:c>
      <x:c r="P46" s="235"/>
      <x:c r="Q46" s="235"/>
      <x:c r="R46" s="235" t="str">
        <x:v>INVOICE_OR_PLAN</x:v>
      </x:c>
      <x:c r="S46" s="238" t="n">
        <x:f>'Model_Calc'!BA11</x:f>
        <x:v>344.3102208</x:v>
      </x:c>
      <x:c r="T46" s="238" t="n">
        <x:f>ROUND(S46-O46,4)</x:f>
        <x:v>0</x:v>
      </x:c>
    </x:row>
    <x:row r="47">
      <x:c r="A47" s="187" t="str">
        <x:v>BUDGET_2026_V1</x:v>
      </x:c>
      <x:c r="B47" s="187" t="str">
        <x:v>BUDGET</x:v>
      </x:c>
      <x:c r="C47" s="187"/>
      <x:c r="D47" s="217" t="n">
        <x:v>46023</x:v>
      </x:c>
      <x:c r="E47" s="187" t="str">
        <x:v>R_GB_DE_B_AIR</x:v>
      </x:c>
      <x:c r="F47" s="187" t="str">
        <x:v>GB</x:v>
      </x:c>
      <x:c r="G47" s="187" t="str">
        <x:v>DE_FC</x:v>
      </x:c>
      <x:c r="H47" s="187" t="str">
        <x:v>CARRIER_B</x:v>
      </x:c>
      <x:c r="I47" s="187" t="str">
        <x:v>AIR</x:v>
      </x:c>
      <x:c r="J47" s="187" t="str">
        <x:v>BASE_FREIGHT</x:v>
      </x:c>
      <x:c r="K47" s="187" t="str">
        <x:v>GBP</x:v>
      </x:c>
      <x:c r="L47" s="232" t="n">
        <x:v>1596.64447488</x:v>
      </x:c>
      <x:c r="M47" s="232" t="n">
        <x:v>9</x:v>
      </x:c>
      <x:c r="N47" s="187" t="str">
        <x:v>14369.80027392000000</x:v>
      </x:c>
      <x:c r="O47" s="235" t="n">
        <x:v>14369.8003</x:v>
      </x:c>
      <x:c r="P47" s="235"/>
      <x:c r="Q47" s="235"/>
      <x:c r="R47" s="235" t="str">
        <x:v>INVOICE_OR_PLAN</x:v>
      </x:c>
      <x:c r="S47" s="238" t="n">
        <x:f>'Model_Calc'!AF12</x:f>
        <x:v>14369.800273920002</x:v>
      </x:c>
      <x:c r="T47" s="238" t="n">
        <x:f>ROUND(S47-O47,4)</x:f>
        <x:v>0</x:v>
      </x:c>
    </x:row>
    <x:row r="48">
      <x:c r="A48" s="187" t="str">
        <x:v>BUDGET_2026_V1</x:v>
      </x:c>
      <x:c r="B48" s="187" t="str">
        <x:v>BUDGET</x:v>
      </x:c>
      <x:c r="C48" s="187"/>
      <x:c r="D48" s="217" t="n">
        <x:v>46023</x:v>
      </x:c>
      <x:c r="E48" s="187" t="str">
        <x:v>R_GB_DE_B_AIR</x:v>
      </x:c>
      <x:c r="F48" s="187" t="str">
        <x:v>GB</x:v>
      </x:c>
      <x:c r="G48" s="187" t="str">
        <x:v>DE_FC</x:v>
      </x:c>
      <x:c r="H48" s="187" t="str">
        <x:v>CARRIER_B</x:v>
      </x:c>
      <x:c r="I48" s="187" t="str">
        <x:v>AIR</x:v>
      </x:c>
      <x:c r="J48" s="187" t="str">
        <x:v>FUEL_SURCHARGE</x:v>
      </x:c>
      <x:c r="K48" s="187" t="str">
        <x:v>GBP</x:v>
      </x:c>
      <x:c r="L48" s="232" t="n">
        <x:v>183.6141146112</x:v>
      </x:c>
      <x:c r="M48" s="232" t="n">
        <x:v>9</x:v>
      </x:c>
      <x:c r="N48" s="187" t="str">
        <x:v>1652.52703150080000000</x:v>
      </x:c>
      <x:c r="O48" s="235" t="n">
        <x:v>1652.527</x:v>
      </x:c>
      <x:c r="P48" s="235"/>
      <x:c r="Q48" s="235"/>
      <x:c r="R48" s="235" t="str">
        <x:v>INVOICE_OR_PLAN</x:v>
      </x:c>
      <x:c r="S48" s="238" t="n">
        <x:f>'Model_Calc'!AG12</x:f>
        <x:v>1652.5270315008001</x:v>
      </x:c>
      <x:c r="T48" s="238" t="n">
        <x:f>ROUND(S48-O48,4)</x:f>
        <x:v>0</x:v>
      </x:c>
    </x:row>
    <x:row r="49">
      <x:c r="A49" s="187" t="str">
        <x:v>BUDGET_2026_V1</x:v>
      </x:c>
      <x:c r="B49" s="187" t="str">
        <x:v>BUDGET</x:v>
      </x:c>
      <x:c r="C49" s="187"/>
      <x:c r="D49" s="217" t="n">
        <x:v>46023</x:v>
      </x:c>
      <x:c r="E49" s="187" t="str">
        <x:v>R_GB_DE_B_AIR</x:v>
      </x:c>
      <x:c r="F49" s="187" t="str">
        <x:v>GB</x:v>
      </x:c>
      <x:c r="G49" s="187" t="str">
        <x:v>DE_FC</x:v>
      </x:c>
      <x:c r="H49" s="187" t="str">
        <x:v>CARRIER_B</x:v>
      </x:c>
      <x:c r="I49" s="187" t="str">
        <x:v>AIR</x:v>
      </x:c>
      <x:c r="J49" s="187" t="str">
        <x:v>WAREHOUSE_OPERATION</x:v>
      </x:c>
      <x:c r="K49" s="187" t="str">
        <x:v>EUR</x:v>
      </x:c>
      <x:c r="L49" s="232" t="n">
        <x:v>288.63744</x:v>
      </x:c>
      <x:c r="M49" s="232" t="n">
        <x:v>7.8</x:v>
      </x:c>
      <x:c r="N49" s="187" t="str">
        <x:v>2251.3720320000</x:v>
      </x:c>
      <x:c r="O49" s="235" t="n">
        <x:v>2251.372</x:v>
      </x:c>
      <x:c r="P49" s="235"/>
      <x:c r="Q49" s="235"/>
      <x:c r="R49" s="235" t="str">
        <x:v>INVOICE_OR_PLAN</x:v>
      </x:c>
      <x:c r="S49" s="238" t="n">
        <x:f>'Model_Calc'!AL12</x:f>
        <x:v>2251.372032</x:v>
      </x:c>
      <x:c r="T49" s="238" t="n">
        <x:f>ROUND(S49-O49,4)</x:f>
        <x:v>0</x:v>
      </x:c>
    </x:row>
    <x:row r="50">
      <x:c r="A50" s="187" t="str">
        <x:v>BUDGET_2026_V1</x:v>
      </x:c>
      <x:c r="B50" s="187" t="str">
        <x:v>BUDGET</x:v>
      </x:c>
      <x:c r="C50" s="187"/>
      <x:c r="D50" s="217" t="n">
        <x:v>46023</x:v>
      </x:c>
      <x:c r="E50" s="187" t="str">
        <x:v>R_GB_DE_B_AIR</x:v>
      </x:c>
      <x:c r="F50" s="187" t="str">
        <x:v>GB</x:v>
      </x:c>
      <x:c r="G50" s="187" t="str">
        <x:v>DE_FC</x:v>
      </x:c>
      <x:c r="H50" s="187" t="str">
        <x:v>CARRIER_B</x:v>
      </x:c>
      <x:c r="I50" s="187" t="str">
        <x:v>AIR</x:v>
      </x:c>
      <x:c r="J50" s="187" t="str">
        <x:v>PACKAGING</x:v>
      </x:c>
      <x:c r="K50" s="187" t="str">
        <x:v>EUR</x:v>
      </x:c>
      <x:c r="L50" s="232" t="n">
        <x:v>115.0636032</x:v>
      </x:c>
      <x:c r="M50" s="232" t="n">
        <x:v>7.8</x:v>
      </x:c>
      <x:c r="N50" s="187" t="str">
        <x:v>897.496104960000</x:v>
      </x:c>
      <x:c r="O50" s="235" t="n">
        <x:v>897.4961</x:v>
      </x:c>
      <x:c r="P50" s="235"/>
      <x:c r="Q50" s="235"/>
      <x:c r="R50" s="235" t="str">
        <x:v>INVOICE_OR_PLAN</x:v>
      </x:c>
      <x:c r="S50" s="238" t="n">
        <x:f>'Model_Calc'!AQ12</x:f>
        <x:v>897.4961049600001</x:v>
      </x:c>
      <x:c r="T50" s="238" t="n">
        <x:f>ROUND(S50-O50,4)</x:f>
        <x:v>0</x:v>
      </x:c>
    </x:row>
    <x:row r="51">
      <x:c r="A51" s="187" t="str">
        <x:v>BUDGET_2026_V1</x:v>
      </x:c>
      <x:c r="B51" s="187" t="str">
        <x:v>BUDGET</x:v>
      </x:c>
      <x:c r="C51" s="187"/>
      <x:c r="D51" s="217" t="n">
        <x:v>46023</x:v>
      </x:c>
      <x:c r="E51" s="187" t="str">
        <x:v>R_GB_DE_B_AIR</x:v>
      </x:c>
      <x:c r="F51" s="187" t="str">
        <x:v>GB</x:v>
      </x:c>
      <x:c r="G51" s="187" t="str">
        <x:v>DE_FC</x:v>
      </x:c>
      <x:c r="H51" s="187" t="str">
        <x:v>CARRIER_B</x:v>
      </x:c>
      <x:c r="I51" s="187" t="str">
        <x:v>AIR</x:v>
      </x:c>
      <x:c r="J51" s="187" t="str">
        <x:v>RETURN_LOGISTICS</x:v>
      </x:c>
      <x:c r="K51" s="187" t="str">
        <x:v>GBP</x:v>
      </x:c>
      <x:c r="L51" s="232" t="n">
        <x:v>93.929472</x:v>
      </x:c>
      <x:c r="M51" s="232" t="n">
        <x:v>9</x:v>
      </x:c>
      <x:c r="N51" s="187" t="str">
        <x:v>845.3652480000000</x:v>
      </x:c>
      <x:c r="O51" s="235" t="n">
        <x:v>845.3652</x:v>
      </x:c>
      <x:c r="P51" s="235"/>
      <x:c r="Q51" s="235"/>
      <x:c r="R51" s="235" t="str">
        <x:v>INVOICE_OR_PLAN</x:v>
      </x:c>
      <x:c r="S51" s="238" t="n">
        <x:f>'Model_Calc'!AV12</x:f>
        <x:v>845.3652480000001</x:v>
      </x:c>
      <x:c r="T51" s="238" t="n">
        <x:f>ROUND(S51-O51,4)</x:f>
        <x:v>0</x:v>
      </x:c>
    </x:row>
    <x:row r="52">
      <x:c r="A52" s="187" t="str">
        <x:v>BUDGET_2026_V1</x:v>
      </x:c>
      <x:c r="B52" s="187" t="str">
        <x:v>BUDGET</x:v>
      </x:c>
      <x:c r="C52" s="187"/>
      <x:c r="D52" s="217" t="n">
        <x:v>46023</x:v>
      </x:c>
      <x:c r="E52" s="187" t="str">
        <x:v>R_GB_DE_B_AIR</x:v>
      </x:c>
      <x:c r="F52" s="187" t="str">
        <x:v>GB</x:v>
      </x:c>
      <x:c r="G52" s="187" t="str">
        <x:v>DE_FC</x:v>
      </x:c>
      <x:c r="H52" s="187" t="str">
        <x:v>CARRIER_B</x:v>
      </x:c>
      <x:c r="I52" s="187" t="str">
        <x:v>AIR</x:v>
      </x:c>
      <x:c r="J52" s="187" t="str">
        <x:v>BILLABLE_EXCEPTION</x:v>
      </x:c>
      <x:c r="K52" s="187" t="str">
        <x:v>GBP</x:v>
      </x:c>
      <x:c r="L52" s="232" t="n">
        <x:v>9.972178944</x:v>
      </x:c>
      <x:c r="M52" s="232" t="n">
        <x:v>9</x:v>
      </x:c>
      <x:c r="N52" s="187" t="str">
        <x:v>89.749610496000000</x:v>
      </x:c>
      <x:c r="O52" s="235" t="n">
        <x:v>89.7496</x:v>
      </x:c>
      <x:c r="P52" s="235"/>
      <x:c r="Q52" s="235"/>
      <x:c r="R52" s="235" t="str">
        <x:v>INVOICE_OR_PLAN</x:v>
      </x:c>
      <x:c r="S52" s="238" t="n">
        <x:f>'Model_Calc'!BA12</x:f>
        <x:v>89.74961049600002</x:v>
      </x:c>
      <x:c r="T52" s="238" t="n">
        <x:f>ROUND(S52-O52,4)</x:f>
        <x:v>0</x:v>
      </x:c>
    </x:row>
    <x:row r="53">
      <x:c r="A53" s="187" t="str">
        <x:v>BUDGET_2026_V1</x:v>
      </x:c>
      <x:c r="B53" s="187" t="str">
        <x:v>BUDGET</x:v>
      </x:c>
      <x:c r="C53" s="187"/>
      <x:c r="D53" s="217" t="n">
        <x:v>46023</x:v>
      </x:c>
      <x:c r="E53" s="187" t="str">
        <x:v>R_GB_DE_C_AIR</x:v>
      </x:c>
      <x:c r="F53" s="187" t="str">
        <x:v>GB</x:v>
      </x:c>
      <x:c r="G53" s="187" t="str">
        <x:v>DE_FC</x:v>
      </x:c>
      <x:c r="H53" s="187" t="str">
        <x:v>CARRIER_C</x:v>
      </x:c>
      <x:c r="I53" s="187" t="str">
        <x:v>AIR</x:v>
      </x:c>
      <x:c r="J53" s="187" t="str">
        <x:v>BASE_FREIGHT</x:v>
      </x:c>
      <x:c r="K53" s="187" t="str">
        <x:v>GBP</x:v>
      </x:c>
      <x:c r="L53" s="232" t="n">
        <x:v>810.141696</x:v>
      </x:c>
      <x:c r="M53" s="232" t="n">
        <x:v>9</x:v>
      </x:c>
      <x:c r="N53" s="187" t="str">
        <x:v>7291.27526400000000</x:v>
      </x:c>
      <x:c r="O53" s="235" t="n">
        <x:v>7291.2753</x:v>
      </x:c>
      <x:c r="P53" s="235"/>
      <x:c r="Q53" s="235"/>
      <x:c r="R53" s="235" t="str">
        <x:v>INVOICE_OR_PLAN</x:v>
      </x:c>
      <x:c r="S53" s="238" t="n">
        <x:f>'Model_Calc'!AF13</x:f>
        <x:v>7291.275264</x:v>
      </x:c>
      <x:c r="T53" s="238" t="n">
        <x:f>ROUND(S53-O53,4)</x:f>
        <x:v>0</x:v>
      </x:c>
    </x:row>
    <x:row r="54">
      <x:c r="A54" s="187" t="str">
        <x:v>BUDGET_2026_V1</x:v>
      </x:c>
      <x:c r="B54" s="187" t="str">
        <x:v>BUDGET</x:v>
      </x:c>
      <x:c r="C54" s="187"/>
      <x:c r="D54" s="217" t="n">
        <x:v>46023</x:v>
      </x:c>
      <x:c r="E54" s="187" t="str">
        <x:v>R_GB_DE_C_AIR</x:v>
      </x:c>
      <x:c r="F54" s="187" t="str">
        <x:v>GB</x:v>
      </x:c>
      <x:c r="G54" s="187" t="str">
        <x:v>DE_FC</x:v>
      </x:c>
      <x:c r="H54" s="187" t="str">
        <x:v>CARRIER_C</x:v>
      </x:c>
      <x:c r="I54" s="187" t="str">
        <x:v>AIR</x:v>
      </x:c>
      <x:c r="J54" s="187" t="str">
        <x:v>FUEL_SURCHARGE</x:v>
      </x:c>
      <x:c r="K54" s="187" t="str">
        <x:v>GBP</x:v>
      </x:c>
      <x:c r="L54" s="232" t="n">
        <x:v>62.650957824</x:v>
      </x:c>
      <x:c r="M54" s="232" t="n">
        <x:v>9</x:v>
      </x:c>
      <x:c r="N54" s="187" t="str">
        <x:v>563.85862041600000</x:v>
      </x:c>
      <x:c r="O54" s="235" t="n">
        <x:v>563.8586</x:v>
      </x:c>
      <x:c r="P54" s="235"/>
      <x:c r="Q54" s="235"/>
      <x:c r="R54" s="235" t="str">
        <x:v>INVOICE_OR_PLAN</x:v>
      </x:c>
      <x:c r="S54" s="238" t="n">
        <x:f>'Model_Calc'!AG13</x:f>
        <x:v>563.858620416</x:v>
      </x:c>
      <x:c r="T54" s="238" t="n">
        <x:f>ROUND(S54-O54,4)</x:f>
        <x:v>0</x:v>
      </x:c>
    </x:row>
    <x:row r="55">
      <x:c r="A55" s="187" t="str">
        <x:v>BUDGET_2026_V1</x:v>
      </x:c>
      <x:c r="B55" s="187" t="str">
        <x:v>BUDGET</x:v>
      </x:c>
      <x:c r="C55" s="187"/>
      <x:c r="D55" s="217" t="n">
        <x:v>46023</x:v>
      </x:c>
      <x:c r="E55" s="187" t="str">
        <x:v>R_GB_DE_C_AIR</x:v>
      </x:c>
      <x:c r="F55" s="187" t="str">
        <x:v>GB</x:v>
      </x:c>
      <x:c r="G55" s="187" t="str">
        <x:v>DE_FC</x:v>
      </x:c>
      <x:c r="H55" s="187" t="str">
        <x:v>CARRIER_C</x:v>
      </x:c>
      <x:c r="I55" s="187" t="str">
        <x:v>AIR</x:v>
      </x:c>
      <x:c r="J55" s="187" t="str">
        <x:v>WAREHOUSE_OPERATION</x:v>
      </x:c>
      <x:c r="K55" s="187" t="str">
        <x:v>EUR</x:v>
      </x:c>
      <x:c r="L55" s="232" t="n">
        <x:v>123.70176</x:v>
      </x:c>
      <x:c r="M55" s="232" t="n">
        <x:v>7.8</x:v>
      </x:c>
      <x:c r="N55" s="187" t="str">
        <x:v>964.8737280000</x:v>
      </x:c>
      <x:c r="O55" s="235" t="n">
        <x:v>964.8737</x:v>
      </x:c>
      <x:c r="P55" s="235"/>
      <x:c r="Q55" s="235"/>
      <x:c r="R55" s="235" t="str">
        <x:v>INVOICE_OR_PLAN</x:v>
      </x:c>
      <x:c r="S55" s="238" t="n">
        <x:f>'Model_Calc'!AL13</x:f>
        <x:v>964.8737279999999</x:v>
      </x:c>
      <x:c r="T55" s="238" t="n">
        <x:f>ROUND(S55-O55,4)</x:f>
        <x:v>0</x:v>
      </x:c>
    </x:row>
    <x:row r="56">
      <x:c r="A56" s="187" t="str">
        <x:v>BUDGET_2026_V1</x:v>
      </x:c>
      <x:c r="B56" s="187" t="str">
        <x:v>BUDGET</x:v>
      </x:c>
      <x:c r="C56" s="187"/>
      <x:c r="D56" s="217" t="n">
        <x:v>46023</x:v>
      </x:c>
      <x:c r="E56" s="187" t="str">
        <x:v>R_GB_DE_C_AIR</x:v>
      </x:c>
      <x:c r="F56" s="187" t="str">
        <x:v>GB</x:v>
      </x:c>
      <x:c r="G56" s="187" t="str">
        <x:v>DE_FC</x:v>
      </x:c>
      <x:c r="H56" s="187" t="str">
        <x:v>CARRIER_C</x:v>
      </x:c>
      <x:c r="I56" s="187" t="str">
        <x:v>AIR</x:v>
      </x:c>
      <x:c r="J56" s="187" t="str">
        <x:v>PACKAGING</x:v>
      </x:c>
      <x:c r="K56" s="187" t="str">
        <x:v>EUR</x:v>
      </x:c>
      <x:c r="L56" s="232" t="n">
        <x:v>49.3129728</x:v>
      </x:c>
      <x:c r="M56" s="232" t="n">
        <x:v>7.8</x:v>
      </x:c>
      <x:c r="N56" s="187" t="str">
        <x:v>384.641187840000</x:v>
      </x:c>
      <x:c r="O56" s="235" t="n">
        <x:v>384.6412</x:v>
      </x:c>
      <x:c r="P56" s="235"/>
      <x:c r="Q56" s="235"/>
      <x:c r="R56" s="235" t="str">
        <x:v>INVOICE_OR_PLAN</x:v>
      </x:c>
      <x:c r="S56" s="238" t="n">
        <x:f>'Model_Calc'!AQ13</x:f>
        <x:v>384.64118784</x:v>
      </x:c>
      <x:c r="T56" s="238" t="n">
        <x:f>ROUND(S56-O56,4)</x:f>
        <x:v>0</x:v>
      </x:c>
    </x:row>
    <x:row r="57">
      <x:c r="A57" s="187" t="str">
        <x:v>BUDGET_2026_V1</x:v>
      </x:c>
      <x:c r="B57" s="187" t="str">
        <x:v>BUDGET</x:v>
      </x:c>
      <x:c r="C57" s="187"/>
      <x:c r="D57" s="217" t="n">
        <x:v>46023</x:v>
      </x:c>
      <x:c r="E57" s="187" t="str">
        <x:v>R_GB_DE_C_AIR</x:v>
      </x:c>
      <x:c r="F57" s="187" t="str">
        <x:v>GB</x:v>
      </x:c>
      <x:c r="G57" s="187" t="str">
        <x:v>DE_FC</x:v>
      </x:c>
      <x:c r="H57" s="187" t="str">
        <x:v>CARRIER_C</x:v>
      </x:c>
      <x:c r="I57" s="187" t="str">
        <x:v>AIR</x:v>
      </x:c>
      <x:c r="J57" s="187" t="str">
        <x:v>RETURN_LOGISTICS</x:v>
      </x:c>
      <x:c r="K57" s="187" t="str">
        <x:v>GBP</x:v>
      </x:c>
      <x:c r="L57" s="232" t="n">
        <x:v>40.255488</x:v>
      </x:c>
      <x:c r="M57" s="232" t="n">
        <x:v>9</x:v>
      </x:c>
      <x:c r="N57" s="187" t="str">
        <x:v>362.2993920000000</x:v>
      </x:c>
      <x:c r="O57" s="235" t="n">
        <x:v>362.2994</x:v>
      </x:c>
      <x:c r="P57" s="235"/>
      <x:c r="Q57" s="235"/>
      <x:c r="R57" s="235" t="str">
        <x:v>INVOICE_OR_PLAN</x:v>
      </x:c>
      <x:c r="S57" s="238" t="n">
        <x:f>'Model_Calc'!AV13</x:f>
        <x:v>362.29939199999995</x:v>
      </x:c>
      <x:c r="T57" s="238" t="n">
        <x:f>ROUND(S57-O57,4)</x:f>
        <x:v>0</x:v>
      </x:c>
    </x:row>
    <x:row r="58">
      <x:c r="A58" s="187" t="str">
        <x:v>BUDGET_2026_V1</x:v>
      </x:c>
      <x:c r="B58" s="187" t="str">
        <x:v>BUDGET</x:v>
      </x:c>
      <x:c r="C58" s="187"/>
      <x:c r="D58" s="217" t="n">
        <x:v>46023</x:v>
      </x:c>
      <x:c r="E58" s="187" t="str">
        <x:v>R_GB_DE_C_AIR</x:v>
      </x:c>
      <x:c r="F58" s="187" t="str">
        <x:v>GB</x:v>
      </x:c>
      <x:c r="G58" s="187" t="str">
        <x:v>DE_FC</x:v>
      </x:c>
      <x:c r="H58" s="187" t="str">
        <x:v>CARRIER_C</x:v>
      </x:c>
      <x:c r="I58" s="187" t="str">
        <x:v>AIR</x:v>
      </x:c>
      <x:c r="J58" s="187" t="str">
        <x:v>BILLABLE_EXCEPTION</x:v>
      </x:c>
      <x:c r="K58" s="187" t="str">
        <x:v>GBP</x:v>
      </x:c>
      <x:c r="L58" s="232" t="n">
        <x:v>3.804143616</x:v>
      </x:c>
      <x:c r="M58" s="232" t="n">
        <x:v>9</x:v>
      </x:c>
      <x:c r="N58" s="187" t="str">
        <x:v>34.237292544000000</x:v>
      </x:c>
      <x:c r="O58" s="235" t="n">
        <x:v>34.2373</x:v>
      </x:c>
      <x:c r="P58" s="235"/>
      <x:c r="Q58" s="235"/>
      <x:c r="R58" s="235" t="str">
        <x:v>INVOICE_OR_PLAN</x:v>
      </x:c>
      <x:c r="S58" s="238" t="n">
        <x:f>'Model_Calc'!BA13</x:f>
        <x:v>34.237292544</x:v>
      </x:c>
      <x:c r="T58" s="238" t="n">
        <x:f>ROUND(S58-O58,4)</x:f>
        <x:v>0</x:v>
      </x:c>
    </x:row>
    <x:row r="59">
      <x:c r="A59" s="187" t="str">
        <x:v>BUDGET_2026_V1</x:v>
      </x:c>
      <x:c r="B59" s="187" t="str">
        <x:v>BUDGET</x:v>
      </x:c>
      <x:c r="C59" s="187"/>
      <x:c r="D59" s="217" t="n">
        <x:v>46023</x:v>
      </x:c>
      <x:c r="E59" s="187" t="str">
        <x:v>R_GB_FR_B_AIR</x:v>
      </x:c>
      <x:c r="F59" s="187" t="str">
        <x:v>GB</x:v>
      </x:c>
      <x:c r="G59" s="187" t="str">
        <x:v>FR_FC</x:v>
      </x:c>
      <x:c r="H59" s="187" t="str">
        <x:v>CARRIER_B</x:v>
      </x:c>
      <x:c r="I59" s="187" t="str">
        <x:v>AIR</x:v>
      </x:c>
      <x:c r="J59" s="187" t="str">
        <x:v>BASE_FREIGHT</x:v>
      </x:c>
      <x:c r="K59" s="187" t="str">
        <x:v>EUR</x:v>
      </x:c>
      <x:c r="L59" s="232" t="n">
        <x:v>1009.6632</x:v>
      </x:c>
      <x:c r="M59" s="232" t="n">
        <x:v>7.8</x:v>
      </x:c>
      <x:c r="N59" s="187" t="str">
        <x:v>7875.372960000000</x:v>
      </x:c>
      <x:c r="O59" s="235" t="n">
        <x:v>7875.373</x:v>
      </x:c>
      <x:c r="P59" s="235"/>
      <x:c r="Q59" s="235"/>
      <x:c r="R59" s="235" t="str">
        <x:v>INVOICE_OR_PLAN</x:v>
      </x:c>
      <x:c r="S59" s="238" t="n">
        <x:f>'Model_Calc'!AF14</x:f>
        <x:v>7875.372959999999</x:v>
      </x:c>
      <x:c r="T59" s="238" t="n">
        <x:f>ROUND(S59-O59,4)</x:f>
        <x:v>0</x:v>
      </x:c>
    </x:row>
    <x:row r="60">
      <x:c r="A60" s="187" t="str">
        <x:v>BUDGET_2026_V1</x:v>
      </x:c>
      <x:c r="B60" s="187" t="str">
        <x:v>BUDGET</x:v>
      </x:c>
      <x:c r="C60" s="187"/>
      <x:c r="D60" s="217" t="n">
        <x:v>46023</x:v>
      </x:c>
      <x:c r="E60" s="187" t="str">
        <x:v>R_GB_FR_B_AIR</x:v>
      </x:c>
      <x:c r="F60" s="187" t="str">
        <x:v>GB</x:v>
      </x:c>
      <x:c r="G60" s="187" t="str">
        <x:v>FR_FC</x:v>
      </x:c>
      <x:c r="H60" s="187" t="str">
        <x:v>CARRIER_B</x:v>
      </x:c>
      <x:c r="I60" s="187" t="str">
        <x:v>AIR</x:v>
      </x:c>
      <x:c r="J60" s="187" t="str">
        <x:v>FUEL_SURCHARGE</x:v>
      </x:c>
      <x:c r="K60" s="187" t="str">
        <x:v>EUR</x:v>
      </x:c>
      <x:c r="L60" s="232" t="n">
        <x:v>106.014636</x:v>
      </x:c>
      <x:c r="M60" s="232" t="n">
        <x:v>7.8</x:v>
      </x:c>
      <x:c r="N60" s="187" t="str">
        <x:v>826.914160800000000</x:v>
      </x:c>
      <x:c r="O60" s="235" t="n">
        <x:v>826.9142</x:v>
      </x:c>
      <x:c r="P60" s="235"/>
      <x:c r="Q60" s="235"/>
      <x:c r="R60" s="235" t="str">
        <x:v>INVOICE_OR_PLAN</x:v>
      </x:c>
      <x:c r="S60" s="238" t="n">
        <x:f>'Model_Calc'!AG14</x:f>
        <x:v>826.9141607999999</x:v>
      </x:c>
      <x:c r="T60" s="238" t="n">
        <x:f>ROUND(S60-O60,4)</x:f>
        <x:v>0</x:v>
      </x:c>
    </x:row>
    <x:row r="61">
      <x:c r="A61" s="187" t="str">
        <x:v>BUDGET_2026_V1</x:v>
      </x:c>
      <x:c r="B61" s="187" t="str">
        <x:v>BUDGET</x:v>
      </x:c>
      <x:c r="C61" s="187"/>
      <x:c r="D61" s="217" t="n">
        <x:v>46023</x:v>
      </x:c>
      <x:c r="E61" s="187" t="str">
        <x:v>R_GB_FR_B_AIR</x:v>
      </x:c>
      <x:c r="F61" s="187" t="str">
        <x:v>GB</x:v>
      </x:c>
      <x:c r="G61" s="187" t="str">
        <x:v>FR_FC</x:v>
      </x:c>
      <x:c r="H61" s="187" t="str">
        <x:v>CARRIER_B</x:v>
      </x:c>
      <x:c r="I61" s="187" t="str">
        <x:v>AIR</x:v>
      </x:c>
      <x:c r="J61" s="187" t="str">
        <x:v>WAREHOUSE_OPERATION</x:v>
      </x:c>
      <x:c r="K61" s="187" t="str">
        <x:v>EUR</x:v>
      </x:c>
      <x:c r="L61" s="232" t="n">
        <x:v>152.88</x:v>
      </x:c>
      <x:c r="M61" s="232" t="n">
        <x:v>7.8</x:v>
      </x:c>
      <x:c r="N61" s="187" t="str">
        <x:v>1192.46400000</x:v>
      </x:c>
      <x:c r="O61" s="235" t="n">
        <x:v>1192.464</x:v>
      </x:c>
      <x:c r="P61" s="235"/>
      <x:c r="Q61" s="235"/>
      <x:c r="R61" s="235" t="str">
        <x:v>INVOICE_OR_PLAN</x:v>
      </x:c>
      <x:c r="S61" s="238" t="n">
        <x:f>'Model_Calc'!AL14</x:f>
        <x:v>1192.464</x:v>
      </x:c>
      <x:c r="T61" s="238" t="n">
        <x:f>ROUND(S61-O61,4)</x:f>
        <x:v>0</x:v>
      </x:c>
    </x:row>
    <x:row r="62">
      <x:c r="A62" s="187" t="str">
        <x:v>BUDGET_2026_V1</x:v>
      </x:c>
      <x:c r="B62" s="187" t="str">
        <x:v>BUDGET</x:v>
      </x:c>
      <x:c r="C62" s="187"/>
      <x:c r="D62" s="217" t="n">
        <x:v>46023</x:v>
      </x:c>
      <x:c r="E62" s="187" t="str">
        <x:v>R_GB_FR_B_AIR</x:v>
      </x:c>
      <x:c r="F62" s="187" t="str">
        <x:v>GB</x:v>
      </x:c>
      <x:c r="G62" s="187" t="str">
        <x:v>FR_FC</x:v>
      </x:c>
      <x:c r="H62" s="187" t="str">
        <x:v>CARRIER_B</x:v>
      </x:c>
      <x:c r="I62" s="187" t="str">
        <x:v>AIR</x:v>
      </x:c>
      <x:c r="J62" s="187" t="str">
        <x:v>PACKAGING</x:v>
      </x:c>
      <x:c r="K62" s="187" t="str">
        <x:v>EUR</x:v>
      </x:c>
      <x:c r="L62" s="232" t="n">
        <x:v>63.6272</x:v>
      </x:c>
      <x:c r="M62" s="232" t="n">
        <x:v>7.8</x:v>
      </x:c>
      <x:c r="N62" s="187" t="str">
        <x:v>496.2921600000</x:v>
      </x:c>
      <x:c r="O62" s="235" t="n">
        <x:v>496.2922</x:v>
      </x:c>
      <x:c r="P62" s="235"/>
      <x:c r="Q62" s="235"/>
      <x:c r="R62" s="235" t="str">
        <x:v>INVOICE_OR_PLAN</x:v>
      </x:c>
      <x:c r="S62" s="238" t="n">
        <x:f>'Model_Calc'!AQ14</x:f>
        <x:v>496.2921599999999</x:v>
      </x:c>
      <x:c r="T62" s="238" t="n">
        <x:f>ROUND(S62-O62,4)</x:f>
        <x:v>0</x:v>
      </x:c>
    </x:row>
    <x:row r="63">
      <x:c r="A63" s="187" t="str">
        <x:v>BUDGET_2026_V1</x:v>
      </x:c>
      <x:c r="B63" s="187" t="str">
        <x:v>BUDGET</x:v>
      </x:c>
      <x:c r="C63" s="187"/>
      <x:c r="D63" s="217" t="n">
        <x:v>46023</x:v>
      </x:c>
      <x:c r="E63" s="187" t="str">
        <x:v>R_GB_FR_B_AIR</x:v>
      </x:c>
      <x:c r="F63" s="187" t="str">
        <x:v>GB</x:v>
      </x:c>
      <x:c r="G63" s="187" t="str">
        <x:v>FR_FC</x:v>
      </x:c>
      <x:c r="H63" s="187" t="str">
        <x:v>CARRIER_B</x:v>
      </x:c>
      <x:c r="I63" s="187" t="str">
        <x:v>AIR</x:v>
      </x:c>
      <x:c r="J63" s="187" t="str">
        <x:v>RETURN_LOGISTICS</x:v>
      </x:c>
      <x:c r="K63" s="187" t="str">
        <x:v>EUR</x:v>
      </x:c>
      <x:c r="L63" s="232" t="n">
        <x:v>60.5696</x:v>
      </x:c>
      <x:c r="M63" s="232" t="n">
        <x:v>7.8</x:v>
      </x:c>
      <x:c r="N63" s="187" t="str">
        <x:v>472.44288000000</x:v>
      </x:c>
      <x:c r="O63" s="235" t="n">
        <x:v>472.4429</x:v>
      </x:c>
      <x:c r="P63" s="235"/>
      <x:c r="Q63" s="235"/>
      <x:c r="R63" s="235" t="str">
        <x:v>INVOICE_OR_PLAN</x:v>
      </x:c>
      <x:c r="S63" s="238" t="n">
        <x:f>'Model_Calc'!AV14</x:f>
        <x:v>472.44288</x:v>
      </x:c>
      <x:c r="T63" s="238" t="n">
        <x:f>ROUND(S63-O63,4)</x:f>
        <x:v>0</x:v>
      </x:c>
    </x:row>
    <x:row r="64">
      <x:c r="A64" s="187" t="str">
        <x:v>BUDGET_2026_V1</x:v>
      </x:c>
      <x:c r="B64" s="187" t="str">
        <x:v>BUDGET</x:v>
      </x:c>
      <x:c r="C64" s="187"/>
      <x:c r="D64" s="217" t="n">
        <x:v>46023</x:v>
      </x:c>
      <x:c r="E64" s="187" t="str">
        <x:v>R_GB_FR_B_AIR</x:v>
      </x:c>
      <x:c r="F64" s="187" t="str">
        <x:v>GB</x:v>
      </x:c>
      <x:c r="G64" s="187" t="str">
        <x:v>FR_FC</x:v>
      </x:c>
      <x:c r="H64" s="187" t="str">
        <x:v>CARRIER_B</x:v>
      </x:c>
      <x:c r="I64" s="187" t="str">
        <x:v>AIR</x:v>
      </x:c>
      <x:c r="J64" s="187" t="str">
        <x:v>BILLABLE_EXCEPTION</x:v>
      </x:c>
      <x:c r="K64" s="187" t="str">
        <x:v>EUR</x:v>
      </x:c>
      <x:c r="L64" s="232" t="n">
        <x:v>5.625984</x:v>
      </x:c>
      <x:c r="M64" s="232" t="n">
        <x:v>7.8</x:v>
      </x:c>
      <x:c r="N64" s="187" t="str">
        <x:v>43.8826752000000</x:v>
      </x:c>
      <x:c r="O64" s="235" t="n">
        <x:v>43.8827</x:v>
      </x:c>
      <x:c r="P64" s="235"/>
      <x:c r="Q64" s="235"/>
      <x:c r="R64" s="235" t="str">
        <x:v>INVOICE_OR_PLAN</x:v>
      </x:c>
      <x:c r="S64" s="238" t="n">
        <x:f>'Model_Calc'!BA14</x:f>
        <x:v>43.88267519999999</x:v>
      </x:c>
      <x:c r="T64" s="238" t="n">
        <x:f>ROUND(S64-O64,4)</x:f>
        <x:v>0</x:v>
      </x:c>
    </x:row>
    <x:row r="65">
      <x:c r="A65" s="187" t="str">
        <x:v>BUDGET_2026_V1</x:v>
      </x:c>
      <x:c r="B65" s="187" t="str">
        <x:v>BUDGET</x:v>
      </x:c>
      <x:c r="C65" s="187"/>
      <x:c r="D65" s="217" t="n">
        <x:v>46054</x:v>
      </x:c>
      <x:c r="E65" s="187" t="str">
        <x:v>R_DE_DE_A_ROAD</x:v>
      </x:c>
      <x:c r="F65" s="187" t="str">
        <x:v>DE</x:v>
      </x:c>
      <x:c r="G65" s="187" t="str">
        <x:v>DE_FC</x:v>
      </x:c>
      <x:c r="H65" s="187" t="str">
        <x:v>CARRIER_A</x:v>
      </x:c>
      <x:c r="I65" s="187" t="str">
        <x:v>ROAD</x:v>
      </x:c>
      <x:c r="J65" s="187" t="str">
        <x:v>BASE_FREIGHT</x:v>
      </x:c>
      <x:c r="K65" s="187" t="str">
        <x:v>EUR</x:v>
      </x:c>
      <x:c r="L65" s="232" t="n">
        <x:v>5945.831892</x:v>
      </x:c>
      <x:c r="M65" s="232" t="n">
        <x:v>7.8</x:v>
      </x:c>
      <x:c r="N65" s="187" t="str">
        <x:v>46377.48875760000000</x:v>
      </x:c>
      <x:c r="O65" s="235" t="n">
        <x:v>46377.4888</x:v>
      </x:c>
      <x:c r="P65" s="235"/>
      <x:c r="Q65" s="235"/>
      <x:c r="R65" s="235" t="str">
        <x:v>INVOICE_OR_PLAN</x:v>
      </x:c>
      <x:c r="S65" s="238" t="n">
        <x:f>'Model_Calc'!AF15</x:f>
        <x:v>46377.488757600004</x:v>
      </x:c>
      <x:c r="T65" s="238" t="n">
        <x:f>ROUND(S65-O65,4)</x:f>
        <x:v>0</x:v>
      </x:c>
    </x:row>
    <x:row r="66">
      <x:c r="A66" s="187" t="str">
        <x:v>BUDGET_2026_V1</x:v>
      </x:c>
      <x:c r="B66" s="187" t="str">
        <x:v>BUDGET</x:v>
      </x:c>
      <x:c r="C66" s="187"/>
      <x:c r="D66" s="217" t="n">
        <x:v>46054</x:v>
      </x:c>
      <x:c r="E66" s="187" t="str">
        <x:v>R_DE_DE_A_ROAD</x:v>
      </x:c>
      <x:c r="F66" s="187" t="str">
        <x:v>DE</x:v>
      </x:c>
      <x:c r="G66" s="187" t="str">
        <x:v>DE_FC</x:v>
      </x:c>
      <x:c r="H66" s="187" t="str">
        <x:v>CARRIER_A</x:v>
      </x:c>
      <x:c r="I66" s="187" t="str">
        <x:v>ROAD</x:v>
      </x:c>
      <x:c r="J66" s="187" t="str">
        <x:v>FUEL_SURCHARGE</x:v>
      </x:c>
      <x:c r="K66" s="187" t="str">
        <x:v>EUR</x:v>
      </x:c>
      <x:c r="L66" s="232" t="n">
        <x:v>564.85402974</x:v>
      </x:c>
      <x:c r="M66" s="232" t="n">
        <x:v>7.8</x:v>
      </x:c>
      <x:c r="N66" s="187" t="str">
        <x:v>4405.86143197200000000</x:v>
      </x:c>
      <x:c r="O66" s="235" t="n">
        <x:v>4405.8614</x:v>
      </x:c>
      <x:c r="P66" s="235"/>
      <x:c r="Q66" s="235"/>
      <x:c r="R66" s="235" t="str">
        <x:v>INVOICE_OR_PLAN</x:v>
      </x:c>
      <x:c r="S66" s="238" t="n">
        <x:f>'Model_Calc'!AG15</x:f>
        <x:v>4405.861431972001</x:v>
      </x:c>
      <x:c r="T66" s="238" t="n">
        <x:f>ROUND(S66-O66,4)</x:f>
        <x:v>0</x:v>
      </x:c>
    </x:row>
    <x:row r="67">
      <x:c r="A67" s="187" t="str">
        <x:v>BUDGET_2026_V1</x:v>
      </x:c>
      <x:c r="B67" s="187" t="str">
        <x:v>BUDGET</x:v>
      </x:c>
      <x:c r="C67" s="187"/>
      <x:c r="D67" s="217" t="n">
        <x:v>46054</x:v>
      </x:c>
      <x:c r="E67" s="187" t="str">
        <x:v>R_DE_DE_A_ROAD</x:v>
      </x:c>
      <x:c r="F67" s="187" t="str">
        <x:v>DE</x:v>
      </x:c>
      <x:c r="G67" s="187" t="str">
        <x:v>DE_FC</x:v>
      </x:c>
      <x:c r="H67" s="187" t="str">
        <x:v>CARRIER_A</x:v>
      </x:c>
      <x:c r="I67" s="187" t="str">
        <x:v>ROAD</x:v>
      </x:c>
      <x:c r="J67" s="187" t="str">
        <x:v>WAREHOUSE_OPERATION</x:v>
      </x:c>
      <x:c r="K67" s="187" t="str">
        <x:v>EUR</x:v>
      </x:c>
      <x:c r="L67" s="232" t="n">
        <x:v>3893.9292</x:v>
      </x:c>
      <x:c r="M67" s="232" t="n">
        <x:v>7.8</x:v>
      </x:c>
      <x:c r="N67" s="187" t="str">
        <x:v>30372.6477600000</x:v>
      </x:c>
      <x:c r="O67" s="235" t="n">
        <x:v>30372.6478</x:v>
      </x:c>
      <x:c r="P67" s="235"/>
      <x:c r="Q67" s="235"/>
      <x:c r="R67" s="235" t="str">
        <x:v>INVOICE_OR_PLAN</x:v>
      </x:c>
      <x:c r="S67" s="238" t="n">
        <x:f>'Model_Calc'!AL15</x:f>
        <x:v>30372.647759999993</x:v>
      </x:c>
      <x:c r="T67" s="238" t="n">
        <x:f>ROUND(S67-O67,4)</x:f>
        <x:v>0</x:v>
      </x:c>
    </x:row>
    <x:row r="68">
      <x:c r="A68" s="187" t="str">
        <x:v>BUDGET_2026_V1</x:v>
      </x:c>
      <x:c r="B68" s="187" t="str">
        <x:v>BUDGET</x:v>
      </x:c>
      <x:c r="C68" s="187"/>
      <x:c r="D68" s="217" t="n">
        <x:v>46054</x:v>
      </x:c>
      <x:c r="E68" s="187" t="str">
        <x:v>R_DE_DE_A_ROAD</x:v>
      </x:c>
      <x:c r="F68" s="187" t="str">
        <x:v>DE</x:v>
      </x:c>
      <x:c r="G68" s="187" t="str">
        <x:v>DE_FC</x:v>
      </x:c>
      <x:c r="H68" s="187" t="str">
        <x:v>CARRIER_A</x:v>
      </x:c>
      <x:c r="I68" s="187" t="str">
        <x:v>ROAD</x:v>
      </x:c>
      <x:c r="J68" s="187" t="str">
        <x:v>PACKAGING</x:v>
      </x:c>
      <x:c r="K68" s="187" t="str">
        <x:v>EUR</x:v>
      </x:c>
      <x:c r="L68" s="232" t="n">
        <x:v>1455.27354</x:v>
      </x:c>
      <x:c r="M68" s="232" t="n">
        <x:v>7.8</x:v>
      </x:c>
      <x:c r="N68" s="187" t="str">
        <x:v>11351.133612000000</x:v>
      </x:c>
      <x:c r="O68" s="235" t="n">
        <x:v>11351.1336</x:v>
      </x:c>
      <x:c r="P68" s="235"/>
      <x:c r="Q68" s="235"/>
      <x:c r="R68" s="235" t="str">
        <x:v>INVOICE_OR_PLAN</x:v>
      </x:c>
      <x:c r="S68" s="238" t="n">
        <x:f>'Model_Calc'!AQ15</x:f>
        <x:v>11351.133612</x:v>
      </x:c>
      <x:c r="T68" s="238" t="n">
        <x:f>ROUND(S68-O68,4)</x:f>
        <x:v>0</x:v>
      </x:c>
    </x:row>
    <x:row r="69">
      <x:c r="A69" s="187" t="str">
        <x:v>BUDGET_2026_V1</x:v>
      </x:c>
      <x:c r="B69" s="187" t="str">
        <x:v>BUDGET</x:v>
      </x:c>
      <x:c r="C69" s="187"/>
      <x:c r="D69" s="217" t="n">
        <x:v>46054</x:v>
      </x:c>
      <x:c r="E69" s="187" t="str">
        <x:v>R_DE_DE_A_ROAD</x:v>
      </x:c>
      <x:c r="F69" s="187" t="str">
        <x:v>DE</x:v>
      </x:c>
      <x:c r="G69" s="187" t="str">
        <x:v>DE_FC</x:v>
      </x:c>
      <x:c r="H69" s="187" t="str">
        <x:v>CARRIER_A</x:v>
      </x:c>
      <x:c r="I69" s="187" t="str">
        <x:v>ROAD</x:v>
      </x:c>
      <x:c r="J69" s="187" t="str">
        <x:v>RETURN_LOGISTICS</x:v>
      </x:c>
      <x:c r="K69" s="187" t="str">
        <x:v>EUR</x:v>
      </x:c>
      <x:c r="L69" s="232" t="n">
        <x:v>527.9904</x:v>
      </x:c>
      <x:c r="M69" s="232" t="n">
        <x:v>7.8</x:v>
      </x:c>
      <x:c r="N69" s="187" t="str">
        <x:v>4118.3251200000000</x:v>
      </x:c>
      <x:c r="O69" s="235" t="n">
        <x:v>4118.3251</x:v>
      </x:c>
      <x:c r="P69" s="235"/>
      <x:c r="Q69" s="235"/>
      <x:c r="R69" s="235" t="str">
        <x:v>INVOICE_OR_PLAN</x:v>
      </x:c>
      <x:c r="S69" s="238" t="n">
        <x:f>'Model_Calc'!AV15</x:f>
        <x:v>4118.32512</x:v>
      </x:c>
      <x:c r="T69" s="238" t="n">
        <x:f>ROUND(S69-O69,4)</x:f>
        <x:v>0</x:v>
      </x:c>
    </x:row>
    <x:row r="70">
      <x:c r="A70" s="187" t="str">
        <x:v>BUDGET_2026_V1</x:v>
      </x:c>
      <x:c r="B70" s="187" t="str">
        <x:v>BUDGET</x:v>
      </x:c>
      <x:c r="C70" s="187"/>
      <x:c r="D70" s="217" t="n">
        <x:v>46054</x:v>
      </x:c>
      <x:c r="E70" s="187" t="str">
        <x:v>R_DE_DE_A_ROAD</x:v>
      </x:c>
      <x:c r="F70" s="187" t="str">
        <x:v>DE</x:v>
      </x:c>
      <x:c r="G70" s="187" t="str">
        <x:v>DE_FC</x:v>
      </x:c>
      <x:c r="H70" s="187" t="str">
        <x:v>CARRIER_A</x:v>
      </x:c>
      <x:c r="I70" s="187" t="str">
        <x:v>ROAD</x:v>
      </x:c>
      <x:c r="J70" s="187" t="str">
        <x:v>BILLABLE_EXCEPTION</x:v>
      </x:c>
      <x:c r="K70" s="187" t="str">
        <x:v>EUR</x:v>
      </x:c>
      <x:c r="L70" s="232" t="n">
        <x:v>127.5096816</x:v>
      </x:c>
      <x:c r="M70" s="232" t="n">
        <x:v>7.8</x:v>
      </x:c>
      <x:c r="N70" s="187" t="str">
        <x:v>994.575516480000000</x:v>
      </x:c>
      <x:c r="O70" s="235" t="n">
        <x:v>994.5755</x:v>
      </x:c>
      <x:c r="P70" s="235"/>
      <x:c r="Q70" s="235"/>
      <x:c r="R70" s="235" t="str">
        <x:v>INVOICE_OR_PLAN</x:v>
      </x:c>
      <x:c r="S70" s="238" t="n">
        <x:f>'Model_Calc'!BA15</x:f>
        <x:v>994.5755164799999</x:v>
      </x:c>
      <x:c r="T70" s="238" t="n">
        <x:f>ROUND(S70-O70,4)</x:f>
        <x:v>0</x:v>
      </x:c>
    </x:row>
    <x:row r="71">
      <x:c r="A71" s="187" t="str">
        <x:v>BUDGET_2026_V1</x:v>
      </x:c>
      <x:c r="B71" s="187" t="str">
        <x:v>BUDGET</x:v>
      </x:c>
      <x:c r="C71" s="187"/>
      <x:c r="D71" s="217" t="n">
        <x:v>46054</x:v>
      </x:c>
      <x:c r="E71" s="187" t="str">
        <x:v>R_DE_DE_B_ROAD</x:v>
      </x:c>
      <x:c r="F71" s="187" t="str">
        <x:v>DE</x:v>
      </x:c>
      <x:c r="G71" s="187" t="str">
        <x:v>DE_FC</x:v>
      </x:c>
      <x:c r="H71" s="187" t="str">
        <x:v>CARRIER_B</x:v>
      </x:c>
      <x:c r="I71" s="187" t="str">
        <x:v>ROAD</x:v>
      </x:c>
      <x:c r="J71" s="187" t="str">
        <x:v>BASE_FREIGHT</x:v>
      </x:c>
      <x:c r="K71" s="187" t="str">
        <x:v>EUR</x:v>
      </x:c>
      <x:c r="L71" s="232" t="n">
        <x:v>5081.9076</x:v>
      </x:c>
      <x:c r="M71" s="232" t="n">
        <x:v>7.8</x:v>
      </x:c>
      <x:c r="N71" s="187" t="str">
        <x:v>39638.87928000000000</x:v>
      </x:c>
      <x:c r="O71" s="235" t="n">
        <x:v>39638.8793</x:v>
      </x:c>
      <x:c r="P71" s="235"/>
      <x:c r="Q71" s="235"/>
      <x:c r="R71" s="235" t="str">
        <x:v>INVOICE_OR_PLAN</x:v>
      </x:c>
      <x:c r="S71" s="238" t="n">
        <x:f>'Model_Calc'!AF16</x:f>
        <x:v>39638.87928</x:v>
      </x:c>
      <x:c r="T71" s="238" t="n">
        <x:f>ROUND(S71-O71,4)</x:f>
        <x:v>0</x:v>
      </x:c>
    </x:row>
    <x:row r="72">
      <x:c r="A72" s="187" t="str">
        <x:v>BUDGET_2026_V1</x:v>
      </x:c>
      <x:c r="B72" s="187" t="str">
        <x:v>BUDGET</x:v>
      </x:c>
      <x:c r="C72" s="187"/>
      <x:c r="D72" s="217" t="n">
        <x:v>46054</x:v>
      </x:c>
      <x:c r="E72" s="187" t="str">
        <x:v>R_DE_DE_B_ROAD</x:v>
      </x:c>
      <x:c r="F72" s="187" t="str">
        <x:v>DE</x:v>
      </x:c>
      <x:c r="G72" s="187" t="str">
        <x:v>DE_FC</x:v>
      </x:c>
      <x:c r="H72" s="187" t="str">
        <x:v>CARRIER_B</x:v>
      </x:c>
      <x:c r="I72" s="187" t="str">
        <x:v>ROAD</x:v>
      </x:c>
      <x:c r="J72" s="187" t="str">
        <x:v>FUEL_SURCHARGE</x:v>
      </x:c>
      <x:c r="K72" s="187" t="str">
        <x:v>EUR</x:v>
      </x:c>
      <x:c r="L72" s="232" t="n">
        <x:v>388.072944</x:v>
      </x:c>
      <x:c r="M72" s="232" t="n">
        <x:v>7.8</x:v>
      </x:c>
      <x:c r="N72" s="187" t="str">
        <x:v>3026.96896320000000</x:v>
      </x:c>
      <x:c r="O72" s="235" t="n">
        <x:v>3026.969</x:v>
      </x:c>
      <x:c r="P72" s="235"/>
      <x:c r="Q72" s="235"/>
      <x:c r="R72" s="235" t="str">
        <x:v>INVOICE_OR_PLAN</x:v>
      </x:c>
      <x:c r="S72" s="238" t="n">
        <x:f>'Model_Calc'!AG16</x:f>
        <x:v>3026.9689632000004</x:v>
      </x:c>
      <x:c r="T72" s="238" t="n">
        <x:f>ROUND(S72-O72,4)</x:f>
        <x:v>0</x:v>
      </x:c>
    </x:row>
    <x:row r="73">
      <x:c r="A73" s="187" t="str">
        <x:v>BUDGET_2026_V1</x:v>
      </x:c>
      <x:c r="B73" s="187" t="str">
        <x:v>BUDGET</x:v>
      </x:c>
      <x:c r="C73" s="187"/>
      <x:c r="D73" s="217" t="n">
        <x:v>46054</x:v>
      </x:c>
      <x:c r="E73" s="187" t="str">
        <x:v>R_DE_DE_B_ROAD</x:v>
      </x:c>
      <x:c r="F73" s="187" t="str">
        <x:v>DE</x:v>
      </x:c>
      <x:c r="G73" s="187" t="str">
        <x:v>DE_FC</x:v>
      </x:c>
      <x:c r="H73" s="187" t="str">
        <x:v>CARRIER_B</x:v>
      </x:c>
      <x:c r="I73" s="187" t="str">
        <x:v>ROAD</x:v>
      </x:c>
      <x:c r="J73" s="187" t="str">
        <x:v>WAREHOUSE_OPERATION</x:v>
      </x:c>
      <x:c r="K73" s="187" t="str">
        <x:v>EUR</x:v>
      </x:c>
      <x:c r="L73" s="232" t="n">
        <x:v>2595.9528</x:v>
      </x:c>
      <x:c r="M73" s="232" t="n">
        <x:v>7.8</x:v>
      </x:c>
      <x:c r="N73" s="187" t="str">
        <x:v>20248.4318400000</x:v>
      </x:c>
      <x:c r="O73" s="235" t="n">
        <x:v>20248.4318</x:v>
      </x:c>
      <x:c r="P73" s="235"/>
      <x:c r="Q73" s="235"/>
      <x:c r="R73" s="235" t="str">
        <x:v>INVOICE_OR_PLAN</x:v>
      </x:c>
      <x:c r="S73" s="238" t="n">
        <x:f>'Model_Calc'!AL16</x:f>
        <x:v>20248.43184</x:v>
      </x:c>
      <x:c r="T73" s="238" t="n">
        <x:f>ROUND(S73-O73,4)</x:f>
        <x:v>0</x:v>
      </x:c>
    </x:row>
    <x:row r="74">
      <x:c r="A74" s="187" t="str">
        <x:v>BUDGET_2026_V1</x:v>
      </x:c>
      <x:c r="B74" s="187" t="str">
        <x:v>BUDGET</x:v>
      </x:c>
      <x:c r="C74" s="187"/>
      <x:c r="D74" s="217" t="n">
        <x:v>46054</x:v>
      </x:c>
      <x:c r="E74" s="187" t="str">
        <x:v>R_DE_DE_B_ROAD</x:v>
      </x:c>
      <x:c r="F74" s="187" t="str">
        <x:v>DE</x:v>
      </x:c>
      <x:c r="G74" s="187" t="str">
        <x:v>DE_FC</x:v>
      </x:c>
      <x:c r="H74" s="187" t="str">
        <x:v>CARRIER_B</x:v>
      </x:c>
      <x:c r="I74" s="187" t="str">
        <x:v>ROAD</x:v>
      </x:c>
      <x:c r="J74" s="187" t="str">
        <x:v>PACKAGING</x:v>
      </x:c>
      <x:c r="K74" s="187" t="str">
        <x:v>EUR</x:v>
      </x:c>
      <x:c r="L74" s="232" t="n">
        <x:v>970.18236</x:v>
      </x:c>
      <x:c r="M74" s="232" t="n">
        <x:v>7.8</x:v>
      </x:c>
      <x:c r="N74" s="187" t="str">
        <x:v>7567.422408000000</x:v>
      </x:c>
      <x:c r="O74" s="235" t="n">
        <x:v>7567.4224</x:v>
      </x:c>
      <x:c r="P74" s="235"/>
      <x:c r="Q74" s="235"/>
      <x:c r="R74" s="235" t="str">
        <x:v>INVOICE_OR_PLAN</x:v>
      </x:c>
      <x:c r="S74" s="238" t="n">
        <x:f>'Model_Calc'!AQ16</x:f>
        <x:v>7567.422408</x:v>
      </x:c>
      <x:c r="T74" s="238" t="n">
        <x:f>ROUND(S74-O74,4)</x:f>
        <x:v>0</x:v>
      </x:c>
    </x:row>
    <x:row r="75">
      <x:c r="A75" s="187" t="str">
        <x:v>BUDGET_2026_V1</x:v>
      </x:c>
      <x:c r="B75" s="187" t="str">
        <x:v>BUDGET</x:v>
      </x:c>
      <x:c r="C75" s="187"/>
      <x:c r="D75" s="217" t="n">
        <x:v>46054</x:v>
      </x:c>
      <x:c r="E75" s="187" t="str">
        <x:v>R_DE_DE_B_ROAD</x:v>
      </x:c>
      <x:c r="F75" s="187" t="str">
        <x:v>DE</x:v>
      </x:c>
      <x:c r="G75" s="187" t="str">
        <x:v>DE_FC</x:v>
      </x:c>
      <x:c r="H75" s="187" t="str">
        <x:v>CARRIER_B</x:v>
      </x:c>
      <x:c r="I75" s="187" t="str">
        <x:v>ROAD</x:v>
      </x:c>
      <x:c r="J75" s="187" t="str">
        <x:v>RETURN_LOGISTICS</x:v>
      </x:c>
      <x:c r="K75" s="187" t="str">
        <x:v>EUR</x:v>
      </x:c>
      <x:c r="L75" s="232" t="n">
        <x:v>351.9936</x:v>
      </x:c>
      <x:c r="M75" s="232" t="n">
        <x:v>7.8</x:v>
      </x:c>
      <x:c r="N75" s="187" t="str">
        <x:v>2745.5500800000000</x:v>
      </x:c>
      <x:c r="O75" s="235" t="n">
        <x:v>2745.5501</x:v>
      </x:c>
      <x:c r="P75" s="235"/>
      <x:c r="Q75" s="235"/>
      <x:c r="R75" s="235" t="str">
        <x:v>INVOICE_OR_PLAN</x:v>
      </x:c>
      <x:c r="S75" s="238" t="n">
        <x:f>'Model_Calc'!AV16</x:f>
        <x:v>2745.55008</x:v>
      </x:c>
      <x:c r="T75" s="238" t="n">
        <x:f>ROUND(S75-O75,4)</x:f>
        <x:v>0</x:v>
      </x:c>
    </x:row>
    <x:row r="76">
      <x:c r="A76" s="187" t="str">
        <x:v>BUDGET_2026_V1</x:v>
      </x:c>
      <x:c r="B76" s="187" t="str">
        <x:v>BUDGET</x:v>
      </x:c>
      <x:c r="C76" s="187"/>
      <x:c r="D76" s="217" t="n">
        <x:v>46054</x:v>
      </x:c>
      <x:c r="E76" s="187" t="str">
        <x:v>R_DE_DE_B_ROAD</x:v>
      </x:c>
      <x:c r="F76" s="187" t="str">
        <x:v>DE</x:v>
      </x:c>
      <x:c r="G76" s="187" t="str">
        <x:v>DE_FC</x:v>
      </x:c>
      <x:c r="H76" s="187" t="str">
        <x:v>CARRIER_B</x:v>
      </x:c>
      <x:c r="I76" s="187" t="str">
        <x:v>ROAD</x:v>
      </x:c>
      <x:c r="J76" s="187" t="str">
        <x:v>BILLABLE_EXCEPTION</x:v>
      </x:c>
      <x:c r="K76" s="187" t="str">
        <x:v>EUR</x:v>
      </x:c>
      <x:c r="L76" s="232" t="n">
        <x:v>69.0677442</x:v>
      </x:c>
      <x:c r="M76" s="232" t="n">
        <x:v>7.8</x:v>
      </x:c>
      <x:c r="N76" s="187" t="str">
        <x:v>538.728404760000000</x:v>
      </x:c>
      <x:c r="O76" s="235" t="n">
        <x:v>538.7284</x:v>
      </x:c>
      <x:c r="P76" s="235"/>
      <x:c r="Q76" s="235"/>
      <x:c r="R76" s="235" t="str">
        <x:v>INVOICE_OR_PLAN</x:v>
      </x:c>
      <x:c r="S76" s="238" t="n">
        <x:f>'Model_Calc'!BA16</x:f>
        <x:v>538.7284047599999</x:v>
      </x:c>
      <x:c r="T76" s="238" t="n">
        <x:f>ROUND(S76-O76,4)</x:f>
        <x:v>0</x:v>
      </x:c>
    </x:row>
    <x:row r="77">
      <x:c r="A77" s="187" t="str">
        <x:v>BUDGET_2026_V1</x:v>
      </x:c>
      <x:c r="B77" s="187" t="str">
        <x:v>BUDGET</x:v>
      </x:c>
      <x:c r="C77" s="187"/>
      <x:c r="D77" s="217" t="n">
        <x:v>46054</x:v>
      </x:c>
      <x:c r="E77" s="187" t="str">
        <x:v>R_DE_FR_B_ROAD</x:v>
      </x:c>
      <x:c r="F77" s="187" t="str">
        <x:v>DE</x:v>
      </x:c>
      <x:c r="G77" s="187" t="str">
        <x:v>FR_FC</x:v>
      </x:c>
      <x:c r="H77" s="187" t="str">
        <x:v>CARRIER_B</x:v>
      </x:c>
      <x:c r="I77" s="187" t="str">
        <x:v>ROAD</x:v>
      </x:c>
      <x:c r="J77" s="187" t="str">
        <x:v>BASE_FREIGHT</x:v>
      </x:c>
      <x:c r="K77" s="187" t="str">
        <x:v>EUR</x:v>
      </x:c>
      <x:c r="L77" s="232" t="n">
        <x:v>521.363304</x:v>
      </x:c>
      <x:c r="M77" s="232" t="n">
        <x:v>7.8</x:v>
      </x:c>
      <x:c r="N77" s="187" t="str">
        <x:v>4066.633771200000</x:v>
      </x:c>
      <x:c r="O77" s="235" t="n">
        <x:v>4066.6338</x:v>
      </x:c>
      <x:c r="P77" s="235"/>
      <x:c r="Q77" s="235"/>
      <x:c r="R77" s="235" t="str">
        <x:v>INVOICE_OR_PLAN</x:v>
      </x:c>
      <x:c r="S77" s="238" t="n">
        <x:f>'Model_Calc'!AF17</x:f>
        <x:v>4066.6337711999995</x:v>
      </x:c>
      <x:c r="T77" s="238" t="n">
        <x:f>ROUND(S77-O77,4)</x:f>
        <x:v>0</x:v>
      </x:c>
    </x:row>
    <x:row r="78">
      <x:c r="A78" s="187" t="str">
        <x:v>BUDGET_2026_V1</x:v>
      </x:c>
      <x:c r="B78" s="187" t="str">
        <x:v>BUDGET</x:v>
      </x:c>
      <x:c r="C78" s="187"/>
      <x:c r="D78" s="217" t="n">
        <x:v>46054</x:v>
      </x:c>
      <x:c r="E78" s="187" t="str">
        <x:v>R_DE_FR_B_ROAD</x:v>
      </x:c>
      <x:c r="F78" s="187" t="str">
        <x:v>DE</x:v>
      </x:c>
      <x:c r="G78" s="187" t="str">
        <x:v>FR_FC</x:v>
      </x:c>
      <x:c r="H78" s="187" t="str">
        <x:v>CARRIER_B</x:v>
      </x:c>
      <x:c r="I78" s="187" t="str">
        <x:v>ROAD</x:v>
      </x:c>
      <x:c r="J78" s="187" t="str">
        <x:v>FUEL_SURCHARGE</x:v>
      </x:c>
      <x:c r="K78" s="187" t="str">
        <x:v>EUR</x:v>
      </x:c>
      <x:c r="L78" s="232" t="n">
        <x:v>37.9173312</x:v>
      </x:c>
      <x:c r="M78" s="232" t="n">
        <x:v>7.8</x:v>
      </x:c>
      <x:c r="N78" s="187" t="str">
        <x:v>295.755183360000</x:v>
      </x:c>
      <x:c r="O78" s="235" t="n">
        <x:v>295.7552</x:v>
      </x:c>
      <x:c r="P78" s="235"/>
      <x:c r="Q78" s="235"/>
      <x:c r="R78" s="235" t="str">
        <x:v>INVOICE_OR_PLAN</x:v>
      </x:c>
      <x:c r="S78" s="238" t="n">
        <x:f>'Model_Calc'!AG17</x:f>
        <x:v>295.75518336</x:v>
      </x:c>
      <x:c r="T78" s="238" t="n">
        <x:f>ROUND(S78-O78,4)</x:f>
        <x:v>0</x:v>
      </x:c>
    </x:row>
    <x:row r="79">
      <x:c r="A79" s="187" t="str">
        <x:v>BUDGET_2026_V1</x:v>
      </x:c>
      <x:c r="B79" s="187" t="str">
        <x:v>BUDGET</x:v>
      </x:c>
      <x:c r="C79" s="187"/>
      <x:c r="D79" s="217" t="n">
        <x:v>46054</x:v>
      </x:c>
      <x:c r="E79" s="187" t="str">
        <x:v>R_DE_FR_B_ROAD</x:v>
      </x:c>
      <x:c r="F79" s="187" t="str">
        <x:v>DE</x:v>
      </x:c>
      <x:c r="G79" s="187" t="str">
        <x:v>FR_FC</x:v>
      </x:c>
      <x:c r="H79" s="187" t="str">
        <x:v>CARRIER_B</x:v>
      </x:c>
      <x:c r="I79" s="187" t="str">
        <x:v>ROAD</x:v>
      </x:c>
      <x:c r="J79" s="187" t="str">
        <x:v>WAREHOUSE_OPERATION</x:v>
      </x:c>
      <x:c r="K79" s="187" t="str">
        <x:v>EUR</x:v>
      </x:c>
      <x:c r="L79" s="232" t="n">
        <x:v>178.605</x:v>
      </x:c>
      <x:c r="M79" s="232" t="n">
        <x:v>7.8</x:v>
      </x:c>
      <x:c r="N79" s="187" t="str">
        <x:v>1393.11900000</x:v>
      </x:c>
      <x:c r="O79" s="235" t="n">
        <x:v>1393.119</x:v>
      </x:c>
      <x:c r="P79" s="235"/>
      <x:c r="Q79" s="235"/>
      <x:c r="R79" s="235" t="str">
        <x:v>INVOICE_OR_PLAN</x:v>
      </x:c>
      <x:c r="S79" s="238" t="n">
        <x:f>'Model_Calc'!AL17</x:f>
        <x:v>1393.119</x:v>
      </x:c>
      <x:c r="T79" s="238" t="n">
        <x:f>ROUND(S79-O79,4)</x:f>
        <x:v>0</x:v>
      </x:c>
    </x:row>
    <x:row r="80">
      <x:c r="A80" s="187" t="str">
        <x:v>BUDGET_2026_V1</x:v>
      </x:c>
      <x:c r="B80" s="187" t="str">
        <x:v>BUDGET</x:v>
      </x:c>
      <x:c r="C80" s="187"/>
      <x:c r="D80" s="217" t="n">
        <x:v>46054</x:v>
      </x:c>
      <x:c r="E80" s="187" t="str">
        <x:v>R_DE_FR_B_ROAD</x:v>
      </x:c>
      <x:c r="F80" s="187" t="str">
        <x:v>DE</x:v>
      </x:c>
      <x:c r="G80" s="187" t="str">
        <x:v>FR_FC</x:v>
      </x:c>
      <x:c r="H80" s="187" t="str">
        <x:v>CARRIER_B</x:v>
      </x:c>
      <x:c r="I80" s="187" t="str">
        <x:v>ROAD</x:v>
      </x:c>
      <x:c r="J80" s="187" t="str">
        <x:v>PACKAGING</x:v>
      </x:c>
      <x:c r="K80" s="187" t="str">
        <x:v>EUR</x:v>
      </x:c>
      <x:c r="L80" s="232" t="n">
        <x:v>69.80904</x:v>
      </x:c>
      <x:c r="M80" s="232" t="n">
        <x:v>7.8</x:v>
      </x:c>
      <x:c r="N80" s="187" t="str">
        <x:v>544.5105120000</x:v>
      </x:c>
      <x:c r="O80" s="235" t="n">
        <x:v>544.5105</x:v>
      </x:c>
      <x:c r="P80" s="235"/>
      <x:c r="Q80" s="235"/>
      <x:c r="R80" s="235" t="str">
        <x:v>INVOICE_OR_PLAN</x:v>
      </x:c>
      <x:c r="S80" s="238" t="n">
        <x:f>'Model_Calc'!AQ17</x:f>
        <x:v>544.510512</x:v>
      </x:c>
      <x:c r="T80" s="238" t="n">
        <x:f>ROUND(S80-O80,4)</x:f>
        <x:v>0</x:v>
      </x:c>
    </x:row>
    <x:row r="81">
      <x:c r="A81" s="187" t="str">
        <x:v>BUDGET_2026_V1</x:v>
      </x:c>
      <x:c r="B81" s="187" t="str">
        <x:v>BUDGET</x:v>
      </x:c>
      <x:c r="C81" s="187"/>
      <x:c r="D81" s="217" t="n">
        <x:v>46054</x:v>
      </x:c>
      <x:c r="E81" s="187" t="str">
        <x:v>R_DE_FR_B_ROAD</x:v>
      </x:c>
      <x:c r="F81" s="187" t="str">
        <x:v>DE</x:v>
      </x:c>
      <x:c r="G81" s="187" t="str">
        <x:v>FR_FC</x:v>
      </x:c>
      <x:c r="H81" s="187" t="str">
        <x:v>CARRIER_B</x:v>
      </x:c>
      <x:c r="I81" s="187" t="str">
        <x:v>ROAD</x:v>
      </x:c>
      <x:c r="J81" s="187" t="str">
        <x:v>RETURN_LOGISTICS</x:v>
      </x:c>
      <x:c r="K81" s="187" t="str">
        <x:v>EUR</x:v>
      </x:c>
      <x:c r="L81" s="232" t="n">
        <x:v>32.319</x:v>
      </x:c>
      <x:c r="M81" s="232" t="n">
        <x:v>7.8</x:v>
      </x:c>
      <x:c r="N81" s="187" t="str">
        <x:v>252.08820000000</x:v>
      </x:c>
      <x:c r="O81" s="235" t="n">
        <x:v>252.0882</x:v>
      </x:c>
      <x:c r="P81" s="235"/>
      <x:c r="Q81" s="235"/>
      <x:c r="R81" s="235" t="str">
        <x:v>INVOICE_OR_PLAN</x:v>
      </x:c>
      <x:c r="S81" s="238" t="n">
        <x:f>'Model_Calc'!AV17</x:f>
        <x:v>252.0882</x:v>
      </x:c>
      <x:c r="T81" s="238" t="n">
        <x:f>ROUND(S81-O81,4)</x:f>
        <x:v>0</x:v>
      </x:c>
    </x:row>
    <x:row r="82">
      <x:c r="A82" s="187" t="str">
        <x:v>BUDGET_2026_V1</x:v>
      </x:c>
      <x:c r="B82" s="187" t="str">
        <x:v>BUDGET</x:v>
      </x:c>
      <x:c r="C82" s="187"/>
      <x:c r="D82" s="217" t="n">
        <x:v>46054</x:v>
      </x:c>
      <x:c r="E82" s="187" t="str">
        <x:v>R_DE_FR_B_ROAD</x:v>
      </x:c>
      <x:c r="F82" s="187" t="str">
        <x:v>DE</x:v>
      </x:c>
      <x:c r="G82" s="187" t="str">
        <x:v>FR_FC</x:v>
      </x:c>
      <x:c r="H82" s="187" t="str">
        <x:v>CARRIER_B</x:v>
      </x:c>
      <x:c r="I82" s="187" t="str">
        <x:v>ROAD</x:v>
      </x:c>
      <x:c r="J82" s="187" t="str">
        <x:v>BILLABLE_EXCEPTION</x:v>
      </x:c>
      <x:c r="K82" s="187" t="str">
        <x:v>EUR</x:v>
      </x:c>
      <x:c r="L82" s="232" t="n">
        <x:v>5.9153976</x:v>
      </x:c>
      <x:c r="M82" s="232" t="n">
        <x:v>7.8</x:v>
      </x:c>
      <x:c r="N82" s="187" t="str">
        <x:v>46.1401012800000</x:v>
      </x:c>
      <x:c r="O82" s="235" t="n">
        <x:v>46.1401</x:v>
      </x:c>
      <x:c r="P82" s="235"/>
      <x:c r="Q82" s="235"/>
      <x:c r="R82" s="235" t="str">
        <x:v>INVOICE_OR_PLAN</x:v>
      </x:c>
      <x:c r="S82" s="238" t="n">
        <x:f>'Model_Calc'!BA17</x:f>
        <x:v>46.14010128</x:v>
      </x:c>
      <x:c r="T82" s="238" t="n">
        <x:f>ROUND(S82-O82,4)</x:f>
        <x:v>0</x:v>
      </x:c>
    </x:row>
    <x:row r="83">
      <x:c r="A83" s="187" t="str">
        <x:v>BUDGET_2026_V1</x:v>
      </x:c>
      <x:c r="B83" s="187" t="str">
        <x:v>BUDGET</x:v>
      </x:c>
      <x:c r="C83" s="187"/>
      <x:c r="D83" s="217" t="n">
        <x:v>46054</x:v>
      </x:c>
      <x:c r="E83" s="187" t="str">
        <x:v>R_FR_FR_A_ROAD</x:v>
      </x:c>
      <x:c r="F83" s="187" t="str">
        <x:v>FR</x:v>
      </x:c>
      <x:c r="G83" s="187" t="str">
        <x:v>FR_FC</x:v>
      </x:c>
      <x:c r="H83" s="187" t="str">
        <x:v>CARRIER_A</x:v>
      </x:c>
      <x:c r="I83" s="187" t="str">
        <x:v>ROAD</x:v>
      </x:c>
      <x:c r="J83" s="187" t="str">
        <x:v>BASE_FREIGHT</x:v>
      </x:c>
      <x:c r="K83" s="187" t="str">
        <x:v>EUR</x:v>
      </x:c>
      <x:c r="L83" s="232" t="n">
        <x:v>2557.94112</x:v>
      </x:c>
      <x:c r="M83" s="232" t="n">
        <x:v>7.8</x:v>
      </x:c>
      <x:c r="N83" s="187" t="str">
        <x:v>19951.940736000000</x:v>
      </x:c>
      <x:c r="O83" s="235" t="n">
        <x:v>19951.9407</x:v>
      </x:c>
      <x:c r="P83" s="235"/>
      <x:c r="Q83" s="235"/>
      <x:c r="R83" s="235" t="str">
        <x:v>INVOICE_OR_PLAN</x:v>
      </x:c>
      <x:c r="S83" s="238" t="n">
        <x:f>'Model_Calc'!AF18</x:f>
        <x:v>19951.940736</x:v>
      </x:c>
      <x:c r="T83" s="238" t="n">
        <x:f>ROUND(S83-O83,4)</x:f>
        <x:v>0</x:v>
      </x:c>
    </x:row>
    <x:row r="84">
      <x:c r="A84" s="187" t="str">
        <x:v>BUDGET_2026_V1</x:v>
      </x:c>
      <x:c r="B84" s="187" t="str">
        <x:v>BUDGET</x:v>
      </x:c>
      <x:c r="C84" s="187"/>
      <x:c r="D84" s="217" t="n">
        <x:v>46054</x:v>
      </x:c>
      <x:c r="E84" s="187" t="str">
        <x:v>R_FR_FR_A_ROAD</x:v>
      </x:c>
      <x:c r="F84" s="187" t="str">
        <x:v>FR</x:v>
      </x:c>
      <x:c r="G84" s="187" t="str">
        <x:v>FR_FC</x:v>
      </x:c>
      <x:c r="H84" s="187" t="str">
        <x:v>CARRIER_A</x:v>
      </x:c>
      <x:c r="I84" s="187" t="str">
        <x:v>ROAD</x:v>
      </x:c>
      <x:c r="J84" s="187" t="str">
        <x:v>FUEL_SURCHARGE</x:v>
      </x:c>
      <x:c r="K84" s="187" t="str">
        <x:v>EUR</x:v>
      </x:c>
      <x:c r="L84" s="232" t="n">
        <x:v>230.2147008</x:v>
      </x:c>
      <x:c r="M84" s="232" t="n">
        <x:v>7.8</x:v>
      </x:c>
      <x:c r="N84" s="187" t="str">
        <x:v>1795.674666240000000</x:v>
      </x:c>
      <x:c r="O84" s="235" t="n">
        <x:v>1795.6747</x:v>
      </x:c>
      <x:c r="P84" s="235"/>
      <x:c r="Q84" s="235"/>
      <x:c r="R84" s="235" t="str">
        <x:v>INVOICE_OR_PLAN</x:v>
      </x:c>
      <x:c r="S84" s="238" t="n">
        <x:f>'Model_Calc'!AG18</x:f>
        <x:v>1795.6746662399999</x:v>
      </x:c>
      <x:c r="T84" s="238" t="n">
        <x:f>ROUND(S84-O84,4)</x:f>
        <x:v>0</x:v>
      </x:c>
    </x:row>
    <x:row r="85">
      <x:c r="A85" s="187" t="str">
        <x:v>BUDGET_2026_V1</x:v>
      </x:c>
      <x:c r="B85" s="187" t="str">
        <x:v>BUDGET</x:v>
      </x:c>
      <x:c r="C85" s="187"/>
      <x:c r="D85" s="217" t="n">
        <x:v>46054</x:v>
      </x:c>
      <x:c r="E85" s="187" t="str">
        <x:v>R_FR_FR_A_ROAD</x:v>
      </x:c>
      <x:c r="F85" s="187" t="str">
        <x:v>FR</x:v>
      </x:c>
      <x:c r="G85" s="187" t="str">
        <x:v>FR_FC</x:v>
      </x:c>
      <x:c r="H85" s="187" t="str">
        <x:v>CARRIER_A</x:v>
      </x:c>
      <x:c r="I85" s="187" t="str">
        <x:v>ROAD</x:v>
      </x:c>
      <x:c r="J85" s="187" t="str">
        <x:v>WAREHOUSE_OPERATION</x:v>
      </x:c>
      <x:c r="K85" s="187" t="str">
        <x:v>EUR</x:v>
      </x:c>
      <x:c r="L85" s="232" t="n">
        <x:v>1587.6</x:v>
      </x:c>
      <x:c r="M85" s="232" t="n">
        <x:v>7.8</x:v>
      </x:c>
      <x:c r="N85" s="187" t="str">
        <x:v>12383.28000000</x:v>
      </x:c>
      <x:c r="O85" s="235" t="n">
        <x:v>12383.28</x:v>
      </x:c>
      <x:c r="P85" s="235"/>
      <x:c r="Q85" s="235"/>
      <x:c r="R85" s="235" t="str">
        <x:v>INVOICE_OR_PLAN</x:v>
      </x:c>
      <x:c r="S85" s="238" t="n">
        <x:f>'Model_Calc'!AL18</x:f>
        <x:v>12383.28</x:v>
      </x:c>
      <x:c r="T85" s="238" t="n">
        <x:f>ROUND(S85-O85,4)</x:f>
        <x:v>0</x:v>
      </x:c>
    </x:row>
    <x:row r="86">
      <x:c r="A86" s="187" t="str">
        <x:v>BUDGET_2026_V1</x:v>
      </x:c>
      <x:c r="B86" s="187" t="str">
        <x:v>BUDGET</x:v>
      </x:c>
      <x:c r="C86" s="187"/>
      <x:c r="D86" s="217" t="n">
        <x:v>46054</x:v>
      </x:c>
      <x:c r="E86" s="187" t="str">
        <x:v>R_FR_FR_A_ROAD</x:v>
      </x:c>
      <x:c r="F86" s="187" t="str">
        <x:v>FR</x:v>
      </x:c>
      <x:c r="G86" s="187" t="str">
        <x:v>FR_FC</x:v>
      </x:c>
      <x:c r="H86" s="187" t="str">
        <x:v>CARRIER_A</x:v>
      </x:c>
      <x:c r="I86" s="187" t="str">
        <x:v>ROAD</x:v>
      </x:c>
      <x:c r="J86" s="187" t="str">
        <x:v>PACKAGING</x:v>
      </x:c>
      <x:c r="K86" s="187" t="str">
        <x:v>EUR</x:v>
      </x:c>
      <x:c r="L86" s="232" t="n">
        <x:v>609.0336</x:v>
      </x:c>
      <x:c r="M86" s="232" t="n">
        <x:v>7.8</x:v>
      </x:c>
      <x:c r="N86" s="187" t="str">
        <x:v>4750.4620800000</x:v>
      </x:c>
      <x:c r="O86" s="235" t="n">
        <x:v>4750.4621</x:v>
      </x:c>
      <x:c r="P86" s="235"/>
      <x:c r="Q86" s="235"/>
      <x:c r="R86" s="235" t="str">
        <x:v>INVOICE_OR_PLAN</x:v>
      </x:c>
      <x:c r="S86" s="238" t="n">
        <x:f>'Model_Calc'!AQ18</x:f>
        <x:v>4750.462079999999</x:v>
      </x:c>
      <x:c r="T86" s="238" t="n">
        <x:f>ROUND(S86-O86,4)</x:f>
        <x:v>0</x:v>
      </x:c>
    </x:row>
    <x:row r="87">
      <x:c r="A87" s="187" t="str">
        <x:v>BUDGET_2026_V1</x:v>
      </x:c>
      <x:c r="B87" s="187" t="str">
        <x:v>BUDGET</x:v>
      </x:c>
      <x:c r="C87" s="187"/>
      <x:c r="D87" s="217" t="n">
        <x:v>46054</x:v>
      </x:c>
      <x:c r="E87" s="187" t="str">
        <x:v>R_FR_FR_A_ROAD</x:v>
      </x:c>
      <x:c r="F87" s="187" t="str">
        <x:v>FR</x:v>
      </x:c>
      <x:c r="G87" s="187" t="str">
        <x:v>FR_FC</x:v>
      </x:c>
      <x:c r="H87" s="187" t="str">
        <x:v>CARRIER_A</x:v>
      </x:c>
      <x:c r="I87" s="187" t="str">
        <x:v>ROAD</x:v>
      </x:c>
      <x:c r="J87" s="187" t="str">
        <x:v>RETURN_LOGISTICS</x:v>
      </x:c>
      <x:c r="K87" s="187" t="str">
        <x:v>EUR</x:v>
      </x:c>
      <x:c r="L87" s="232" t="n">
        <x:v>272.16</x:v>
      </x:c>
      <x:c r="M87" s="232" t="n">
        <x:v>7.8</x:v>
      </x:c>
      <x:c r="N87" s="187" t="str">
        <x:v>2122.84800000000</x:v>
      </x:c>
      <x:c r="O87" s="235" t="n">
        <x:v>2122.848</x:v>
      </x:c>
      <x:c r="P87" s="235"/>
      <x:c r="Q87" s="235"/>
      <x:c r="R87" s="235" t="str">
        <x:v>INVOICE_OR_PLAN</x:v>
      </x:c>
      <x:c r="S87" s="238" t="n">
        <x:f>'Model_Calc'!AV18</x:f>
        <x:v>2122.8479999999995</x:v>
      </x:c>
      <x:c r="T87" s="238" t="n">
        <x:f>ROUND(S87-O87,4)</x:f>
        <x:v>0</x:v>
      </x:c>
    </x:row>
    <x:row r="88">
      <x:c r="A88" s="187" t="str">
        <x:v>BUDGET_2026_V1</x:v>
      </x:c>
      <x:c r="B88" s="187" t="str">
        <x:v>BUDGET</x:v>
      </x:c>
      <x:c r="C88" s="187"/>
      <x:c r="D88" s="217" t="n">
        <x:v>46054</x:v>
      </x:c>
      <x:c r="E88" s="187" t="str">
        <x:v>R_FR_FR_A_ROAD</x:v>
      </x:c>
      <x:c r="F88" s="187" t="str">
        <x:v>FR</x:v>
      </x:c>
      <x:c r="G88" s="187" t="str">
        <x:v>FR_FC</x:v>
      </x:c>
      <x:c r="H88" s="187" t="str">
        <x:v>CARRIER_A</x:v>
      </x:c>
      <x:c r="I88" s="187" t="str">
        <x:v>ROAD</x:v>
      </x:c>
      <x:c r="J88" s="187" t="str">
        <x:v>BILLABLE_EXCEPTION</x:v>
      </x:c>
      <x:c r="K88" s="187" t="str">
        <x:v>EUR</x:v>
      </x:c>
      <x:c r="L88" s="232" t="n">
        <x:v>62.666352</x:v>
      </x:c>
      <x:c r="M88" s="232" t="n">
        <x:v>7.8</x:v>
      </x:c>
      <x:c r="N88" s="187" t="str">
        <x:v>488.7975456000000</x:v>
      </x:c>
      <x:c r="O88" s="235" t="n">
        <x:v>488.7975</x:v>
      </x:c>
      <x:c r="P88" s="235"/>
      <x:c r="Q88" s="235"/>
      <x:c r="R88" s="235" t="str">
        <x:v>INVOICE_OR_PLAN</x:v>
      </x:c>
      <x:c r="S88" s="238" t="n">
        <x:f>'Model_Calc'!BA18</x:f>
        <x:v>488.79754560000003</x:v>
      </x:c>
      <x:c r="T88" s="238" t="n">
        <x:f>ROUND(S88-O88,4)</x:f>
        <x:v>0</x:v>
      </x:c>
    </x:row>
    <x:row r="89">
      <x:c r="A89" s="187" t="str">
        <x:v>BUDGET_2026_V1</x:v>
      </x:c>
      <x:c r="B89" s="187" t="str">
        <x:v>BUDGET</x:v>
      </x:c>
      <x:c r="C89" s="187"/>
      <x:c r="D89" s="217" t="n">
        <x:v>46054</x:v>
      </x:c>
      <x:c r="E89" s="187" t="str">
        <x:v>R_FR_FR_B_ROAD</x:v>
      </x:c>
      <x:c r="F89" s="187" t="str">
        <x:v>FR</x:v>
      </x:c>
      <x:c r="G89" s="187" t="str">
        <x:v>FR_FC</x:v>
      </x:c>
      <x:c r="H89" s="187" t="str">
        <x:v>CARRIER_B</x:v>
      </x:c>
      <x:c r="I89" s="187" t="str">
        <x:v>ROAD</x:v>
      </x:c>
      <x:c r="J89" s="187" t="str">
        <x:v>BASE_FREIGHT</x:v>
      </x:c>
      <x:c r="K89" s="187" t="str">
        <x:v>EUR</x:v>
      </x:c>
      <x:c r="L89" s="232" t="n">
        <x:v>6113.68992</x:v>
      </x:c>
      <x:c r="M89" s="232" t="n">
        <x:v>7.8</x:v>
      </x:c>
      <x:c r="N89" s="187" t="str">
        <x:v>47686.781376000000</x:v>
      </x:c>
      <x:c r="O89" s="235" t="n">
        <x:v>47686.7814</x:v>
      </x:c>
      <x:c r="P89" s="235"/>
      <x:c r="Q89" s="235"/>
      <x:c r="R89" s="235" t="str">
        <x:v>INVOICE_OR_PLAN</x:v>
      </x:c>
      <x:c r="S89" s="238" t="n">
        <x:f>'Model_Calc'!AF19</x:f>
        <x:v>47686.781376000006</x:v>
      </x:c>
      <x:c r="T89" s="238" t="n">
        <x:f>ROUND(S89-O89,4)</x:f>
        <x:v>0</x:v>
      </x:c>
    </x:row>
    <x:row r="90">
      <x:c r="A90" s="187" t="str">
        <x:v>BUDGET_2026_V1</x:v>
      </x:c>
      <x:c r="B90" s="187" t="str">
        <x:v>BUDGET</x:v>
      </x:c>
      <x:c r="C90" s="187"/>
      <x:c r="D90" s="217" t="n">
        <x:v>46054</x:v>
      </x:c>
      <x:c r="E90" s="187" t="str">
        <x:v>R_FR_FR_B_ROAD</x:v>
      </x:c>
      <x:c r="F90" s="187" t="str">
        <x:v>FR</x:v>
      </x:c>
      <x:c r="G90" s="187" t="str">
        <x:v>FR_FC</x:v>
      </x:c>
      <x:c r="H90" s="187" t="str">
        <x:v>CARRIER_B</x:v>
      </x:c>
      <x:c r="I90" s="187" t="str">
        <x:v>ROAD</x:v>
      </x:c>
      <x:c r="J90" s="187" t="str">
        <x:v>FUEL_SURCHARGE</x:v>
      </x:c>
      <x:c r="K90" s="187" t="str">
        <x:v>EUR</x:v>
      </x:c>
      <x:c r="L90" s="232" t="n">
        <x:v>470.28384</x:v>
      </x:c>
      <x:c r="M90" s="232" t="n">
        <x:v>7.8</x:v>
      </x:c>
      <x:c r="N90" s="187" t="str">
        <x:v>3668.213952000000</x:v>
      </x:c>
      <x:c r="O90" s="235" t="n">
        <x:v>3668.214</x:v>
      </x:c>
      <x:c r="P90" s="235"/>
      <x:c r="Q90" s="235"/>
      <x:c r="R90" s="235" t="str">
        <x:v>INVOICE_OR_PLAN</x:v>
      </x:c>
      <x:c r="S90" s="238" t="n">
        <x:f>'Model_Calc'!AG19</x:f>
        <x:v>3668.2139520000005</x:v>
      </x:c>
      <x:c r="T90" s="238" t="n">
        <x:f>ROUND(S90-O90,4)</x:f>
        <x:v>0</x:v>
      </x:c>
    </x:row>
    <x:row r="91">
      <x:c r="A91" s="187" t="str">
        <x:v>BUDGET_2026_V1</x:v>
      </x:c>
      <x:c r="B91" s="187" t="str">
        <x:v>BUDGET</x:v>
      </x:c>
      <x:c r="C91" s="187"/>
      <x:c r="D91" s="217" t="n">
        <x:v>46054</x:v>
      </x:c>
      <x:c r="E91" s="187" t="str">
        <x:v>R_FR_FR_B_ROAD</x:v>
      </x:c>
      <x:c r="F91" s="187" t="str">
        <x:v>FR</x:v>
      </x:c>
      <x:c r="G91" s="187" t="str">
        <x:v>FR_FC</x:v>
      </x:c>
      <x:c r="H91" s="187" t="str">
        <x:v>CARRIER_B</x:v>
      </x:c>
      <x:c r="I91" s="187" t="str">
        <x:v>ROAD</x:v>
      </x:c>
      <x:c r="J91" s="187" t="str">
        <x:v>WAREHOUSE_OPERATION</x:v>
      </x:c>
      <x:c r="K91" s="187" t="str">
        <x:v>EUR</x:v>
      </x:c>
      <x:c r="L91" s="232" t="n">
        <x:v>2948.4</x:v>
      </x:c>
      <x:c r="M91" s="232" t="n">
        <x:v>7.8</x:v>
      </x:c>
      <x:c r="N91" s="187" t="str">
        <x:v>22997.52000000</x:v>
      </x:c>
      <x:c r="O91" s="235" t="n">
        <x:v>22997.52</x:v>
      </x:c>
      <x:c r="P91" s="235"/>
      <x:c r="Q91" s="235"/>
      <x:c r="R91" s="235" t="str">
        <x:v>INVOICE_OR_PLAN</x:v>
      </x:c>
      <x:c r="S91" s="238" t="n">
        <x:f>'Model_Calc'!AL19</x:f>
        <x:v>22997.52</x:v>
      </x:c>
      <x:c r="T91" s="238" t="n">
        <x:f>ROUND(S91-O91,4)</x:f>
        <x:v>0</x:v>
      </x:c>
    </x:row>
    <x:row r="92">
      <x:c r="A92" s="187" t="str">
        <x:v>BUDGET_2026_V1</x:v>
      </x:c>
      <x:c r="B92" s="187" t="str">
        <x:v>BUDGET</x:v>
      </x:c>
      <x:c r="C92" s="187"/>
      <x:c r="D92" s="217" t="n">
        <x:v>46054</x:v>
      </x:c>
      <x:c r="E92" s="187" t="str">
        <x:v>R_FR_FR_B_ROAD</x:v>
      </x:c>
      <x:c r="F92" s="187" t="str">
        <x:v>FR</x:v>
      </x:c>
      <x:c r="G92" s="187" t="str">
        <x:v>FR_FC</x:v>
      </x:c>
      <x:c r="H92" s="187" t="str">
        <x:v>CARRIER_B</x:v>
      </x:c>
      <x:c r="I92" s="187" t="str">
        <x:v>ROAD</x:v>
      </x:c>
      <x:c r="J92" s="187" t="str">
        <x:v>PACKAGING</x:v>
      </x:c>
      <x:c r="K92" s="187" t="str">
        <x:v>EUR</x:v>
      </x:c>
      <x:c r="L92" s="232" t="n">
        <x:v>1131.0624</x:v>
      </x:c>
      <x:c r="M92" s="232" t="n">
        <x:v>7.8</x:v>
      </x:c>
      <x:c r="N92" s="187" t="str">
        <x:v>8822.2867200000</x:v>
      </x:c>
      <x:c r="O92" s="235" t="n">
        <x:v>8822.2867</x:v>
      </x:c>
      <x:c r="P92" s="235"/>
      <x:c r="Q92" s="235"/>
      <x:c r="R92" s="235" t="str">
        <x:v>INVOICE_OR_PLAN</x:v>
      </x:c>
      <x:c r="S92" s="238" t="n">
        <x:f>'Model_Calc'!AQ19</x:f>
        <x:v>8822.28672</x:v>
      </x:c>
      <x:c r="T92" s="238" t="n">
        <x:f>ROUND(S92-O92,4)</x:f>
        <x:v>0</x:v>
      </x:c>
    </x:row>
    <x:row r="93">
      <x:c r="A93" s="187" t="str">
        <x:v>BUDGET_2026_V1</x:v>
      </x:c>
      <x:c r="B93" s="187" t="str">
        <x:v>BUDGET</x:v>
      </x:c>
      <x:c r="C93" s="187"/>
      <x:c r="D93" s="217" t="n">
        <x:v>46054</x:v>
      </x:c>
      <x:c r="E93" s="187" t="str">
        <x:v>R_FR_FR_B_ROAD</x:v>
      </x:c>
      <x:c r="F93" s="187" t="str">
        <x:v>FR</x:v>
      </x:c>
      <x:c r="G93" s="187" t="str">
        <x:v>FR_FC</x:v>
      </x:c>
      <x:c r="H93" s="187" t="str">
        <x:v>CARRIER_B</x:v>
      </x:c>
      <x:c r="I93" s="187" t="str">
        <x:v>ROAD</x:v>
      </x:c>
      <x:c r="J93" s="187" t="str">
        <x:v>RETURN_LOGISTICS</x:v>
      </x:c>
      <x:c r="K93" s="187" t="str">
        <x:v>EUR</x:v>
      </x:c>
      <x:c r="L93" s="232" t="n">
        <x:v>505.44</x:v>
      </x:c>
      <x:c r="M93" s="232" t="n">
        <x:v>7.8</x:v>
      </x:c>
      <x:c r="N93" s="187" t="str">
        <x:v>3942.43200000000</x:v>
      </x:c>
      <x:c r="O93" s="235" t="n">
        <x:v>3942.432</x:v>
      </x:c>
      <x:c r="P93" s="235"/>
      <x:c r="Q93" s="235"/>
      <x:c r="R93" s="235" t="str">
        <x:v>INVOICE_OR_PLAN</x:v>
      </x:c>
      <x:c r="S93" s="238" t="n">
        <x:f>'Model_Calc'!AV19</x:f>
        <x:v>3942.4319999999993</x:v>
      </x:c>
      <x:c r="T93" s="238" t="n">
        <x:f>ROUND(S93-O93,4)</x:f>
        <x:v>0</x:v>
      </x:c>
    </x:row>
    <x:row r="94">
      <x:c r="A94" s="187" t="str">
        <x:v>BUDGET_2026_V1</x:v>
      </x:c>
      <x:c r="B94" s="187" t="str">
        <x:v>BUDGET</x:v>
      </x:c>
      <x:c r="C94" s="187"/>
      <x:c r="D94" s="217" t="n">
        <x:v>46054</x:v>
      </x:c>
      <x:c r="E94" s="187" t="str">
        <x:v>R_FR_FR_B_ROAD</x:v>
      </x:c>
      <x:c r="F94" s="187" t="str">
        <x:v>FR</x:v>
      </x:c>
      <x:c r="G94" s="187" t="str">
        <x:v>FR_FC</x:v>
      </x:c>
      <x:c r="H94" s="187" t="str">
        <x:v>CARRIER_B</x:v>
      </x:c>
      <x:c r="I94" s="187" t="str">
        <x:v>ROAD</x:v>
      </x:c>
      <x:c r="J94" s="187" t="str">
        <x:v>BILLABLE_EXCEPTION</x:v>
      </x:c>
      <x:c r="K94" s="187" t="str">
        <x:v>EUR</x:v>
      </x:c>
      <x:c r="L94" s="232" t="n">
        <x:v>95.842656</x:v>
      </x:c>
      <x:c r="M94" s="232" t="n">
        <x:v>7.8</x:v>
      </x:c>
      <x:c r="N94" s="187" t="str">
        <x:v>747.5727168000000</x:v>
      </x:c>
      <x:c r="O94" s="235" t="n">
        <x:v>747.5727</x:v>
      </x:c>
      <x:c r="P94" s="235"/>
      <x:c r="Q94" s="235"/>
      <x:c r="R94" s="235" t="str">
        <x:v>INVOICE_OR_PLAN</x:v>
      </x:c>
      <x:c r="S94" s="238" t="n">
        <x:f>'Model_Calc'!BA19</x:f>
        <x:v>747.5727168000001</x:v>
      </x:c>
      <x:c r="T94" s="238" t="n">
        <x:f>ROUND(S94-O94,4)</x:f>
        <x:v>0</x:v>
      </x:c>
    </x:row>
    <x:row r="95">
      <x:c r="A95" s="187" t="str">
        <x:v>BUDGET_2026_V1</x:v>
      </x:c>
      <x:c r="B95" s="187" t="str">
        <x:v>BUDGET</x:v>
      </x:c>
      <x:c r="C95" s="187"/>
      <x:c r="D95" s="217" t="n">
        <x:v>46054</x:v>
      </x:c>
      <x:c r="E95" s="187" t="str">
        <x:v>R_GB_DE_A_ROAD</x:v>
      </x:c>
      <x:c r="F95" s="187" t="str">
        <x:v>GB</x:v>
      </x:c>
      <x:c r="G95" s="187" t="str">
        <x:v>DE_FC</x:v>
      </x:c>
      <x:c r="H95" s="187" t="str">
        <x:v>CARRIER_A</x:v>
      </x:c>
      <x:c r="I95" s="187" t="str">
        <x:v>ROAD</x:v>
      </x:c>
      <x:c r="J95" s="187" t="str">
        <x:v>BASE_FREIGHT</x:v>
      </x:c>
      <x:c r="K95" s="187" t="str">
        <x:v>GBP</x:v>
      </x:c>
      <x:c r="L95" s="232" t="n">
        <x:v>10008.520704</x:v>
      </x:c>
      <x:c r="M95" s="232" t="n">
        <x:v>9</x:v>
      </x:c>
      <x:c r="N95" s="187" t="str">
        <x:v>90076.68633600000000</x:v>
      </x:c>
      <x:c r="O95" s="235" t="n">
        <x:v>90076.6863</x:v>
      </x:c>
      <x:c r="P95" s="235"/>
      <x:c r="Q95" s="235"/>
      <x:c r="R95" s="235" t="str">
        <x:v>INVOICE_OR_PLAN</x:v>
      </x:c>
      <x:c r="S95" s="238" t="n">
        <x:f>'Model_Calc'!AF20</x:f>
        <x:v>90076.68633600001</x:v>
      </x:c>
      <x:c r="T95" s="238" t="n">
        <x:f>ROUND(S95-O95,4)</x:f>
        <x:v>0</x:v>
      </x:c>
    </x:row>
    <x:row r="96">
      <x:c r="A96" s="187" t="str">
        <x:v>BUDGET_2026_V1</x:v>
      </x:c>
      <x:c r="B96" s="187" t="str">
        <x:v>BUDGET</x:v>
      </x:c>
      <x:c r="C96" s="187"/>
      <x:c r="D96" s="217" t="n">
        <x:v>46054</x:v>
      </x:c>
      <x:c r="E96" s="187" t="str">
        <x:v>R_GB_DE_A_ROAD</x:v>
      </x:c>
      <x:c r="F96" s="187" t="str">
        <x:v>GB</x:v>
      </x:c>
      <x:c r="G96" s="187" t="str">
        <x:v>DE_FC</x:v>
      </x:c>
      <x:c r="H96" s="187" t="str">
        <x:v>CARRIER_A</x:v>
      </x:c>
      <x:c r="I96" s="187" t="str">
        <x:v>ROAD</x:v>
      </x:c>
      <x:c r="J96" s="187" t="str">
        <x:v>FUEL_SURCHARGE</x:v>
      </x:c>
      <x:c r="K96" s="187" t="str">
        <x:v>GBP</x:v>
      </x:c>
      <x:c r="L96" s="232" t="n">
        <x:v>1000.8520704</x:v>
      </x:c>
      <x:c r="M96" s="232" t="n">
        <x:v>9</x:v>
      </x:c>
      <x:c r="N96" s="187" t="str">
        <x:v>9007.66863360000000000</x:v>
      </x:c>
      <x:c r="O96" s="235" t="n">
        <x:v>9007.6686</x:v>
      </x:c>
      <x:c r="P96" s="235"/>
      <x:c r="Q96" s="235"/>
      <x:c r="R96" s="235" t="str">
        <x:v>INVOICE_OR_PLAN</x:v>
      </x:c>
      <x:c r="S96" s="238" t="n">
        <x:f>'Model_Calc'!AG20</x:f>
        <x:v>9007.668633600002</x:v>
      </x:c>
      <x:c r="T96" s="238" t="n">
        <x:f>ROUND(S96-O96,4)</x:f>
        <x:v>0</x:v>
      </x:c>
    </x:row>
    <x:row r="97">
      <x:c r="A97" s="187" t="str">
        <x:v>BUDGET_2026_V1</x:v>
      </x:c>
      <x:c r="B97" s="187" t="str">
        <x:v>BUDGET</x:v>
      </x:c>
      <x:c r="C97" s="187"/>
      <x:c r="D97" s="217" t="n">
        <x:v>46054</x:v>
      </x:c>
      <x:c r="E97" s="187" t="str">
        <x:v>R_GB_DE_A_ROAD</x:v>
      </x:c>
      <x:c r="F97" s="187" t="str">
        <x:v>GB</x:v>
      </x:c>
      <x:c r="G97" s="187" t="str">
        <x:v>DE_FC</x:v>
      </x:c>
      <x:c r="H97" s="187" t="str">
        <x:v>CARRIER_A</x:v>
      </x:c>
      <x:c r="I97" s="187" t="str">
        <x:v>ROAD</x:v>
      </x:c>
      <x:c r="J97" s="187" t="str">
        <x:v>WAREHOUSE_OPERATION</x:v>
      </x:c>
      <x:c r="K97" s="187" t="str">
        <x:v>EUR</x:v>
      </x:c>
      <x:c r="L97" s="232" t="n">
        <x:v>2584.4832</x:v>
      </x:c>
      <x:c r="M97" s="232" t="n">
        <x:v>7.8</x:v>
      </x:c>
      <x:c r="N97" s="187" t="str">
        <x:v>20158.9689600000</x:v>
      </x:c>
      <x:c r="O97" s="235" t="n">
        <x:v>20158.969</x:v>
      </x:c>
      <x:c r="P97" s="235"/>
      <x:c r="Q97" s="235"/>
      <x:c r="R97" s="235" t="str">
        <x:v>INVOICE_OR_PLAN</x:v>
      </x:c>
      <x:c r="S97" s="238" t="n">
        <x:f>'Model_Calc'!AL20</x:f>
        <x:v>20158.968960000002</x:v>
      </x:c>
      <x:c r="T97" s="238" t="n">
        <x:f>ROUND(S97-O97,4)</x:f>
        <x:v>0</x:v>
      </x:c>
    </x:row>
    <x:row r="98">
      <x:c r="A98" s="187" t="str">
        <x:v>BUDGET_2026_V1</x:v>
      </x:c>
      <x:c r="B98" s="187" t="str">
        <x:v>BUDGET</x:v>
      </x:c>
      <x:c r="C98" s="187"/>
      <x:c r="D98" s="217" t="n">
        <x:v>46054</x:v>
      </x:c>
      <x:c r="E98" s="187" t="str">
        <x:v>R_GB_DE_A_ROAD</x:v>
      </x:c>
      <x:c r="F98" s="187" t="str">
        <x:v>GB</x:v>
      </x:c>
      <x:c r="G98" s="187" t="str">
        <x:v>DE_FC</x:v>
      </x:c>
      <x:c r="H98" s="187" t="str">
        <x:v>CARRIER_A</x:v>
      </x:c>
      <x:c r="I98" s="187" t="str">
        <x:v>ROAD</x:v>
      </x:c>
      <x:c r="J98" s="187" t="str">
        <x:v>PACKAGING</x:v>
      </x:c>
      <x:c r="K98" s="187" t="str">
        <x:v>EUR</x:v>
      </x:c>
      <x:c r="L98" s="232" t="n">
        <x:v>1030.288896</x:v>
      </x:c>
      <x:c r="M98" s="232" t="n">
        <x:v>7.8</x:v>
      </x:c>
      <x:c r="N98" s="187" t="str">
        <x:v>8036.253388800000</x:v>
      </x:c>
      <x:c r="O98" s="235" t="n">
        <x:v>8036.2534</x:v>
      </x:c>
      <x:c r="P98" s="235"/>
      <x:c r="Q98" s="235"/>
      <x:c r="R98" s="235" t="str">
        <x:v>INVOICE_OR_PLAN</x:v>
      </x:c>
      <x:c r="S98" s="238" t="n">
        <x:f>'Model_Calc'!AQ20</x:f>
        <x:v>8036.253388800002</x:v>
      </x:c>
      <x:c r="T98" s="238" t="n">
        <x:f>ROUND(S98-O98,4)</x:f>
        <x:v>0</x:v>
      </x:c>
    </x:row>
    <x:row r="99">
      <x:c r="A99" s="187" t="str">
        <x:v>BUDGET_2026_V1</x:v>
      </x:c>
      <x:c r="B99" s="187" t="str">
        <x:v>BUDGET</x:v>
      </x:c>
      <x:c r="C99" s="187"/>
      <x:c r="D99" s="217" t="n">
        <x:v>46054</x:v>
      </x:c>
      <x:c r="E99" s="187" t="str">
        <x:v>R_GB_DE_A_ROAD</x:v>
      </x:c>
      <x:c r="F99" s="187" t="str">
        <x:v>GB</x:v>
      </x:c>
      <x:c r="G99" s="187" t="str">
        <x:v>DE_FC</x:v>
      </x:c>
      <x:c r="H99" s="187" t="str">
        <x:v>CARRIER_A</x:v>
      </x:c>
      <x:c r="I99" s="187" t="str">
        <x:v>ROAD</x:v>
      </x:c>
      <x:c r="J99" s="187" t="str">
        <x:v>RETURN_LOGISTICS</x:v>
      </x:c>
      <x:c r="K99" s="187" t="str">
        <x:v>GBP</x:v>
      </x:c>
      <x:c r="L99" s="232" t="n">
        <x:v>841.05216</x:v>
      </x:c>
      <x:c r="M99" s="232" t="n">
        <x:v>9</x:v>
      </x:c>
      <x:c r="N99" s="187" t="str">
        <x:v>7569.4694400000000</x:v>
      </x:c>
      <x:c r="O99" s="235" t="n">
        <x:v>7569.4694</x:v>
      </x:c>
      <x:c r="P99" s="235"/>
      <x:c r="Q99" s="235"/>
      <x:c r="R99" s="235" t="str">
        <x:v>INVOICE_OR_PLAN</x:v>
      </x:c>
      <x:c r="S99" s="238" t="n">
        <x:f>'Model_Calc'!AV20</x:f>
        <x:v>7569.469440000001</x:v>
      </x:c>
      <x:c r="T99" s="238" t="n">
        <x:f>ROUND(S99-O99,4)</x:f>
        <x:v>0</x:v>
      </x:c>
    </x:row>
    <x:row r="100">
      <x:c r="A100" s="187" t="str">
        <x:v>BUDGET_2026_V1</x:v>
      </x:c>
      <x:c r="B100" s="187" t="str">
        <x:v>BUDGET</x:v>
      </x:c>
      <x:c r="C100" s="187"/>
      <x:c r="D100" s="217" t="n">
        <x:v>46054</x:v>
      </x:c>
      <x:c r="E100" s="187" t="str">
        <x:v>R_GB_DE_A_ROAD</x:v>
      </x:c>
      <x:c r="F100" s="187" t="str">
        <x:v>GB</x:v>
      </x:c>
      <x:c r="G100" s="187" t="str">
        <x:v>DE_FC</x:v>
      </x:c>
      <x:c r="H100" s="187" t="str">
        <x:v>CARRIER_A</x:v>
      </x:c>
      <x:c r="I100" s="187" t="str">
        <x:v>ROAD</x:v>
      </x:c>
      <x:c r="J100" s="187" t="str">
        <x:v>BILLABLE_EXCEPTION</x:v>
      </x:c>
      <x:c r="K100" s="187" t="str">
        <x:v>GBP</x:v>
      </x:c>
      <x:c r="L100" s="232" t="n">
        <x:v>124.12528128</x:v>
      </x:c>
      <x:c r="M100" s="232" t="n">
        <x:v>9</x:v>
      </x:c>
      <x:c r="N100" s="187" t="str">
        <x:v>1117.127531520000000</x:v>
      </x:c>
      <x:c r="O100" s="235" t="n">
        <x:v>1117.1275</x:v>
      </x:c>
      <x:c r="P100" s="235"/>
      <x:c r="Q100" s="235"/>
      <x:c r="R100" s="235" t="str">
        <x:v>INVOICE_OR_PLAN</x:v>
      </x:c>
      <x:c r="S100" s="238" t="n">
        <x:f>'Model_Calc'!BA20</x:f>
        <x:v>1117.12753152</x:v>
      </x:c>
      <x:c r="T100" s="238" t="n">
        <x:f>ROUND(S100-O100,4)</x:f>
        <x:v>0</x:v>
      </x:c>
    </x:row>
    <x:row r="101">
      <x:c r="A101" s="187" t="str">
        <x:v>BUDGET_2026_V1</x:v>
      </x:c>
      <x:c r="B101" s="187" t="str">
        <x:v>BUDGET</x:v>
      </x:c>
      <x:c r="C101" s="187"/>
      <x:c r="D101" s="217" t="n">
        <x:v>46054</x:v>
      </x:c>
      <x:c r="E101" s="187" t="str">
        <x:v>R_GB_DE_B_ROAD</x:v>
      </x:c>
      <x:c r="F101" s="187" t="str">
        <x:v>GB</x:v>
      </x:c>
      <x:c r="G101" s="187" t="str">
        <x:v>DE_FC</x:v>
      </x:c>
      <x:c r="H101" s="187" t="str">
        <x:v>CARRIER_B</x:v>
      </x:c>
      <x:c r="I101" s="187" t="str">
        <x:v>ROAD</x:v>
      </x:c>
      <x:c r="J101" s="187" t="str">
        <x:v>BASE_FREIGHT</x:v>
      </x:c>
      <x:c r="K101" s="187" t="str">
        <x:v>GBP</x:v>
      </x:c>
      <x:c r="L101" s="232" t="n">
        <x:v>4434.3936</x:v>
      </x:c>
      <x:c r="M101" s="232" t="n">
        <x:v>9</x:v>
      </x:c>
      <x:c r="N101" s="187" t="str">
        <x:v>39909.54240000000000</x:v>
      </x:c>
      <x:c r="O101" s="235" t="n">
        <x:v>39909.5424</x:v>
      </x:c>
      <x:c r="P101" s="235"/>
      <x:c r="Q101" s="235"/>
      <x:c r="R101" s="235" t="str">
        <x:v>INVOICE_OR_PLAN</x:v>
      </x:c>
      <x:c r="S101" s="238" t="n">
        <x:f>'Model_Calc'!AF21</x:f>
        <x:v>39909.542400000006</x:v>
      </x:c>
      <x:c r="T101" s="238" t="n">
        <x:f>ROUND(S101-O101,4)</x:f>
        <x:v>0</x:v>
      </x:c>
    </x:row>
    <x:row r="102">
      <x:c r="A102" s="187" t="str">
        <x:v>BUDGET_2026_V1</x:v>
      </x:c>
      <x:c r="B102" s="187" t="str">
        <x:v>BUDGET</x:v>
      </x:c>
      <x:c r="C102" s="187"/>
      <x:c r="D102" s="217" t="n">
        <x:v>46054</x:v>
      </x:c>
      <x:c r="E102" s="187" t="str">
        <x:v>R_GB_DE_B_ROAD</x:v>
      </x:c>
      <x:c r="F102" s="187" t="str">
        <x:v>GB</x:v>
      </x:c>
      <x:c r="G102" s="187" t="str">
        <x:v>DE_FC</x:v>
      </x:c>
      <x:c r="H102" s="187" t="str">
        <x:v>CARRIER_B</x:v>
      </x:c>
      <x:c r="I102" s="187" t="str">
        <x:v>ROAD</x:v>
      </x:c>
      <x:c r="J102" s="187" t="str">
        <x:v>FUEL_SURCHARGE</x:v>
      </x:c>
      <x:c r="K102" s="187" t="str">
        <x:v>GBP</x:v>
      </x:c>
      <x:c r="L102" s="232" t="n">
        <x:v>311.35104</x:v>
      </x:c>
      <x:c r="M102" s="232" t="n">
        <x:v>9</x:v>
      </x:c>
      <x:c r="N102" s="187" t="str">
        <x:v>2802.15936000000000</x:v>
      </x:c>
      <x:c r="O102" s="235" t="n">
        <x:v>2802.1594</x:v>
      </x:c>
      <x:c r="P102" s="235"/>
      <x:c r="Q102" s="235"/>
      <x:c r="R102" s="235" t="str">
        <x:v>INVOICE_OR_PLAN</x:v>
      </x:c>
      <x:c r="S102" s="238" t="n">
        <x:f>'Model_Calc'!AG21</x:f>
        <x:v>2802.15936</x:v>
      </x:c>
      <x:c r="T102" s="238" t="n">
        <x:f>ROUND(S102-O102,4)</x:f>
        <x:v>0</x:v>
      </x:c>
    </x:row>
    <x:row r="103">
      <x:c r="A103" s="187" t="str">
        <x:v>BUDGET_2026_V1</x:v>
      </x:c>
      <x:c r="B103" s="187" t="str">
        <x:v>BUDGET</x:v>
      </x:c>
      <x:c r="C103" s="187"/>
      <x:c r="D103" s="217" t="n">
        <x:v>46054</x:v>
      </x:c>
      <x:c r="E103" s="187" t="str">
        <x:v>R_GB_DE_B_ROAD</x:v>
      </x:c>
      <x:c r="F103" s="187" t="str">
        <x:v>GB</x:v>
      </x:c>
      <x:c r="G103" s="187" t="str">
        <x:v>DE_FC</x:v>
      </x:c>
      <x:c r="H103" s="187" t="str">
        <x:v>CARRIER_B</x:v>
      </x:c>
      <x:c r="I103" s="187" t="str">
        <x:v>ROAD</x:v>
      </x:c>
      <x:c r="J103" s="187" t="str">
        <x:v>WAREHOUSE_OPERATION</x:v>
      </x:c>
      <x:c r="K103" s="187" t="str">
        <x:v>EUR</x:v>
      </x:c>
      <x:c r="L103" s="232" t="n">
        <x:v>994.032</x:v>
      </x:c>
      <x:c r="M103" s="232" t="n">
        <x:v>7.8</x:v>
      </x:c>
      <x:c r="N103" s="187" t="str">
        <x:v>7753.4496000000</x:v>
      </x:c>
      <x:c r="O103" s="235" t="n">
        <x:v>7753.4496</x:v>
      </x:c>
      <x:c r="P103" s="235"/>
      <x:c r="Q103" s="235"/>
      <x:c r="R103" s="235" t="str">
        <x:v>INVOICE_OR_PLAN</x:v>
      </x:c>
      <x:c r="S103" s="238" t="n">
        <x:f>'Model_Calc'!AL21</x:f>
        <x:v>7753.449599999999</x:v>
      </x:c>
      <x:c r="T103" s="238" t="n">
        <x:f>ROUND(S103-O103,4)</x:f>
        <x:v>0</x:v>
      </x:c>
    </x:row>
    <x:row r="104">
      <x:c r="A104" s="187" t="str">
        <x:v>BUDGET_2026_V1</x:v>
      </x:c>
      <x:c r="B104" s="187" t="str">
        <x:v>BUDGET</x:v>
      </x:c>
      <x:c r="C104" s="187"/>
      <x:c r="D104" s="217" t="n">
        <x:v>46054</x:v>
      </x:c>
      <x:c r="E104" s="187" t="str">
        <x:v>R_GB_DE_B_ROAD</x:v>
      </x:c>
      <x:c r="F104" s="187" t="str">
        <x:v>GB</x:v>
      </x:c>
      <x:c r="G104" s="187" t="str">
        <x:v>DE_FC</x:v>
      </x:c>
      <x:c r="H104" s="187" t="str">
        <x:v>CARRIER_B</x:v>
      </x:c>
      <x:c r="I104" s="187" t="str">
        <x:v>ROAD</x:v>
      </x:c>
      <x:c r="J104" s="187" t="str">
        <x:v>PACKAGING</x:v>
      </x:c>
      <x:c r="K104" s="187" t="str">
        <x:v>EUR</x:v>
      </x:c>
      <x:c r="L104" s="232" t="n">
        <x:v>396.26496</x:v>
      </x:c>
      <x:c r="M104" s="232" t="n">
        <x:v>7.8</x:v>
      </x:c>
      <x:c r="N104" s="187" t="str">
        <x:v>3090.866688000000</x:v>
      </x:c>
      <x:c r="O104" s="235" t="n">
        <x:v>3090.8667</x:v>
      </x:c>
      <x:c r="P104" s="235"/>
      <x:c r="Q104" s="235"/>
      <x:c r="R104" s="235" t="str">
        <x:v>INVOICE_OR_PLAN</x:v>
      </x:c>
      <x:c r="S104" s="238" t="n">
        <x:f>'Model_Calc'!AQ21</x:f>
        <x:v>3090.866688</x:v>
      </x:c>
      <x:c r="T104" s="238" t="n">
        <x:f>ROUND(S104-O104,4)</x:f>
        <x:v>0</x:v>
      </x:c>
    </x:row>
    <x:row r="105">
      <x:c r="A105" s="187" t="str">
        <x:v>BUDGET_2026_V1</x:v>
      </x:c>
      <x:c r="B105" s="187" t="str">
        <x:v>BUDGET</x:v>
      </x:c>
      <x:c r="C105" s="187"/>
      <x:c r="D105" s="217" t="n">
        <x:v>46054</x:v>
      </x:c>
      <x:c r="E105" s="187" t="str">
        <x:v>R_GB_DE_B_ROAD</x:v>
      </x:c>
      <x:c r="F105" s="187" t="str">
        <x:v>GB</x:v>
      </x:c>
      <x:c r="G105" s="187" t="str">
        <x:v>DE_FC</x:v>
      </x:c>
      <x:c r="H105" s="187" t="str">
        <x:v>CARRIER_B</x:v>
      </x:c>
      <x:c r="I105" s="187" t="str">
        <x:v>ROAD</x:v>
      </x:c>
      <x:c r="J105" s="187" t="str">
        <x:v>RETURN_LOGISTICS</x:v>
      </x:c>
      <x:c r="K105" s="187" t="str">
        <x:v>GBP</x:v>
      </x:c>
      <x:c r="L105" s="232" t="n">
        <x:v>323.4816</x:v>
      </x:c>
      <x:c r="M105" s="232" t="n">
        <x:v>9</x:v>
      </x:c>
      <x:c r="N105" s="187" t="str">
        <x:v>2911.3344000000000</x:v>
      </x:c>
      <x:c r="O105" s="235" t="n">
        <x:v>2911.3344</x:v>
      </x:c>
      <x:c r="P105" s="235"/>
      <x:c r="Q105" s="235"/>
      <x:c r="R105" s="235" t="str">
        <x:v>INVOICE_OR_PLAN</x:v>
      </x:c>
      <x:c r="S105" s="238" t="n">
        <x:f>'Model_Calc'!AV21</x:f>
        <x:v>2911.3343999999997</x:v>
      </x:c>
      <x:c r="T105" s="238" t="n">
        <x:f>ROUND(S105-O105,4)</x:f>
        <x:v>0</x:v>
      </x:c>
    </x:row>
    <x:row r="106">
      <x:c r="A106" s="187" t="str">
        <x:v>BUDGET_2026_V1</x:v>
      </x:c>
      <x:c r="B106" s="187" t="str">
        <x:v>BUDGET</x:v>
      </x:c>
      <x:c r="C106" s="187"/>
      <x:c r="D106" s="217" t="n">
        <x:v>46054</x:v>
      </x:c>
      <x:c r="E106" s="187" t="str">
        <x:v>R_GB_DE_B_ROAD</x:v>
      </x:c>
      <x:c r="F106" s="187" t="str">
        <x:v>GB</x:v>
      </x:c>
      <x:c r="G106" s="187" t="str">
        <x:v>DE_FC</x:v>
      </x:c>
      <x:c r="H106" s="187" t="str">
        <x:v>CARRIER_B</x:v>
      </x:c>
      <x:c r="I106" s="187" t="str">
        <x:v>ROAD</x:v>
      </x:c>
      <x:c r="J106" s="187" t="str">
        <x:v>BILLABLE_EXCEPTION</x:v>
      </x:c>
      <x:c r="K106" s="187" t="str">
        <x:v>GBP</x:v>
      </x:c>
      <x:c r="L106" s="232" t="n">
        <x:v>36.8903808</x:v>
      </x:c>
      <x:c r="M106" s="232" t="n">
        <x:v>9</x:v>
      </x:c>
      <x:c r="N106" s="187" t="str">
        <x:v>332.013427200000000</x:v>
      </x:c>
      <x:c r="O106" s="235" t="n">
        <x:v>332.0134</x:v>
      </x:c>
      <x:c r="P106" s="235"/>
      <x:c r="Q106" s="235"/>
      <x:c r="R106" s="235" t="str">
        <x:v>INVOICE_OR_PLAN</x:v>
      </x:c>
      <x:c r="S106" s="238" t="n">
        <x:f>'Model_Calc'!BA21</x:f>
        <x:v>332.0134272</x:v>
      </x:c>
      <x:c r="T106" s="238" t="n">
        <x:f>ROUND(S106-O106,4)</x:f>
        <x:v>0</x:v>
      </x:c>
    </x:row>
    <x:row r="107">
      <x:c r="A107" s="187" t="str">
        <x:v>BUDGET_2026_V1</x:v>
      </x:c>
      <x:c r="B107" s="187" t="str">
        <x:v>BUDGET</x:v>
      </x:c>
      <x:c r="C107" s="187"/>
      <x:c r="D107" s="217" t="n">
        <x:v>46054</x:v>
      </x:c>
      <x:c r="E107" s="187" t="str">
        <x:v>R_GB_DE_B_AIR</x:v>
      </x:c>
      <x:c r="F107" s="187" t="str">
        <x:v>GB</x:v>
      </x:c>
      <x:c r="G107" s="187" t="str">
        <x:v>DE_FC</x:v>
      </x:c>
      <x:c r="H107" s="187" t="str">
        <x:v>CARRIER_B</x:v>
      </x:c>
      <x:c r="I107" s="187" t="str">
        <x:v>AIR</x:v>
      </x:c>
      <x:c r="J107" s="187" t="str">
        <x:v>BASE_FREIGHT</x:v>
      </x:c>
      <x:c r="K107" s="187" t="str">
        <x:v>GBP</x:v>
      </x:c>
      <x:c r="L107" s="232" t="n">
        <x:v>1539.62145792</x:v>
      </x:c>
      <x:c r="M107" s="232" t="n">
        <x:v>9</x:v>
      </x:c>
      <x:c r="N107" s="187" t="str">
        <x:v>13856.59312128000000</x:v>
      </x:c>
      <x:c r="O107" s="235" t="n">
        <x:v>13856.5931</x:v>
      </x:c>
      <x:c r="P107" s="235"/>
      <x:c r="Q107" s="235"/>
      <x:c r="R107" s="235" t="str">
        <x:v>INVOICE_OR_PLAN</x:v>
      </x:c>
      <x:c r="S107" s="238" t="n">
        <x:f>'Model_Calc'!AF22</x:f>
        <x:v>13856.59312128</x:v>
      </x:c>
      <x:c r="T107" s="238" t="n">
        <x:f>ROUND(S107-O107,4)</x:f>
        <x:v>0</x:v>
      </x:c>
    </x:row>
    <x:row r="108">
      <x:c r="A108" s="187" t="str">
        <x:v>BUDGET_2026_V1</x:v>
      </x:c>
      <x:c r="B108" s="187" t="str">
        <x:v>BUDGET</x:v>
      </x:c>
      <x:c r="C108" s="187"/>
      <x:c r="D108" s="217" t="n">
        <x:v>46054</x:v>
      </x:c>
      <x:c r="E108" s="187" t="str">
        <x:v>R_GB_DE_B_AIR</x:v>
      </x:c>
      <x:c r="F108" s="187" t="str">
        <x:v>GB</x:v>
      </x:c>
      <x:c r="G108" s="187" t="str">
        <x:v>DE_FC</x:v>
      </x:c>
      <x:c r="H108" s="187" t="str">
        <x:v>CARRIER_B</x:v>
      </x:c>
      <x:c r="I108" s="187" t="str">
        <x:v>AIR</x:v>
      </x:c>
      <x:c r="J108" s="187" t="str">
        <x:v>FUEL_SURCHARGE</x:v>
      </x:c>
      <x:c r="K108" s="187" t="str">
        <x:v>GBP</x:v>
      </x:c>
      <x:c r="L108" s="232" t="n">
        <x:v>177.0564676608</x:v>
      </x:c>
      <x:c r="M108" s="232" t="n">
        <x:v>9</x:v>
      </x:c>
      <x:c r="N108" s="187" t="str">
        <x:v>1593.50820894720000000</x:v>
      </x:c>
      <x:c r="O108" s="235" t="n">
        <x:v>1593.5082</x:v>
      </x:c>
      <x:c r="P108" s="235"/>
      <x:c r="Q108" s="235"/>
      <x:c r="R108" s="235" t="str">
        <x:v>INVOICE_OR_PLAN</x:v>
      </x:c>
      <x:c r="S108" s="238" t="n">
        <x:f>'Model_Calc'!AG22</x:f>
        <x:v>1593.5082089472</x:v>
      </x:c>
      <x:c r="T108" s="238" t="n">
        <x:f>ROUND(S108-O108,4)</x:f>
        <x:v>0</x:v>
      </x:c>
    </x:row>
    <x:row r="109">
      <x:c r="A109" s="187" t="str">
        <x:v>BUDGET_2026_V1</x:v>
      </x:c>
      <x:c r="B109" s="187" t="str">
        <x:v>BUDGET</x:v>
      </x:c>
      <x:c r="C109" s="187"/>
      <x:c r="D109" s="217" t="n">
        <x:v>46054</x:v>
      </x:c>
      <x:c r="E109" s="187" t="str">
        <x:v>R_GB_DE_B_AIR</x:v>
      </x:c>
      <x:c r="F109" s="187" t="str">
        <x:v>GB</x:v>
      </x:c>
      <x:c r="G109" s="187" t="str">
        <x:v>DE_FC</x:v>
      </x:c>
      <x:c r="H109" s="187" t="str">
        <x:v>CARRIER_B</x:v>
      </x:c>
      <x:c r="I109" s="187" t="str">
        <x:v>AIR</x:v>
      </x:c>
      <x:c r="J109" s="187" t="str">
        <x:v>WAREHOUSE_OPERATION</x:v>
      </x:c>
      <x:c r="K109" s="187" t="str">
        <x:v>EUR</x:v>
      </x:c>
      <x:c r="L109" s="232" t="n">
        <x:v>278.32896</x:v>
      </x:c>
      <x:c r="M109" s="232" t="n">
        <x:v>7.8</x:v>
      </x:c>
      <x:c r="N109" s="187" t="str">
        <x:v>2170.9658880000</x:v>
      </x:c>
      <x:c r="O109" s="235" t="n">
        <x:v>2170.9659</x:v>
      </x:c>
      <x:c r="P109" s="235"/>
      <x:c r="Q109" s="235"/>
      <x:c r="R109" s="235" t="str">
        <x:v>INVOICE_OR_PLAN</x:v>
      </x:c>
      <x:c r="S109" s="238" t="n">
        <x:f>'Model_Calc'!AL22</x:f>
        <x:v>2170.9658879999997</x:v>
      </x:c>
      <x:c r="T109" s="238" t="n">
        <x:f>ROUND(S109-O109,4)</x:f>
        <x:v>0</x:v>
      </x:c>
    </x:row>
    <x:row r="110">
      <x:c r="A110" s="187" t="str">
        <x:v>BUDGET_2026_V1</x:v>
      </x:c>
      <x:c r="B110" s="187" t="str">
        <x:v>BUDGET</x:v>
      </x:c>
      <x:c r="C110" s="187"/>
      <x:c r="D110" s="217" t="n">
        <x:v>46054</x:v>
      </x:c>
      <x:c r="E110" s="187" t="str">
        <x:v>R_GB_DE_B_AIR</x:v>
      </x:c>
      <x:c r="F110" s="187" t="str">
        <x:v>GB</x:v>
      </x:c>
      <x:c r="G110" s="187" t="str">
        <x:v>DE_FC</x:v>
      </x:c>
      <x:c r="H110" s="187" t="str">
        <x:v>CARRIER_B</x:v>
      </x:c>
      <x:c r="I110" s="187" t="str">
        <x:v>AIR</x:v>
      </x:c>
      <x:c r="J110" s="187" t="str">
        <x:v>PACKAGING</x:v>
      </x:c>
      <x:c r="K110" s="187" t="str">
        <x:v>EUR</x:v>
      </x:c>
      <x:c r="L110" s="232" t="n">
        <x:v>110.9541888</x:v>
      </x:c>
      <x:c r="M110" s="232" t="n">
        <x:v>7.8</x:v>
      </x:c>
      <x:c r="N110" s="187" t="str">
        <x:v>865.442672640000</x:v>
      </x:c>
      <x:c r="O110" s="235" t="n">
        <x:v>865.4427</x:v>
      </x:c>
      <x:c r="P110" s="235"/>
      <x:c r="Q110" s="235"/>
      <x:c r="R110" s="235" t="str">
        <x:v>INVOICE_OR_PLAN</x:v>
      </x:c>
      <x:c r="S110" s="238" t="n">
        <x:f>'Model_Calc'!AQ22</x:f>
        <x:v>865.4426726400001</x:v>
      </x:c>
      <x:c r="T110" s="238" t="n">
        <x:f>ROUND(S110-O110,4)</x:f>
        <x:v>0</x:v>
      </x:c>
    </x:row>
    <x:row r="111">
      <x:c r="A111" s="187" t="str">
        <x:v>BUDGET_2026_V1</x:v>
      </x:c>
      <x:c r="B111" s="187" t="str">
        <x:v>BUDGET</x:v>
      </x:c>
      <x:c r="C111" s="187"/>
      <x:c r="D111" s="217" t="n">
        <x:v>46054</x:v>
      </x:c>
      <x:c r="E111" s="187" t="str">
        <x:v>R_GB_DE_B_AIR</x:v>
      </x:c>
      <x:c r="F111" s="187" t="str">
        <x:v>GB</x:v>
      </x:c>
      <x:c r="G111" s="187" t="str">
        <x:v>DE_FC</x:v>
      </x:c>
      <x:c r="H111" s="187" t="str">
        <x:v>CARRIER_B</x:v>
      </x:c>
      <x:c r="I111" s="187" t="str">
        <x:v>AIR</x:v>
      </x:c>
      <x:c r="J111" s="187" t="str">
        <x:v>RETURN_LOGISTICS</x:v>
      </x:c>
      <x:c r="K111" s="187" t="str">
        <x:v>GBP</x:v>
      </x:c>
      <x:c r="L111" s="232" t="n">
        <x:v>90.574848</x:v>
      </x:c>
      <x:c r="M111" s="232" t="n">
        <x:v>9</x:v>
      </x:c>
      <x:c r="N111" s="187" t="str">
        <x:v>815.1736320000000</x:v>
      </x:c>
      <x:c r="O111" s="235" t="n">
        <x:v>815.1736</x:v>
      </x:c>
      <x:c r="P111" s="235"/>
      <x:c r="Q111" s="235"/>
      <x:c r="R111" s="235" t="str">
        <x:v>INVOICE_OR_PLAN</x:v>
      </x:c>
      <x:c r="S111" s="238" t="n">
        <x:f>'Model_Calc'!AV22</x:f>
        <x:v>815.1736320000001</x:v>
      </x:c>
      <x:c r="T111" s="238" t="n">
        <x:f>ROUND(S111-O111,4)</x:f>
        <x:v>0</x:v>
      </x:c>
    </x:row>
    <x:row r="112">
      <x:c r="A112" s="187" t="str">
        <x:v>BUDGET_2026_V1</x:v>
      </x:c>
      <x:c r="B112" s="187" t="str">
        <x:v>BUDGET</x:v>
      </x:c>
      <x:c r="C112" s="187"/>
      <x:c r="D112" s="217" t="n">
        <x:v>46054</x:v>
      </x:c>
      <x:c r="E112" s="187" t="str">
        <x:v>R_GB_DE_B_AIR</x:v>
      </x:c>
      <x:c r="F112" s="187" t="str">
        <x:v>GB</x:v>
      </x:c>
      <x:c r="G112" s="187" t="str">
        <x:v>DE_FC</x:v>
      </x:c>
      <x:c r="H112" s="187" t="str">
        <x:v>CARRIER_B</x:v>
      </x:c>
      <x:c r="I112" s="187" t="str">
        <x:v>AIR</x:v>
      </x:c>
      <x:c r="J112" s="187" t="str">
        <x:v>BILLABLE_EXCEPTION</x:v>
      </x:c>
      <x:c r="K112" s="187" t="str">
        <x:v>GBP</x:v>
      </x:c>
      <x:c r="L112" s="232" t="n">
        <x:v>9.616029696</x:v>
      </x:c>
      <x:c r="M112" s="232" t="n">
        <x:v>9</x:v>
      </x:c>
      <x:c r="N112" s="187" t="str">
        <x:v>86.544267264000000</x:v>
      </x:c>
      <x:c r="O112" s="235" t="n">
        <x:v>86.5443</x:v>
      </x:c>
      <x:c r="P112" s="235"/>
      <x:c r="Q112" s="235"/>
      <x:c r="R112" s="235" t="str">
        <x:v>INVOICE_OR_PLAN</x:v>
      </x:c>
      <x:c r="S112" s="238" t="n">
        <x:f>'Model_Calc'!BA22</x:f>
        <x:v>86.544267264</x:v>
      </x:c>
      <x:c r="T112" s="238" t="n">
        <x:f>ROUND(S112-O112,4)</x:f>
        <x:v>0</x:v>
      </x:c>
    </x:row>
    <x:row r="113">
      <x:c r="A113" s="187" t="str">
        <x:v>BUDGET_2026_V1</x:v>
      </x:c>
      <x:c r="B113" s="187" t="str">
        <x:v>BUDGET</x:v>
      </x:c>
      <x:c r="C113" s="187"/>
      <x:c r="D113" s="217" t="n">
        <x:v>46054</x:v>
      </x:c>
      <x:c r="E113" s="187" t="str">
        <x:v>R_GB_DE_C_AIR</x:v>
      </x:c>
      <x:c r="F113" s="187" t="str">
        <x:v>GB</x:v>
      </x:c>
      <x:c r="G113" s="187" t="str">
        <x:v>DE_FC</x:v>
      </x:c>
      <x:c r="H113" s="187" t="str">
        <x:v>CARRIER_C</x:v>
      </x:c>
      <x:c r="I113" s="187" t="str">
        <x:v>AIR</x:v>
      </x:c>
      <x:c r="J113" s="187" t="str">
        <x:v>BASE_FREIGHT</x:v>
      </x:c>
      <x:c r="K113" s="187" t="str">
        <x:v>GBP</x:v>
      </x:c>
      <x:c r="L113" s="232" t="n">
        <x:v>781.208064</x:v>
      </x:c>
      <x:c r="M113" s="232" t="n">
        <x:v>9</x:v>
      </x:c>
      <x:c r="N113" s="187" t="str">
        <x:v>7030.87257600000000</x:v>
      </x:c>
      <x:c r="O113" s="235" t="n">
        <x:v>7030.8726</x:v>
      </x:c>
      <x:c r="P113" s="235"/>
      <x:c r="Q113" s="235"/>
      <x:c r="R113" s="235" t="str">
        <x:v>INVOICE_OR_PLAN</x:v>
      </x:c>
      <x:c r="S113" s="238" t="n">
        <x:f>'Model_Calc'!AF23</x:f>
        <x:v>7030.872576000002</x:v>
      </x:c>
      <x:c r="T113" s="238" t="n">
        <x:f>ROUND(S113-O113,4)</x:f>
        <x:v>0</x:v>
      </x:c>
    </x:row>
    <x:row r="114">
      <x:c r="A114" s="187" t="str">
        <x:v>BUDGET_2026_V1</x:v>
      </x:c>
      <x:c r="B114" s="187" t="str">
        <x:v>BUDGET</x:v>
      </x:c>
      <x:c r="C114" s="187"/>
      <x:c r="D114" s="217" t="n">
        <x:v>46054</x:v>
      </x:c>
      <x:c r="E114" s="187" t="str">
        <x:v>R_GB_DE_C_AIR</x:v>
      </x:c>
      <x:c r="F114" s="187" t="str">
        <x:v>GB</x:v>
      </x:c>
      <x:c r="G114" s="187" t="str">
        <x:v>DE_FC</x:v>
      </x:c>
      <x:c r="H114" s="187" t="str">
        <x:v>CARRIER_C</x:v>
      </x:c>
      <x:c r="I114" s="187" t="str">
        <x:v>AIR</x:v>
      </x:c>
      <x:c r="J114" s="187" t="str">
        <x:v>FUEL_SURCHARGE</x:v>
      </x:c>
      <x:c r="K114" s="187" t="str">
        <x:v>GBP</x:v>
      </x:c>
      <x:c r="L114" s="232" t="n">
        <x:v>60.413423616</x:v>
      </x:c>
      <x:c r="M114" s="232" t="n">
        <x:v>9</x:v>
      </x:c>
      <x:c r="N114" s="187" t="str">
        <x:v>543.72081254400000</x:v>
      </x:c>
      <x:c r="O114" s="235" t="n">
        <x:v>543.7208</x:v>
      </x:c>
      <x:c r="P114" s="235"/>
      <x:c r="Q114" s="235"/>
      <x:c r="R114" s="235" t="str">
        <x:v>INVOICE_OR_PLAN</x:v>
      </x:c>
      <x:c r="S114" s="238" t="n">
        <x:f>'Model_Calc'!AG23</x:f>
        <x:v>543.7208125440001</x:v>
      </x:c>
      <x:c r="T114" s="238" t="n">
        <x:f>ROUND(S114-O114,4)</x:f>
        <x:v>0</x:v>
      </x:c>
    </x:row>
    <x:row r="115">
      <x:c r="A115" s="187" t="str">
        <x:v>BUDGET_2026_V1</x:v>
      </x:c>
      <x:c r="B115" s="187" t="str">
        <x:v>BUDGET</x:v>
      </x:c>
      <x:c r="C115" s="187"/>
      <x:c r="D115" s="217" t="n">
        <x:v>46054</x:v>
      </x:c>
      <x:c r="E115" s="187" t="str">
        <x:v>R_GB_DE_C_AIR</x:v>
      </x:c>
      <x:c r="F115" s="187" t="str">
        <x:v>GB</x:v>
      </x:c>
      <x:c r="G115" s="187" t="str">
        <x:v>DE_FC</x:v>
      </x:c>
      <x:c r="H115" s="187" t="str">
        <x:v>CARRIER_C</x:v>
      </x:c>
      <x:c r="I115" s="187" t="str">
        <x:v>AIR</x:v>
      </x:c>
      <x:c r="J115" s="187" t="str">
        <x:v>WAREHOUSE_OPERATION</x:v>
      </x:c>
      <x:c r="K115" s="187" t="str">
        <x:v>EUR</x:v>
      </x:c>
      <x:c r="L115" s="232" t="n">
        <x:v>119.28384</x:v>
      </x:c>
      <x:c r="M115" s="232" t="n">
        <x:v>7.8</x:v>
      </x:c>
      <x:c r="N115" s="187" t="str">
        <x:v>930.4139520000</x:v>
      </x:c>
      <x:c r="O115" s="235" t="n">
        <x:v>930.414</x:v>
      </x:c>
      <x:c r="P115" s="235"/>
      <x:c r="Q115" s="235"/>
      <x:c r="R115" s="235" t="str">
        <x:v>INVOICE_OR_PLAN</x:v>
      </x:c>
      <x:c r="S115" s="238" t="n">
        <x:f>'Model_Calc'!AL23</x:f>
        <x:v>930.4139519999999</x:v>
      </x:c>
      <x:c r="T115" s="238" t="n">
        <x:f>ROUND(S115-O115,4)</x:f>
        <x:v>0</x:v>
      </x:c>
    </x:row>
    <x:row r="116">
      <x:c r="A116" s="187" t="str">
        <x:v>BUDGET_2026_V1</x:v>
      </x:c>
      <x:c r="B116" s="187" t="str">
        <x:v>BUDGET</x:v>
      </x:c>
      <x:c r="C116" s="187"/>
      <x:c r="D116" s="217" t="n">
        <x:v>46054</x:v>
      </x:c>
      <x:c r="E116" s="187" t="str">
        <x:v>R_GB_DE_C_AIR</x:v>
      </x:c>
      <x:c r="F116" s="187" t="str">
        <x:v>GB</x:v>
      </x:c>
      <x:c r="G116" s="187" t="str">
        <x:v>DE_FC</x:v>
      </x:c>
      <x:c r="H116" s="187" t="str">
        <x:v>CARRIER_C</x:v>
      </x:c>
      <x:c r="I116" s="187" t="str">
        <x:v>AIR</x:v>
      </x:c>
      <x:c r="J116" s="187" t="str">
        <x:v>PACKAGING</x:v>
      </x:c>
      <x:c r="K116" s="187" t="str">
        <x:v>EUR</x:v>
      </x:c>
      <x:c r="L116" s="232" t="n">
        <x:v>47.5517952</x:v>
      </x:c>
      <x:c r="M116" s="232" t="n">
        <x:v>7.8</x:v>
      </x:c>
      <x:c r="N116" s="187" t="str">
        <x:v>370.904002560000</x:v>
      </x:c>
      <x:c r="O116" s="235" t="n">
        <x:v>370.904</x:v>
      </x:c>
      <x:c r="P116" s="235"/>
      <x:c r="Q116" s="235"/>
      <x:c r="R116" s="235" t="str">
        <x:v>INVOICE_OR_PLAN</x:v>
      </x:c>
      <x:c r="S116" s="238" t="n">
        <x:f>'Model_Calc'!AQ23</x:f>
        <x:v>370.90400256</x:v>
      </x:c>
      <x:c r="T116" s="238" t="n">
        <x:f>ROUND(S116-O116,4)</x:f>
        <x:v>0</x:v>
      </x:c>
    </x:row>
    <x:row r="117">
      <x:c r="A117" s="187" t="str">
        <x:v>BUDGET_2026_V1</x:v>
      </x:c>
      <x:c r="B117" s="187" t="str">
        <x:v>BUDGET</x:v>
      </x:c>
      <x:c r="C117" s="187"/>
      <x:c r="D117" s="217" t="n">
        <x:v>46054</x:v>
      </x:c>
      <x:c r="E117" s="187" t="str">
        <x:v>R_GB_DE_C_AIR</x:v>
      </x:c>
      <x:c r="F117" s="187" t="str">
        <x:v>GB</x:v>
      </x:c>
      <x:c r="G117" s="187" t="str">
        <x:v>DE_FC</x:v>
      </x:c>
      <x:c r="H117" s="187" t="str">
        <x:v>CARRIER_C</x:v>
      </x:c>
      <x:c r="I117" s="187" t="str">
        <x:v>AIR</x:v>
      </x:c>
      <x:c r="J117" s="187" t="str">
        <x:v>RETURN_LOGISTICS</x:v>
      </x:c>
      <x:c r="K117" s="187" t="str">
        <x:v>GBP</x:v>
      </x:c>
      <x:c r="L117" s="232" t="n">
        <x:v>38.817792</x:v>
      </x:c>
      <x:c r="M117" s="232" t="n">
        <x:v>9</x:v>
      </x:c>
      <x:c r="N117" s="187" t="str">
        <x:v>349.3601280000000</x:v>
      </x:c>
      <x:c r="O117" s="235" t="n">
        <x:v>349.3601</x:v>
      </x:c>
      <x:c r="P117" s="235"/>
      <x:c r="Q117" s="235"/>
      <x:c r="R117" s="235" t="str">
        <x:v>INVOICE_OR_PLAN</x:v>
      </x:c>
      <x:c r="S117" s="238" t="n">
        <x:f>'Model_Calc'!AV23</x:f>
        <x:v>349.360128</x:v>
      </x:c>
      <x:c r="T117" s="238" t="n">
        <x:f>ROUND(S117-O117,4)</x:f>
        <x:v>0</x:v>
      </x:c>
    </x:row>
    <x:row r="118">
      <x:c r="A118" s="187" t="str">
        <x:v>BUDGET_2026_V1</x:v>
      </x:c>
      <x:c r="B118" s="187" t="str">
        <x:v>BUDGET</x:v>
      </x:c>
      <x:c r="C118" s="187"/>
      <x:c r="D118" s="217" t="n">
        <x:v>46054</x:v>
      </x:c>
      <x:c r="E118" s="187" t="str">
        <x:v>R_GB_DE_C_AIR</x:v>
      </x:c>
      <x:c r="F118" s="187" t="str">
        <x:v>GB</x:v>
      </x:c>
      <x:c r="G118" s="187" t="str">
        <x:v>DE_FC</x:v>
      </x:c>
      <x:c r="H118" s="187" t="str">
        <x:v>CARRIER_C</x:v>
      </x:c>
      <x:c r="I118" s="187" t="str">
        <x:v>AIR</x:v>
      </x:c>
      <x:c r="J118" s="187" t="str">
        <x:v>BILLABLE_EXCEPTION</x:v>
      </x:c>
      <x:c r="K118" s="187" t="str">
        <x:v>GBP</x:v>
      </x:c>
      <x:c r="L118" s="232" t="n">
        <x:v>3.668281344</x:v>
      </x:c>
      <x:c r="M118" s="232" t="n">
        <x:v>9</x:v>
      </x:c>
      <x:c r="N118" s="187" t="str">
        <x:v>33.014532096000000</x:v>
      </x:c>
      <x:c r="O118" s="235" t="n">
        <x:v>33.0145</x:v>
      </x:c>
      <x:c r="P118" s="235"/>
      <x:c r="Q118" s="235"/>
      <x:c r="R118" s="235" t="str">
        <x:v>INVOICE_OR_PLAN</x:v>
      </x:c>
      <x:c r="S118" s="238" t="n">
        <x:f>'Model_Calc'!BA23</x:f>
        <x:v>33.014532095999996</x:v>
      </x:c>
      <x:c r="T118" s="238" t="n">
        <x:f>ROUND(S118-O118,4)</x:f>
        <x:v>0</x:v>
      </x:c>
    </x:row>
    <x:row r="119">
      <x:c r="A119" s="187" t="str">
        <x:v>BUDGET_2026_V1</x:v>
      </x:c>
      <x:c r="B119" s="187" t="str">
        <x:v>BUDGET</x:v>
      </x:c>
      <x:c r="C119" s="187"/>
      <x:c r="D119" s="217" t="n">
        <x:v>46054</x:v>
      </x:c>
      <x:c r="E119" s="187" t="str">
        <x:v>R_GB_FR_B_AIR</x:v>
      </x:c>
      <x:c r="F119" s="187" t="str">
        <x:v>GB</x:v>
      </x:c>
      <x:c r="G119" s="187" t="str">
        <x:v>FR_FC</x:v>
      </x:c>
      <x:c r="H119" s="187" t="str">
        <x:v>CARRIER_B</x:v>
      </x:c>
      <x:c r="I119" s="187" t="str">
        <x:v>AIR</x:v>
      </x:c>
      <x:c r="J119" s="187" t="str">
        <x:v>BASE_FREIGHT</x:v>
      </x:c>
      <x:c r="K119" s="187" t="str">
        <x:v>EUR</x:v>
      </x:c>
      <x:c r="L119" s="232" t="n">
        <x:v>973.6038</x:v>
      </x:c>
      <x:c r="M119" s="232" t="n">
        <x:v>7.8</x:v>
      </x:c>
      <x:c r="N119" s="187" t="str">
        <x:v>7594.109640000000</x:v>
      </x:c>
      <x:c r="O119" s="235" t="n">
        <x:v>7594.1096</x:v>
      </x:c>
      <x:c r="P119" s="235"/>
      <x:c r="Q119" s="235"/>
      <x:c r="R119" s="235" t="str">
        <x:v>INVOICE_OR_PLAN</x:v>
      </x:c>
      <x:c r="S119" s="238" t="n">
        <x:f>'Model_Calc'!AF24</x:f>
        <x:v>7594.1096400000015</x:v>
      </x:c>
      <x:c r="T119" s="238" t="n">
        <x:f>ROUND(S119-O119,4)</x:f>
        <x:v>0</x:v>
      </x:c>
    </x:row>
    <x:row r="120">
      <x:c r="A120" s="187" t="str">
        <x:v>BUDGET_2026_V1</x:v>
      </x:c>
      <x:c r="B120" s="187" t="str">
        <x:v>BUDGET</x:v>
      </x:c>
      <x:c r="C120" s="187"/>
      <x:c r="D120" s="217" t="n">
        <x:v>46054</x:v>
      </x:c>
      <x:c r="E120" s="187" t="str">
        <x:v>R_GB_FR_B_AIR</x:v>
      </x:c>
      <x:c r="F120" s="187" t="str">
        <x:v>GB</x:v>
      </x:c>
      <x:c r="G120" s="187" t="str">
        <x:v>FR_FC</x:v>
      </x:c>
      <x:c r="H120" s="187" t="str">
        <x:v>CARRIER_B</x:v>
      </x:c>
      <x:c r="I120" s="187" t="str">
        <x:v>AIR</x:v>
      </x:c>
      <x:c r="J120" s="187" t="str">
        <x:v>FUEL_SURCHARGE</x:v>
      </x:c>
      <x:c r="K120" s="187" t="str">
        <x:v>EUR</x:v>
      </x:c>
      <x:c r="L120" s="232" t="n">
        <x:v>102.228399</x:v>
      </x:c>
      <x:c r="M120" s="232" t="n">
        <x:v>7.8</x:v>
      </x:c>
      <x:c r="N120" s="187" t="str">
        <x:v>797.381512200000000</x:v>
      </x:c>
      <x:c r="O120" s="235" t="n">
        <x:v>797.3815</x:v>
      </x:c>
      <x:c r="P120" s="235"/>
      <x:c r="Q120" s="235"/>
      <x:c r="R120" s="235" t="str">
        <x:v>INVOICE_OR_PLAN</x:v>
      </x:c>
      <x:c r="S120" s="238" t="n">
        <x:f>'Model_Calc'!AG24</x:f>
        <x:v>797.3815122000002</x:v>
      </x:c>
      <x:c r="T120" s="238" t="n">
        <x:f>ROUND(S120-O120,4)</x:f>
        <x:v>0</x:v>
      </x:c>
    </x:row>
    <x:row r="121">
      <x:c r="A121" s="187" t="str">
        <x:v>BUDGET_2026_V1</x:v>
      </x:c>
      <x:c r="B121" s="187" t="str">
        <x:v>BUDGET</x:v>
      </x:c>
      <x:c r="C121" s="187"/>
      <x:c r="D121" s="217" t="n">
        <x:v>46054</x:v>
      </x:c>
      <x:c r="E121" s="187" t="str">
        <x:v>R_GB_FR_B_AIR</x:v>
      </x:c>
      <x:c r="F121" s="187" t="str">
        <x:v>GB</x:v>
      </x:c>
      <x:c r="G121" s="187" t="str">
        <x:v>FR_FC</x:v>
      </x:c>
      <x:c r="H121" s="187" t="str">
        <x:v>CARRIER_B</x:v>
      </x:c>
      <x:c r="I121" s="187" t="str">
        <x:v>AIR</x:v>
      </x:c>
      <x:c r="J121" s="187" t="str">
        <x:v>WAREHOUSE_OPERATION</x:v>
      </x:c>
      <x:c r="K121" s="187" t="str">
        <x:v>EUR</x:v>
      </x:c>
      <x:c r="L121" s="232" t="n">
        <x:v>147.42</x:v>
      </x:c>
      <x:c r="M121" s="232" t="n">
        <x:v>7.8</x:v>
      </x:c>
      <x:c r="N121" s="187" t="str">
        <x:v>1149.87600000</x:v>
      </x:c>
      <x:c r="O121" s="235" t="n">
        <x:v>1149.876</x:v>
      </x:c>
      <x:c r="P121" s="235"/>
      <x:c r="Q121" s="235"/>
      <x:c r="R121" s="235" t="str">
        <x:v>INVOICE_OR_PLAN</x:v>
      </x:c>
      <x:c r="S121" s="238" t="n">
        <x:f>'Model_Calc'!AL24</x:f>
        <x:v>1149.8760000000002</x:v>
      </x:c>
      <x:c r="T121" s="238" t="n">
        <x:f>ROUND(S121-O121,4)</x:f>
        <x:v>0</x:v>
      </x:c>
    </x:row>
    <x:row r="122">
      <x:c r="A122" s="187" t="str">
        <x:v>BUDGET_2026_V1</x:v>
      </x:c>
      <x:c r="B122" s="187" t="str">
        <x:v>BUDGET</x:v>
      </x:c>
      <x:c r="C122" s="187"/>
      <x:c r="D122" s="217" t="n">
        <x:v>46054</x:v>
      </x:c>
      <x:c r="E122" s="187" t="str">
        <x:v>R_GB_FR_B_AIR</x:v>
      </x:c>
      <x:c r="F122" s="187" t="str">
        <x:v>GB</x:v>
      </x:c>
      <x:c r="G122" s="187" t="str">
        <x:v>FR_FC</x:v>
      </x:c>
      <x:c r="H122" s="187" t="str">
        <x:v>CARRIER_B</x:v>
      </x:c>
      <x:c r="I122" s="187" t="str">
        <x:v>AIR</x:v>
      </x:c>
      <x:c r="J122" s="187" t="str">
        <x:v>PACKAGING</x:v>
      </x:c>
      <x:c r="K122" s="187" t="str">
        <x:v>EUR</x:v>
      </x:c>
      <x:c r="L122" s="232" t="n">
        <x:v>61.3548</x:v>
      </x:c>
      <x:c r="M122" s="232" t="n">
        <x:v>7.8</x:v>
      </x:c>
      <x:c r="N122" s="187" t="str">
        <x:v>478.5674400000</x:v>
      </x:c>
      <x:c r="O122" s="235" t="n">
        <x:v>478.5674</x:v>
      </x:c>
      <x:c r="P122" s="235"/>
      <x:c r="Q122" s="235"/>
      <x:c r="R122" s="235" t="str">
        <x:v>INVOICE_OR_PLAN</x:v>
      </x:c>
      <x:c r="S122" s="238" t="n">
        <x:f>'Model_Calc'!AQ24</x:f>
        <x:v>478.56744000000003</x:v>
      </x:c>
      <x:c r="T122" s="238" t="n">
        <x:f>ROUND(S122-O122,4)</x:f>
        <x:v>0</x:v>
      </x:c>
    </x:row>
    <x:row r="123">
      <x:c r="A123" s="187" t="str">
        <x:v>BUDGET_2026_V1</x:v>
      </x:c>
      <x:c r="B123" s="187" t="str">
        <x:v>BUDGET</x:v>
      </x:c>
      <x:c r="C123" s="187"/>
      <x:c r="D123" s="217" t="n">
        <x:v>46054</x:v>
      </x:c>
      <x:c r="E123" s="187" t="str">
        <x:v>R_GB_FR_B_AIR</x:v>
      </x:c>
      <x:c r="F123" s="187" t="str">
        <x:v>GB</x:v>
      </x:c>
      <x:c r="G123" s="187" t="str">
        <x:v>FR_FC</x:v>
      </x:c>
      <x:c r="H123" s="187" t="str">
        <x:v>CARRIER_B</x:v>
      </x:c>
      <x:c r="I123" s="187" t="str">
        <x:v>AIR</x:v>
      </x:c>
      <x:c r="J123" s="187" t="str">
        <x:v>RETURN_LOGISTICS</x:v>
      </x:c>
      <x:c r="K123" s="187" t="str">
        <x:v>EUR</x:v>
      </x:c>
      <x:c r="L123" s="232" t="n">
        <x:v>58.4064</x:v>
      </x:c>
      <x:c r="M123" s="232" t="n">
        <x:v>7.8</x:v>
      </x:c>
      <x:c r="N123" s="187" t="str">
        <x:v>455.56992000000</x:v>
      </x:c>
      <x:c r="O123" s="235" t="n">
        <x:v>455.5699</x:v>
      </x:c>
      <x:c r="P123" s="235"/>
      <x:c r="Q123" s="235"/>
      <x:c r="R123" s="235" t="str">
        <x:v>INVOICE_OR_PLAN</x:v>
      </x:c>
      <x:c r="S123" s="238" t="n">
        <x:f>'Model_Calc'!AV24</x:f>
        <x:v>455.56992</x:v>
      </x:c>
      <x:c r="T123" s="238" t="n">
        <x:f>ROUND(S123-O123,4)</x:f>
        <x:v>0</x:v>
      </x:c>
    </x:row>
    <x:row r="124">
      <x:c r="A124" s="187" t="str">
        <x:v>BUDGET_2026_V1</x:v>
      </x:c>
      <x:c r="B124" s="187" t="str">
        <x:v>BUDGET</x:v>
      </x:c>
      <x:c r="C124" s="187"/>
      <x:c r="D124" s="217" t="n">
        <x:v>46054</x:v>
      </x:c>
      <x:c r="E124" s="187" t="str">
        <x:v>R_GB_FR_B_AIR</x:v>
      </x:c>
      <x:c r="F124" s="187" t="str">
        <x:v>GB</x:v>
      </x:c>
      <x:c r="G124" s="187" t="str">
        <x:v>FR_FC</x:v>
      </x:c>
      <x:c r="H124" s="187" t="str">
        <x:v>CARRIER_B</x:v>
      </x:c>
      <x:c r="I124" s="187" t="str">
        <x:v>AIR</x:v>
      </x:c>
      <x:c r="J124" s="187" t="str">
        <x:v>BILLABLE_EXCEPTION</x:v>
      </x:c>
      <x:c r="K124" s="187" t="str">
        <x:v>EUR</x:v>
      </x:c>
      <x:c r="L124" s="232" t="n">
        <x:v>5.425056</x:v>
      </x:c>
      <x:c r="M124" s="232" t="n">
        <x:v>7.8</x:v>
      </x:c>
      <x:c r="N124" s="187" t="str">
        <x:v>42.3154368000000</x:v>
      </x:c>
      <x:c r="O124" s="235" t="n">
        <x:v>42.3154</x:v>
      </x:c>
      <x:c r="P124" s="235"/>
      <x:c r="Q124" s="235"/>
      <x:c r="R124" s="235" t="str">
        <x:v>INVOICE_OR_PLAN</x:v>
      </x:c>
      <x:c r="S124" s="238" t="n">
        <x:f>'Model_Calc'!BA24</x:f>
        <x:v>42.31543679999999</x:v>
      </x:c>
      <x:c r="T124" s="238" t="n">
        <x:f>ROUND(S124-O124,4)</x:f>
        <x:v>0</x:v>
      </x:c>
    </x:row>
    <x:row r="125">
      <x:c r="A125" s="187" t="str">
        <x:v>BUDGET_2026_V1</x:v>
      </x:c>
      <x:c r="B125" s="187" t="str">
        <x:v>BUDGET</x:v>
      </x:c>
      <x:c r="C125" s="187"/>
      <x:c r="D125" s="217" t="n">
        <x:v>46082</x:v>
      </x:c>
      <x:c r="E125" s="187" t="str">
        <x:v>R_DE_DE_A_ROAD</x:v>
      </x:c>
      <x:c r="F125" s="187" t="str">
        <x:v>DE</x:v>
      </x:c>
      <x:c r="G125" s="187" t="str">
        <x:v>DE_FC</x:v>
      </x:c>
      <x:c r="H125" s="187" t="str">
        <x:v>CARRIER_A</x:v>
      </x:c>
      <x:c r="I125" s="187" t="str">
        <x:v>ROAD</x:v>
      </x:c>
      <x:c r="J125" s="187" t="str">
        <x:v>BASE_FREIGHT</x:v>
      </x:c>
      <x:c r="K125" s="187" t="str">
        <x:v>EUR</x:v>
      </x:c>
      <x:c r="L125" s="232" t="n">
        <x:v>6291.8856</x:v>
      </x:c>
      <x:c r="M125" s="232" t="n">
        <x:v>7.8</x:v>
      </x:c>
      <x:c r="N125" s="187" t="str">
        <x:v>49076.70768000000000</x:v>
      </x:c>
      <x:c r="O125" s="235" t="n">
        <x:v>49076.7077</x:v>
      </x:c>
      <x:c r="P125" s="235"/>
      <x:c r="Q125" s="235"/>
      <x:c r="R125" s="235" t="str">
        <x:v>INVOICE_OR_PLAN</x:v>
      </x:c>
      <x:c r="S125" s="238" t="n">
        <x:f>'Model_Calc'!AF25</x:f>
        <x:v>49076.70768000001</x:v>
      </x:c>
      <x:c r="T125" s="238" t="n">
        <x:f>ROUND(S125-O125,4)</x:f>
        <x:v>0</x:v>
      </x:c>
    </x:row>
    <x:row r="126">
      <x:c r="A126" s="187" t="str">
        <x:v>BUDGET_2026_V1</x:v>
      </x:c>
      <x:c r="B126" s="187" t="str">
        <x:v>BUDGET</x:v>
      </x:c>
      <x:c r="C126" s="187"/>
      <x:c r="D126" s="217" t="n">
        <x:v>46082</x:v>
      </x:c>
      <x:c r="E126" s="187" t="str">
        <x:v>R_DE_DE_A_ROAD</x:v>
      </x:c>
      <x:c r="F126" s="187" t="str">
        <x:v>DE</x:v>
      </x:c>
      <x:c r="G126" s="187" t="str">
        <x:v>DE_FC</x:v>
      </x:c>
      <x:c r="H126" s="187" t="str">
        <x:v>CARRIER_A</x:v>
      </x:c>
      <x:c r="I126" s="187" t="str">
        <x:v>ROAD</x:v>
      </x:c>
      <x:c r="J126" s="187" t="str">
        <x:v>FUEL_SURCHARGE</x:v>
      </x:c>
      <x:c r="K126" s="187" t="str">
        <x:v>EUR</x:v>
      </x:c>
      <x:c r="L126" s="232" t="n">
        <x:v>597.729132</x:v>
      </x:c>
      <x:c r="M126" s="232" t="n">
        <x:v>7.8</x:v>
      </x:c>
      <x:c r="N126" s="187" t="str">
        <x:v>4662.28722960000000000</x:v>
      </x:c>
      <x:c r="O126" s="235" t="n">
        <x:v>4662.2872</x:v>
      </x:c>
      <x:c r="P126" s="235"/>
      <x:c r="Q126" s="235"/>
      <x:c r="R126" s="235" t="str">
        <x:v>INVOICE_OR_PLAN</x:v>
      </x:c>
      <x:c r="S126" s="238" t="n">
        <x:f>'Model_Calc'!AG25</x:f>
        <x:v>4662.287229600001</x:v>
      </x:c>
      <x:c r="T126" s="238" t="n">
        <x:f>ROUND(S126-O126,4)</x:f>
        <x:v>0</x:v>
      </x:c>
    </x:row>
    <x:row r="127">
      <x:c r="A127" s="187" t="str">
        <x:v>BUDGET_2026_V1</x:v>
      </x:c>
      <x:c r="B127" s="187" t="str">
        <x:v>BUDGET</x:v>
      </x:c>
      <x:c r="C127" s="187"/>
      <x:c r="D127" s="217" t="n">
        <x:v>46082</x:v>
      </x:c>
      <x:c r="E127" s="187" t="str">
        <x:v>R_DE_DE_A_ROAD</x:v>
      </x:c>
      <x:c r="F127" s="187" t="str">
        <x:v>DE</x:v>
      </x:c>
      <x:c r="G127" s="187" t="str">
        <x:v>DE_FC</x:v>
      </x:c>
      <x:c r="H127" s="187" t="str">
        <x:v>CARRIER_A</x:v>
      </x:c>
      <x:c r="I127" s="187" t="str">
        <x:v>ROAD</x:v>
      </x:c>
      <x:c r="J127" s="187" t="str">
        <x:v>WAREHOUSE_OPERATION</x:v>
      </x:c>
      <x:c r="K127" s="187" t="str">
        <x:v>EUR</x:v>
      </x:c>
      <x:c r="L127" s="232" t="n">
        <x:v>4120.56</x:v>
      </x:c>
      <x:c r="M127" s="232" t="n">
        <x:v>7.8</x:v>
      </x:c>
      <x:c r="N127" s="187" t="str">
        <x:v>32140.3680000000</x:v>
      </x:c>
      <x:c r="O127" s="235" t="n">
        <x:v>32140.368</x:v>
      </x:c>
      <x:c r="P127" s="235"/>
      <x:c r="Q127" s="235"/>
      <x:c r="R127" s="235" t="str">
        <x:v>INVOICE_OR_PLAN</x:v>
      </x:c>
      <x:c r="S127" s="238" t="n">
        <x:f>'Model_Calc'!AL25</x:f>
        <x:v>32140.367999999995</x:v>
      </x:c>
      <x:c r="T127" s="238" t="n">
        <x:f>ROUND(S127-O127,4)</x:f>
        <x:v>0</x:v>
      </x:c>
    </x:row>
    <x:row r="128">
      <x:c r="A128" s="187" t="str">
        <x:v>BUDGET_2026_V1</x:v>
      </x:c>
      <x:c r="B128" s="187" t="str">
        <x:v>BUDGET</x:v>
      </x:c>
      <x:c r="C128" s="187"/>
      <x:c r="D128" s="217" t="n">
        <x:v>46082</x:v>
      </x:c>
      <x:c r="E128" s="187" t="str">
        <x:v>R_DE_DE_A_ROAD</x:v>
      </x:c>
      <x:c r="F128" s="187" t="str">
        <x:v>DE</x:v>
      </x:c>
      <x:c r="G128" s="187" t="str">
        <x:v>DE_FC</x:v>
      </x:c>
      <x:c r="H128" s="187" t="str">
        <x:v>CARRIER_A</x:v>
      </x:c>
      <x:c r="I128" s="187" t="str">
        <x:v>ROAD</x:v>
      </x:c>
      <x:c r="J128" s="187" t="str">
        <x:v>PACKAGING</x:v>
      </x:c>
      <x:c r="K128" s="187" t="str">
        <x:v>EUR</x:v>
      </x:c>
      <x:c r="L128" s="232" t="n">
        <x:v>1539.972</x:v>
      </x:c>
      <x:c r="M128" s="232" t="n">
        <x:v>7.8</x:v>
      </x:c>
      <x:c r="N128" s="187" t="str">
        <x:v>12011.781600000000</x:v>
      </x:c>
      <x:c r="O128" s="235" t="n">
        <x:v>12011.7816</x:v>
      </x:c>
      <x:c r="P128" s="235"/>
      <x:c r="Q128" s="235"/>
      <x:c r="R128" s="235" t="str">
        <x:v>INVOICE_OR_PLAN</x:v>
      </x:c>
      <x:c r="S128" s="238" t="n">
        <x:f>'Model_Calc'!AQ25</x:f>
        <x:v>12011.781600000002</x:v>
      </x:c>
      <x:c r="T128" s="238" t="n">
        <x:f>ROUND(S128-O128,4)</x:f>
        <x:v>0</x:v>
      </x:c>
    </x:row>
    <x:row r="129">
      <x:c r="A129" s="187" t="str">
        <x:v>BUDGET_2026_V1</x:v>
      </x:c>
      <x:c r="B129" s="187" t="str">
        <x:v>BUDGET</x:v>
      </x:c>
      <x:c r="C129" s="187"/>
      <x:c r="D129" s="217" t="n">
        <x:v>46082</x:v>
      </x:c>
      <x:c r="E129" s="187" t="str">
        <x:v>R_DE_DE_A_ROAD</x:v>
      </x:c>
      <x:c r="F129" s="187" t="str">
        <x:v>DE</x:v>
      </x:c>
      <x:c r="G129" s="187" t="str">
        <x:v>DE_FC</x:v>
      </x:c>
      <x:c r="H129" s="187" t="str">
        <x:v>CARRIER_A</x:v>
      </x:c>
      <x:c r="I129" s="187" t="str">
        <x:v>ROAD</x:v>
      </x:c>
      <x:c r="J129" s="187" t="str">
        <x:v>RETURN_LOGISTICS</x:v>
      </x:c>
      <x:c r="K129" s="187" t="str">
        <x:v>EUR</x:v>
      </x:c>
      <x:c r="L129" s="232" t="n">
        <x:v>558.72</x:v>
      </x:c>
      <x:c r="M129" s="232" t="n">
        <x:v>7.8</x:v>
      </x:c>
      <x:c r="N129" s="187" t="str">
        <x:v>4358.0160000000000</x:v>
      </x:c>
      <x:c r="O129" s="235" t="n">
        <x:v>4358.016</x:v>
      </x:c>
      <x:c r="P129" s="235"/>
      <x:c r="Q129" s="235"/>
      <x:c r="R129" s="235" t="str">
        <x:v>INVOICE_OR_PLAN</x:v>
      </x:c>
      <x:c r="S129" s="238" t="n">
        <x:f>'Model_Calc'!AV25</x:f>
        <x:v>4358.016000000001</x:v>
      </x:c>
      <x:c r="T129" s="238" t="n">
        <x:f>ROUND(S129-O129,4)</x:f>
        <x:v>0</x:v>
      </x:c>
    </x:row>
    <x:row r="130">
      <x:c r="A130" s="187" t="str">
        <x:v>BUDGET_2026_V1</x:v>
      </x:c>
      <x:c r="B130" s="187" t="str">
        <x:v>BUDGET</x:v>
      </x:c>
      <x:c r="C130" s="187"/>
      <x:c r="D130" s="217" t="n">
        <x:v>46082</x:v>
      </x:c>
      <x:c r="E130" s="187" t="str">
        <x:v>R_DE_DE_A_ROAD</x:v>
      </x:c>
      <x:c r="F130" s="187" t="str">
        <x:v>DE</x:v>
      </x:c>
      <x:c r="G130" s="187" t="str">
        <x:v>DE_FC</x:v>
      </x:c>
      <x:c r="H130" s="187" t="str">
        <x:v>CARRIER_A</x:v>
      </x:c>
      <x:c r="I130" s="187" t="str">
        <x:v>ROAD</x:v>
      </x:c>
      <x:c r="J130" s="187" t="str">
        <x:v>BILLABLE_EXCEPTION</x:v>
      </x:c>
      <x:c r="K130" s="187" t="str">
        <x:v>EUR</x:v>
      </x:c>
      <x:c r="L130" s="232" t="n">
        <x:v>134.93088</x:v>
      </x:c>
      <x:c r="M130" s="232" t="n">
        <x:v>7.8</x:v>
      </x:c>
      <x:c r="N130" s="187" t="str">
        <x:v>1052.460864000000000</x:v>
      </x:c>
      <x:c r="O130" s="235" t="n">
        <x:v>1052.4609</x:v>
      </x:c>
      <x:c r="P130" s="235"/>
      <x:c r="Q130" s="235"/>
      <x:c r="R130" s="235" t="str">
        <x:v>INVOICE_OR_PLAN</x:v>
      </x:c>
      <x:c r="S130" s="238" t="n">
        <x:f>'Model_Calc'!BA25</x:f>
        <x:v>1052.460864</x:v>
      </x:c>
      <x:c r="T130" s="238" t="n">
        <x:f>ROUND(S130-O130,4)</x:f>
        <x:v>0</x:v>
      </x:c>
    </x:row>
    <x:row r="131">
      <x:c r="A131" s="187" t="str">
        <x:v>BUDGET_2026_V1</x:v>
      </x:c>
      <x:c r="B131" s="187" t="str">
        <x:v>BUDGET</x:v>
      </x:c>
      <x:c r="C131" s="187"/>
      <x:c r="D131" s="217" t="n">
        <x:v>46082</x:v>
      </x:c>
      <x:c r="E131" s="187" t="str">
        <x:v>R_DE_DE_B_ROAD</x:v>
      </x:c>
      <x:c r="F131" s="187" t="str">
        <x:v>DE</x:v>
      </x:c>
      <x:c r="G131" s="187" t="str">
        <x:v>DE_FC</x:v>
      </x:c>
      <x:c r="H131" s="187" t="str">
        <x:v>CARRIER_B</x:v>
      </x:c>
      <x:c r="I131" s="187" t="str">
        <x:v>ROAD</x:v>
      </x:c>
      <x:c r="J131" s="187" t="str">
        <x:v>BASE_FREIGHT</x:v>
      </x:c>
      <x:c r="K131" s="187" t="str">
        <x:v>EUR</x:v>
      </x:c>
      <x:c r="L131" s="232" t="n">
        <x:v>5377.68</x:v>
      </x:c>
      <x:c r="M131" s="232" t="n">
        <x:v>7.8</x:v>
      </x:c>
      <x:c r="N131" s="187" t="str">
        <x:v>41945.90400000000000</x:v>
      </x:c>
      <x:c r="O131" s="235" t="n">
        <x:v>41945.904</x:v>
      </x:c>
      <x:c r="P131" s="235"/>
      <x:c r="Q131" s="235"/>
      <x:c r="R131" s="235" t="str">
        <x:v>INVOICE_OR_PLAN</x:v>
      </x:c>
      <x:c r="S131" s="238" t="n">
        <x:f>'Model_Calc'!AF26</x:f>
        <x:v>41945.904</x:v>
      </x:c>
      <x:c r="T131" s="238" t="n">
        <x:f>ROUND(S131-O131,4)</x:f>
        <x:v>0</x:v>
      </x:c>
    </x:row>
    <x:row r="132">
      <x:c r="A132" s="187" t="str">
        <x:v>BUDGET_2026_V1</x:v>
      </x:c>
      <x:c r="B132" s="187" t="str">
        <x:v>BUDGET</x:v>
      </x:c>
      <x:c r="C132" s="187"/>
      <x:c r="D132" s="217" t="n">
        <x:v>46082</x:v>
      </x:c>
      <x:c r="E132" s="187" t="str">
        <x:v>R_DE_DE_B_ROAD</x:v>
      </x:c>
      <x:c r="F132" s="187" t="str">
        <x:v>DE</x:v>
      </x:c>
      <x:c r="G132" s="187" t="str">
        <x:v>DE_FC</x:v>
      </x:c>
      <x:c r="H132" s="187" t="str">
        <x:v>CARRIER_B</x:v>
      </x:c>
      <x:c r="I132" s="187" t="str">
        <x:v>ROAD</x:v>
      </x:c>
      <x:c r="J132" s="187" t="str">
        <x:v>FUEL_SURCHARGE</x:v>
      </x:c>
      <x:c r="K132" s="187" t="str">
        <x:v>EUR</x:v>
      </x:c>
      <x:c r="L132" s="232" t="n">
        <x:v>410.6592</x:v>
      </x:c>
      <x:c r="M132" s="232" t="n">
        <x:v>7.8</x:v>
      </x:c>
      <x:c r="N132" s="187" t="str">
        <x:v>3203.14176000000000</x:v>
      </x:c>
      <x:c r="O132" s="235" t="n">
        <x:v>3203.1418</x:v>
      </x:c>
      <x:c r="P132" s="235"/>
      <x:c r="Q132" s="235"/>
      <x:c r="R132" s="235" t="str">
        <x:v>INVOICE_OR_PLAN</x:v>
      </x:c>
      <x:c r="S132" s="238" t="n">
        <x:f>'Model_Calc'!AG26</x:f>
        <x:v>3203.1417600000004</x:v>
      </x:c>
      <x:c r="T132" s="238" t="n">
        <x:f>ROUND(S132-O132,4)</x:f>
        <x:v>0</x:v>
      </x:c>
    </x:row>
    <x:row r="133">
      <x:c r="A133" s="187" t="str">
        <x:v>BUDGET_2026_V1</x:v>
      </x:c>
      <x:c r="B133" s="187" t="str">
        <x:v>BUDGET</x:v>
      </x:c>
      <x:c r="C133" s="187"/>
      <x:c r="D133" s="217" t="n">
        <x:v>46082</x:v>
      </x:c>
      <x:c r="E133" s="187" t="str">
        <x:v>R_DE_DE_B_ROAD</x:v>
      </x:c>
      <x:c r="F133" s="187" t="str">
        <x:v>DE</x:v>
      </x:c>
      <x:c r="G133" s="187" t="str">
        <x:v>DE_FC</x:v>
      </x:c>
      <x:c r="H133" s="187" t="str">
        <x:v>CARRIER_B</x:v>
      </x:c>
      <x:c r="I133" s="187" t="str">
        <x:v>ROAD</x:v>
      </x:c>
      <x:c r="J133" s="187" t="str">
        <x:v>WAREHOUSE_OPERATION</x:v>
      </x:c>
      <x:c r="K133" s="187" t="str">
        <x:v>EUR</x:v>
      </x:c>
      <x:c r="L133" s="232" t="n">
        <x:v>2747.04</x:v>
      </x:c>
      <x:c r="M133" s="232" t="n">
        <x:v>7.8</x:v>
      </x:c>
      <x:c r="N133" s="187" t="str">
        <x:v>21426.9120000000</x:v>
      </x:c>
      <x:c r="O133" s="235" t="n">
        <x:v>21426.912</x:v>
      </x:c>
      <x:c r="P133" s="235"/>
      <x:c r="Q133" s="235"/>
      <x:c r="R133" s="235" t="str">
        <x:v>INVOICE_OR_PLAN</x:v>
      </x:c>
      <x:c r="S133" s="238" t="n">
        <x:f>'Model_Calc'!AL26</x:f>
        <x:v>21426.912</x:v>
      </x:c>
      <x:c r="T133" s="238" t="n">
        <x:f>ROUND(S133-O133,4)</x:f>
        <x:v>0</x:v>
      </x:c>
    </x:row>
    <x:row r="134">
      <x:c r="A134" s="187" t="str">
        <x:v>BUDGET_2026_V1</x:v>
      </x:c>
      <x:c r="B134" s="187" t="str">
        <x:v>BUDGET</x:v>
      </x:c>
      <x:c r="C134" s="187"/>
      <x:c r="D134" s="217" t="n">
        <x:v>46082</x:v>
      </x:c>
      <x:c r="E134" s="187" t="str">
        <x:v>R_DE_DE_B_ROAD</x:v>
      </x:c>
      <x:c r="F134" s="187" t="str">
        <x:v>DE</x:v>
      </x:c>
      <x:c r="G134" s="187" t="str">
        <x:v>DE_FC</x:v>
      </x:c>
      <x:c r="H134" s="187" t="str">
        <x:v>CARRIER_B</x:v>
      </x:c>
      <x:c r="I134" s="187" t="str">
        <x:v>ROAD</x:v>
      </x:c>
      <x:c r="J134" s="187" t="str">
        <x:v>PACKAGING</x:v>
      </x:c>
      <x:c r="K134" s="187" t="str">
        <x:v>EUR</x:v>
      </x:c>
      <x:c r="L134" s="232" t="n">
        <x:v>1026.648</x:v>
      </x:c>
      <x:c r="M134" s="232" t="n">
        <x:v>7.8</x:v>
      </x:c>
      <x:c r="N134" s="187" t="str">
        <x:v>8007.854400000000</x:v>
      </x:c>
      <x:c r="O134" s="235" t="n">
        <x:v>8007.8544</x:v>
      </x:c>
      <x:c r="P134" s="235"/>
      <x:c r="Q134" s="235"/>
      <x:c r="R134" s="235" t="str">
        <x:v>INVOICE_OR_PLAN</x:v>
      </x:c>
      <x:c r="S134" s="238" t="n">
        <x:f>'Model_Calc'!AQ26</x:f>
        <x:v>8007.854399999999</x:v>
      </x:c>
      <x:c r="T134" s="238" t="n">
        <x:f>ROUND(S134-O134,4)</x:f>
        <x:v>0</x:v>
      </x:c>
    </x:row>
    <x:row r="135">
      <x:c r="A135" s="187" t="str">
        <x:v>BUDGET_2026_V1</x:v>
      </x:c>
      <x:c r="B135" s="187" t="str">
        <x:v>BUDGET</x:v>
      </x:c>
      <x:c r="C135" s="187"/>
      <x:c r="D135" s="217" t="n">
        <x:v>46082</x:v>
      </x:c>
      <x:c r="E135" s="187" t="str">
        <x:v>R_DE_DE_B_ROAD</x:v>
      </x:c>
      <x:c r="F135" s="187" t="str">
        <x:v>DE</x:v>
      </x:c>
      <x:c r="G135" s="187" t="str">
        <x:v>DE_FC</x:v>
      </x:c>
      <x:c r="H135" s="187" t="str">
        <x:v>CARRIER_B</x:v>
      </x:c>
      <x:c r="I135" s="187" t="str">
        <x:v>ROAD</x:v>
      </x:c>
      <x:c r="J135" s="187" t="str">
        <x:v>RETURN_LOGISTICS</x:v>
      </x:c>
      <x:c r="K135" s="187" t="str">
        <x:v>EUR</x:v>
      </x:c>
      <x:c r="L135" s="232" t="n">
        <x:v>372.48</x:v>
      </x:c>
      <x:c r="M135" s="232" t="n">
        <x:v>7.8</x:v>
      </x:c>
      <x:c r="N135" s="187" t="str">
        <x:v>2905.3440000000000</x:v>
      </x:c>
      <x:c r="O135" s="235" t="n">
        <x:v>2905.344</x:v>
      </x:c>
      <x:c r="P135" s="235"/>
      <x:c r="Q135" s="235"/>
      <x:c r="R135" s="235" t="str">
        <x:v>INVOICE_OR_PLAN</x:v>
      </x:c>
      <x:c r="S135" s="238" t="n">
        <x:f>'Model_Calc'!AV26</x:f>
        <x:v>2905.344</x:v>
      </x:c>
      <x:c r="T135" s="238" t="n">
        <x:f>ROUND(S135-O135,4)</x:f>
        <x:v>0</x:v>
      </x:c>
    </x:row>
    <x:row r="136">
      <x:c r="A136" s="187" t="str">
        <x:v>BUDGET_2026_V1</x:v>
      </x:c>
      <x:c r="B136" s="187" t="str">
        <x:v>BUDGET</x:v>
      </x:c>
      <x:c r="C136" s="187"/>
      <x:c r="D136" s="217" t="n">
        <x:v>46082</x:v>
      </x:c>
      <x:c r="E136" s="187" t="str">
        <x:v>R_DE_DE_B_ROAD</x:v>
      </x:c>
      <x:c r="F136" s="187" t="str">
        <x:v>DE</x:v>
      </x:c>
      <x:c r="G136" s="187" t="str">
        <x:v>DE_FC</x:v>
      </x:c>
      <x:c r="H136" s="187" t="str">
        <x:v>CARRIER_B</x:v>
      </x:c>
      <x:c r="I136" s="187" t="str">
        <x:v>ROAD</x:v>
      </x:c>
      <x:c r="J136" s="187" t="str">
        <x:v>BILLABLE_EXCEPTION</x:v>
      </x:c>
      <x:c r="K136" s="187" t="str">
        <x:v>EUR</x:v>
      </x:c>
      <x:c r="L136" s="232" t="n">
        <x:v>73.08756</x:v>
      </x:c>
      <x:c r="M136" s="232" t="n">
        <x:v>7.8</x:v>
      </x:c>
      <x:c r="N136" s="187" t="str">
        <x:v>570.082968000000000</x:v>
      </x:c>
      <x:c r="O136" s="235" t="n">
        <x:v>570.083</x:v>
      </x:c>
      <x:c r="P136" s="235"/>
      <x:c r="Q136" s="235"/>
      <x:c r="R136" s="235" t="str">
        <x:v>INVOICE_OR_PLAN</x:v>
      </x:c>
      <x:c r="S136" s="238" t="n">
        <x:f>'Model_Calc'!BA26</x:f>
        <x:v>570.0829679999999</x:v>
      </x:c>
      <x:c r="T136" s="238" t="n">
        <x:f>ROUND(S136-O136,4)</x:f>
        <x:v>0</x:v>
      </x:c>
    </x:row>
    <x:row r="137">
      <x:c r="A137" s="187" t="str">
        <x:v>BUDGET_2026_V1</x:v>
      </x:c>
      <x:c r="B137" s="187" t="str">
        <x:v>BUDGET</x:v>
      </x:c>
      <x:c r="C137" s="187"/>
      <x:c r="D137" s="217" t="n">
        <x:v>46082</x:v>
      </x:c>
      <x:c r="E137" s="187" t="str">
        <x:v>R_DE_FR_B_ROAD</x:v>
      </x:c>
      <x:c r="F137" s="187" t="str">
        <x:v>DE</x:v>
      </x:c>
      <x:c r="G137" s="187" t="str">
        <x:v>FR_FC</x:v>
      </x:c>
      <x:c r="H137" s="187" t="str">
        <x:v>CARRIER_B</x:v>
      </x:c>
      <x:c r="I137" s="187" t="str">
        <x:v>ROAD</x:v>
      </x:c>
      <x:c r="J137" s="187" t="str">
        <x:v>BASE_FREIGHT</x:v>
      </x:c>
      <x:c r="K137" s="187" t="str">
        <x:v>EUR</x:v>
      </x:c>
      <x:c r="L137" s="232" t="n">
        <x:v>551.7072</x:v>
      </x:c>
      <x:c r="M137" s="232" t="n">
        <x:v>7.8</x:v>
      </x:c>
      <x:c r="N137" s="187" t="str">
        <x:v>4303.316160000000</x:v>
      </x:c>
      <x:c r="O137" s="235" t="n">
        <x:v>4303.3162</x:v>
      </x:c>
      <x:c r="P137" s="235"/>
      <x:c r="Q137" s="235"/>
      <x:c r="R137" s="235" t="str">
        <x:v>INVOICE_OR_PLAN</x:v>
      </x:c>
      <x:c r="S137" s="238" t="n">
        <x:f>'Model_Calc'!AF27</x:f>
        <x:v>4303.316159999999</x:v>
      </x:c>
      <x:c r="T137" s="238" t="n">
        <x:f>ROUND(S137-O137,4)</x:f>
        <x:v>0</x:v>
      </x:c>
    </x:row>
    <x:row r="138">
      <x:c r="A138" s="187" t="str">
        <x:v>BUDGET_2026_V1</x:v>
      </x:c>
      <x:c r="B138" s="187" t="str">
        <x:v>BUDGET</x:v>
      </x:c>
      <x:c r="C138" s="187"/>
      <x:c r="D138" s="217" t="n">
        <x:v>46082</x:v>
      </x:c>
      <x:c r="E138" s="187" t="str">
        <x:v>R_DE_FR_B_ROAD</x:v>
      </x:c>
      <x:c r="F138" s="187" t="str">
        <x:v>DE</x:v>
      </x:c>
      <x:c r="G138" s="187" t="str">
        <x:v>FR_FC</x:v>
      </x:c>
      <x:c r="H138" s="187" t="str">
        <x:v>CARRIER_B</x:v>
      </x:c>
      <x:c r="I138" s="187" t="str">
        <x:v>ROAD</x:v>
      </x:c>
      <x:c r="J138" s="187" t="str">
        <x:v>FUEL_SURCHARGE</x:v>
      </x:c>
      <x:c r="K138" s="187" t="str">
        <x:v>EUR</x:v>
      </x:c>
      <x:c r="L138" s="232" t="n">
        <x:v>40.12416</x:v>
      </x:c>
      <x:c r="M138" s="232" t="n">
        <x:v>7.8</x:v>
      </x:c>
      <x:c r="N138" s="187" t="str">
        <x:v>312.968448000000</x:v>
      </x:c>
      <x:c r="O138" s="235" t="n">
        <x:v>312.9684</x:v>
      </x:c>
      <x:c r="P138" s="235"/>
      <x:c r="Q138" s="235"/>
      <x:c r="R138" s="235" t="str">
        <x:v>INVOICE_OR_PLAN</x:v>
      </x:c>
      <x:c r="S138" s="238" t="n">
        <x:f>'Model_Calc'!AG27</x:f>
        <x:v>312.96844799999997</x:v>
      </x:c>
      <x:c r="T138" s="238" t="n">
        <x:f>ROUND(S138-O138,4)</x:f>
        <x:v>0</x:v>
      </x:c>
    </x:row>
    <x:row r="139">
      <x:c r="A139" s="187" t="str">
        <x:v>BUDGET_2026_V1</x:v>
      </x:c>
      <x:c r="B139" s="187" t="str">
        <x:v>BUDGET</x:v>
      </x:c>
      <x:c r="C139" s="187"/>
      <x:c r="D139" s="217" t="n">
        <x:v>46082</x:v>
      </x:c>
      <x:c r="E139" s="187" t="str">
        <x:v>R_DE_FR_B_ROAD</x:v>
      </x:c>
      <x:c r="F139" s="187" t="str">
        <x:v>DE</x:v>
      </x:c>
      <x:c r="G139" s="187" t="str">
        <x:v>FR_FC</x:v>
      </x:c>
      <x:c r="H139" s="187" t="str">
        <x:v>CARRIER_B</x:v>
      </x:c>
      <x:c r="I139" s="187" t="str">
        <x:v>ROAD</x:v>
      </x:c>
      <x:c r="J139" s="187" t="str">
        <x:v>WAREHOUSE_OPERATION</x:v>
      </x:c>
      <x:c r="K139" s="187" t="str">
        <x:v>EUR</x:v>
      </x:c>
      <x:c r="L139" s="232" t="n">
        <x:v>189</x:v>
      </x:c>
      <x:c r="M139" s="232" t="n">
        <x:v>7.8</x:v>
      </x:c>
      <x:c r="N139" s="187" t="str">
        <x:v>1474.20000000</x:v>
      </x:c>
      <x:c r="O139" s="235" t="n">
        <x:v>1474.2</x:v>
      </x:c>
      <x:c r="P139" s="235"/>
      <x:c r="Q139" s="235"/>
      <x:c r="R139" s="235" t="str">
        <x:v>INVOICE_OR_PLAN</x:v>
      </x:c>
      <x:c r="S139" s="238" t="n">
        <x:f>'Model_Calc'!AL27</x:f>
        <x:v>1474.2</x:v>
      </x:c>
      <x:c r="T139" s="238" t="n">
        <x:f>ROUND(S139-O139,4)</x:f>
        <x:v>0</x:v>
      </x:c>
    </x:row>
    <x:row r="140">
      <x:c r="A140" s="187" t="str">
        <x:v>BUDGET_2026_V1</x:v>
      </x:c>
      <x:c r="B140" s="187" t="str">
        <x:v>BUDGET</x:v>
      </x:c>
      <x:c r="C140" s="187"/>
      <x:c r="D140" s="217" t="n">
        <x:v>46082</x:v>
      </x:c>
      <x:c r="E140" s="187" t="str">
        <x:v>R_DE_FR_B_ROAD</x:v>
      </x:c>
      <x:c r="F140" s="187" t="str">
        <x:v>DE</x:v>
      </x:c>
      <x:c r="G140" s="187" t="str">
        <x:v>FR_FC</x:v>
      </x:c>
      <x:c r="H140" s="187" t="str">
        <x:v>CARRIER_B</x:v>
      </x:c>
      <x:c r="I140" s="187" t="str">
        <x:v>ROAD</x:v>
      </x:c>
      <x:c r="J140" s="187" t="str">
        <x:v>PACKAGING</x:v>
      </x:c>
      <x:c r="K140" s="187" t="str">
        <x:v>EUR</x:v>
      </x:c>
      <x:c r="L140" s="232" t="n">
        <x:v>73.872</x:v>
      </x:c>
      <x:c r="M140" s="232" t="n">
        <x:v>7.8</x:v>
      </x:c>
      <x:c r="N140" s="187" t="str">
        <x:v>576.2016000000</x:v>
      </x:c>
      <x:c r="O140" s="235" t="n">
        <x:v>576.2016</x:v>
      </x:c>
      <x:c r="P140" s="235"/>
      <x:c r="Q140" s="235"/>
      <x:c r="R140" s="235" t="str">
        <x:v>INVOICE_OR_PLAN</x:v>
      </x:c>
      <x:c r="S140" s="238" t="n">
        <x:f>'Model_Calc'!AQ27</x:f>
        <x:v>576.2016</x:v>
      </x:c>
      <x:c r="T140" s="238" t="n">
        <x:f>ROUND(S140-O140,4)</x:f>
        <x:v>0</x:v>
      </x:c>
    </x:row>
    <x:row r="141">
      <x:c r="A141" s="187" t="str">
        <x:v>BUDGET_2026_V1</x:v>
      </x:c>
      <x:c r="B141" s="187" t="str">
        <x:v>BUDGET</x:v>
      </x:c>
      <x:c r="C141" s="187"/>
      <x:c r="D141" s="217" t="n">
        <x:v>46082</x:v>
      </x:c>
      <x:c r="E141" s="187" t="str">
        <x:v>R_DE_FR_B_ROAD</x:v>
      </x:c>
      <x:c r="F141" s="187" t="str">
        <x:v>DE</x:v>
      </x:c>
      <x:c r="G141" s="187" t="str">
        <x:v>FR_FC</x:v>
      </x:c>
      <x:c r="H141" s="187" t="str">
        <x:v>CARRIER_B</x:v>
      </x:c>
      <x:c r="I141" s="187" t="str">
        <x:v>ROAD</x:v>
      </x:c>
      <x:c r="J141" s="187" t="str">
        <x:v>RETURN_LOGISTICS</x:v>
      </x:c>
      <x:c r="K141" s="187" t="str">
        <x:v>EUR</x:v>
      </x:c>
      <x:c r="L141" s="232" t="n">
        <x:v>34.2</x:v>
      </x:c>
      <x:c r="M141" s="232" t="n">
        <x:v>7.8</x:v>
      </x:c>
      <x:c r="N141" s="187" t="str">
        <x:v>266.76000000000</x:v>
      </x:c>
      <x:c r="O141" s="235" t="n">
        <x:v>266.76</x:v>
      </x:c>
      <x:c r="P141" s="235"/>
      <x:c r="Q141" s="235"/>
      <x:c r="R141" s="235" t="str">
        <x:v>INVOICE_OR_PLAN</x:v>
      </x:c>
      <x:c r="S141" s="238" t="n">
        <x:f>'Model_Calc'!AV27</x:f>
        <x:v>266.75999999999993</x:v>
      </x:c>
      <x:c r="T141" s="238" t="n">
        <x:f>ROUND(S141-O141,4)</x:f>
        <x:v>0</x:v>
      </x:c>
    </x:row>
    <x:row r="142">
      <x:c r="A142" s="187" t="str">
        <x:v>BUDGET_2026_V1</x:v>
      </x:c>
      <x:c r="B142" s="187" t="str">
        <x:v>BUDGET</x:v>
      </x:c>
      <x:c r="C142" s="187"/>
      <x:c r="D142" s="217" t="n">
        <x:v>46082</x:v>
      </x:c>
      <x:c r="E142" s="187" t="str">
        <x:v>R_DE_FR_B_ROAD</x:v>
      </x:c>
      <x:c r="F142" s="187" t="str">
        <x:v>DE</x:v>
      </x:c>
      <x:c r="G142" s="187" t="str">
        <x:v>FR_FC</x:v>
      </x:c>
      <x:c r="H142" s="187" t="str">
        <x:v>CARRIER_B</x:v>
      </x:c>
      <x:c r="I142" s="187" t="str">
        <x:v>ROAD</x:v>
      </x:c>
      <x:c r="J142" s="187" t="str">
        <x:v>BILLABLE_EXCEPTION</x:v>
      </x:c>
      <x:c r="K142" s="187" t="str">
        <x:v>EUR</x:v>
      </x:c>
      <x:c r="L142" s="232" t="n">
        <x:v>6.25968</x:v>
      </x:c>
      <x:c r="M142" s="232" t="n">
        <x:v>7.8</x:v>
      </x:c>
      <x:c r="N142" s="187" t="str">
        <x:v>48.8255040000000</x:v>
      </x:c>
      <x:c r="O142" s="235" t="n">
        <x:v>48.8255</x:v>
      </x:c>
      <x:c r="P142" s="235"/>
      <x:c r="Q142" s="235"/>
      <x:c r="R142" s="235" t="str">
        <x:v>INVOICE_OR_PLAN</x:v>
      </x:c>
      <x:c r="S142" s="238" t="n">
        <x:f>'Model_Calc'!BA27</x:f>
        <x:v>48.825503999999995</x:v>
      </x:c>
      <x:c r="T142" s="238" t="n">
        <x:f>ROUND(S142-O142,4)</x:f>
        <x:v>0</x:v>
      </x:c>
    </x:row>
    <x:row r="143">
      <x:c r="A143" s="187" t="str">
        <x:v>BUDGET_2026_V1</x:v>
      </x:c>
      <x:c r="B143" s="187" t="str">
        <x:v>BUDGET</x:v>
      </x:c>
      <x:c r="C143" s="187"/>
      <x:c r="D143" s="217" t="n">
        <x:v>46082</x:v>
      </x:c>
      <x:c r="E143" s="187" t="str">
        <x:v>R_FR_FR_A_ROAD</x:v>
      </x:c>
      <x:c r="F143" s="187" t="str">
        <x:v>FR</x:v>
      </x:c>
      <x:c r="G143" s="187" t="str">
        <x:v>FR_FC</x:v>
      </x:c>
      <x:c r="H143" s="187" t="str">
        <x:v>CARRIER_A</x:v>
      </x:c>
      <x:c r="I143" s="187" t="str">
        <x:v>ROAD</x:v>
      </x:c>
      <x:c r="J143" s="187" t="str">
        <x:v>BASE_FREIGHT</x:v>
      </x:c>
      <x:c r="K143" s="187" t="str">
        <x:v>EUR</x:v>
      </x:c>
      <x:c r="L143" s="232" t="n">
        <x:v>2842.1568</x:v>
      </x:c>
      <x:c r="M143" s="232" t="n">
        <x:v>7.8</x:v>
      </x:c>
      <x:c r="N143" s="187" t="str">
        <x:v>22168.823040000000</x:v>
      </x:c>
      <x:c r="O143" s="235" t="n">
        <x:v>22168.823</x:v>
      </x:c>
      <x:c r="P143" s="235"/>
      <x:c r="Q143" s="235"/>
      <x:c r="R143" s="235" t="str">
        <x:v>INVOICE_OR_PLAN</x:v>
      </x:c>
      <x:c r="S143" s="238" t="n">
        <x:f>'Model_Calc'!AF28</x:f>
        <x:v>22168.82304</x:v>
      </x:c>
      <x:c r="T143" s="238" t="n">
        <x:f>ROUND(S143-O143,4)</x:f>
        <x:v>0</x:v>
      </x:c>
    </x:row>
    <x:row r="144">
      <x:c r="A144" s="187" t="str">
        <x:v>BUDGET_2026_V1</x:v>
      </x:c>
      <x:c r="B144" s="187" t="str">
        <x:v>BUDGET</x:v>
      </x:c>
      <x:c r="C144" s="187"/>
      <x:c r="D144" s="217" t="n">
        <x:v>46082</x:v>
      </x:c>
      <x:c r="E144" s="187" t="str">
        <x:v>R_FR_FR_A_ROAD</x:v>
      </x:c>
      <x:c r="F144" s="187" t="str">
        <x:v>FR</x:v>
      </x:c>
      <x:c r="G144" s="187" t="str">
        <x:v>FR_FC</x:v>
      </x:c>
      <x:c r="H144" s="187" t="str">
        <x:v>CARRIER_A</x:v>
      </x:c>
      <x:c r="I144" s="187" t="str">
        <x:v>ROAD</x:v>
      </x:c>
      <x:c r="J144" s="187" t="str">
        <x:v>FUEL_SURCHARGE</x:v>
      </x:c>
      <x:c r="K144" s="187" t="str">
        <x:v>EUR</x:v>
      </x:c>
      <x:c r="L144" s="232" t="n">
        <x:v>255.794112</x:v>
      </x:c>
      <x:c r="M144" s="232" t="n">
        <x:v>7.8</x:v>
      </x:c>
      <x:c r="N144" s="187" t="str">
        <x:v>1995.194073600000000</x:v>
      </x:c>
      <x:c r="O144" s="235" t="n">
        <x:v>1995.1941</x:v>
      </x:c>
      <x:c r="P144" s="235"/>
      <x:c r="Q144" s="235"/>
      <x:c r="R144" s="235" t="str">
        <x:v>INVOICE_OR_PLAN</x:v>
      </x:c>
      <x:c r="S144" s="238" t="n">
        <x:f>'Model_Calc'!AG28</x:f>
        <x:v>1995.1940736000001</x:v>
      </x:c>
      <x:c r="T144" s="238" t="n">
        <x:f>ROUND(S144-O144,4)</x:f>
        <x:v>0</x:v>
      </x:c>
    </x:row>
    <x:row r="145">
      <x:c r="A145" s="187" t="str">
        <x:v>BUDGET_2026_V1</x:v>
      </x:c>
      <x:c r="B145" s="187" t="str">
        <x:v>BUDGET</x:v>
      </x:c>
      <x:c r="C145" s="187"/>
      <x:c r="D145" s="217" t="n">
        <x:v>46082</x:v>
      </x:c>
      <x:c r="E145" s="187" t="str">
        <x:v>R_FR_FR_A_ROAD</x:v>
      </x:c>
      <x:c r="F145" s="187" t="str">
        <x:v>FR</x:v>
      </x:c>
      <x:c r="G145" s="187" t="str">
        <x:v>FR_FC</x:v>
      </x:c>
      <x:c r="H145" s="187" t="str">
        <x:v>CARRIER_A</x:v>
      </x:c>
      <x:c r="I145" s="187" t="str">
        <x:v>ROAD</x:v>
      </x:c>
      <x:c r="J145" s="187" t="str">
        <x:v>WAREHOUSE_OPERATION</x:v>
      </x:c>
      <x:c r="K145" s="187" t="str">
        <x:v>EUR</x:v>
      </x:c>
      <x:c r="L145" s="232" t="n">
        <x:v>1764</x:v>
      </x:c>
      <x:c r="M145" s="232" t="n">
        <x:v>7.8</x:v>
      </x:c>
      <x:c r="N145" s="187" t="str">
        <x:v>13759.20000000</x:v>
      </x:c>
      <x:c r="O145" s="235" t="n">
        <x:v>13759.2</x:v>
      </x:c>
      <x:c r="P145" s="235"/>
      <x:c r="Q145" s="235"/>
      <x:c r="R145" s="235" t="str">
        <x:v>INVOICE_OR_PLAN</x:v>
      </x:c>
      <x:c r="S145" s="238" t="n">
        <x:f>'Model_Calc'!AL28</x:f>
        <x:v>13759.199999999999</x:v>
      </x:c>
      <x:c r="T145" s="238" t="n">
        <x:f>ROUND(S145-O145,4)</x:f>
        <x:v>0</x:v>
      </x:c>
    </x:row>
    <x:row r="146">
      <x:c r="A146" s="187" t="str">
        <x:v>BUDGET_2026_V1</x:v>
      </x:c>
      <x:c r="B146" s="187" t="str">
        <x:v>BUDGET</x:v>
      </x:c>
      <x:c r="C146" s="187"/>
      <x:c r="D146" s="217" t="n">
        <x:v>46082</x:v>
      </x:c>
      <x:c r="E146" s="187" t="str">
        <x:v>R_FR_FR_A_ROAD</x:v>
      </x:c>
      <x:c r="F146" s="187" t="str">
        <x:v>FR</x:v>
      </x:c>
      <x:c r="G146" s="187" t="str">
        <x:v>FR_FC</x:v>
      </x:c>
      <x:c r="H146" s="187" t="str">
        <x:v>CARRIER_A</x:v>
      </x:c>
      <x:c r="I146" s="187" t="str">
        <x:v>ROAD</x:v>
      </x:c>
      <x:c r="J146" s="187" t="str">
        <x:v>PACKAGING</x:v>
      </x:c>
      <x:c r="K146" s="187" t="str">
        <x:v>EUR</x:v>
      </x:c>
      <x:c r="L146" s="232" t="n">
        <x:v>676.704</x:v>
      </x:c>
      <x:c r="M146" s="232" t="n">
        <x:v>7.8</x:v>
      </x:c>
      <x:c r="N146" s="187" t="str">
        <x:v>5278.2912000000</x:v>
      </x:c>
      <x:c r="O146" s="235" t="n">
        <x:v>5278.2912</x:v>
      </x:c>
      <x:c r="P146" s="235"/>
      <x:c r="Q146" s="235"/>
      <x:c r="R146" s="235" t="str">
        <x:v>INVOICE_OR_PLAN</x:v>
      </x:c>
      <x:c r="S146" s="238" t="n">
        <x:f>'Model_Calc'!AQ28</x:f>
        <x:v>5278.291200000001</x:v>
      </x:c>
      <x:c r="T146" s="238" t="n">
        <x:f>ROUND(S146-O146,4)</x:f>
        <x:v>0</x:v>
      </x:c>
    </x:row>
    <x:row r="147">
      <x:c r="A147" s="187" t="str">
        <x:v>BUDGET_2026_V1</x:v>
      </x:c>
      <x:c r="B147" s="187" t="str">
        <x:v>BUDGET</x:v>
      </x:c>
      <x:c r="C147" s="187"/>
      <x:c r="D147" s="217" t="n">
        <x:v>46082</x:v>
      </x:c>
      <x:c r="E147" s="187" t="str">
        <x:v>R_FR_FR_A_ROAD</x:v>
      </x:c>
      <x:c r="F147" s="187" t="str">
        <x:v>FR</x:v>
      </x:c>
      <x:c r="G147" s="187" t="str">
        <x:v>FR_FC</x:v>
      </x:c>
      <x:c r="H147" s="187" t="str">
        <x:v>CARRIER_A</x:v>
      </x:c>
      <x:c r="I147" s="187" t="str">
        <x:v>ROAD</x:v>
      </x:c>
      <x:c r="J147" s="187" t="str">
        <x:v>RETURN_LOGISTICS</x:v>
      </x:c>
      <x:c r="K147" s="187" t="str">
        <x:v>EUR</x:v>
      </x:c>
      <x:c r="L147" s="232" t="n">
        <x:v>302.4</x:v>
      </x:c>
      <x:c r="M147" s="232" t="n">
        <x:v>7.8</x:v>
      </x:c>
      <x:c r="N147" s="187" t="str">
        <x:v>2358.72000000000</x:v>
      </x:c>
      <x:c r="O147" s="235" t="n">
        <x:v>2358.72</x:v>
      </x:c>
      <x:c r="P147" s="235"/>
      <x:c r="Q147" s="235"/>
      <x:c r="R147" s="235" t="str">
        <x:v>INVOICE_OR_PLAN</x:v>
      </x:c>
      <x:c r="S147" s="238" t="n">
        <x:f>'Model_Calc'!AV28</x:f>
        <x:v>2358.72</x:v>
      </x:c>
      <x:c r="T147" s="238" t="n">
        <x:f>ROUND(S147-O147,4)</x:f>
        <x:v>0</x:v>
      </x:c>
    </x:row>
    <x:row r="148">
      <x:c r="A148" s="187" t="str">
        <x:v>BUDGET_2026_V1</x:v>
      </x:c>
      <x:c r="B148" s="187" t="str">
        <x:v>BUDGET</x:v>
      </x:c>
      <x:c r="C148" s="187"/>
      <x:c r="D148" s="217" t="n">
        <x:v>46082</x:v>
      </x:c>
      <x:c r="E148" s="187" t="str">
        <x:v>R_FR_FR_A_ROAD</x:v>
      </x:c>
      <x:c r="F148" s="187" t="str">
        <x:v>FR</x:v>
      </x:c>
      <x:c r="G148" s="187" t="str">
        <x:v>FR_FC</x:v>
      </x:c>
      <x:c r="H148" s="187" t="str">
        <x:v>CARRIER_A</x:v>
      </x:c>
      <x:c r="I148" s="187" t="str">
        <x:v>ROAD</x:v>
      </x:c>
      <x:c r="J148" s="187" t="str">
        <x:v>BILLABLE_EXCEPTION</x:v>
      </x:c>
      <x:c r="K148" s="187" t="str">
        <x:v>EUR</x:v>
      </x:c>
      <x:c r="L148" s="232" t="n">
        <x:v>69.62928</x:v>
      </x:c>
      <x:c r="M148" s="232" t="n">
        <x:v>7.8</x:v>
      </x:c>
      <x:c r="N148" s="187" t="str">
        <x:v>543.1083840000000</x:v>
      </x:c>
      <x:c r="O148" s="235" t="n">
        <x:v>543.1084</x:v>
      </x:c>
      <x:c r="P148" s="235"/>
      <x:c r="Q148" s="235"/>
      <x:c r="R148" s="235" t="str">
        <x:v>INVOICE_OR_PLAN</x:v>
      </x:c>
      <x:c r="S148" s="238" t="n">
        <x:f>'Model_Calc'!BA28</x:f>
        <x:v>543.108384</x:v>
      </x:c>
      <x:c r="T148" s="238" t="n">
        <x:f>ROUND(S148-O148,4)</x:f>
        <x:v>0</x:v>
      </x:c>
    </x:row>
    <x:row r="149">
      <x:c r="A149" s="187" t="str">
        <x:v>BUDGET_2026_V1</x:v>
      </x:c>
      <x:c r="B149" s="187" t="str">
        <x:v>BUDGET</x:v>
      </x:c>
      <x:c r="C149" s="187"/>
      <x:c r="D149" s="217" t="n">
        <x:v>46082</x:v>
      </x:c>
      <x:c r="E149" s="187" t="str">
        <x:v>R_FR_FR_B_ROAD</x:v>
      </x:c>
      <x:c r="F149" s="187" t="str">
        <x:v>FR</x:v>
      </x:c>
      <x:c r="G149" s="187" t="str">
        <x:v>FR_FC</x:v>
      </x:c>
      <x:c r="H149" s="187" t="str">
        <x:v>CARRIER_B</x:v>
      </x:c>
      <x:c r="I149" s="187" t="str">
        <x:v>ROAD</x:v>
      </x:c>
      <x:c r="J149" s="187" t="str">
        <x:v>BASE_FREIGHT</x:v>
      </x:c>
      <x:c r="K149" s="187" t="str">
        <x:v>EUR</x:v>
      </x:c>
      <x:c r="L149" s="232" t="n">
        <x:v>6792.9888</x:v>
      </x:c>
      <x:c r="M149" s="232" t="n">
        <x:v>7.8</x:v>
      </x:c>
      <x:c r="N149" s="187" t="str">
        <x:v>52985.312640000000</x:v>
      </x:c>
      <x:c r="O149" s="235" t="n">
        <x:v>52985.3126</x:v>
      </x:c>
      <x:c r="P149" s="235"/>
      <x:c r="Q149" s="235"/>
      <x:c r="R149" s="235" t="str">
        <x:v>INVOICE_OR_PLAN</x:v>
      </x:c>
      <x:c r="S149" s="238" t="n">
        <x:f>'Model_Calc'!AF29</x:f>
        <x:v>52985.31264000001</x:v>
      </x:c>
      <x:c r="T149" s="238" t="n">
        <x:f>ROUND(S149-O149,4)</x:f>
        <x:v>0</x:v>
      </x:c>
    </x:row>
    <x:row r="150">
      <x:c r="A150" s="187" t="str">
        <x:v>BUDGET_2026_V1</x:v>
      </x:c>
      <x:c r="B150" s="187" t="str">
        <x:v>BUDGET</x:v>
      </x:c>
      <x:c r="C150" s="187"/>
      <x:c r="D150" s="217" t="n">
        <x:v>46082</x:v>
      </x:c>
      <x:c r="E150" s="187" t="str">
        <x:v>R_FR_FR_B_ROAD</x:v>
      </x:c>
      <x:c r="F150" s="187" t="str">
        <x:v>FR</x:v>
      </x:c>
      <x:c r="G150" s="187" t="str">
        <x:v>FR_FC</x:v>
      </x:c>
      <x:c r="H150" s="187" t="str">
        <x:v>CARRIER_B</x:v>
      </x:c>
      <x:c r="I150" s="187" t="str">
        <x:v>ROAD</x:v>
      </x:c>
      <x:c r="J150" s="187" t="str">
        <x:v>FUEL_SURCHARGE</x:v>
      </x:c>
      <x:c r="K150" s="187" t="str">
        <x:v>EUR</x:v>
      </x:c>
      <x:c r="L150" s="232" t="n">
        <x:v>522.5376</x:v>
      </x:c>
      <x:c r="M150" s="232" t="n">
        <x:v>7.8</x:v>
      </x:c>
      <x:c r="N150" s="187" t="str">
        <x:v>4075.793280000000</x:v>
      </x:c>
      <x:c r="O150" s="235" t="n">
        <x:v>4075.7933</x:v>
      </x:c>
      <x:c r="P150" s="235"/>
      <x:c r="Q150" s="235"/>
      <x:c r="R150" s="235" t="str">
        <x:v>INVOICE_OR_PLAN</x:v>
      </x:c>
      <x:c r="S150" s="238" t="n">
        <x:f>'Model_Calc'!AG29</x:f>
        <x:v>4075.793280000001</x:v>
      </x:c>
      <x:c r="T150" s="238" t="n">
        <x:f>ROUND(S150-O150,4)</x:f>
        <x:v>0</x:v>
      </x:c>
    </x:row>
    <x:row r="151">
      <x:c r="A151" s="187" t="str">
        <x:v>BUDGET_2026_V1</x:v>
      </x:c>
      <x:c r="B151" s="187" t="str">
        <x:v>BUDGET</x:v>
      </x:c>
      <x:c r="C151" s="187"/>
      <x:c r="D151" s="217" t="n">
        <x:v>46082</x:v>
      </x:c>
      <x:c r="E151" s="187" t="str">
        <x:v>R_FR_FR_B_ROAD</x:v>
      </x:c>
      <x:c r="F151" s="187" t="str">
        <x:v>FR</x:v>
      </x:c>
      <x:c r="G151" s="187" t="str">
        <x:v>FR_FC</x:v>
      </x:c>
      <x:c r="H151" s="187" t="str">
        <x:v>CARRIER_B</x:v>
      </x:c>
      <x:c r="I151" s="187" t="str">
        <x:v>ROAD</x:v>
      </x:c>
      <x:c r="J151" s="187" t="str">
        <x:v>WAREHOUSE_OPERATION</x:v>
      </x:c>
      <x:c r="K151" s="187" t="str">
        <x:v>EUR</x:v>
      </x:c>
      <x:c r="L151" s="232" t="n">
        <x:v>3276</x:v>
      </x:c>
      <x:c r="M151" s="232" t="n">
        <x:v>7.8</x:v>
      </x:c>
      <x:c r="N151" s="187" t="str">
        <x:v>25552.80000000</x:v>
      </x:c>
      <x:c r="O151" s="235" t="n">
        <x:v>25552.8</x:v>
      </x:c>
      <x:c r="P151" s="235"/>
      <x:c r="Q151" s="235"/>
      <x:c r="R151" s="235" t="str">
        <x:v>INVOICE_OR_PLAN</x:v>
      </x:c>
      <x:c r="S151" s="238" t="n">
        <x:f>'Model_Calc'!AL29</x:f>
        <x:v>25552.8</x:v>
      </x:c>
      <x:c r="T151" s="238" t="n">
        <x:f>ROUND(S151-O151,4)</x:f>
        <x:v>0</x:v>
      </x:c>
    </x:row>
    <x:row r="152">
      <x:c r="A152" s="187" t="str">
        <x:v>BUDGET_2026_V1</x:v>
      </x:c>
      <x:c r="B152" s="187" t="str">
        <x:v>BUDGET</x:v>
      </x:c>
      <x:c r="C152" s="187"/>
      <x:c r="D152" s="217" t="n">
        <x:v>46082</x:v>
      </x:c>
      <x:c r="E152" s="187" t="str">
        <x:v>R_FR_FR_B_ROAD</x:v>
      </x:c>
      <x:c r="F152" s="187" t="str">
        <x:v>FR</x:v>
      </x:c>
      <x:c r="G152" s="187" t="str">
        <x:v>FR_FC</x:v>
      </x:c>
      <x:c r="H152" s="187" t="str">
        <x:v>CARRIER_B</x:v>
      </x:c>
      <x:c r="I152" s="187" t="str">
        <x:v>ROAD</x:v>
      </x:c>
      <x:c r="J152" s="187" t="str">
        <x:v>PACKAGING</x:v>
      </x:c>
      <x:c r="K152" s="187" t="str">
        <x:v>EUR</x:v>
      </x:c>
      <x:c r="L152" s="232" t="n">
        <x:v>1256.736</x:v>
      </x:c>
      <x:c r="M152" s="232" t="n">
        <x:v>7.8</x:v>
      </x:c>
      <x:c r="N152" s="187" t="str">
        <x:v>9802.5408000000</x:v>
      </x:c>
      <x:c r="O152" s="235" t="n">
        <x:v>9802.5408</x:v>
      </x:c>
      <x:c r="P152" s="235"/>
      <x:c r="Q152" s="235"/>
      <x:c r="R152" s="235" t="str">
        <x:v>INVOICE_OR_PLAN</x:v>
      </x:c>
      <x:c r="S152" s="238" t="n">
        <x:f>'Model_Calc'!AQ29</x:f>
        <x:v>9802.5408</x:v>
      </x:c>
      <x:c r="T152" s="238" t="n">
        <x:f>ROUND(S152-O152,4)</x:f>
        <x:v>0</x:v>
      </x:c>
    </x:row>
    <x:row r="153">
      <x:c r="A153" s="187" t="str">
        <x:v>BUDGET_2026_V1</x:v>
      </x:c>
      <x:c r="B153" s="187" t="str">
        <x:v>BUDGET</x:v>
      </x:c>
      <x:c r="C153" s="187"/>
      <x:c r="D153" s="217" t="n">
        <x:v>46082</x:v>
      </x:c>
      <x:c r="E153" s="187" t="str">
        <x:v>R_FR_FR_B_ROAD</x:v>
      </x:c>
      <x:c r="F153" s="187" t="str">
        <x:v>FR</x:v>
      </x:c>
      <x:c r="G153" s="187" t="str">
        <x:v>FR_FC</x:v>
      </x:c>
      <x:c r="H153" s="187" t="str">
        <x:v>CARRIER_B</x:v>
      </x:c>
      <x:c r="I153" s="187" t="str">
        <x:v>ROAD</x:v>
      </x:c>
      <x:c r="J153" s="187" t="str">
        <x:v>RETURN_LOGISTICS</x:v>
      </x:c>
      <x:c r="K153" s="187" t="str">
        <x:v>EUR</x:v>
      </x:c>
      <x:c r="L153" s="232" t="n">
        <x:v>561.6</x:v>
      </x:c>
      <x:c r="M153" s="232" t="n">
        <x:v>7.8</x:v>
      </x:c>
      <x:c r="N153" s="187" t="str">
        <x:v>4380.48000000000</x:v>
      </x:c>
      <x:c r="O153" s="235" t="n">
        <x:v>4380.48</x:v>
      </x:c>
      <x:c r="P153" s="235"/>
      <x:c r="Q153" s="235"/>
      <x:c r="R153" s="235" t="str">
        <x:v>INVOICE_OR_PLAN</x:v>
      </x:c>
      <x:c r="S153" s="238" t="n">
        <x:f>'Model_Calc'!AV29</x:f>
        <x:v>4380.48</x:v>
      </x:c>
      <x:c r="T153" s="238" t="n">
        <x:f>ROUND(S153-O153,4)</x:f>
        <x:v>0</x:v>
      </x:c>
    </x:row>
    <x:row r="154">
      <x:c r="A154" s="187" t="str">
        <x:v>BUDGET_2026_V1</x:v>
      </x:c>
      <x:c r="B154" s="187" t="str">
        <x:v>BUDGET</x:v>
      </x:c>
      <x:c r="C154" s="187"/>
      <x:c r="D154" s="217" t="n">
        <x:v>46082</x:v>
      </x:c>
      <x:c r="E154" s="187" t="str">
        <x:v>R_FR_FR_B_ROAD</x:v>
      </x:c>
      <x:c r="F154" s="187" t="str">
        <x:v>FR</x:v>
      </x:c>
      <x:c r="G154" s="187" t="str">
        <x:v>FR_FC</x:v>
      </x:c>
      <x:c r="H154" s="187" t="str">
        <x:v>CARRIER_B</x:v>
      </x:c>
      <x:c r="I154" s="187" t="str">
        <x:v>ROAD</x:v>
      </x:c>
      <x:c r="J154" s="187" t="str">
        <x:v>BILLABLE_EXCEPTION</x:v>
      </x:c>
      <x:c r="K154" s="187" t="str">
        <x:v>EUR</x:v>
      </x:c>
      <x:c r="L154" s="232" t="n">
        <x:v>106.49184</x:v>
      </x:c>
      <x:c r="M154" s="232" t="n">
        <x:v>7.8</x:v>
      </x:c>
      <x:c r="N154" s="187" t="str">
        <x:v>830.6363520000000</x:v>
      </x:c>
      <x:c r="O154" s="235" t="n">
        <x:v>830.6364</x:v>
      </x:c>
      <x:c r="P154" s="235"/>
      <x:c r="Q154" s="235"/>
      <x:c r="R154" s="235" t="str">
        <x:v>INVOICE_OR_PLAN</x:v>
      </x:c>
      <x:c r="S154" s="238" t="n">
        <x:f>'Model_Calc'!BA29</x:f>
        <x:v>830.636352</x:v>
      </x:c>
      <x:c r="T154" s="238" t="n">
        <x:f>ROUND(S154-O154,4)</x:f>
        <x:v>0</x:v>
      </x:c>
    </x:row>
    <x:row r="155">
      <x:c r="A155" s="187" t="str">
        <x:v>BUDGET_2026_V1</x:v>
      </x:c>
      <x:c r="B155" s="187" t="str">
        <x:v>BUDGET</x:v>
      </x:c>
      <x:c r="C155" s="187"/>
      <x:c r="D155" s="217" t="n">
        <x:v>46082</x:v>
      </x:c>
      <x:c r="E155" s="187" t="str">
        <x:v>R_GB_DE_A_ROAD</x:v>
      </x:c>
      <x:c r="F155" s="187" t="str">
        <x:v>GB</x:v>
      </x:c>
      <x:c r="G155" s="187" t="str">
        <x:v>DE_FC</x:v>
      </x:c>
      <x:c r="H155" s="187" t="str">
        <x:v>CARRIER_A</x:v>
      </x:c>
      <x:c r="I155" s="187" t="str">
        <x:v>ROAD</x:v>
      </x:c>
      <x:c r="J155" s="187" t="str">
        <x:v>BASE_FREIGHT</x:v>
      </x:c>
      <x:c r="K155" s="187" t="str">
        <x:v>GBP</x:v>
      </x:c>
      <x:c r="L155" s="232" t="n">
        <x:v>11976.00768</x:v>
      </x:c>
      <x:c r="M155" s="232" t="n">
        <x:v>9</x:v>
      </x:c>
      <x:c r="N155" s="187" t="str">
        <x:v>107784.06912000000000</x:v>
      </x:c>
      <x:c r="O155" s="235" t="n">
        <x:v>107784.0691</x:v>
      </x:c>
      <x:c r="P155" s="235"/>
      <x:c r="Q155" s="235"/>
      <x:c r="R155" s="235" t="str">
        <x:v>INVOICE_OR_PLAN</x:v>
      </x:c>
      <x:c r="S155" s="238" t="n">
        <x:f>'Model_Calc'!AF30</x:f>
        <x:v>107784.06912</x:v>
      </x:c>
      <x:c r="T155" s="238" t="n">
        <x:f>ROUND(S155-O155,4)</x:f>
        <x:v>0</x:v>
      </x:c>
    </x:row>
    <x:row r="156">
      <x:c r="A156" s="187" t="str">
        <x:v>BUDGET_2026_V1</x:v>
      </x:c>
      <x:c r="B156" s="187" t="str">
        <x:v>BUDGET</x:v>
      </x:c>
      <x:c r="C156" s="187"/>
      <x:c r="D156" s="217" t="n">
        <x:v>46082</x:v>
      </x:c>
      <x:c r="E156" s="187" t="str">
        <x:v>R_GB_DE_A_ROAD</x:v>
      </x:c>
      <x:c r="F156" s="187" t="str">
        <x:v>GB</x:v>
      </x:c>
      <x:c r="G156" s="187" t="str">
        <x:v>DE_FC</x:v>
      </x:c>
      <x:c r="H156" s="187" t="str">
        <x:v>CARRIER_A</x:v>
      </x:c>
      <x:c r="I156" s="187" t="str">
        <x:v>ROAD</x:v>
      </x:c>
      <x:c r="J156" s="187" t="str">
        <x:v>FUEL_SURCHARGE</x:v>
      </x:c>
      <x:c r="K156" s="187" t="str">
        <x:v>GBP</x:v>
      </x:c>
      <x:c r="L156" s="232" t="n">
        <x:v>1197.600768</x:v>
      </x:c>
      <x:c r="M156" s="232" t="n">
        <x:v>9</x:v>
      </x:c>
      <x:c r="N156" s="187" t="str">
        <x:v>10778.40691200000000000</x:v>
      </x:c>
      <x:c r="O156" s="235" t="n">
        <x:v>10778.4069</x:v>
      </x:c>
      <x:c r="P156" s="235"/>
      <x:c r="Q156" s="235"/>
      <x:c r="R156" s="235" t="str">
        <x:v>INVOICE_OR_PLAN</x:v>
      </x:c>
      <x:c r="S156" s="238" t="n">
        <x:f>'Model_Calc'!AG30</x:f>
        <x:v>10778.406912</x:v>
      </x:c>
      <x:c r="T156" s="238" t="n">
        <x:f>ROUND(S156-O156,4)</x:f>
        <x:v>0</x:v>
      </x:c>
    </x:row>
    <x:row r="157">
      <x:c r="A157" s="187" t="str">
        <x:v>BUDGET_2026_V1</x:v>
      </x:c>
      <x:c r="B157" s="187" t="str">
        <x:v>BUDGET</x:v>
      </x:c>
      <x:c r="C157" s="187"/>
      <x:c r="D157" s="217" t="n">
        <x:v>46082</x:v>
      </x:c>
      <x:c r="E157" s="187" t="str">
        <x:v>R_GB_DE_A_ROAD</x:v>
      </x:c>
      <x:c r="F157" s="187" t="str">
        <x:v>GB</x:v>
      </x:c>
      <x:c r="G157" s="187" t="str">
        <x:v>DE_FC</x:v>
      </x:c>
      <x:c r="H157" s="187" t="str">
        <x:v>CARRIER_A</x:v>
      </x:c>
      <x:c r="I157" s="187" t="str">
        <x:v>ROAD</x:v>
      </x:c>
      <x:c r="J157" s="187" t="str">
        <x:v>WAREHOUSE_OPERATION</x:v>
      </x:c>
      <x:c r="K157" s="187" t="str">
        <x:v>EUR</x:v>
      </x:c>
      <x:c r="L157" s="232" t="n">
        <x:v>3092.544</x:v>
      </x:c>
      <x:c r="M157" s="232" t="n">
        <x:v>7.8</x:v>
      </x:c>
      <x:c r="N157" s="187" t="str">
        <x:v>24121.8432000000</x:v>
      </x:c>
      <x:c r="O157" s="235" t="n">
        <x:v>24121.8432</x:v>
      </x:c>
      <x:c r="P157" s="235"/>
      <x:c r="Q157" s="235"/>
      <x:c r="R157" s="235" t="str">
        <x:v>INVOICE_OR_PLAN</x:v>
      </x:c>
      <x:c r="S157" s="238" t="n">
        <x:f>'Model_Calc'!AL30</x:f>
        <x:v>24121.8432</x:v>
      </x:c>
      <x:c r="T157" s="238" t="n">
        <x:f>ROUND(S157-O157,4)</x:f>
        <x:v>0</x:v>
      </x:c>
    </x:row>
    <x:row r="158">
      <x:c r="A158" s="187" t="str">
        <x:v>BUDGET_2026_V1</x:v>
      </x:c>
      <x:c r="B158" s="187" t="str">
        <x:v>BUDGET</x:v>
      </x:c>
      <x:c r="C158" s="187"/>
      <x:c r="D158" s="217" t="n">
        <x:v>46082</x:v>
      </x:c>
      <x:c r="E158" s="187" t="str">
        <x:v>R_GB_DE_A_ROAD</x:v>
      </x:c>
      <x:c r="F158" s="187" t="str">
        <x:v>GB</x:v>
      </x:c>
      <x:c r="G158" s="187" t="str">
        <x:v>DE_FC</x:v>
      </x:c>
      <x:c r="H158" s="187" t="str">
        <x:v>CARRIER_A</x:v>
      </x:c>
      <x:c r="I158" s="187" t="str">
        <x:v>ROAD</x:v>
      </x:c>
      <x:c r="J158" s="187" t="str">
        <x:v>PACKAGING</x:v>
      </x:c>
      <x:c r="K158" s="187" t="str">
        <x:v>EUR</x:v>
      </x:c>
      <x:c r="L158" s="232" t="n">
        <x:v>1232.82432</x:v>
      </x:c>
      <x:c r="M158" s="232" t="n">
        <x:v>7.8</x:v>
      </x:c>
      <x:c r="N158" s="187" t="str">
        <x:v>9616.029696000000</x:v>
      </x:c>
      <x:c r="O158" s="235" t="n">
        <x:v>9616.0297</x:v>
      </x:c>
      <x:c r="P158" s="235"/>
      <x:c r="Q158" s="235"/>
      <x:c r="R158" s="235" t="str">
        <x:v>INVOICE_OR_PLAN</x:v>
      </x:c>
      <x:c r="S158" s="238" t="n">
        <x:f>'Model_Calc'!AQ30</x:f>
        <x:v>9616.029696000001</x:v>
      </x:c>
      <x:c r="T158" s="238" t="n">
        <x:f>ROUND(S158-O158,4)</x:f>
        <x:v>0</x:v>
      </x:c>
    </x:row>
    <x:row r="159">
      <x:c r="A159" s="187" t="str">
        <x:v>BUDGET_2026_V1</x:v>
      </x:c>
      <x:c r="B159" s="187" t="str">
        <x:v>BUDGET</x:v>
      </x:c>
      <x:c r="C159" s="187"/>
      <x:c r="D159" s="217" t="n">
        <x:v>46082</x:v>
      </x:c>
      <x:c r="E159" s="187" t="str">
        <x:v>R_GB_DE_A_ROAD</x:v>
      </x:c>
      <x:c r="F159" s="187" t="str">
        <x:v>GB</x:v>
      </x:c>
      <x:c r="G159" s="187" t="str">
        <x:v>DE_FC</x:v>
      </x:c>
      <x:c r="H159" s="187" t="str">
        <x:v>CARRIER_A</x:v>
      </x:c>
      <x:c r="I159" s="187" t="str">
        <x:v>ROAD</x:v>
      </x:c>
      <x:c r="J159" s="187" t="str">
        <x:v>RETURN_LOGISTICS</x:v>
      </x:c>
      <x:c r="K159" s="187" t="str">
        <x:v>GBP</x:v>
      </x:c>
      <x:c r="L159" s="232" t="n">
        <x:v>1006.3872</x:v>
      </x:c>
      <x:c r="M159" s="232" t="n">
        <x:v>9</x:v>
      </x:c>
      <x:c r="N159" s="187" t="str">
        <x:v>9057.4848000000000</x:v>
      </x:c>
      <x:c r="O159" s="235" t="n">
        <x:v>9057.4848</x:v>
      </x:c>
      <x:c r="P159" s="235"/>
      <x:c r="Q159" s="235"/>
      <x:c r="R159" s="235" t="str">
        <x:v>INVOICE_OR_PLAN</x:v>
      </x:c>
      <x:c r="S159" s="238" t="n">
        <x:f>'Model_Calc'!AV30</x:f>
        <x:v>9057.4848</x:v>
      </x:c>
      <x:c r="T159" s="238" t="n">
        <x:f>ROUND(S159-O159,4)</x:f>
        <x:v>0</x:v>
      </x:c>
    </x:row>
    <x:row r="160">
      <x:c r="A160" s="187" t="str">
        <x:v>BUDGET_2026_V1</x:v>
      </x:c>
      <x:c r="B160" s="187" t="str">
        <x:v>BUDGET</x:v>
      </x:c>
      <x:c r="C160" s="187"/>
      <x:c r="D160" s="217" t="n">
        <x:v>46082</x:v>
      </x:c>
      <x:c r="E160" s="187" t="str">
        <x:v>R_GB_DE_A_ROAD</x:v>
      </x:c>
      <x:c r="F160" s="187" t="str">
        <x:v>GB</x:v>
      </x:c>
      <x:c r="G160" s="187" t="str">
        <x:v>DE_FC</x:v>
      </x:c>
      <x:c r="H160" s="187" t="str">
        <x:v>CARRIER_A</x:v>
      </x:c>
      <x:c r="I160" s="187" t="str">
        <x:v>ROAD</x:v>
      </x:c>
      <x:c r="J160" s="187" t="str">
        <x:v>BILLABLE_EXCEPTION</x:v>
      </x:c>
      <x:c r="K160" s="187" t="str">
        <x:v>GBP</x:v>
      </x:c>
      <x:c r="L160" s="232" t="n">
        <x:v>148.5259776</x:v>
      </x:c>
      <x:c r="M160" s="232" t="n">
        <x:v>9</x:v>
      </x:c>
      <x:c r="N160" s="187" t="str">
        <x:v>1336.733798400000000</x:v>
      </x:c>
      <x:c r="O160" s="235" t="n">
        <x:v>1336.7338</x:v>
      </x:c>
      <x:c r="P160" s="235"/>
      <x:c r="Q160" s="235"/>
      <x:c r="R160" s="235" t="str">
        <x:v>INVOICE_OR_PLAN</x:v>
      </x:c>
      <x:c r="S160" s="238" t="n">
        <x:f>'Model_Calc'!BA30</x:f>
        <x:v>1336.7337984</x:v>
      </x:c>
      <x:c r="T160" s="238" t="n">
        <x:f>ROUND(S160-O160,4)</x:f>
        <x:v>0</x:v>
      </x:c>
    </x:row>
    <x:row r="161">
      <x:c r="A161" s="187" t="str">
        <x:v>BUDGET_2026_V1</x:v>
      </x:c>
      <x:c r="B161" s="187" t="str">
        <x:v>BUDGET</x:v>
      </x:c>
      <x:c r="C161" s="187"/>
      <x:c r="D161" s="217" t="n">
        <x:v>46082</x:v>
      </x:c>
      <x:c r="E161" s="187" t="str">
        <x:v>R_GB_DE_B_ROAD</x:v>
      </x:c>
      <x:c r="F161" s="187" t="str">
        <x:v>GB</x:v>
      </x:c>
      <x:c r="G161" s="187" t="str">
        <x:v>DE_FC</x:v>
      </x:c>
      <x:c r="H161" s="187" t="str">
        <x:v>CARRIER_B</x:v>
      </x:c>
      <x:c r="I161" s="187" t="str">
        <x:v>ROAD</x:v>
      </x:c>
      <x:c r="J161" s="187" t="str">
        <x:v>BASE_FREIGHT</x:v>
      </x:c>
      <x:c r="K161" s="187" t="str">
        <x:v>GBP</x:v>
      </x:c>
      <x:c r="L161" s="232" t="n">
        <x:v>5306.112</x:v>
      </x:c>
      <x:c r="M161" s="232" t="n">
        <x:v>9</x:v>
      </x:c>
      <x:c r="N161" s="187" t="str">
        <x:v>47755.00800000000000</x:v>
      </x:c>
      <x:c r="O161" s="235" t="n">
        <x:v>47755.008</x:v>
      </x:c>
      <x:c r="P161" s="235"/>
      <x:c r="Q161" s="235"/>
      <x:c r="R161" s="235" t="str">
        <x:v>INVOICE_OR_PLAN</x:v>
      </x:c>
      <x:c r="S161" s="238" t="n">
        <x:f>'Model_Calc'!AF31</x:f>
        <x:v>47755.008</x:v>
      </x:c>
      <x:c r="T161" s="238" t="n">
        <x:f>ROUND(S161-O161,4)</x:f>
        <x:v>0</x:v>
      </x:c>
    </x:row>
    <x:row r="162">
      <x:c r="A162" s="187" t="str">
        <x:v>BUDGET_2026_V1</x:v>
      </x:c>
      <x:c r="B162" s="187" t="str">
        <x:v>BUDGET</x:v>
      </x:c>
      <x:c r="C162" s="187"/>
      <x:c r="D162" s="217" t="n">
        <x:v>46082</x:v>
      </x:c>
      <x:c r="E162" s="187" t="str">
        <x:v>R_GB_DE_B_ROAD</x:v>
      </x:c>
      <x:c r="F162" s="187" t="str">
        <x:v>GB</x:v>
      </x:c>
      <x:c r="G162" s="187" t="str">
        <x:v>DE_FC</x:v>
      </x:c>
      <x:c r="H162" s="187" t="str">
        <x:v>CARRIER_B</x:v>
      </x:c>
      <x:c r="I162" s="187" t="str">
        <x:v>ROAD</x:v>
      </x:c>
      <x:c r="J162" s="187" t="str">
        <x:v>FUEL_SURCHARGE</x:v>
      </x:c>
      <x:c r="K162" s="187" t="str">
        <x:v>GBP</x:v>
      </x:c>
      <x:c r="L162" s="232" t="n">
        <x:v>372.5568</x:v>
      </x:c>
      <x:c r="M162" s="232" t="n">
        <x:v>9</x:v>
      </x:c>
      <x:c r="N162" s="187" t="str">
        <x:v>3353.01120000000000</x:v>
      </x:c>
      <x:c r="O162" s="235" t="n">
        <x:v>3353.0112</x:v>
      </x:c>
      <x:c r="P162" s="235"/>
      <x:c r="Q162" s="235"/>
      <x:c r="R162" s="235" t="str">
        <x:v>INVOICE_OR_PLAN</x:v>
      </x:c>
      <x:c r="S162" s="238" t="n">
        <x:f>'Model_Calc'!AG31</x:f>
        <x:v>3353.0112</x:v>
      </x:c>
      <x:c r="T162" s="238" t="n">
        <x:f>ROUND(S162-O162,4)</x:f>
        <x:v>0</x:v>
      </x:c>
    </x:row>
    <x:row r="163">
      <x:c r="A163" s="187" t="str">
        <x:v>BUDGET_2026_V1</x:v>
      </x:c>
      <x:c r="B163" s="187" t="str">
        <x:v>BUDGET</x:v>
      </x:c>
      <x:c r="C163" s="187"/>
      <x:c r="D163" s="217" t="n">
        <x:v>46082</x:v>
      </x:c>
      <x:c r="E163" s="187" t="str">
        <x:v>R_GB_DE_B_ROAD</x:v>
      </x:c>
      <x:c r="F163" s="187" t="str">
        <x:v>GB</x:v>
      </x:c>
      <x:c r="G163" s="187" t="str">
        <x:v>DE_FC</x:v>
      </x:c>
      <x:c r="H163" s="187" t="str">
        <x:v>CARRIER_B</x:v>
      </x:c>
      <x:c r="I163" s="187" t="str">
        <x:v>ROAD</x:v>
      </x:c>
      <x:c r="J163" s="187" t="str">
        <x:v>WAREHOUSE_OPERATION</x:v>
      </x:c>
      <x:c r="K163" s="187" t="str">
        <x:v>EUR</x:v>
      </x:c>
      <x:c r="L163" s="232" t="n">
        <x:v>1189.44</x:v>
      </x:c>
      <x:c r="M163" s="232" t="n">
        <x:v>7.8</x:v>
      </x:c>
      <x:c r="N163" s="187" t="str">
        <x:v>9277.6320000000</x:v>
      </x:c>
      <x:c r="O163" s="235" t="n">
        <x:v>9277.632</x:v>
      </x:c>
      <x:c r="P163" s="235"/>
      <x:c r="Q163" s="235"/>
      <x:c r="R163" s="235" t="str">
        <x:v>INVOICE_OR_PLAN</x:v>
      </x:c>
      <x:c r="S163" s="238" t="n">
        <x:f>'Model_Calc'!AL31</x:f>
        <x:v>9277.631999999998</x:v>
      </x:c>
      <x:c r="T163" s="238" t="n">
        <x:f>ROUND(S163-O163,4)</x:f>
        <x:v>0</x:v>
      </x:c>
    </x:row>
    <x:row r="164">
      <x:c r="A164" s="187" t="str">
        <x:v>BUDGET_2026_V1</x:v>
      </x:c>
      <x:c r="B164" s="187" t="str">
        <x:v>BUDGET</x:v>
      </x:c>
      <x:c r="C164" s="187"/>
      <x:c r="D164" s="217" t="n">
        <x:v>46082</x:v>
      </x:c>
      <x:c r="E164" s="187" t="str">
        <x:v>R_GB_DE_B_ROAD</x:v>
      </x:c>
      <x:c r="F164" s="187" t="str">
        <x:v>GB</x:v>
      </x:c>
      <x:c r="G164" s="187" t="str">
        <x:v>DE_FC</x:v>
      </x:c>
      <x:c r="H164" s="187" t="str">
        <x:v>CARRIER_B</x:v>
      </x:c>
      <x:c r="I164" s="187" t="str">
        <x:v>ROAD</x:v>
      </x:c>
      <x:c r="J164" s="187" t="str">
        <x:v>PACKAGING</x:v>
      </x:c>
      <x:c r="K164" s="187" t="str">
        <x:v>EUR</x:v>
      </x:c>
      <x:c r="L164" s="232" t="n">
        <x:v>474.1632</x:v>
      </x:c>
      <x:c r="M164" s="232" t="n">
        <x:v>7.8</x:v>
      </x:c>
      <x:c r="N164" s="187" t="str">
        <x:v>3698.472960000000</x:v>
      </x:c>
      <x:c r="O164" s="235" t="n">
        <x:v>3698.473</x:v>
      </x:c>
      <x:c r="P164" s="235"/>
      <x:c r="Q164" s="235"/>
      <x:c r="R164" s="235" t="str">
        <x:v>INVOICE_OR_PLAN</x:v>
      </x:c>
      <x:c r="S164" s="238" t="n">
        <x:f>'Model_Calc'!AQ31</x:f>
        <x:v>3698.47296</x:v>
      </x:c>
      <x:c r="T164" s="238" t="n">
        <x:f>ROUND(S164-O164,4)</x:f>
        <x:v>0</x:v>
      </x:c>
    </x:row>
    <x:row r="165">
      <x:c r="A165" s="187" t="str">
        <x:v>BUDGET_2026_V1</x:v>
      </x:c>
      <x:c r="B165" s="187" t="str">
        <x:v>BUDGET</x:v>
      </x:c>
      <x:c r="C165" s="187"/>
      <x:c r="D165" s="217" t="n">
        <x:v>46082</x:v>
      </x:c>
      <x:c r="E165" s="187" t="str">
        <x:v>R_GB_DE_B_ROAD</x:v>
      </x:c>
      <x:c r="F165" s="187" t="str">
        <x:v>GB</x:v>
      </x:c>
      <x:c r="G165" s="187" t="str">
        <x:v>DE_FC</x:v>
      </x:c>
      <x:c r="H165" s="187" t="str">
        <x:v>CARRIER_B</x:v>
      </x:c>
      <x:c r="I165" s="187" t="str">
        <x:v>ROAD</x:v>
      </x:c>
      <x:c r="J165" s="187" t="str">
        <x:v>RETURN_LOGISTICS</x:v>
      </x:c>
      <x:c r="K165" s="187" t="str">
        <x:v>GBP</x:v>
      </x:c>
      <x:c r="L165" s="232" t="n">
        <x:v>387.072</x:v>
      </x:c>
      <x:c r="M165" s="232" t="n">
        <x:v>9</x:v>
      </x:c>
      <x:c r="N165" s="187" t="str">
        <x:v>3483.6480000000000</x:v>
      </x:c>
      <x:c r="O165" s="235" t="n">
        <x:v>3483.648</x:v>
      </x:c>
      <x:c r="P165" s="235"/>
      <x:c r="Q165" s="235"/>
      <x:c r="R165" s="235" t="str">
        <x:v>INVOICE_OR_PLAN</x:v>
      </x:c>
      <x:c r="S165" s="238" t="n">
        <x:f>'Model_Calc'!AV31</x:f>
        <x:v>3483.648</x:v>
      </x:c>
      <x:c r="T165" s="238" t="n">
        <x:f>ROUND(S165-O165,4)</x:f>
        <x:v>0</x:v>
      </x:c>
    </x:row>
    <x:row r="166">
      <x:c r="A166" s="187" t="str">
        <x:v>BUDGET_2026_V1</x:v>
      </x:c>
      <x:c r="B166" s="187" t="str">
        <x:v>BUDGET</x:v>
      </x:c>
      <x:c r="C166" s="187"/>
      <x:c r="D166" s="217" t="n">
        <x:v>46082</x:v>
      </x:c>
      <x:c r="E166" s="187" t="str">
        <x:v>R_GB_DE_B_ROAD</x:v>
      </x:c>
      <x:c r="F166" s="187" t="str">
        <x:v>GB</x:v>
      </x:c>
      <x:c r="G166" s="187" t="str">
        <x:v>DE_FC</x:v>
      </x:c>
      <x:c r="H166" s="187" t="str">
        <x:v>CARRIER_B</x:v>
      </x:c>
      <x:c r="I166" s="187" t="str">
        <x:v>ROAD</x:v>
      </x:c>
      <x:c r="J166" s="187" t="str">
        <x:v>BILLABLE_EXCEPTION</x:v>
      </x:c>
      <x:c r="K166" s="187" t="str">
        <x:v>GBP</x:v>
      </x:c>
      <x:c r="L166" s="232" t="n">
        <x:v>44.142336</x:v>
      </x:c>
      <x:c r="M166" s="232" t="n">
        <x:v>9</x:v>
      </x:c>
      <x:c r="N166" s="187" t="str">
        <x:v>397.281024000000000</x:v>
      </x:c>
      <x:c r="O166" s="235" t="n">
        <x:v>397.281</x:v>
      </x:c>
      <x:c r="P166" s="235"/>
      <x:c r="Q166" s="235"/>
      <x:c r="R166" s="235" t="str">
        <x:v>INVOICE_OR_PLAN</x:v>
      </x:c>
      <x:c r="S166" s="238" t="n">
        <x:f>'Model_Calc'!BA31</x:f>
        <x:v>397.281024</x:v>
      </x:c>
      <x:c r="T166" s="238" t="n">
        <x:f>ROUND(S166-O166,4)</x:f>
        <x:v>0</x:v>
      </x:c>
    </x:row>
    <x:row r="167">
      <x:c r="A167" s="187" t="str">
        <x:v>BUDGET_2026_V1</x:v>
      </x:c>
      <x:c r="B167" s="187" t="str">
        <x:v>BUDGET</x:v>
      </x:c>
      <x:c r="C167" s="187"/>
      <x:c r="D167" s="217" t="n">
        <x:v>46082</x:v>
      </x:c>
      <x:c r="E167" s="187" t="str">
        <x:v>R_GB_DE_B_AIR</x:v>
      </x:c>
      <x:c r="F167" s="187" t="str">
        <x:v>GB</x:v>
      </x:c>
      <x:c r="G167" s="187" t="str">
        <x:v>DE_FC</x:v>
      </x:c>
      <x:c r="H167" s="187" t="str">
        <x:v>CARRIER_B</x:v>
      </x:c>
      <x:c r="I167" s="187" t="str">
        <x:v>AIR</x:v>
      </x:c>
      <x:c r="J167" s="187" t="str">
        <x:v>BASE_FREIGHT</x:v>
      </x:c>
      <x:c r="K167" s="187" t="str">
        <x:v>GBP</x:v>
      </x:c>
      <x:c r="L167" s="232" t="n">
        <x:v>1842.2820864</x:v>
      </x:c>
      <x:c r="M167" s="232" t="n">
        <x:v>9</x:v>
      </x:c>
      <x:c r="N167" s="187" t="str">
        <x:v>16580.53877760000000</x:v>
      </x:c>
      <x:c r="O167" s="235" t="n">
        <x:v>16580.5388</x:v>
      </x:c>
      <x:c r="P167" s="235"/>
      <x:c r="Q167" s="235"/>
      <x:c r="R167" s="235" t="str">
        <x:v>INVOICE_OR_PLAN</x:v>
      </x:c>
      <x:c r="S167" s="238" t="n">
        <x:f>'Model_Calc'!AF32</x:f>
        <x:v>16580.5387776</x:v>
      </x:c>
      <x:c r="T167" s="238" t="n">
        <x:f>ROUND(S167-O167,4)</x:f>
        <x:v>0</x:v>
      </x:c>
    </x:row>
    <x:row r="168">
      <x:c r="A168" s="187" t="str">
        <x:v>BUDGET_2026_V1</x:v>
      </x:c>
      <x:c r="B168" s="187" t="str">
        <x:v>BUDGET</x:v>
      </x:c>
      <x:c r="C168" s="187"/>
      <x:c r="D168" s="217" t="n">
        <x:v>46082</x:v>
      </x:c>
      <x:c r="E168" s="187" t="str">
        <x:v>R_GB_DE_B_AIR</x:v>
      </x:c>
      <x:c r="F168" s="187" t="str">
        <x:v>GB</x:v>
      </x:c>
      <x:c r="G168" s="187" t="str">
        <x:v>DE_FC</x:v>
      </x:c>
      <x:c r="H168" s="187" t="str">
        <x:v>CARRIER_B</x:v>
      </x:c>
      <x:c r="I168" s="187" t="str">
        <x:v>AIR</x:v>
      </x:c>
      <x:c r="J168" s="187" t="str">
        <x:v>FUEL_SURCHARGE</x:v>
      </x:c>
      <x:c r="K168" s="187" t="str">
        <x:v>GBP</x:v>
      </x:c>
      <x:c r="L168" s="232" t="n">
        <x:v>211.862439936</x:v>
      </x:c>
      <x:c r="M168" s="232" t="n">
        <x:v>9</x:v>
      </x:c>
      <x:c r="N168" s="187" t="str">
        <x:v>1906.76195942400000000</x:v>
      </x:c>
      <x:c r="O168" s="235" t="n">
        <x:v>1906.762</x:v>
      </x:c>
      <x:c r="P168" s="235"/>
      <x:c r="Q168" s="235"/>
      <x:c r="R168" s="235" t="str">
        <x:v>INVOICE_OR_PLAN</x:v>
      </x:c>
      <x:c r="S168" s="238" t="n">
        <x:f>'Model_Calc'!AG32</x:f>
        <x:v>1906.7619594240002</x:v>
      </x:c>
      <x:c r="T168" s="238" t="n">
        <x:f>ROUND(S168-O168,4)</x:f>
        <x:v>0</x:v>
      </x:c>
    </x:row>
    <x:row r="169">
      <x:c r="A169" s="187" t="str">
        <x:v>BUDGET_2026_V1</x:v>
      </x:c>
      <x:c r="B169" s="187" t="str">
        <x:v>BUDGET</x:v>
      </x:c>
      <x:c r="C169" s="187"/>
      <x:c r="D169" s="217" t="n">
        <x:v>46082</x:v>
      </x:c>
      <x:c r="E169" s="187" t="str">
        <x:v>R_GB_DE_B_AIR</x:v>
      </x:c>
      <x:c r="F169" s="187" t="str">
        <x:v>GB</x:v>
      </x:c>
      <x:c r="G169" s="187" t="str">
        <x:v>DE_FC</x:v>
      </x:c>
      <x:c r="H169" s="187" t="str">
        <x:v>CARRIER_B</x:v>
      </x:c>
      <x:c r="I169" s="187" t="str">
        <x:v>AIR</x:v>
      </x:c>
      <x:c r="J169" s="187" t="str">
        <x:v>WAREHOUSE_OPERATION</x:v>
      </x:c>
      <x:c r="K169" s="187" t="str">
        <x:v>EUR</x:v>
      </x:c>
      <x:c r="L169" s="232" t="n">
        <x:v>333.0432</x:v>
      </x:c>
      <x:c r="M169" s="232" t="n">
        <x:v>7.8</x:v>
      </x:c>
      <x:c r="N169" s="187" t="str">
        <x:v>2597.7369600000</x:v>
      </x:c>
      <x:c r="O169" s="235" t="n">
        <x:v>2597.737</x:v>
      </x:c>
      <x:c r="P169" s="235"/>
      <x:c r="Q169" s="235"/>
      <x:c r="R169" s="235" t="str">
        <x:v>INVOICE_OR_PLAN</x:v>
      </x:c>
      <x:c r="S169" s="238" t="n">
        <x:f>'Model_Calc'!AL32</x:f>
        <x:v>2597.73696</x:v>
      </x:c>
      <x:c r="T169" s="238" t="n">
        <x:f>ROUND(S169-O169,4)</x:f>
        <x:v>0</x:v>
      </x:c>
    </x:row>
    <x:row r="170">
      <x:c r="A170" s="187" t="str">
        <x:v>BUDGET_2026_V1</x:v>
      </x:c>
      <x:c r="B170" s="187" t="str">
        <x:v>BUDGET</x:v>
      </x:c>
      <x:c r="C170" s="187"/>
      <x:c r="D170" s="217" t="n">
        <x:v>46082</x:v>
      </x:c>
      <x:c r="E170" s="187" t="str">
        <x:v>R_GB_DE_B_AIR</x:v>
      </x:c>
      <x:c r="F170" s="187" t="str">
        <x:v>GB</x:v>
      </x:c>
      <x:c r="G170" s="187" t="str">
        <x:v>DE_FC</x:v>
      </x:c>
      <x:c r="H170" s="187" t="str">
        <x:v>CARRIER_B</x:v>
      </x:c>
      <x:c r="I170" s="187" t="str">
        <x:v>AIR</x:v>
      </x:c>
      <x:c r="J170" s="187" t="str">
        <x:v>PACKAGING</x:v>
      </x:c>
      <x:c r="K170" s="187" t="str">
        <x:v>EUR</x:v>
      </x:c>
      <x:c r="L170" s="232" t="n">
        <x:v>132.765696</x:v>
      </x:c>
      <x:c r="M170" s="232" t="n">
        <x:v>7.8</x:v>
      </x:c>
      <x:c r="N170" s="187" t="str">
        <x:v>1035.572428800000</x:v>
      </x:c>
      <x:c r="O170" s="235" t="n">
        <x:v>1035.5724</x:v>
      </x:c>
      <x:c r="P170" s="235"/>
      <x:c r="Q170" s="235"/>
      <x:c r="R170" s="235" t="str">
        <x:v>INVOICE_OR_PLAN</x:v>
      </x:c>
      <x:c r="S170" s="238" t="n">
        <x:f>'Model_Calc'!AQ32</x:f>
        <x:v>1035.5724288000001</x:v>
      </x:c>
      <x:c r="T170" s="238" t="n">
        <x:f>ROUND(S170-O170,4)</x:f>
        <x:v>0</x:v>
      </x:c>
    </x:row>
    <x:row r="171">
      <x:c r="A171" s="187" t="str">
        <x:v>BUDGET_2026_V1</x:v>
      </x:c>
      <x:c r="B171" s="187" t="str">
        <x:v>BUDGET</x:v>
      </x:c>
      <x:c r="C171" s="187"/>
      <x:c r="D171" s="217" t="n">
        <x:v>46082</x:v>
      </x:c>
      <x:c r="E171" s="187" t="str">
        <x:v>R_GB_DE_B_AIR</x:v>
      </x:c>
      <x:c r="F171" s="187" t="str">
        <x:v>GB</x:v>
      </x:c>
      <x:c r="G171" s="187" t="str">
        <x:v>DE_FC</x:v>
      </x:c>
      <x:c r="H171" s="187" t="str">
        <x:v>CARRIER_B</x:v>
      </x:c>
      <x:c r="I171" s="187" t="str">
        <x:v>AIR</x:v>
      </x:c>
      <x:c r="J171" s="187" t="str">
        <x:v>RETURN_LOGISTICS</x:v>
      </x:c>
      <x:c r="K171" s="187" t="str">
        <x:v>GBP</x:v>
      </x:c>
      <x:c r="L171" s="232" t="n">
        <x:v>108.38016</x:v>
      </x:c>
      <x:c r="M171" s="232" t="n">
        <x:v>9</x:v>
      </x:c>
      <x:c r="N171" s="187" t="str">
        <x:v>975.4214400000000</x:v>
      </x:c>
      <x:c r="O171" s="235" t="n">
        <x:v>975.4214</x:v>
      </x:c>
      <x:c r="P171" s="235"/>
      <x:c r="Q171" s="235"/>
      <x:c r="R171" s="235" t="str">
        <x:v>INVOICE_OR_PLAN</x:v>
      </x:c>
      <x:c r="S171" s="238" t="n">
        <x:f>'Model_Calc'!AV32</x:f>
        <x:v>975.4214400000001</x:v>
      </x:c>
      <x:c r="T171" s="238" t="n">
        <x:f>ROUND(S171-O171,4)</x:f>
        <x:v>0</x:v>
      </x:c>
    </x:row>
    <x:row r="172">
      <x:c r="A172" s="187" t="str">
        <x:v>BUDGET_2026_V1</x:v>
      </x:c>
      <x:c r="B172" s="187" t="str">
        <x:v>BUDGET</x:v>
      </x:c>
      <x:c r="C172" s="187"/>
      <x:c r="D172" s="217" t="n">
        <x:v>46082</x:v>
      </x:c>
      <x:c r="E172" s="187" t="str">
        <x:v>R_GB_DE_B_AIR</x:v>
      </x:c>
      <x:c r="F172" s="187" t="str">
        <x:v>GB</x:v>
      </x:c>
      <x:c r="G172" s="187" t="str">
        <x:v>DE_FC</x:v>
      </x:c>
      <x:c r="H172" s="187" t="str">
        <x:v>CARRIER_B</x:v>
      </x:c>
      <x:c r="I172" s="187" t="str">
        <x:v>AIR</x:v>
      </x:c>
      <x:c r="J172" s="187" t="str">
        <x:v>BILLABLE_EXCEPTION</x:v>
      </x:c>
      <x:c r="K172" s="187" t="str">
        <x:v>GBP</x:v>
      </x:c>
      <x:c r="L172" s="232" t="n">
        <x:v>11.50636032</x:v>
      </x:c>
      <x:c r="M172" s="232" t="n">
        <x:v>9</x:v>
      </x:c>
      <x:c r="N172" s="187" t="str">
        <x:v>103.557242880000000</x:v>
      </x:c>
      <x:c r="O172" s="235" t="n">
        <x:v>103.5572</x:v>
      </x:c>
      <x:c r="P172" s="235"/>
      <x:c r="Q172" s="235"/>
      <x:c r="R172" s="235" t="str">
        <x:v>INVOICE_OR_PLAN</x:v>
      </x:c>
      <x:c r="S172" s="238" t="n">
        <x:f>'Model_Calc'!BA32</x:f>
        <x:v>103.55724288</x:v>
      </x:c>
      <x:c r="T172" s="238" t="n">
        <x:f>ROUND(S172-O172,4)</x:f>
        <x:v>0</x:v>
      </x:c>
    </x:row>
    <x:row r="173">
      <x:c r="A173" s="187" t="str">
        <x:v>BUDGET_2026_V1</x:v>
      </x:c>
      <x:c r="B173" s="187" t="str">
        <x:v>BUDGET</x:v>
      </x:c>
      <x:c r="C173" s="187"/>
      <x:c r="D173" s="217" t="n">
        <x:v>46082</x:v>
      </x:c>
      <x:c r="E173" s="187" t="str">
        <x:v>R_GB_DE_C_AIR</x:v>
      </x:c>
      <x:c r="F173" s="187" t="str">
        <x:v>GB</x:v>
      </x:c>
      <x:c r="G173" s="187" t="str">
        <x:v>DE_FC</x:v>
      </x:c>
      <x:c r="H173" s="187" t="str">
        <x:v>CARRIER_C</x:v>
      </x:c>
      <x:c r="I173" s="187" t="str">
        <x:v>AIR</x:v>
      </x:c>
      <x:c r="J173" s="187" t="str">
        <x:v>BASE_FREIGHT</x:v>
      </x:c>
      <x:c r="K173" s="187" t="str">
        <x:v>GBP</x:v>
      </x:c>
      <x:c r="L173" s="232" t="n">
        <x:v>934.77888</x:v>
      </x:c>
      <x:c r="M173" s="232" t="n">
        <x:v>9</x:v>
      </x:c>
      <x:c r="N173" s="187" t="str">
        <x:v>8413.00992000000000</x:v>
      </x:c>
      <x:c r="O173" s="235" t="n">
        <x:v>8413.0099</x:v>
      </x:c>
      <x:c r="P173" s="235"/>
      <x:c r="Q173" s="235"/>
      <x:c r="R173" s="235" t="str">
        <x:v>INVOICE_OR_PLAN</x:v>
      </x:c>
      <x:c r="S173" s="238" t="n">
        <x:f>'Model_Calc'!AF33</x:f>
        <x:v>8413.00992</x:v>
      </x:c>
      <x:c r="T173" s="238" t="n">
        <x:f>ROUND(S173-O173,4)</x:f>
        <x:v>0</x:v>
      </x:c>
    </x:row>
    <x:row r="174">
      <x:c r="A174" s="187" t="str">
        <x:v>BUDGET_2026_V1</x:v>
      </x:c>
      <x:c r="B174" s="187" t="str">
        <x:v>BUDGET</x:v>
      </x:c>
      <x:c r="C174" s="187"/>
      <x:c r="D174" s="217" t="n">
        <x:v>46082</x:v>
      </x:c>
      <x:c r="E174" s="187" t="str">
        <x:v>R_GB_DE_C_AIR</x:v>
      </x:c>
      <x:c r="F174" s="187" t="str">
        <x:v>GB</x:v>
      </x:c>
      <x:c r="G174" s="187" t="str">
        <x:v>DE_FC</x:v>
      </x:c>
      <x:c r="H174" s="187" t="str">
        <x:v>CARRIER_C</x:v>
      </x:c>
      <x:c r="I174" s="187" t="str">
        <x:v>AIR</x:v>
      </x:c>
      <x:c r="J174" s="187" t="str">
        <x:v>FUEL_SURCHARGE</x:v>
      </x:c>
      <x:c r="K174" s="187" t="str">
        <x:v>GBP</x:v>
      </x:c>
      <x:c r="L174" s="232" t="n">
        <x:v>72.28956672</x:v>
      </x:c>
      <x:c r="M174" s="232" t="n">
        <x:v>9</x:v>
      </x:c>
      <x:c r="N174" s="187" t="str">
        <x:v>650.60610048000000</x:v>
      </x:c>
      <x:c r="O174" s="235" t="n">
        <x:v>650.6061</x:v>
      </x:c>
      <x:c r="P174" s="235"/>
      <x:c r="Q174" s="235"/>
      <x:c r="R174" s="235" t="str">
        <x:v>INVOICE_OR_PLAN</x:v>
      </x:c>
      <x:c r="S174" s="238" t="n">
        <x:f>'Model_Calc'!AG33</x:f>
        <x:v>650.60610048</x:v>
      </x:c>
      <x:c r="T174" s="238" t="n">
        <x:f>ROUND(S174-O174,4)</x:f>
        <x:v>0</x:v>
      </x:c>
    </x:row>
    <x:row r="175">
      <x:c r="A175" s="187" t="str">
        <x:v>BUDGET_2026_V1</x:v>
      </x:c>
      <x:c r="B175" s="187" t="str">
        <x:v>BUDGET</x:v>
      </x:c>
      <x:c r="C175" s="187"/>
      <x:c r="D175" s="217" t="n">
        <x:v>46082</x:v>
      </x:c>
      <x:c r="E175" s="187" t="str">
        <x:v>R_GB_DE_C_AIR</x:v>
      </x:c>
      <x:c r="F175" s="187" t="str">
        <x:v>GB</x:v>
      </x:c>
      <x:c r="G175" s="187" t="str">
        <x:v>DE_FC</x:v>
      </x:c>
      <x:c r="H175" s="187" t="str">
        <x:v>CARRIER_C</x:v>
      </x:c>
      <x:c r="I175" s="187" t="str">
        <x:v>AIR</x:v>
      </x:c>
      <x:c r="J175" s="187" t="str">
        <x:v>WAREHOUSE_OPERATION</x:v>
      </x:c>
      <x:c r="K175" s="187" t="str">
        <x:v>EUR</x:v>
      </x:c>
      <x:c r="L175" s="232" t="n">
        <x:v>142.7328</x:v>
      </x:c>
      <x:c r="M175" s="232" t="n">
        <x:v>7.8</x:v>
      </x:c>
      <x:c r="N175" s="187" t="str">
        <x:v>1113.3158400000</x:v>
      </x:c>
      <x:c r="O175" s="235" t="n">
        <x:v>1113.3158</x:v>
      </x:c>
      <x:c r="P175" s="235"/>
      <x:c r="Q175" s="235"/>
      <x:c r="R175" s="235" t="str">
        <x:v>INVOICE_OR_PLAN</x:v>
      </x:c>
      <x:c r="S175" s="238" t="n">
        <x:f>'Model_Calc'!AL33</x:f>
        <x:v>1113.31584</x:v>
      </x:c>
      <x:c r="T175" s="238" t="n">
        <x:f>ROUND(S175-O175,4)</x:f>
        <x:v>0</x:v>
      </x:c>
    </x:row>
    <x:row r="176">
      <x:c r="A176" s="187" t="str">
        <x:v>BUDGET_2026_V1</x:v>
      </x:c>
      <x:c r="B176" s="187" t="str">
        <x:v>BUDGET</x:v>
      </x:c>
      <x:c r="C176" s="187"/>
      <x:c r="D176" s="217" t="n">
        <x:v>46082</x:v>
      </x:c>
      <x:c r="E176" s="187" t="str">
        <x:v>R_GB_DE_C_AIR</x:v>
      </x:c>
      <x:c r="F176" s="187" t="str">
        <x:v>GB</x:v>
      </x:c>
      <x:c r="G176" s="187" t="str">
        <x:v>DE_FC</x:v>
      </x:c>
      <x:c r="H176" s="187" t="str">
        <x:v>CARRIER_C</x:v>
      </x:c>
      <x:c r="I176" s="187" t="str">
        <x:v>AIR</x:v>
      </x:c>
      <x:c r="J176" s="187" t="str">
        <x:v>PACKAGING</x:v>
      </x:c>
      <x:c r="K176" s="187" t="str">
        <x:v>EUR</x:v>
      </x:c>
      <x:c r="L176" s="232" t="n">
        <x:v>56.899584</x:v>
      </x:c>
      <x:c r="M176" s="232" t="n">
        <x:v>7.8</x:v>
      </x:c>
      <x:c r="N176" s="187" t="str">
        <x:v>443.816755200000</x:v>
      </x:c>
      <x:c r="O176" s="235" t="n">
        <x:v>443.8168</x:v>
      </x:c>
      <x:c r="P176" s="235"/>
      <x:c r="Q176" s="235"/>
      <x:c r="R176" s="235" t="str">
        <x:v>INVOICE_OR_PLAN</x:v>
      </x:c>
      <x:c r="S176" s="238" t="n">
        <x:f>'Model_Calc'!AQ33</x:f>
        <x:v>443.8167552</x:v>
      </x:c>
      <x:c r="T176" s="238" t="n">
        <x:f>ROUND(S176-O176,4)</x:f>
        <x:v>0</x:v>
      </x:c>
    </x:row>
    <x:row r="177">
      <x:c r="A177" s="187" t="str">
        <x:v>BUDGET_2026_V1</x:v>
      </x:c>
      <x:c r="B177" s="187" t="str">
        <x:v>BUDGET</x:v>
      </x:c>
      <x:c r="C177" s="187"/>
      <x:c r="D177" s="217" t="n">
        <x:v>46082</x:v>
      </x:c>
      <x:c r="E177" s="187" t="str">
        <x:v>R_GB_DE_C_AIR</x:v>
      </x:c>
      <x:c r="F177" s="187" t="str">
        <x:v>GB</x:v>
      </x:c>
      <x:c r="G177" s="187" t="str">
        <x:v>DE_FC</x:v>
      </x:c>
      <x:c r="H177" s="187" t="str">
        <x:v>CARRIER_C</x:v>
      </x:c>
      <x:c r="I177" s="187" t="str">
        <x:v>AIR</x:v>
      </x:c>
      <x:c r="J177" s="187" t="str">
        <x:v>RETURN_LOGISTICS</x:v>
      </x:c>
      <x:c r="K177" s="187" t="str">
        <x:v>GBP</x:v>
      </x:c>
      <x:c r="L177" s="232" t="n">
        <x:v>46.44864</x:v>
      </x:c>
      <x:c r="M177" s="232" t="n">
        <x:v>9</x:v>
      </x:c>
      <x:c r="N177" s="187" t="str">
        <x:v>418.0377600000000</x:v>
      </x:c>
      <x:c r="O177" s="235" t="n">
        <x:v>418.0378</x:v>
      </x:c>
      <x:c r="P177" s="235"/>
      <x:c r="Q177" s="235"/>
      <x:c r="R177" s="235" t="str">
        <x:v>INVOICE_OR_PLAN</x:v>
      </x:c>
      <x:c r="S177" s="238" t="n">
        <x:f>'Model_Calc'!AV33</x:f>
        <x:v>418.03776</x:v>
      </x:c>
      <x:c r="T177" s="238" t="n">
        <x:f>ROUND(S177-O177,4)</x:f>
        <x:v>0</x:v>
      </x:c>
    </x:row>
    <x:row r="178">
      <x:c r="A178" s="187" t="str">
        <x:v>BUDGET_2026_V1</x:v>
      </x:c>
      <x:c r="B178" s="187" t="str">
        <x:v>BUDGET</x:v>
      </x:c>
      <x:c r="C178" s="187"/>
      <x:c r="D178" s="217" t="n">
        <x:v>46082</x:v>
      </x:c>
      <x:c r="E178" s="187" t="str">
        <x:v>R_GB_DE_C_AIR</x:v>
      </x:c>
      <x:c r="F178" s="187" t="str">
        <x:v>GB</x:v>
      </x:c>
      <x:c r="G178" s="187" t="str">
        <x:v>DE_FC</x:v>
      </x:c>
      <x:c r="H178" s="187" t="str">
        <x:v>CARRIER_C</x:v>
      </x:c>
      <x:c r="I178" s="187" t="str">
        <x:v>AIR</x:v>
      </x:c>
      <x:c r="J178" s="187" t="str">
        <x:v>BILLABLE_EXCEPTION</x:v>
      </x:c>
      <x:c r="K178" s="187" t="str">
        <x:v>GBP</x:v>
      </x:c>
      <x:c r="L178" s="232" t="n">
        <x:v>4.38939648</x:v>
      </x:c>
      <x:c r="M178" s="232" t="n">
        <x:v>9</x:v>
      </x:c>
      <x:c r="N178" s="187" t="str">
        <x:v>39.504568320000000</x:v>
      </x:c>
      <x:c r="O178" s="235" t="n">
        <x:v>39.5046</x:v>
      </x:c>
      <x:c r="P178" s="235"/>
      <x:c r="Q178" s="235"/>
      <x:c r="R178" s="235" t="str">
        <x:v>INVOICE_OR_PLAN</x:v>
      </x:c>
      <x:c r="S178" s="238" t="n">
        <x:f>'Model_Calc'!BA33</x:f>
        <x:v>39.50456832</x:v>
      </x:c>
      <x:c r="T178" s="238" t="n">
        <x:f>ROUND(S178-O178,4)</x:f>
        <x:v>0</x:v>
      </x:c>
    </x:row>
    <x:row r="179">
      <x:c r="A179" s="187" t="str">
        <x:v>BUDGET_2026_V1</x:v>
      </x:c>
      <x:c r="B179" s="187" t="str">
        <x:v>BUDGET</x:v>
      </x:c>
      <x:c r="C179" s="187"/>
      <x:c r="D179" s="217" t="n">
        <x:v>46082</x:v>
      </x:c>
      <x:c r="E179" s="187" t="str">
        <x:v>R_GB_FR_B_AIR</x:v>
      </x:c>
      <x:c r="F179" s="187" t="str">
        <x:v>GB</x:v>
      </x:c>
      <x:c r="G179" s="187" t="str">
        <x:v>FR_FC</x:v>
      </x:c>
      <x:c r="H179" s="187" t="str">
        <x:v>CARRIER_B</x:v>
      </x:c>
      <x:c r="I179" s="187" t="str">
        <x:v>AIR</x:v>
      </x:c>
      <x:c r="J179" s="187" t="str">
        <x:v>BASE_FREIGHT</x:v>
      </x:c>
      <x:c r="K179" s="187" t="str">
        <x:v>EUR</x:v>
      </x:c>
      <x:c r="L179" s="232" t="n">
        <x:v>1164.996</x:v>
      </x:c>
      <x:c r="M179" s="232" t="n">
        <x:v>7.8</x:v>
      </x:c>
      <x:c r="N179" s="187" t="str">
        <x:v>9086.968800000000</x:v>
      </x:c>
      <x:c r="O179" s="235" t="n">
        <x:v>9086.9688</x:v>
      </x:c>
      <x:c r="P179" s="235"/>
      <x:c r="Q179" s="235"/>
      <x:c r="R179" s="235" t="str">
        <x:v>INVOICE_OR_PLAN</x:v>
      </x:c>
      <x:c r="S179" s="238" t="n">
        <x:f>'Model_Calc'!AF34</x:f>
        <x:v>9086.9688</x:v>
      </x:c>
      <x:c r="T179" s="238" t="n">
        <x:f>ROUND(S179-O179,4)</x:f>
        <x:v>0</x:v>
      </x:c>
    </x:row>
    <x:row r="180">
      <x:c r="A180" s="187" t="str">
        <x:v>BUDGET_2026_V1</x:v>
      </x:c>
      <x:c r="B180" s="187" t="str">
        <x:v>BUDGET</x:v>
      </x:c>
      <x:c r="C180" s="187"/>
      <x:c r="D180" s="217" t="n">
        <x:v>46082</x:v>
      </x:c>
      <x:c r="E180" s="187" t="str">
        <x:v>R_GB_FR_B_AIR</x:v>
      </x:c>
      <x:c r="F180" s="187" t="str">
        <x:v>GB</x:v>
      </x:c>
      <x:c r="G180" s="187" t="str">
        <x:v>FR_FC</x:v>
      </x:c>
      <x:c r="H180" s="187" t="str">
        <x:v>CARRIER_B</x:v>
      </x:c>
      <x:c r="I180" s="187" t="str">
        <x:v>AIR</x:v>
      </x:c>
      <x:c r="J180" s="187" t="str">
        <x:v>FUEL_SURCHARGE</x:v>
      </x:c>
      <x:c r="K180" s="187" t="str">
        <x:v>EUR</x:v>
      </x:c>
      <x:c r="L180" s="232" t="n">
        <x:v>122.32458</x:v>
      </x:c>
      <x:c r="M180" s="232" t="n">
        <x:v>7.8</x:v>
      </x:c>
      <x:c r="N180" s="187" t="str">
        <x:v>954.131724000000000</x:v>
      </x:c>
      <x:c r="O180" s="235" t="n">
        <x:v>954.1317</x:v>
      </x:c>
      <x:c r="P180" s="235"/>
      <x:c r="Q180" s="235"/>
      <x:c r="R180" s="235" t="str">
        <x:v>INVOICE_OR_PLAN</x:v>
      </x:c>
      <x:c r="S180" s="238" t="n">
        <x:f>'Model_Calc'!AG34</x:f>
        <x:v>954.1317240000001</x:v>
      </x:c>
      <x:c r="T180" s="238" t="n">
        <x:f>ROUND(S180-O180,4)</x:f>
        <x:v>0</x:v>
      </x:c>
    </x:row>
    <x:row r="181">
      <x:c r="A181" s="187" t="str">
        <x:v>BUDGET_2026_V1</x:v>
      </x:c>
      <x:c r="B181" s="187" t="str">
        <x:v>BUDGET</x:v>
      </x:c>
      <x:c r="C181" s="187"/>
      <x:c r="D181" s="217" t="n">
        <x:v>46082</x:v>
      </x:c>
      <x:c r="E181" s="187" t="str">
        <x:v>R_GB_FR_B_AIR</x:v>
      </x:c>
      <x:c r="F181" s="187" t="str">
        <x:v>GB</x:v>
      </x:c>
      <x:c r="G181" s="187" t="str">
        <x:v>FR_FC</x:v>
      </x:c>
      <x:c r="H181" s="187" t="str">
        <x:v>CARRIER_B</x:v>
      </x:c>
      <x:c r="I181" s="187" t="str">
        <x:v>AIR</x:v>
      </x:c>
      <x:c r="J181" s="187" t="str">
        <x:v>WAREHOUSE_OPERATION</x:v>
      </x:c>
      <x:c r="K181" s="187" t="str">
        <x:v>EUR</x:v>
      </x:c>
      <x:c r="L181" s="232" t="n">
        <x:v>176.4</x:v>
      </x:c>
      <x:c r="M181" s="232" t="n">
        <x:v>7.8</x:v>
      </x:c>
      <x:c r="N181" s="187" t="str">
        <x:v>1375.92000000</x:v>
      </x:c>
      <x:c r="O181" s="235" t="n">
        <x:v>1375.92</x:v>
      </x:c>
      <x:c r="P181" s="235"/>
      <x:c r="Q181" s="235"/>
      <x:c r="R181" s="235" t="str">
        <x:v>INVOICE_OR_PLAN</x:v>
      </x:c>
      <x:c r="S181" s="238" t="n">
        <x:f>'Model_Calc'!AL34</x:f>
        <x:v>1375.92</x:v>
      </x:c>
      <x:c r="T181" s="238" t="n">
        <x:f>ROUND(S181-O181,4)</x:f>
        <x:v>0</x:v>
      </x:c>
    </x:row>
    <x:row r="182">
      <x:c r="A182" s="187" t="str">
        <x:v>BUDGET_2026_V1</x:v>
      </x:c>
      <x:c r="B182" s="187" t="str">
        <x:v>BUDGET</x:v>
      </x:c>
      <x:c r="C182" s="187"/>
      <x:c r="D182" s="217" t="n">
        <x:v>46082</x:v>
      </x:c>
      <x:c r="E182" s="187" t="str">
        <x:v>R_GB_FR_B_AIR</x:v>
      </x:c>
      <x:c r="F182" s="187" t="str">
        <x:v>GB</x:v>
      </x:c>
      <x:c r="G182" s="187" t="str">
        <x:v>FR_FC</x:v>
      </x:c>
      <x:c r="H182" s="187" t="str">
        <x:v>CARRIER_B</x:v>
      </x:c>
      <x:c r="I182" s="187" t="str">
        <x:v>AIR</x:v>
      </x:c>
      <x:c r="J182" s="187" t="str">
        <x:v>PACKAGING</x:v>
      </x:c>
      <x:c r="K182" s="187" t="str">
        <x:v>EUR</x:v>
      </x:c>
      <x:c r="L182" s="232" t="n">
        <x:v>73.416</x:v>
      </x:c>
      <x:c r="M182" s="232" t="n">
        <x:v>7.8</x:v>
      </x:c>
      <x:c r="N182" s="187" t="str">
        <x:v>572.6448000000</x:v>
      </x:c>
      <x:c r="O182" s="235" t="n">
        <x:v>572.6448</x:v>
      </x:c>
      <x:c r="P182" s="235"/>
      <x:c r="Q182" s="235"/>
      <x:c r="R182" s="235" t="str">
        <x:v>INVOICE_OR_PLAN</x:v>
      </x:c>
      <x:c r="S182" s="238" t="n">
        <x:f>'Model_Calc'!AQ34</x:f>
        <x:v>572.6447999999999</x:v>
      </x:c>
      <x:c r="T182" s="238" t="n">
        <x:f>ROUND(S182-O182,4)</x:f>
        <x:v>0</x:v>
      </x:c>
    </x:row>
    <x:row r="183">
      <x:c r="A183" s="187" t="str">
        <x:v>BUDGET_2026_V1</x:v>
      </x:c>
      <x:c r="B183" s="187" t="str">
        <x:v>BUDGET</x:v>
      </x:c>
      <x:c r="C183" s="187"/>
      <x:c r="D183" s="217" t="n">
        <x:v>46082</x:v>
      </x:c>
      <x:c r="E183" s="187" t="str">
        <x:v>R_GB_FR_B_AIR</x:v>
      </x:c>
      <x:c r="F183" s="187" t="str">
        <x:v>GB</x:v>
      </x:c>
      <x:c r="G183" s="187" t="str">
        <x:v>FR_FC</x:v>
      </x:c>
      <x:c r="H183" s="187" t="str">
        <x:v>CARRIER_B</x:v>
      </x:c>
      <x:c r="I183" s="187" t="str">
        <x:v>AIR</x:v>
      </x:c>
      <x:c r="J183" s="187" t="str">
        <x:v>RETURN_LOGISTICS</x:v>
      </x:c>
      <x:c r="K183" s="187" t="str">
        <x:v>EUR</x:v>
      </x:c>
      <x:c r="L183" s="232" t="n">
        <x:v>69.888</x:v>
      </x:c>
      <x:c r="M183" s="232" t="n">
        <x:v>7.8</x:v>
      </x:c>
      <x:c r="N183" s="187" t="str">
        <x:v>545.12640000000</x:v>
      </x:c>
      <x:c r="O183" s="235" t="n">
        <x:v>545.1264</x:v>
      </x:c>
      <x:c r="P183" s="235"/>
      <x:c r="Q183" s="235"/>
      <x:c r="R183" s="235" t="str">
        <x:v>INVOICE_OR_PLAN</x:v>
      </x:c>
      <x:c r="S183" s="238" t="n">
        <x:f>'Model_Calc'!AV34</x:f>
        <x:v>545.1264</x:v>
      </x:c>
      <x:c r="T183" s="238" t="n">
        <x:f>ROUND(S183-O183,4)</x:f>
        <x:v>0</x:v>
      </x:c>
    </x:row>
    <x:row r="184">
      <x:c r="A184" s="187" t="str">
        <x:v>BUDGET_2026_V1</x:v>
      </x:c>
      <x:c r="B184" s="187" t="str">
        <x:v>BUDGET</x:v>
      </x:c>
      <x:c r="C184" s="187"/>
      <x:c r="D184" s="217" t="n">
        <x:v>46082</x:v>
      </x:c>
      <x:c r="E184" s="187" t="str">
        <x:v>R_GB_FR_B_AIR</x:v>
      </x:c>
      <x:c r="F184" s="187" t="str">
        <x:v>GB</x:v>
      </x:c>
      <x:c r="G184" s="187" t="str">
        <x:v>FR_FC</x:v>
      </x:c>
      <x:c r="H184" s="187" t="str">
        <x:v>CARRIER_B</x:v>
      </x:c>
      <x:c r="I184" s="187" t="str">
        <x:v>AIR</x:v>
      </x:c>
      <x:c r="J184" s="187" t="str">
        <x:v>BILLABLE_EXCEPTION</x:v>
      </x:c>
      <x:c r="K184" s="187" t="str">
        <x:v>EUR</x:v>
      </x:c>
      <x:c r="L184" s="232" t="n">
        <x:v>6.49152</x:v>
      </x:c>
      <x:c r="M184" s="232" t="n">
        <x:v>7.8</x:v>
      </x:c>
      <x:c r="N184" s="187" t="str">
        <x:v>50.6338560000000</x:v>
      </x:c>
      <x:c r="O184" s="235" t="n">
        <x:v>50.6339</x:v>
      </x:c>
      <x:c r="P184" s="235"/>
      <x:c r="Q184" s="235"/>
      <x:c r="R184" s="235" t="str">
        <x:v>INVOICE_OR_PLAN</x:v>
      </x:c>
      <x:c r="S184" s="238" t="n">
        <x:f>'Model_Calc'!BA34</x:f>
        <x:v>50.633855999999994</x:v>
      </x:c>
      <x:c r="T184" s="238" t="n">
        <x:f>ROUND(S184-O184,4)</x:f>
        <x:v>0</x:v>
      </x:c>
    </x:row>
    <x:row r="185">
      <x:c r="A185" s="187" t="str">
        <x:v>BUDGET_2026_V1</x:v>
      </x:c>
      <x:c r="B185" s="187" t="str">
        <x:v>BUDGET</x:v>
      </x:c>
      <x:c r="C185" s="187"/>
      <x:c r="D185" s="217" t="n">
        <x:v>46113</x:v>
      </x:c>
      <x:c r="E185" s="187" t="str">
        <x:v>R_DE_DE_A_ROAD</x:v>
      </x:c>
      <x:c r="F185" s="187" t="str">
        <x:v>DE</x:v>
      </x:c>
      <x:c r="G185" s="187" t="str">
        <x:v>DE_FC</x:v>
      </x:c>
      <x:c r="H185" s="187" t="str">
        <x:v>CARRIER_A</x:v>
      </x:c>
      <x:c r="I185" s="187" t="str">
        <x:v>ROAD</x:v>
      </x:c>
      <x:c r="J185" s="187" t="str">
        <x:v>BASE_FREIGHT</x:v>
      </x:c>
      <x:c r="K185" s="187" t="str">
        <x:v>EUR</x:v>
      </x:c>
      <x:c r="L185" s="232" t="n">
        <x:v>6501.61512</x:v>
      </x:c>
      <x:c r="M185" s="232" t="n">
        <x:v>7.8</x:v>
      </x:c>
      <x:c r="N185" s="187" t="str">
        <x:v>50712.59793600000000</x:v>
      </x:c>
      <x:c r="O185" s="235" t="n">
        <x:v>50712.5979</x:v>
      </x:c>
      <x:c r="P185" s="235"/>
      <x:c r="Q185" s="235"/>
      <x:c r="R185" s="235" t="str">
        <x:v>INVOICE_OR_PLAN</x:v>
      </x:c>
      <x:c r="S185" s="238" t="n">
        <x:f>'Model_Calc'!AF35</x:f>
        <x:v>50712.597936000006</x:v>
      </x:c>
      <x:c r="T185" s="238" t="n">
        <x:f>ROUND(S185-O185,4)</x:f>
        <x:v>0</x:v>
      </x:c>
    </x:row>
    <x:row r="186">
      <x:c r="A186" s="187" t="str">
        <x:v>BUDGET_2026_V1</x:v>
      </x:c>
      <x:c r="B186" s="187" t="str">
        <x:v>BUDGET</x:v>
      </x:c>
      <x:c r="C186" s="187"/>
      <x:c r="D186" s="217" t="n">
        <x:v>46113</x:v>
      </x:c>
      <x:c r="E186" s="187" t="str">
        <x:v>R_DE_DE_A_ROAD</x:v>
      </x:c>
      <x:c r="F186" s="187" t="str">
        <x:v>DE</x:v>
      </x:c>
      <x:c r="G186" s="187" t="str">
        <x:v>DE_FC</x:v>
      </x:c>
      <x:c r="H186" s="187" t="str">
        <x:v>CARRIER_A</x:v>
      </x:c>
      <x:c r="I186" s="187" t="str">
        <x:v>ROAD</x:v>
      </x:c>
      <x:c r="J186" s="187" t="str">
        <x:v>FUEL_SURCHARGE</x:v>
      </x:c>
      <x:c r="K186" s="187" t="str">
        <x:v>EUR</x:v>
      </x:c>
      <x:c r="L186" s="232" t="n">
        <x:v>617.6534364</x:v>
      </x:c>
      <x:c r="M186" s="232" t="n">
        <x:v>7.8</x:v>
      </x:c>
      <x:c r="N186" s="187" t="str">
        <x:v>4817.69680392000000000</x:v>
      </x:c>
      <x:c r="O186" s="235" t="n">
        <x:v>4817.6968</x:v>
      </x:c>
      <x:c r="P186" s="235"/>
      <x:c r="Q186" s="235"/>
      <x:c r="R186" s="235" t="str">
        <x:v>INVOICE_OR_PLAN</x:v>
      </x:c>
      <x:c r="S186" s="238" t="n">
        <x:f>'Model_Calc'!AG35</x:f>
        <x:v>4817.696803920001</x:v>
      </x:c>
      <x:c r="T186" s="238" t="n">
        <x:f>ROUND(S186-O186,4)</x:f>
        <x:v>0</x:v>
      </x:c>
    </x:row>
    <x:row r="187">
      <x:c r="A187" s="187" t="str">
        <x:v>BUDGET_2026_V1</x:v>
      </x:c>
      <x:c r="B187" s="187" t="str">
        <x:v>BUDGET</x:v>
      </x:c>
      <x:c r="C187" s="187"/>
      <x:c r="D187" s="217" t="n">
        <x:v>46113</x:v>
      </x:c>
      <x:c r="E187" s="187" t="str">
        <x:v>R_DE_DE_A_ROAD</x:v>
      </x:c>
      <x:c r="F187" s="187" t="str">
        <x:v>DE</x:v>
      </x:c>
      <x:c r="G187" s="187" t="str">
        <x:v>DE_FC</x:v>
      </x:c>
      <x:c r="H187" s="187" t="str">
        <x:v>CARRIER_A</x:v>
      </x:c>
      <x:c r="I187" s="187" t="str">
        <x:v>ROAD</x:v>
      </x:c>
      <x:c r="J187" s="187" t="str">
        <x:v>WAREHOUSE_OPERATION</x:v>
      </x:c>
      <x:c r="K187" s="187" t="str">
        <x:v>EUR</x:v>
      </x:c>
      <x:c r="L187" s="232" t="n">
        <x:v>4257.912</x:v>
      </x:c>
      <x:c r="M187" s="232" t="n">
        <x:v>7.8</x:v>
      </x:c>
      <x:c r="N187" s="187" t="str">
        <x:v>33211.7136000000</x:v>
      </x:c>
      <x:c r="O187" s="235" t="n">
        <x:v>33211.7136</x:v>
      </x:c>
      <x:c r="P187" s="235"/>
      <x:c r="Q187" s="235"/>
      <x:c r="R187" s="235" t="str">
        <x:v>INVOICE_OR_PLAN</x:v>
      </x:c>
      <x:c r="S187" s="238" t="n">
        <x:f>'Model_Calc'!AL35</x:f>
        <x:v>33211.7136</x:v>
      </x:c>
      <x:c r="T187" s="238" t="n">
        <x:f>ROUND(S187-O187,4)</x:f>
        <x:v>0</x:v>
      </x:c>
    </x:row>
    <x:row r="188">
      <x:c r="A188" s="187" t="str">
        <x:v>BUDGET_2026_V1</x:v>
      </x:c>
      <x:c r="B188" s="187" t="str">
        <x:v>BUDGET</x:v>
      </x:c>
      <x:c r="C188" s="187"/>
      <x:c r="D188" s="217" t="n">
        <x:v>46113</x:v>
      </x:c>
      <x:c r="E188" s="187" t="str">
        <x:v>R_DE_DE_A_ROAD</x:v>
      </x:c>
      <x:c r="F188" s="187" t="str">
        <x:v>DE</x:v>
      </x:c>
      <x:c r="G188" s="187" t="str">
        <x:v>DE_FC</x:v>
      </x:c>
      <x:c r="H188" s="187" t="str">
        <x:v>CARRIER_A</x:v>
      </x:c>
      <x:c r="I188" s="187" t="str">
        <x:v>ROAD</x:v>
      </x:c>
      <x:c r="J188" s="187" t="str">
        <x:v>PACKAGING</x:v>
      </x:c>
      <x:c r="K188" s="187" t="str">
        <x:v>EUR</x:v>
      </x:c>
      <x:c r="L188" s="232" t="n">
        <x:v>1591.3044</x:v>
      </x:c>
      <x:c r="M188" s="232" t="n">
        <x:v>7.8</x:v>
      </x:c>
      <x:c r="N188" s="187" t="str">
        <x:v>12412.174320000000</x:v>
      </x:c>
      <x:c r="O188" s="235" t="n">
        <x:v>12412.1743</x:v>
      </x:c>
      <x:c r="P188" s="235"/>
      <x:c r="Q188" s="235"/>
      <x:c r="R188" s="235" t="str">
        <x:v>INVOICE_OR_PLAN</x:v>
      </x:c>
      <x:c r="S188" s="238" t="n">
        <x:f>'Model_Calc'!AQ35</x:f>
        <x:v>12412.17432</x:v>
      </x:c>
      <x:c r="T188" s="238" t="n">
        <x:f>ROUND(S188-O188,4)</x:f>
        <x:v>0</x:v>
      </x:c>
    </x:row>
    <x:row r="189">
      <x:c r="A189" s="187" t="str">
        <x:v>BUDGET_2026_V1</x:v>
      </x:c>
      <x:c r="B189" s="187" t="str">
        <x:v>BUDGET</x:v>
      </x:c>
      <x:c r="C189" s="187"/>
      <x:c r="D189" s="217" t="n">
        <x:v>46113</x:v>
      </x:c>
      <x:c r="E189" s="187" t="str">
        <x:v>R_DE_DE_A_ROAD</x:v>
      </x:c>
      <x:c r="F189" s="187" t="str">
        <x:v>DE</x:v>
      </x:c>
      <x:c r="G189" s="187" t="str">
        <x:v>DE_FC</x:v>
      </x:c>
      <x:c r="H189" s="187" t="str">
        <x:v>CARRIER_A</x:v>
      </x:c>
      <x:c r="I189" s="187" t="str">
        <x:v>ROAD</x:v>
      </x:c>
      <x:c r="J189" s="187" t="str">
        <x:v>RETURN_LOGISTICS</x:v>
      </x:c>
      <x:c r="K189" s="187" t="str">
        <x:v>EUR</x:v>
      </x:c>
      <x:c r="L189" s="232" t="n">
        <x:v>577.344</x:v>
      </x:c>
      <x:c r="M189" s="232" t="n">
        <x:v>7.8</x:v>
      </x:c>
      <x:c r="N189" s="187" t="str">
        <x:v>4503.2832000000000</x:v>
      </x:c>
      <x:c r="O189" s="235" t="n">
        <x:v>4503.2832</x:v>
      </x:c>
      <x:c r="P189" s="235"/>
      <x:c r="Q189" s="235"/>
      <x:c r="R189" s="235" t="str">
        <x:v>INVOICE_OR_PLAN</x:v>
      </x:c>
      <x:c r="S189" s="238" t="n">
        <x:f>'Model_Calc'!AV35</x:f>
        <x:v>4503.2832</x:v>
      </x:c>
      <x:c r="T189" s="238" t="n">
        <x:f>ROUND(S189-O189,4)</x:f>
        <x:v>0</x:v>
      </x:c>
    </x:row>
    <x:row r="190">
      <x:c r="A190" s="187" t="str">
        <x:v>BUDGET_2026_V1</x:v>
      </x:c>
      <x:c r="B190" s="187" t="str">
        <x:v>BUDGET</x:v>
      </x:c>
      <x:c r="C190" s="187"/>
      <x:c r="D190" s="217" t="n">
        <x:v>46113</x:v>
      </x:c>
      <x:c r="E190" s="187" t="str">
        <x:v>R_DE_DE_A_ROAD</x:v>
      </x:c>
      <x:c r="F190" s="187" t="str">
        <x:v>DE</x:v>
      </x:c>
      <x:c r="G190" s="187" t="str">
        <x:v>DE_FC</x:v>
      </x:c>
      <x:c r="H190" s="187" t="str">
        <x:v>CARRIER_A</x:v>
      </x:c>
      <x:c r="I190" s="187" t="str">
        <x:v>ROAD</x:v>
      </x:c>
      <x:c r="J190" s="187" t="str">
        <x:v>BILLABLE_EXCEPTION</x:v>
      </x:c>
      <x:c r="K190" s="187" t="str">
        <x:v>EUR</x:v>
      </x:c>
      <x:c r="L190" s="232" t="n">
        <x:v>139.428576</x:v>
      </x:c>
      <x:c r="M190" s="232" t="n">
        <x:v>7.8</x:v>
      </x:c>
      <x:c r="N190" s="187" t="str">
        <x:v>1087.542892800000000</x:v>
      </x:c>
      <x:c r="O190" s="235" t="n">
        <x:v>1087.5429</x:v>
      </x:c>
      <x:c r="P190" s="235"/>
      <x:c r="Q190" s="235"/>
      <x:c r="R190" s="235" t="str">
        <x:v>INVOICE_OR_PLAN</x:v>
      </x:c>
      <x:c r="S190" s="238" t="n">
        <x:f>'Model_Calc'!BA35</x:f>
        <x:v>1087.5428928</x:v>
      </x:c>
      <x:c r="T190" s="238" t="n">
        <x:f>ROUND(S190-O190,4)</x:f>
        <x:v>0</x:v>
      </x:c>
    </x:row>
    <x:row r="191">
      <x:c r="A191" s="187" t="str">
        <x:v>BUDGET_2026_V1</x:v>
      </x:c>
      <x:c r="B191" s="187" t="str">
        <x:v>BUDGET</x:v>
      </x:c>
      <x:c r="C191" s="187"/>
      <x:c r="D191" s="217" t="n">
        <x:v>46113</x:v>
      </x:c>
      <x:c r="E191" s="187" t="str">
        <x:v>R_DE_DE_B_ROAD</x:v>
      </x:c>
      <x:c r="F191" s="187" t="str">
        <x:v>DE</x:v>
      </x:c>
      <x:c r="G191" s="187" t="str">
        <x:v>DE_FC</x:v>
      </x:c>
      <x:c r="H191" s="187" t="str">
        <x:v>CARRIER_B</x:v>
      </x:c>
      <x:c r="I191" s="187" t="str">
        <x:v>ROAD</x:v>
      </x:c>
      <x:c r="J191" s="187" t="str">
        <x:v>BASE_FREIGHT</x:v>
      </x:c>
      <x:c r="K191" s="187" t="str">
        <x:v>EUR</x:v>
      </x:c>
      <x:c r="L191" s="232" t="n">
        <x:v>5556.936</x:v>
      </x:c>
      <x:c r="M191" s="232" t="n">
        <x:v>7.8</x:v>
      </x:c>
      <x:c r="N191" s="187" t="str">
        <x:v>43344.10080000000000</x:v>
      </x:c>
      <x:c r="O191" s="235" t="n">
        <x:v>43344.1008</x:v>
      </x:c>
      <x:c r="P191" s="235"/>
      <x:c r="Q191" s="235"/>
      <x:c r="R191" s="235" t="str">
        <x:v>INVOICE_OR_PLAN</x:v>
      </x:c>
      <x:c r="S191" s="238" t="n">
        <x:f>'Model_Calc'!AF36</x:f>
        <x:v>43344.1008</x:v>
      </x:c>
      <x:c r="T191" s="238" t="n">
        <x:f>ROUND(S191-O191,4)</x:f>
        <x:v>0</x:v>
      </x:c>
    </x:row>
    <x:row r="192">
      <x:c r="A192" s="187" t="str">
        <x:v>BUDGET_2026_V1</x:v>
      </x:c>
      <x:c r="B192" s="187" t="str">
        <x:v>BUDGET</x:v>
      </x:c>
      <x:c r="C192" s="187"/>
      <x:c r="D192" s="217" t="n">
        <x:v>46113</x:v>
      </x:c>
      <x:c r="E192" s="187" t="str">
        <x:v>R_DE_DE_B_ROAD</x:v>
      </x:c>
      <x:c r="F192" s="187" t="str">
        <x:v>DE</x:v>
      </x:c>
      <x:c r="G192" s="187" t="str">
        <x:v>DE_FC</x:v>
      </x:c>
      <x:c r="H192" s="187" t="str">
        <x:v>CARRIER_B</x:v>
      </x:c>
      <x:c r="I192" s="187" t="str">
        <x:v>ROAD</x:v>
      </x:c>
      <x:c r="J192" s="187" t="str">
        <x:v>FUEL_SURCHARGE</x:v>
      </x:c>
      <x:c r="K192" s="187" t="str">
        <x:v>EUR</x:v>
      </x:c>
      <x:c r="L192" s="232" t="n">
        <x:v>424.34784</x:v>
      </x:c>
      <x:c r="M192" s="232" t="n">
        <x:v>7.8</x:v>
      </x:c>
      <x:c r="N192" s="187" t="str">
        <x:v>3309.91315200000000</x:v>
      </x:c>
      <x:c r="O192" s="235" t="n">
        <x:v>3309.9132</x:v>
      </x:c>
      <x:c r="P192" s="235"/>
      <x:c r="Q192" s="235"/>
      <x:c r="R192" s="235" t="str">
        <x:v>INVOICE_OR_PLAN</x:v>
      </x:c>
      <x:c r="S192" s="238" t="n">
        <x:f>'Model_Calc'!AG36</x:f>
        <x:v>3309.913152</x:v>
      </x:c>
      <x:c r="T192" s="238" t="n">
        <x:f>ROUND(S192-O192,4)</x:f>
        <x:v>0</x:v>
      </x:c>
    </x:row>
    <x:row r="193">
      <x:c r="A193" s="187" t="str">
        <x:v>BUDGET_2026_V1</x:v>
      </x:c>
      <x:c r="B193" s="187" t="str">
        <x:v>BUDGET</x:v>
      </x:c>
      <x:c r="C193" s="187"/>
      <x:c r="D193" s="217" t="n">
        <x:v>46113</x:v>
      </x:c>
      <x:c r="E193" s="187" t="str">
        <x:v>R_DE_DE_B_ROAD</x:v>
      </x:c>
      <x:c r="F193" s="187" t="str">
        <x:v>DE</x:v>
      </x:c>
      <x:c r="G193" s="187" t="str">
        <x:v>DE_FC</x:v>
      </x:c>
      <x:c r="H193" s="187" t="str">
        <x:v>CARRIER_B</x:v>
      </x:c>
      <x:c r="I193" s="187" t="str">
        <x:v>ROAD</x:v>
      </x:c>
      <x:c r="J193" s="187" t="str">
        <x:v>WAREHOUSE_OPERATION</x:v>
      </x:c>
      <x:c r="K193" s="187" t="str">
        <x:v>EUR</x:v>
      </x:c>
      <x:c r="L193" s="232" t="n">
        <x:v>2838.608</x:v>
      </x:c>
      <x:c r="M193" s="232" t="n">
        <x:v>7.8</x:v>
      </x:c>
      <x:c r="N193" s="187" t="str">
        <x:v>22141.1424000000</x:v>
      </x:c>
      <x:c r="O193" s="235" t="n">
        <x:v>22141.1424</x:v>
      </x:c>
      <x:c r="P193" s="235"/>
      <x:c r="Q193" s="235"/>
      <x:c r="R193" s="235" t="str">
        <x:v>INVOICE_OR_PLAN</x:v>
      </x:c>
      <x:c r="S193" s="238" t="n">
        <x:f>'Model_Calc'!AL36</x:f>
        <x:v>22141.142399999997</x:v>
      </x:c>
      <x:c r="T193" s="238" t="n">
        <x:f>ROUND(S193-O193,4)</x:f>
        <x:v>0</x:v>
      </x:c>
    </x:row>
    <x:row r="194">
      <x:c r="A194" s="187" t="str">
        <x:v>BUDGET_2026_V1</x:v>
      </x:c>
      <x:c r="B194" s="187" t="str">
        <x:v>BUDGET</x:v>
      </x:c>
      <x:c r="C194" s="187"/>
      <x:c r="D194" s="217" t="n">
        <x:v>46113</x:v>
      </x:c>
      <x:c r="E194" s="187" t="str">
        <x:v>R_DE_DE_B_ROAD</x:v>
      </x:c>
      <x:c r="F194" s="187" t="str">
        <x:v>DE</x:v>
      </x:c>
      <x:c r="G194" s="187" t="str">
        <x:v>DE_FC</x:v>
      </x:c>
      <x:c r="H194" s="187" t="str">
        <x:v>CARRIER_B</x:v>
      </x:c>
      <x:c r="I194" s="187" t="str">
        <x:v>ROAD</x:v>
      </x:c>
      <x:c r="J194" s="187" t="str">
        <x:v>PACKAGING</x:v>
      </x:c>
      <x:c r="K194" s="187" t="str">
        <x:v>EUR</x:v>
      </x:c>
      <x:c r="L194" s="232" t="n">
        <x:v>1060.8696</x:v>
      </x:c>
      <x:c r="M194" s="232" t="n">
        <x:v>7.8</x:v>
      </x:c>
      <x:c r="N194" s="187" t="str">
        <x:v>8274.782880000000</x:v>
      </x:c>
      <x:c r="O194" s="235" t="n">
        <x:v>8274.7829</x:v>
      </x:c>
      <x:c r="P194" s="235"/>
      <x:c r="Q194" s="235"/>
      <x:c r="R194" s="235" t="str">
        <x:v>INVOICE_OR_PLAN</x:v>
      </x:c>
      <x:c r="S194" s="238" t="n">
        <x:f>'Model_Calc'!AQ36</x:f>
        <x:v>8274.782879999999</x:v>
      </x:c>
      <x:c r="T194" s="238" t="n">
        <x:f>ROUND(S194-O194,4)</x:f>
        <x:v>0</x:v>
      </x:c>
    </x:row>
    <x:row r="195">
      <x:c r="A195" s="187" t="str">
        <x:v>BUDGET_2026_V1</x:v>
      </x:c>
      <x:c r="B195" s="187" t="str">
        <x:v>BUDGET</x:v>
      </x:c>
      <x:c r="C195" s="187"/>
      <x:c r="D195" s="217" t="n">
        <x:v>46113</x:v>
      </x:c>
      <x:c r="E195" s="187" t="str">
        <x:v>R_DE_DE_B_ROAD</x:v>
      </x:c>
      <x:c r="F195" s="187" t="str">
        <x:v>DE</x:v>
      </x:c>
      <x:c r="G195" s="187" t="str">
        <x:v>DE_FC</x:v>
      </x:c>
      <x:c r="H195" s="187" t="str">
        <x:v>CARRIER_B</x:v>
      </x:c>
      <x:c r="I195" s="187" t="str">
        <x:v>ROAD</x:v>
      </x:c>
      <x:c r="J195" s="187" t="str">
        <x:v>RETURN_LOGISTICS</x:v>
      </x:c>
      <x:c r="K195" s="187" t="str">
        <x:v>EUR</x:v>
      </x:c>
      <x:c r="L195" s="232" t="n">
        <x:v>384.896</x:v>
      </x:c>
      <x:c r="M195" s="232" t="n">
        <x:v>7.8</x:v>
      </x:c>
      <x:c r="N195" s="187" t="str">
        <x:v>3002.1888000000000</x:v>
      </x:c>
      <x:c r="O195" s="235" t="n">
        <x:v>3002.1888</x:v>
      </x:c>
      <x:c r="P195" s="235"/>
      <x:c r="Q195" s="235"/>
      <x:c r="R195" s="235" t="str">
        <x:v>INVOICE_OR_PLAN</x:v>
      </x:c>
      <x:c r="S195" s="238" t="n">
        <x:f>'Model_Calc'!AV36</x:f>
        <x:v>3002.1888</x:v>
      </x:c>
      <x:c r="T195" s="238" t="n">
        <x:f>ROUND(S195-O195,4)</x:f>
        <x:v>0</x:v>
      </x:c>
    </x:row>
    <x:row r="196">
      <x:c r="A196" s="187" t="str">
        <x:v>BUDGET_2026_V1</x:v>
      </x:c>
      <x:c r="B196" s="187" t="str">
        <x:v>BUDGET</x:v>
      </x:c>
      <x:c r="C196" s="187"/>
      <x:c r="D196" s="217" t="n">
        <x:v>46113</x:v>
      </x:c>
      <x:c r="E196" s="187" t="str">
        <x:v>R_DE_DE_B_ROAD</x:v>
      </x:c>
      <x:c r="F196" s="187" t="str">
        <x:v>DE</x:v>
      </x:c>
      <x:c r="G196" s="187" t="str">
        <x:v>DE_FC</x:v>
      </x:c>
      <x:c r="H196" s="187" t="str">
        <x:v>CARRIER_B</x:v>
      </x:c>
      <x:c r="I196" s="187" t="str">
        <x:v>ROAD</x:v>
      </x:c>
      <x:c r="J196" s="187" t="str">
        <x:v>BILLABLE_EXCEPTION</x:v>
      </x:c>
      <x:c r="K196" s="187" t="str">
        <x:v>EUR</x:v>
      </x:c>
      <x:c r="L196" s="232" t="n">
        <x:v>75.523812</x:v>
      </x:c>
      <x:c r="M196" s="232" t="n">
        <x:v>7.8</x:v>
      </x:c>
      <x:c r="N196" s="187" t="str">
        <x:v>589.085733600000000</x:v>
      </x:c>
      <x:c r="O196" s="235" t="n">
        <x:v>589.0857</x:v>
      </x:c>
      <x:c r="P196" s="235"/>
      <x:c r="Q196" s="235"/>
      <x:c r="R196" s="235" t="str">
        <x:v>INVOICE_OR_PLAN</x:v>
      </x:c>
      <x:c r="S196" s="238" t="n">
        <x:f>'Model_Calc'!BA36</x:f>
        <x:v>589.0857336</x:v>
      </x:c>
      <x:c r="T196" s="238" t="n">
        <x:f>ROUND(S196-O196,4)</x:f>
        <x:v>0</x:v>
      </x:c>
    </x:row>
    <x:row r="197">
      <x:c r="A197" s="187" t="str">
        <x:v>BUDGET_2026_V1</x:v>
      </x:c>
      <x:c r="B197" s="187" t="str">
        <x:v>BUDGET</x:v>
      </x:c>
      <x:c r="C197" s="187"/>
      <x:c r="D197" s="217" t="n">
        <x:v>46113</x:v>
      </x:c>
      <x:c r="E197" s="187" t="str">
        <x:v>R_DE_FR_B_ROAD</x:v>
      </x:c>
      <x:c r="F197" s="187" t="str">
        <x:v>DE</x:v>
      </x:c>
      <x:c r="G197" s="187" t="str">
        <x:v>FR_FC</x:v>
      </x:c>
      <x:c r="H197" s="187" t="str">
        <x:v>CARRIER_B</x:v>
      </x:c>
      <x:c r="I197" s="187" t="str">
        <x:v>ROAD</x:v>
      </x:c>
      <x:c r="J197" s="187" t="str">
        <x:v>BASE_FREIGHT</x:v>
      </x:c>
      <x:c r="K197" s="187" t="str">
        <x:v>EUR</x:v>
      </x:c>
      <x:c r="L197" s="232" t="n">
        <x:v>570.09744</x:v>
      </x:c>
      <x:c r="M197" s="232" t="n">
        <x:v>7.8</x:v>
      </x:c>
      <x:c r="N197" s="187" t="str">
        <x:v>4446.760032000000</x:v>
      </x:c>
      <x:c r="O197" s="235" t="n">
        <x:v>4446.76</x:v>
      </x:c>
      <x:c r="P197" s="235"/>
      <x:c r="Q197" s="235"/>
      <x:c r="R197" s="235" t="str">
        <x:v>INVOICE_OR_PLAN</x:v>
      </x:c>
      <x:c r="S197" s="238" t="n">
        <x:f>'Model_Calc'!AF37</x:f>
        <x:v>4446.760032</x:v>
      </x:c>
      <x:c r="T197" s="238" t="n">
        <x:f>ROUND(S197-O197,4)</x:f>
        <x:v>0</x:v>
      </x:c>
    </x:row>
    <x:row r="198">
      <x:c r="A198" s="187" t="str">
        <x:v>BUDGET_2026_V1</x:v>
      </x:c>
      <x:c r="B198" s="187" t="str">
        <x:v>BUDGET</x:v>
      </x:c>
      <x:c r="C198" s="187"/>
      <x:c r="D198" s="217" t="n">
        <x:v>46113</x:v>
      </x:c>
      <x:c r="E198" s="187" t="str">
        <x:v>R_DE_FR_B_ROAD</x:v>
      </x:c>
      <x:c r="F198" s="187" t="str">
        <x:v>DE</x:v>
      </x:c>
      <x:c r="G198" s="187" t="str">
        <x:v>FR_FC</x:v>
      </x:c>
      <x:c r="H198" s="187" t="str">
        <x:v>CARRIER_B</x:v>
      </x:c>
      <x:c r="I198" s="187" t="str">
        <x:v>ROAD</x:v>
      </x:c>
      <x:c r="J198" s="187" t="str">
        <x:v>FUEL_SURCHARGE</x:v>
      </x:c>
      <x:c r="K198" s="187" t="str">
        <x:v>EUR</x:v>
      </x:c>
      <x:c r="L198" s="232" t="n">
        <x:v>41.461632</x:v>
      </x:c>
      <x:c r="M198" s="232" t="n">
        <x:v>7.8</x:v>
      </x:c>
      <x:c r="N198" s="187" t="str">
        <x:v>323.400729600000</x:v>
      </x:c>
      <x:c r="O198" s="235" t="n">
        <x:v>323.4007</x:v>
      </x:c>
      <x:c r="P198" s="235"/>
      <x:c r="Q198" s="235"/>
      <x:c r="R198" s="235" t="str">
        <x:v>INVOICE_OR_PLAN</x:v>
      </x:c>
      <x:c r="S198" s="238" t="n">
        <x:f>'Model_Calc'!AG37</x:f>
        <x:v>323.4007296</x:v>
      </x:c>
      <x:c r="T198" s="238" t="n">
        <x:f>ROUND(S198-O198,4)</x:f>
        <x:v>0</x:v>
      </x:c>
    </x:row>
    <x:row r="199">
      <x:c r="A199" s="187" t="str">
        <x:v>BUDGET_2026_V1</x:v>
      </x:c>
      <x:c r="B199" s="187" t="str">
        <x:v>BUDGET</x:v>
      </x:c>
      <x:c r="C199" s="187"/>
      <x:c r="D199" s="217" t="n">
        <x:v>46113</x:v>
      </x:c>
      <x:c r="E199" s="187" t="str">
        <x:v>R_DE_FR_B_ROAD</x:v>
      </x:c>
      <x:c r="F199" s="187" t="str">
        <x:v>DE</x:v>
      </x:c>
      <x:c r="G199" s="187" t="str">
        <x:v>FR_FC</x:v>
      </x:c>
      <x:c r="H199" s="187" t="str">
        <x:v>CARRIER_B</x:v>
      </x:c>
      <x:c r="I199" s="187" t="str">
        <x:v>ROAD</x:v>
      </x:c>
      <x:c r="J199" s="187" t="str">
        <x:v>WAREHOUSE_OPERATION</x:v>
      </x:c>
      <x:c r="K199" s="187" t="str">
        <x:v>EUR</x:v>
      </x:c>
      <x:c r="L199" s="232" t="n">
        <x:v>195.3</x:v>
      </x:c>
      <x:c r="M199" s="232" t="n">
        <x:v>7.8</x:v>
      </x:c>
      <x:c r="N199" s="187" t="str">
        <x:v>1523.34000000</x:v>
      </x:c>
      <x:c r="O199" s="235" t="n">
        <x:v>1523.34</x:v>
      </x:c>
      <x:c r="P199" s="235"/>
      <x:c r="Q199" s="235"/>
      <x:c r="R199" s="235" t="str">
        <x:v>INVOICE_OR_PLAN</x:v>
      </x:c>
      <x:c r="S199" s="238" t="n">
        <x:f>'Model_Calc'!AL37</x:f>
        <x:v>1523.3400000000001</x:v>
      </x:c>
      <x:c r="T199" s="238" t="n">
        <x:f>ROUND(S199-O199,4)</x:f>
        <x:v>0</x:v>
      </x:c>
    </x:row>
    <x:row r="200">
      <x:c r="A200" s="187" t="str">
        <x:v>BUDGET_2026_V1</x:v>
      </x:c>
      <x:c r="B200" s="187" t="str">
        <x:v>BUDGET</x:v>
      </x:c>
      <x:c r="C200" s="187"/>
      <x:c r="D200" s="217" t="n">
        <x:v>46113</x:v>
      </x:c>
      <x:c r="E200" s="187" t="str">
        <x:v>R_DE_FR_B_ROAD</x:v>
      </x:c>
      <x:c r="F200" s="187" t="str">
        <x:v>DE</x:v>
      </x:c>
      <x:c r="G200" s="187" t="str">
        <x:v>FR_FC</x:v>
      </x:c>
      <x:c r="H200" s="187" t="str">
        <x:v>CARRIER_B</x:v>
      </x:c>
      <x:c r="I200" s="187" t="str">
        <x:v>ROAD</x:v>
      </x:c>
      <x:c r="J200" s="187" t="str">
        <x:v>PACKAGING</x:v>
      </x:c>
      <x:c r="K200" s="187" t="str">
        <x:v>EUR</x:v>
      </x:c>
      <x:c r="L200" s="232" t="n">
        <x:v>76.3344</x:v>
      </x:c>
      <x:c r="M200" s="232" t="n">
        <x:v>7.8</x:v>
      </x:c>
      <x:c r="N200" s="187" t="str">
        <x:v>595.4083200000</x:v>
      </x:c>
      <x:c r="O200" s="235" t="n">
        <x:v>595.4083</x:v>
      </x:c>
      <x:c r="P200" s="235"/>
      <x:c r="Q200" s="235"/>
      <x:c r="R200" s="235" t="str">
        <x:v>INVOICE_OR_PLAN</x:v>
      </x:c>
      <x:c r="S200" s="238" t="n">
        <x:f>'Model_Calc'!AQ37</x:f>
        <x:v>595.4083200000001</x:v>
      </x:c>
      <x:c r="T200" s="238" t="n">
        <x:f>ROUND(S200-O200,4)</x:f>
        <x:v>0</x:v>
      </x:c>
    </x:row>
    <x:row r="201">
      <x:c r="A201" s="187" t="str">
        <x:v>BUDGET_2026_V1</x:v>
      </x:c>
      <x:c r="B201" s="187" t="str">
        <x:v>BUDGET</x:v>
      </x:c>
      <x:c r="C201" s="187"/>
      <x:c r="D201" s="217" t="n">
        <x:v>46113</x:v>
      </x:c>
      <x:c r="E201" s="187" t="str">
        <x:v>R_DE_FR_B_ROAD</x:v>
      </x:c>
      <x:c r="F201" s="187" t="str">
        <x:v>DE</x:v>
      </x:c>
      <x:c r="G201" s="187" t="str">
        <x:v>FR_FC</x:v>
      </x:c>
      <x:c r="H201" s="187" t="str">
        <x:v>CARRIER_B</x:v>
      </x:c>
      <x:c r="I201" s="187" t="str">
        <x:v>ROAD</x:v>
      </x:c>
      <x:c r="J201" s="187" t="str">
        <x:v>RETURN_LOGISTICS</x:v>
      </x:c>
      <x:c r="K201" s="187" t="str">
        <x:v>EUR</x:v>
      </x:c>
      <x:c r="L201" s="232" t="n">
        <x:v>35.34</x:v>
      </x:c>
      <x:c r="M201" s="232" t="n">
        <x:v>7.8</x:v>
      </x:c>
      <x:c r="N201" s="187" t="str">
        <x:v>275.65200000000</x:v>
      </x:c>
      <x:c r="O201" s="235" t="n">
        <x:v>275.652</x:v>
      </x:c>
      <x:c r="P201" s="235"/>
      <x:c r="Q201" s="235"/>
      <x:c r="R201" s="235" t="str">
        <x:v>INVOICE_OR_PLAN</x:v>
      </x:c>
      <x:c r="S201" s="238" t="n">
        <x:f>'Model_Calc'!AV37</x:f>
        <x:v>275.65200000000004</x:v>
      </x:c>
      <x:c r="T201" s="238" t="n">
        <x:f>ROUND(S201-O201,4)</x:f>
        <x:v>0</x:v>
      </x:c>
    </x:row>
    <x:row r="202">
      <x:c r="A202" s="187" t="str">
        <x:v>BUDGET_2026_V1</x:v>
      </x:c>
      <x:c r="B202" s="187" t="str">
        <x:v>BUDGET</x:v>
      </x:c>
      <x:c r="C202" s="187"/>
      <x:c r="D202" s="217" t="n">
        <x:v>46113</x:v>
      </x:c>
      <x:c r="E202" s="187" t="str">
        <x:v>R_DE_FR_B_ROAD</x:v>
      </x:c>
      <x:c r="F202" s="187" t="str">
        <x:v>DE</x:v>
      </x:c>
      <x:c r="G202" s="187" t="str">
        <x:v>FR_FC</x:v>
      </x:c>
      <x:c r="H202" s="187" t="str">
        <x:v>CARRIER_B</x:v>
      </x:c>
      <x:c r="I202" s="187" t="str">
        <x:v>ROAD</x:v>
      </x:c>
      <x:c r="J202" s="187" t="str">
        <x:v>BILLABLE_EXCEPTION</x:v>
      </x:c>
      <x:c r="K202" s="187" t="str">
        <x:v>EUR</x:v>
      </x:c>
      <x:c r="L202" s="232" t="n">
        <x:v>6.468336</x:v>
      </x:c>
      <x:c r="M202" s="232" t="n">
        <x:v>7.8</x:v>
      </x:c>
      <x:c r="N202" s="187" t="str">
        <x:v>50.4530208000000</x:v>
      </x:c>
      <x:c r="O202" s="235" t="n">
        <x:v>50.453</x:v>
      </x:c>
      <x:c r="P202" s="235"/>
      <x:c r="Q202" s="235"/>
      <x:c r="R202" s="235" t="str">
        <x:v>INVOICE_OR_PLAN</x:v>
      </x:c>
      <x:c r="S202" s="238" t="n">
        <x:f>'Model_Calc'!BA37</x:f>
        <x:v>50.453020800000004</x:v>
      </x:c>
      <x:c r="T202" s="238" t="n">
        <x:f>ROUND(S202-O202,4)</x:f>
        <x:v>0</x:v>
      </x:c>
    </x:row>
    <x:row r="203">
      <x:c r="A203" s="187" t="str">
        <x:v>BUDGET_2026_V1</x:v>
      </x:c>
      <x:c r="B203" s="187" t="str">
        <x:v>BUDGET</x:v>
      </x:c>
      <x:c r="C203" s="187"/>
      <x:c r="D203" s="217" t="n">
        <x:v>46113</x:v>
      </x:c>
      <x:c r="E203" s="187" t="str">
        <x:v>R_FR_FR_A_ROAD</x:v>
      </x:c>
      <x:c r="F203" s="187" t="str">
        <x:v>FR</x:v>
      </x:c>
      <x:c r="G203" s="187" t="str">
        <x:v>FR_FC</x:v>
      </x:c>
      <x:c r="H203" s="187" t="str">
        <x:v>CARRIER_A</x:v>
      </x:c>
      <x:c r="I203" s="187" t="str">
        <x:v>ROAD</x:v>
      </x:c>
      <x:c r="J203" s="187" t="str">
        <x:v>BASE_FREIGHT</x:v>
      </x:c>
      <x:c r="K203" s="187" t="str">
        <x:v>EUR</x:v>
      </x:c>
      <x:c r="L203" s="232" t="n">
        <x:v>2936.89536</x:v>
      </x:c>
      <x:c r="M203" s="232" t="n">
        <x:v>7.8</x:v>
      </x:c>
      <x:c r="N203" s="187" t="str">
        <x:v>22907.783808000000</x:v>
      </x:c>
      <x:c r="O203" s="235" t="n">
        <x:v>22907.7838</x:v>
      </x:c>
      <x:c r="P203" s="235"/>
      <x:c r="Q203" s="235"/>
      <x:c r="R203" s="235" t="str">
        <x:v>INVOICE_OR_PLAN</x:v>
      </x:c>
      <x:c r="S203" s="238" t="n">
        <x:f>'Model_Calc'!AF38</x:f>
        <x:v>22907.783808</x:v>
      </x:c>
      <x:c r="T203" s="238" t="n">
        <x:f>ROUND(S203-O203,4)</x:f>
        <x:v>0</x:v>
      </x:c>
    </x:row>
    <x:row r="204">
      <x:c r="A204" s="187" t="str">
        <x:v>BUDGET_2026_V1</x:v>
      </x:c>
      <x:c r="B204" s="187" t="str">
        <x:v>BUDGET</x:v>
      </x:c>
      <x:c r="C204" s="187"/>
      <x:c r="D204" s="217" t="n">
        <x:v>46113</x:v>
      </x:c>
      <x:c r="E204" s="187" t="str">
        <x:v>R_FR_FR_A_ROAD</x:v>
      </x:c>
      <x:c r="F204" s="187" t="str">
        <x:v>FR</x:v>
      </x:c>
      <x:c r="G204" s="187" t="str">
        <x:v>FR_FC</x:v>
      </x:c>
      <x:c r="H204" s="187" t="str">
        <x:v>CARRIER_A</x:v>
      </x:c>
      <x:c r="I204" s="187" t="str">
        <x:v>ROAD</x:v>
      </x:c>
      <x:c r="J204" s="187" t="str">
        <x:v>FUEL_SURCHARGE</x:v>
      </x:c>
      <x:c r="K204" s="187" t="str">
        <x:v>EUR</x:v>
      </x:c>
      <x:c r="L204" s="232" t="n">
        <x:v>264.3205824</x:v>
      </x:c>
      <x:c r="M204" s="232" t="n">
        <x:v>7.8</x:v>
      </x:c>
      <x:c r="N204" s="187" t="str">
        <x:v>2061.700542720000000</x:v>
      </x:c>
      <x:c r="O204" s="235" t="n">
        <x:v>2061.7005</x:v>
      </x:c>
      <x:c r="P204" s="235"/>
      <x:c r="Q204" s="235"/>
      <x:c r="R204" s="235" t="str">
        <x:v>INVOICE_OR_PLAN</x:v>
      </x:c>
      <x:c r="S204" s="238" t="n">
        <x:f>'Model_Calc'!AG38</x:f>
        <x:v>2061.7005427199997</x:v>
      </x:c>
      <x:c r="T204" s="238" t="n">
        <x:f>ROUND(S204-O204,4)</x:f>
        <x:v>0</x:v>
      </x:c>
    </x:row>
    <x:row r="205">
      <x:c r="A205" s="187" t="str">
        <x:v>BUDGET_2026_V1</x:v>
      </x:c>
      <x:c r="B205" s="187" t="str">
        <x:v>BUDGET</x:v>
      </x:c>
      <x:c r="C205" s="187"/>
      <x:c r="D205" s="217" t="n">
        <x:v>46113</x:v>
      </x:c>
      <x:c r="E205" s="187" t="str">
        <x:v>R_FR_FR_A_ROAD</x:v>
      </x:c>
      <x:c r="F205" s="187" t="str">
        <x:v>FR</x:v>
      </x:c>
      <x:c r="G205" s="187" t="str">
        <x:v>FR_FC</x:v>
      </x:c>
      <x:c r="H205" s="187" t="str">
        <x:v>CARRIER_A</x:v>
      </x:c>
      <x:c r="I205" s="187" t="str">
        <x:v>ROAD</x:v>
      </x:c>
      <x:c r="J205" s="187" t="str">
        <x:v>WAREHOUSE_OPERATION</x:v>
      </x:c>
      <x:c r="K205" s="187" t="str">
        <x:v>EUR</x:v>
      </x:c>
      <x:c r="L205" s="232" t="n">
        <x:v>1822.8</x:v>
      </x:c>
      <x:c r="M205" s="232" t="n">
        <x:v>7.8</x:v>
      </x:c>
      <x:c r="N205" s="187" t="str">
        <x:v>14217.84000000</x:v>
      </x:c>
      <x:c r="O205" s="235" t="n">
        <x:v>14217.84</x:v>
      </x:c>
      <x:c r="P205" s="235"/>
      <x:c r="Q205" s="235"/>
      <x:c r="R205" s="235" t="str">
        <x:v>INVOICE_OR_PLAN</x:v>
      </x:c>
      <x:c r="S205" s="238" t="n">
        <x:f>'Model_Calc'!AL38</x:f>
        <x:v>14217.840000000002</x:v>
      </x:c>
      <x:c r="T205" s="238" t="n">
        <x:f>ROUND(S205-O205,4)</x:f>
        <x:v>0</x:v>
      </x:c>
    </x:row>
    <x:row r="206">
      <x:c r="A206" s="187" t="str">
        <x:v>BUDGET_2026_V1</x:v>
      </x:c>
      <x:c r="B206" s="187" t="str">
        <x:v>BUDGET</x:v>
      </x:c>
      <x:c r="C206" s="187"/>
      <x:c r="D206" s="217" t="n">
        <x:v>46113</x:v>
      </x:c>
      <x:c r="E206" s="187" t="str">
        <x:v>R_FR_FR_A_ROAD</x:v>
      </x:c>
      <x:c r="F206" s="187" t="str">
        <x:v>FR</x:v>
      </x:c>
      <x:c r="G206" s="187" t="str">
        <x:v>FR_FC</x:v>
      </x:c>
      <x:c r="H206" s="187" t="str">
        <x:v>CARRIER_A</x:v>
      </x:c>
      <x:c r="I206" s="187" t="str">
        <x:v>ROAD</x:v>
      </x:c>
      <x:c r="J206" s="187" t="str">
        <x:v>PACKAGING</x:v>
      </x:c>
      <x:c r="K206" s="187" t="str">
        <x:v>EUR</x:v>
      </x:c>
      <x:c r="L206" s="232" t="n">
        <x:v>699.2608</x:v>
      </x:c>
      <x:c r="M206" s="232" t="n">
        <x:v>7.8</x:v>
      </x:c>
      <x:c r="N206" s="187" t="str">
        <x:v>5454.2342400000</x:v>
      </x:c>
      <x:c r="O206" s="235" t="n">
        <x:v>5454.2342</x:v>
      </x:c>
      <x:c r="P206" s="235"/>
      <x:c r="Q206" s="235"/>
      <x:c r="R206" s="235" t="str">
        <x:v>INVOICE_OR_PLAN</x:v>
      </x:c>
      <x:c r="S206" s="238" t="n">
        <x:f>'Model_Calc'!AQ38</x:f>
        <x:v>5454.23424</x:v>
      </x:c>
      <x:c r="T206" s="238" t="n">
        <x:f>ROUND(S206-O206,4)</x:f>
        <x:v>0</x:v>
      </x:c>
    </x:row>
    <x:row r="207">
      <x:c r="A207" s="187" t="str">
        <x:v>BUDGET_2026_V1</x:v>
      </x:c>
      <x:c r="B207" s="187" t="str">
        <x:v>BUDGET</x:v>
      </x:c>
      <x:c r="C207" s="187"/>
      <x:c r="D207" s="217" t="n">
        <x:v>46113</x:v>
      </x:c>
      <x:c r="E207" s="187" t="str">
        <x:v>R_FR_FR_A_ROAD</x:v>
      </x:c>
      <x:c r="F207" s="187" t="str">
        <x:v>FR</x:v>
      </x:c>
      <x:c r="G207" s="187" t="str">
        <x:v>FR_FC</x:v>
      </x:c>
      <x:c r="H207" s="187" t="str">
        <x:v>CARRIER_A</x:v>
      </x:c>
      <x:c r="I207" s="187" t="str">
        <x:v>ROAD</x:v>
      </x:c>
      <x:c r="J207" s="187" t="str">
        <x:v>RETURN_LOGISTICS</x:v>
      </x:c>
      <x:c r="K207" s="187" t="str">
        <x:v>EUR</x:v>
      </x:c>
      <x:c r="L207" s="232" t="n">
        <x:v>312.48</x:v>
      </x:c>
      <x:c r="M207" s="232" t="n">
        <x:v>7.8</x:v>
      </x:c>
      <x:c r="N207" s="187" t="str">
        <x:v>2437.34400000000</x:v>
      </x:c>
      <x:c r="O207" s="235" t="n">
        <x:v>2437.344</x:v>
      </x:c>
      <x:c r="P207" s="235"/>
      <x:c r="Q207" s="235"/>
      <x:c r="R207" s="235" t="str">
        <x:v>INVOICE_OR_PLAN</x:v>
      </x:c>
      <x:c r="S207" s="238" t="n">
        <x:f>'Model_Calc'!AV38</x:f>
        <x:v>2437.344</x:v>
      </x:c>
      <x:c r="T207" s="238" t="n">
        <x:f>ROUND(S207-O207,4)</x:f>
        <x:v>0</x:v>
      </x:c>
    </x:row>
    <x:row r="208">
      <x:c r="A208" s="187" t="str">
        <x:v>BUDGET_2026_V1</x:v>
      </x:c>
      <x:c r="B208" s="187" t="str">
        <x:v>BUDGET</x:v>
      </x:c>
      <x:c r="C208" s="187"/>
      <x:c r="D208" s="217" t="n">
        <x:v>46113</x:v>
      </x:c>
      <x:c r="E208" s="187" t="str">
        <x:v>R_FR_FR_A_ROAD</x:v>
      </x:c>
      <x:c r="F208" s="187" t="str">
        <x:v>FR</x:v>
      </x:c>
      <x:c r="G208" s="187" t="str">
        <x:v>FR_FC</x:v>
      </x:c>
      <x:c r="H208" s="187" t="str">
        <x:v>CARRIER_A</x:v>
      </x:c>
      <x:c r="I208" s="187" t="str">
        <x:v>ROAD</x:v>
      </x:c>
      <x:c r="J208" s="187" t="str">
        <x:v>BILLABLE_EXCEPTION</x:v>
      </x:c>
      <x:c r="K208" s="187" t="str">
        <x:v>EUR</x:v>
      </x:c>
      <x:c r="L208" s="232" t="n">
        <x:v>71.950256</x:v>
      </x:c>
      <x:c r="M208" s="232" t="n">
        <x:v>7.8</x:v>
      </x:c>
      <x:c r="N208" s="187" t="str">
        <x:v>561.2119968000000</x:v>
      </x:c>
      <x:c r="O208" s="235" t="n">
        <x:v>561.212</x:v>
      </x:c>
      <x:c r="P208" s="235"/>
      <x:c r="Q208" s="235"/>
      <x:c r="R208" s="235" t="str">
        <x:v>INVOICE_OR_PLAN</x:v>
      </x:c>
      <x:c r="S208" s="238" t="n">
        <x:f>'Model_Calc'!BA38</x:f>
        <x:v>561.2119968000001</x:v>
      </x:c>
      <x:c r="T208" s="238" t="n">
        <x:f>ROUND(S208-O208,4)</x:f>
        <x:v>0</x:v>
      </x:c>
    </x:row>
    <x:row r="209">
      <x:c r="A209" s="187" t="str">
        <x:v>BUDGET_2026_V1</x:v>
      </x:c>
      <x:c r="B209" s="187" t="str">
        <x:v>BUDGET</x:v>
      </x:c>
      <x:c r="C209" s="187"/>
      <x:c r="D209" s="217" t="n">
        <x:v>46113</x:v>
      </x:c>
      <x:c r="E209" s="187" t="str">
        <x:v>R_FR_FR_B_ROAD</x:v>
      </x:c>
      <x:c r="F209" s="187" t="str">
        <x:v>FR</x:v>
      </x:c>
      <x:c r="G209" s="187" t="str">
        <x:v>FR_FC</x:v>
      </x:c>
      <x:c r="H209" s="187" t="str">
        <x:v>CARRIER_B</x:v>
      </x:c>
      <x:c r="I209" s="187" t="str">
        <x:v>ROAD</x:v>
      </x:c>
      <x:c r="J209" s="187" t="str">
        <x:v>BASE_FREIGHT</x:v>
      </x:c>
      <x:c r="K209" s="187" t="str">
        <x:v>EUR</x:v>
      </x:c>
      <x:c r="L209" s="232" t="n">
        <x:v>7019.42176</x:v>
      </x:c>
      <x:c r="M209" s="232" t="n">
        <x:v>7.8</x:v>
      </x:c>
      <x:c r="N209" s="187" t="str">
        <x:v>54751.489728000000</x:v>
      </x:c>
      <x:c r="O209" s="235" t="n">
        <x:v>54751.4897</x:v>
      </x:c>
      <x:c r="P209" s="235"/>
      <x:c r="Q209" s="235"/>
      <x:c r="R209" s="235" t="str">
        <x:v>INVOICE_OR_PLAN</x:v>
      </x:c>
      <x:c r="S209" s="238" t="n">
        <x:f>'Model_Calc'!AF39</x:f>
        <x:v>54751.48972800001</x:v>
      </x:c>
      <x:c r="T209" s="238" t="n">
        <x:f>ROUND(S209-O209,4)</x:f>
        <x:v>0</x:v>
      </x:c>
    </x:row>
    <x:row r="210">
      <x:c r="A210" s="187" t="str">
        <x:v>BUDGET_2026_V1</x:v>
      </x:c>
      <x:c r="B210" s="187" t="str">
        <x:v>BUDGET</x:v>
      </x:c>
      <x:c r="C210" s="187"/>
      <x:c r="D210" s="217" t="n">
        <x:v>46113</x:v>
      </x:c>
      <x:c r="E210" s="187" t="str">
        <x:v>R_FR_FR_B_ROAD</x:v>
      </x:c>
      <x:c r="F210" s="187" t="str">
        <x:v>FR</x:v>
      </x:c>
      <x:c r="G210" s="187" t="str">
        <x:v>FR_FC</x:v>
      </x:c>
      <x:c r="H210" s="187" t="str">
        <x:v>CARRIER_B</x:v>
      </x:c>
      <x:c r="I210" s="187" t="str">
        <x:v>ROAD</x:v>
      </x:c>
      <x:c r="J210" s="187" t="str">
        <x:v>FUEL_SURCHARGE</x:v>
      </x:c>
      <x:c r="K210" s="187" t="str">
        <x:v>EUR</x:v>
      </x:c>
      <x:c r="L210" s="232" t="n">
        <x:v>539.95552</x:v>
      </x:c>
      <x:c r="M210" s="232" t="n">
        <x:v>7.8</x:v>
      </x:c>
      <x:c r="N210" s="187" t="str">
        <x:v>4211.653056000000</x:v>
      </x:c>
      <x:c r="O210" s="235" t="n">
        <x:v>4211.6531</x:v>
      </x:c>
      <x:c r="P210" s="235"/>
      <x:c r="Q210" s="235"/>
      <x:c r="R210" s="235" t="str">
        <x:v>INVOICE_OR_PLAN</x:v>
      </x:c>
      <x:c r="S210" s="238" t="n">
        <x:f>'Model_Calc'!AG39</x:f>
        <x:v>4211.653056000001</x:v>
      </x:c>
      <x:c r="T210" s="238" t="n">
        <x:f>ROUND(S210-O210,4)</x:f>
        <x:v>0</x:v>
      </x:c>
    </x:row>
    <x:row r="211">
      <x:c r="A211" s="187" t="str">
        <x:v>BUDGET_2026_V1</x:v>
      </x:c>
      <x:c r="B211" s="187" t="str">
        <x:v>BUDGET</x:v>
      </x:c>
      <x:c r="C211" s="187"/>
      <x:c r="D211" s="217" t="n">
        <x:v>46113</x:v>
      </x:c>
      <x:c r="E211" s="187" t="str">
        <x:v>R_FR_FR_B_ROAD</x:v>
      </x:c>
      <x:c r="F211" s="187" t="str">
        <x:v>FR</x:v>
      </x:c>
      <x:c r="G211" s="187" t="str">
        <x:v>FR_FC</x:v>
      </x:c>
      <x:c r="H211" s="187" t="str">
        <x:v>CARRIER_B</x:v>
      </x:c>
      <x:c r="I211" s="187" t="str">
        <x:v>ROAD</x:v>
      </x:c>
      <x:c r="J211" s="187" t="str">
        <x:v>WAREHOUSE_OPERATION</x:v>
      </x:c>
      <x:c r="K211" s="187" t="str">
        <x:v>EUR</x:v>
      </x:c>
      <x:c r="L211" s="232" t="n">
        <x:v>3385.2</x:v>
      </x:c>
      <x:c r="M211" s="232" t="n">
        <x:v>7.8</x:v>
      </x:c>
      <x:c r="N211" s="187" t="str">
        <x:v>26404.56000000</x:v>
      </x:c>
      <x:c r="O211" s="235" t="n">
        <x:v>26404.56</x:v>
      </x:c>
      <x:c r="P211" s="235"/>
      <x:c r="Q211" s="235"/>
      <x:c r="R211" s="235" t="str">
        <x:v>INVOICE_OR_PLAN</x:v>
      </x:c>
      <x:c r="S211" s="238" t="n">
        <x:f>'Model_Calc'!AL39</x:f>
        <x:v>26404.56</x:v>
      </x:c>
      <x:c r="T211" s="238" t="n">
        <x:f>ROUND(S211-O211,4)</x:f>
        <x:v>0</x:v>
      </x:c>
    </x:row>
    <x:row r="212">
      <x:c r="A212" s="187" t="str">
        <x:v>BUDGET_2026_V1</x:v>
      </x:c>
      <x:c r="B212" s="187" t="str">
        <x:v>BUDGET</x:v>
      </x:c>
      <x:c r="C212" s="187"/>
      <x:c r="D212" s="217" t="n">
        <x:v>46113</x:v>
      </x:c>
      <x:c r="E212" s="187" t="str">
        <x:v>R_FR_FR_B_ROAD</x:v>
      </x:c>
      <x:c r="F212" s="187" t="str">
        <x:v>FR</x:v>
      </x:c>
      <x:c r="G212" s="187" t="str">
        <x:v>FR_FC</x:v>
      </x:c>
      <x:c r="H212" s="187" t="str">
        <x:v>CARRIER_B</x:v>
      </x:c>
      <x:c r="I212" s="187" t="str">
        <x:v>ROAD</x:v>
      </x:c>
      <x:c r="J212" s="187" t="str">
        <x:v>PACKAGING</x:v>
      </x:c>
      <x:c r="K212" s="187" t="str">
        <x:v>EUR</x:v>
      </x:c>
      <x:c r="L212" s="232" t="n">
        <x:v>1298.6272</x:v>
      </x:c>
      <x:c r="M212" s="232" t="n">
        <x:v>7.8</x:v>
      </x:c>
      <x:c r="N212" s="187" t="str">
        <x:v>10129.2921600000</x:v>
      </x:c>
      <x:c r="O212" s="235" t="n">
        <x:v>10129.2922</x:v>
      </x:c>
      <x:c r="P212" s="235"/>
      <x:c r="Q212" s="235"/>
      <x:c r="R212" s="235" t="str">
        <x:v>INVOICE_OR_PLAN</x:v>
      </x:c>
      <x:c r="S212" s="238" t="n">
        <x:f>'Model_Calc'!AQ39</x:f>
        <x:v>10129.29216</x:v>
      </x:c>
      <x:c r="T212" s="238" t="n">
        <x:f>ROUND(S212-O212,4)</x:f>
        <x:v>0</x:v>
      </x:c>
    </x:row>
    <x:row r="213">
      <x:c r="A213" s="187" t="str">
        <x:v>BUDGET_2026_V1</x:v>
      </x:c>
      <x:c r="B213" s="187" t="str">
        <x:v>BUDGET</x:v>
      </x:c>
      <x:c r="C213" s="187"/>
      <x:c r="D213" s="217" t="n">
        <x:v>46113</x:v>
      </x:c>
      <x:c r="E213" s="187" t="str">
        <x:v>R_FR_FR_B_ROAD</x:v>
      </x:c>
      <x:c r="F213" s="187" t="str">
        <x:v>FR</x:v>
      </x:c>
      <x:c r="G213" s="187" t="str">
        <x:v>FR_FC</x:v>
      </x:c>
      <x:c r="H213" s="187" t="str">
        <x:v>CARRIER_B</x:v>
      </x:c>
      <x:c r="I213" s="187" t="str">
        <x:v>ROAD</x:v>
      </x:c>
      <x:c r="J213" s="187" t="str">
        <x:v>RETURN_LOGISTICS</x:v>
      </x:c>
      <x:c r="K213" s="187" t="str">
        <x:v>EUR</x:v>
      </x:c>
      <x:c r="L213" s="232" t="n">
        <x:v>580.32</x:v>
      </x:c>
      <x:c r="M213" s="232" t="n">
        <x:v>7.8</x:v>
      </x:c>
      <x:c r="N213" s="187" t="str">
        <x:v>4526.49600000000</x:v>
      </x:c>
      <x:c r="O213" s="235" t="n">
        <x:v>4526.496</x:v>
      </x:c>
      <x:c r="P213" s="235"/>
      <x:c r="Q213" s="235"/>
      <x:c r="R213" s="235" t="str">
        <x:v>INVOICE_OR_PLAN</x:v>
      </x:c>
      <x:c r="S213" s="238" t="n">
        <x:f>'Model_Calc'!AV39</x:f>
        <x:v>4526.495999999999</x:v>
      </x:c>
      <x:c r="T213" s="238" t="n">
        <x:f>ROUND(S213-O213,4)</x:f>
        <x:v>0</x:v>
      </x:c>
    </x:row>
    <x:row r="214">
      <x:c r="A214" s="187" t="str">
        <x:v>BUDGET_2026_V1</x:v>
      </x:c>
      <x:c r="B214" s="187" t="str">
        <x:v>BUDGET</x:v>
      </x:c>
      <x:c r="C214" s="187"/>
      <x:c r="D214" s="217" t="n">
        <x:v>46113</x:v>
      </x:c>
      <x:c r="E214" s="187" t="str">
        <x:v>R_FR_FR_B_ROAD</x:v>
      </x:c>
      <x:c r="F214" s="187" t="str">
        <x:v>FR</x:v>
      </x:c>
      <x:c r="G214" s="187" t="str">
        <x:v>FR_FC</x:v>
      </x:c>
      <x:c r="H214" s="187" t="str">
        <x:v>CARRIER_B</x:v>
      </x:c>
      <x:c r="I214" s="187" t="str">
        <x:v>ROAD</x:v>
      </x:c>
      <x:c r="J214" s="187" t="str">
        <x:v>BILLABLE_EXCEPTION</x:v>
      </x:c>
      <x:c r="K214" s="187" t="str">
        <x:v>EUR</x:v>
      </x:c>
      <x:c r="L214" s="232" t="n">
        <x:v>110.041568</x:v>
      </x:c>
      <x:c r="M214" s="232" t="n">
        <x:v>7.8</x:v>
      </x:c>
      <x:c r="N214" s="187" t="str">
        <x:v>858.3242304000000</x:v>
      </x:c>
      <x:c r="O214" s="235" t="n">
        <x:v>858.3242</x:v>
      </x:c>
      <x:c r="P214" s="235"/>
      <x:c r="Q214" s="235"/>
      <x:c r="R214" s="235" t="str">
        <x:v>INVOICE_OR_PLAN</x:v>
      </x:c>
      <x:c r="S214" s="238" t="n">
        <x:f>'Model_Calc'!BA39</x:f>
        <x:v>858.3242303999999</x:v>
      </x:c>
      <x:c r="T214" s="238" t="n">
        <x:f>ROUND(S214-O214,4)</x:f>
        <x:v>0</x:v>
      </x:c>
    </x:row>
    <x:row r="215">
      <x:c r="A215" s="187" t="str">
        <x:v>BUDGET_2026_V1</x:v>
      </x:c>
      <x:c r="B215" s="187" t="str">
        <x:v>BUDGET</x:v>
      </x:c>
      <x:c r="C215" s="187"/>
      <x:c r="D215" s="217" t="n">
        <x:v>46113</x:v>
      </x:c>
      <x:c r="E215" s="187" t="str">
        <x:v>R_GB_DE_A_ROAD</x:v>
      </x:c>
      <x:c r="F215" s="187" t="str">
        <x:v>GB</x:v>
      </x:c>
      <x:c r="G215" s="187" t="str">
        <x:v>DE_FC</x:v>
      </x:c>
      <x:c r="H215" s="187" t="str">
        <x:v>CARRIER_A</x:v>
      </x:c>
      <x:c r="I215" s="187" t="str">
        <x:v>ROAD</x:v>
      </x:c>
      <x:c r="J215" s="187" t="str">
        <x:v>BASE_FREIGHT</x:v>
      </x:c>
      <x:c r="K215" s="187" t="str">
        <x:v>GBP</x:v>
      </x:c>
      <x:c r="L215" s="232" t="n">
        <x:v>12375.207936</x:v>
      </x:c>
      <x:c r="M215" s="232" t="n">
        <x:v>9</x:v>
      </x:c>
      <x:c r="N215" s="187" t="str">
        <x:v>111376.87142400000000</x:v>
      </x:c>
      <x:c r="O215" s="235" t="n">
        <x:v>111376.8714</x:v>
      </x:c>
      <x:c r="P215" s="235"/>
      <x:c r="Q215" s="235"/>
      <x:c r="R215" s="235" t="str">
        <x:v>INVOICE_OR_PLAN</x:v>
      </x:c>
      <x:c r="S215" s="238" t="n">
        <x:f>'Model_Calc'!AF40</x:f>
        <x:v>111376.87142400001</x:v>
      </x:c>
      <x:c r="T215" s="238" t="n">
        <x:f>ROUND(S215-O215,4)</x:f>
        <x:v>0</x:v>
      </x:c>
    </x:row>
    <x:row r="216">
      <x:c r="A216" s="187" t="str">
        <x:v>BUDGET_2026_V1</x:v>
      </x:c>
      <x:c r="B216" s="187" t="str">
        <x:v>BUDGET</x:v>
      </x:c>
      <x:c r="C216" s="187"/>
      <x:c r="D216" s="217" t="n">
        <x:v>46113</x:v>
      </x:c>
      <x:c r="E216" s="187" t="str">
        <x:v>R_GB_DE_A_ROAD</x:v>
      </x:c>
      <x:c r="F216" s="187" t="str">
        <x:v>GB</x:v>
      </x:c>
      <x:c r="G216" s="187" t="str">
        <x:v>DE_FC</x:v>
      </x:c>
      <x:c r="H216" s="187" t="str">
        <x:v>CARRIER_A</x:v>
      </x:c>
      <x:c r="I216" s="187" t="str">
        <x:v>ROAD</x:v>
      </x:c>
      <x:c r="J216" s="187" t="str">
        <x:v>FUEL_SURCHARGE</x:v>
      </x:c>
      <x:c r="K216" s="187" t="str">
        <x:v>GBP</x:v>
      </x:c>
      <x:c r="L216" s="232" t="n">
        <x:v>1237.5207936</x:v>
      </x:c>
      <x:c r="M216" s="232" t="n">
        <x:v>9</x:v>
      </x:c>
      <x:c r="N216" s="187" t="str">
        <x:v>11137.68714240000000000</x:v>
      </x:c>
      <x:c r="O216" s="235" t="n">
        <x:v>11137.6871</x:v>
      </x:c>
      <x:c r="P216" s="235"/>
      <x:c r="Q216" s="235"/>
      <x:c r="R216" s="235" t="str">
        <x:v>INVOICE_OR_PLAN</x:v>
      </x:c>
      <x:c r="S216" s="238" t="n">
        <x:f>'Model_Calc'!AG40</x:f>
        <x:v>11137.687142400002</x:v>
      </x:c>
      <x:c r="T216" s="238" t="n">
        <x:f>ROUND(S216-O216,4)</x:f>
        <x:v>0</x:v>
      </x:c>
    </x:row>
    <x:row r="217">
      <x:c r="A217" s="187" t="str">
        <x:v>BUDGET_2026_V1</x:v>
      </x:c>
      <x:c r="B217" s="187" t="str">
        <x:v>BUDGET</x:v>
      </x:c>
      <x:c r="C217" s="187"/>
      <x:c r="D217" s="217" t="n">
        <x:v>46113</x:v>
      </x:c>
      <x:c r="E217" s="187" t="str">
        <x:v>R_GB_DE_A_ROAD</x:v>
      </x:c>
      <x:c r="F217" s="187" t="str">
        <x:v>GB</x:v>
      </x:c>
      <x:c r="G217" s="187" t="str">
        <x:v>DE_FC</x:v>
      </x:c>
      <x:c r="H217" s="187" t="str">
        <x:v>CARRIER_A</x:v>
      </x:c>
      <x:c r="I217" s="187" t="str">
        <x:v>ROAD</x:v>
      </x:c>
      <x:c r="J217" s="187" t="str">
        <x:v>WAREHOUSE_OPERATION</x:v>
      </x:c>
      <x:c r="K217" s="187" t="str">
        <x:v>EUR</x:v>
      </x:c>
      <x:c r="L217" s="232" t="n">
        <x:v>3195.6288</x:v>
      </x:c>
      <x:c r="M217" s="232" t="n">
        <x:v>7.8</x:v>
      </x:c>
      <x:c r="N217" s="187" t="str">
        <x:v>24925.9046400000</x:v>
      </x:c>
      <x:c r="O217" s="235" t="n">
        <x:v>24925.9046</x:v>
      </x:c>
      <x:c r="P217" s="235"/>
      <x:c r="Q217" s="235"/>
      <x:c r="R217" s="235" t="str">
        <x:v>INVOICE_OR_PLAN</x:v>
      </x:c>
      <x:c r="S217" s="238" t="n">
        <x:f>'Model_Calc'!AL40</x:f>
        <x:v>24925.904639999997</x:v>
      </x:c>
      <x:c r="T217" s="238" t="n">
        <x:f>ROUND(S217-O217,4)</x:f>
        <x:v>0</x:v>
      </x:c>
    </x:row>
    <x:row r="218">
      <x:c r="A218" s="187" t="str">
        <x:v>BUDGET_2026_V1</x:v>
      </x:c>
      <x:c r="B218" s="187" t="str">
        <x:v>BUDGET</x:v>
      </x:c>
      <x:c r="C218" s="187"/>
      <x:c r="D218" s="217" t="n">
        <x:v>46113</x:v>
      </x:c>
      <x:c r="E218" s="187" t="str">
        <x:v>R_GB_DE_A_ROAD</x:v>
      </x:c>
      <x:c r="F218" s="187" t="str">
        <x:v>GB</x:v>
      </x:c>
      <x:c r="G218" s="187" t="str">
        <x:v>DE_FC</x:v>
      </x:c>
      <x:c r="H218" s="187" t="str">
        <x:v>CARRIER_A</x:v>
      </x:c>
      <x:c r="I218" s="187" t="str">
        <x:v>ROAD</x:v>
      </x:c>
      <x:c r="J218" s="187" t="str">
        <x:v>PACKAGING</x:v>
      </x:c>
      <x:c r="K218" s="187" t="str">
        <x:v>EUR</x:v>
      </x:c>
      <x:c r="L218" s="232" t="n">
        <x:v>1273.918464</x:v>
      </x:c>
      <x:c r="M218" s="232" t="n">
        <x:v>7.8</x:v>
      </x:c>
      <x:c r="N218" s="187" t="str">
        <x:v>9936.564019200000</x:v>
      </x:c>
      <x:c r="O218" s="235" t="n">
        <x:v>9936.564</x:v>
      </x:c>
      <x:c r="P218" s="235"/>
      <x:c r="Q218" s="235"/>
      <x:c r="R218" s="235" t="str">
        <x:v>INVOICE_OR_PLAN</x:v>
      </x:c>
      <x:c r="S218" s="238" t="n">
        <x:f>'Model_Calc'!AQ40</x:f>
        <x:v>9936.564019200001</x:v>
      </x:c>
      <x:c r="T218" s="238" t="n">
        <x:f>ROUND(S218-O218,4)</x:f>
        <x:v>0</x:v>
      </x:c>
    </x:row>
    <x:row r="219">
      <x:c r="A219" s="187" t="str">
        <x:v>BUDGET_2026_V1</x:v>
      </x:c>
      <x:c r="B219" s="187" t="str">
        <x:v>BUDGET</x:v>
      </x:c>
      <x:c r="C219" s="187"/>
      <x:c r="D219" s="217" t="n">
        <x:v>46113</x:v>
      </x:c>
      <x:c r="E219" s="187" t="str">
        <x:v>R_GB_DE_A_ROAD</x:v>
      </x:c>
      <x:c r="F219" s="187" t="str">
        <x:v>GB</x:v>
      </x:c>
      <x:c r="G219" s="187" t="str">
        <x:v>DE_FC</x:v>
      </x:c>
      <x:c r="H219" s="187" t="str">
        <x:v>CARRIER_A</x:v>
      </x:c>
      <x:c r="I219" s="187" t="str">
        <x:v>ROAD</x:v>
      </x:c>
      <x:c r="J219" s="187" t="str">
        <x:v>RETURN_LOGISTICS</x:v>
      </x:c>
      <x:c r="K219" s="187" t="str">
        <x:v>GBP</x:v>
      </x:c>
      <x:c r="L219" s="232" t="n">
        <x:v>1039.93344</x:v>
      </x:c>
      <x:c r="M219" s="232" t="n">
        <x:v>9</x:v>
      </x:c>
      <x:c r="N219" s="187" t="str">
        <x:v>9359.4009600000000</x:v>
      </x:c>
      <x:c r="O219" s="235" t="n">
        <x:v>9359.401</x:v>
      </x:c>
      <x:c r="P219" s="235"/>
      <x:c r="Q219" s="235"/>
      <x:c r="R219" s="235" t="str">
        <x:v>INVOICE_OR_PLAN</x:v>
      </x:c>
      <x:c r="S219" s="238" t="n">
        <x:f>'Model_Calc'!AV40</x:f>
        <x:v>9359.400959999999</x:v>
      </x:c>
      <x:c r="T219" s="238" t="n">
        <x:f>ROUND(S219-O219,4)</x:f>
        <x:v>0</x:v>
      </x:c>
    </x:row>
    <x:row r="220">
      <x:c r="A220" s="187" t="str">
        <x:v>BUDGET_2026_V1</x:v>
      </x:c>
      <x:c r="B220" s="187" t="str">
        <x:v>BUDGET</x:v>
      </x:c>
      <x:c r="C220" s="187"/>
      <x:c r="D220" s="217" t="n">
        <x:v>46113</x:v>
      </x:c>
      <x:c r="E220" s="187" t="str">
        <x:v>R_GB_DE_A_ROAD</x:v>
      </x:c>
      <x:c r="F220" s="187" t="str">
        <x:v>GB</x:v>
      </x:c>
      <x:c r="G220" s="187" t="str">
        <x:v>DE_FC</x:v>
      </x:c>
      <x:c r="H220" s="187" t="str">
        <x:v>CARRIER_A</x:v>
      </x:c>
      <x:c r="I220" s="187" t="str">
        <x:v>ROAD</x:v>
      </x:c>
      <x:c r="J220" s="187" t="str">
        <x:v>BILLABLE_EXCEPTION</x:v>
      </x:c>
      <x:c r="K220" s="187" t="str">
        <x:v>GBP</x:v>
      </x:c>
      <x:c r="L220" s="232" t="n">
        <x:v>153.47684352</x:v>
      </x:c>
      <x:c r="M220" s="232" t="n">
        <x:v>9</x:v>
      </x:c>
      <x:c r="N220" s="187" t="str">
        <x:v>1381.291591680000000</x:v>
      </x:c>
      <x:c r="O220" s="235" t="n">
        <x:v>1381.2916</x:v>
      </x:c>
      <x:c r="P220" s="235"/>
      <x:c r="Q220" s="235"/>
      <x:c r="R220" s="235" t="str">
        <x:v>INVOICE_OR_PLAN</x:v>
      </x:c>
      <x:c r="S220" s="238" t="n">
        <x:f>'Model_Calc'!BA40</x:f>
        <x:v>1381.2915916799998</x:v>
      </x:c>
      <x:c r="T220" s="238" t="n">
        <x:f>ROUND(S220-O220,4)</x:f>
        <x:v>0</x:v>
      </x:c>
    </x:row>
    <x:row r="221">
      <x:c r="A221" s="187" t="str">
        <x:v>BUDGET_2026_V1</x:v>
      </x:c>
      <x:c r="B221" s="187" t="str">
        <x:v>BUDGET</x:v>
      </x:c>
      <x:c r="C221" s="187"/>
      <x:c r="D221" s="217" t="n">
        <x:v>46113</x:v>
      </x:c>
      <x:c r="E221" s="187" t="str">
        <x:v>R_GB_DE_B_ROAD</x:v>
      </x:c>
      <x:c r="F221" s="187" t="str">
        <x:v>GB</x:v>
      </x:c>
      <x:c r="G221" s="187" t="str">
        <x:v>DE_FC</x:v>
      </x:c>
      <x:c r="H221" s="187" t="str">
        <x:v>CARRIER_B</x:v>
      </x:c>
      <x:c r="I221" s="187" t="str">
        <x:v>ROAD</x:v>
      </x:c>
      <x:c r="J221" s="187" t="str">
        <x:v>BASE_FREIGHT</x:v>
      </x:c>
      <x:c r="K221" s="187" t="str">
        <x:v>GBP</x:v>
      </x:c>
      <x:c r="L221" s="232" t="n">
        <x:v>5482.9824</x:v>
      </x:c>
      <x:c r="M221" s="232" t="n">
        <x:v>9</x:v>
      </x:c>
      <x:c r="N221" s="187" t="str">
        <x:v>49346.84160000000000</x:v>
      </x:c>
      <x:c r="O221" s="235" t="n">
        <x:v>49346.8416</x:v>
      </x:c>
      <x:c r="P221" s="235"/>
      <x:c r="Q221" s="235"/>
      <x:c r="R221" s="235" t="str">
        <x:v>INVOICE_OR_PLAN</x:v>
      </x:c>
      <x:c r="S221" s="238" t="n">
        <x:f>'Model_Calc'!AF41</x:f>
        <x:v>49346.84160000001</x:v>
      </x:c>
      <x:c r="T221" s="238" t="n">
        <x:f>ROUND(S221-O221,4)</x:f>
        <x:v>0</x:v>
      </x:c>
    </x:row>
    <x:row r="222">
      <x:c r="A222" s="187" t="str">
        <x:v>BUDGET_2026_V1</x:v>
      </x:c>
      <x:c r="B222" s="187" t="str">
        <x:v>BUDGET</x:v>
      </x:c>
      <x:c r="C222" s="187"/>
      <x:c r="D222" s="217" t="n">
        <x:v>46113</x:v>
      </x:c>
      <x:c r="E222" s="187" t="str">
        <x:v>R_GB_DE_B_ROAD</x:v>
      </x:c>
      <x:c r="F222" s="187" t="str">
        <x:v>GB</x:v>
      </x:c>
      <x:c r="G222" s="187" t="str">
        <x:v>DE_FC</x:v>
      </x:c>
      <x:c r="H222" s="187" t="str">
        <x:v>CARRIER_B</x:v>
      </x:c>
      <x:c r="I222" s="187" t="str">
        <x:v>ROAD</x:v>
      </x:c>
      <x:c r="J222" s="187" t="str">
        <x:v>FUEL_SURCHARGE</x:v>
      </x:c>
      <x:c r="K222" s="187" t="str">
        <x:v>GBP</x:v>
      </x:c>
      <x:c r="L222" s="232" t="n">
        <x:v>384.97536</x:v>
      </x:c>
      <x:c r="M222" s="232" t="n">
        <x:v>9</x:v>
      </x:c>
      <x:c r="N222" s="187" t="str">
        <x:v>3464.77824000000000</x:v>
      </x:c>
      <x:c r="O222" s="235" t="n">
        <x:v>3464.7782</x:v>
      </x:c>
      <x:c r="P222" s="235"/>
      <x:c r="Q222" s="235"/>
      <x:c r="R222" s="235" t="str">
        <x:v>INVOICE_OR_PLAN</x:v>
      </x:c>
      <x:c r="S222" s="238" t="n">
        <x:f>'Model_Calc'!AG41</x:f>
        <x:v>3464.77824</x:v>
      </x:c>
      <x:c r="T222" s="238" t="n">
        <x:f>ROUND(S222-O222,4)</x:f>
        <x:v>0</x:v>
      </x:c>
    </x:row>
    <x:row r="223">
      <x:c r="A223" s="187" t="str">
        <x:v>BUDGET_2026_V1</x:v>
      </x:c>
      <x:c r="B223" s="187" t="str">
        <x:v>BUDGET</x:v>
      </x:c>
      <x:c r="C223" s="187"/>
      <x:c r="D223" s="217" t="n">
        <x:v>46113</x:v>
      </x:c>
      <x:c r="E223" s="187" t="str">
        <x:v>R_GB_DE_B_ROAD</x:v>
      </x:c>
      <x:c r="F223" s="187" t="str">
        <x:v>GB</x:v>
      </x:c>
      <x:c r="G223" s="187" t="str">
        <x:v>DE_FC</x:v>
      </x:c>
      <x:c r="H223" s="187" t="str">
        <x:v>CARRIER_B</x:v>
      </x:c>
      <x:c r="I223" s="187" t="str">
        <x:v>ROAD</x:v>
      </x:c>
      <x:c r="J223" s="187" t="str">
        <x:v>WAREHOUSE_OPERATION</x:v>
      </x:c>
      <x:c r="K223" s="187" t="str">
        <x:v>EUR</x:v>
      </x:c>
      <x:c r="L223" s="232" t="n">
        <x:v>1229.088</x:v>
      </x:c>
      <x:c r="M223" s="232" t="n">
        <x:v>7.8</x:v>
      </x:c>
      <x:c r="N223" s="187" t="str">
        <x:v>9586.8864000000</x:v>
      </x:c>
      <x:c r="O223" s="235" t="n">
        <x:v>9586.8864</x:v>
      </x:c>
      <x:c r="P223" s="235"/>
      <x:c r="Q223" s="235"/>
      <x:c r="R223" s="235" t="str">
        <x:v>INVOICE_OR_PLAN</x:v>
      </x:c>
      <x:c r="S223" s="238" t="n">
        <x:f>'Model_Calc'!AL41</x:f>
        <x:v>9586.886399999998</x:v>
      </x:c>
      <x:c r="T223" s="238" t="n">
        <x:f>ROUND(S223-O223,4)</x:f>
        <x:v>0</x:v>
      </x:c>
    </x:row>
    <x:row r="224">
      <x:c r="A224" s="187" t="str">
        <x:v>BUDGET_2026_V1</x:v>
      </x:c>
      <x:c r="B224" s="187" t="str">
        <x:v>BUDGET</x:v>
      </x:c>
      <x:c r="C224" s="187"/>
      <x:c r="D224" s="217" t="n">
        <x:v>46113</x:v>
      </x:c>
      <x:c r="E224" s="187" t="str">
        <x:v>R_GB_DE_B_ROAD</x:v>
      </x:c>
      <x:c r="F224" s="187" t="str">
        <x:v>GB</x:v>
      </x:c>
      <x:c r="G224" s="187" t="str">
        <x:v>DE_FC</x:v>
      </x:c>
      <x:c r="H224" s="187" t="str">
        <x:v>CARRIER_B</x:v>
      </x:c>
      <x:c r="I224" s="187" t="str">
        <x:v>ROAD</x:v>
      </x:c>
      <x:c r="J224" s="187" t="str">
        <x:v>PACKAGING</x:v>
      </x:c>
      <x:c r="K224" s="187" t="str">
        <x:v>EUR</x:v>
      </x:c>
      <x:c r="L224" s="232" t="n">
        <x:v>489.96864</x:v>
      </x:c>
      <x:c r="M224" s="232" t="n">
        <x:v>7.8</x:v>
      </x:c>
      <x:c r="N224" s="187" t="str">
        <x:v>3821.755392000000</x:v>
      </x:c>
      <x:c r="O224" s="235" t="n">
        <x:v>3821.7554</x:v>
      </x:c>
      <x:c r="P224" s="235"/>
      <x:c r="Q224" s="235"/>
      <x:c r="R224" s="235" t="str">
        <x:v>INVOICE_OR_PLAN</x:v>
      </x:c>
      <x:c r="S224" s="238" t="n">
        <x:f>'Model_Calc'!AQ41</x:f>
        <x:v>3821.7553920000005</x:v>
      </x:c>
      <x:c r="T224" s="238" t="n">
        <x:f>ROUND(S224-O224,4)</x:f>
        <x:v>0</x:v>
      </x:c>
    </x:row>
    <x:row r="225">
      <x:c r="A225" s="187" t="str">
        <x:v>BUDGET_2026_V1</x:v>
      </x:c>
      <x:c r="B225" s="187" t="str">
        <x:v>BUDGET</x:v>
      </x:c>
      <x:c r="C225" s="187"/>
      <x:c r="D225" s="217" t="n">
        <x:v>46113</x:v>
      </x:c>
      <x:c r="E225" s="187" t="str">
        <x:v>R_GB_DE_B_ROAD</x:v>
      </x:c>
      <x:c r="F225" s="187" t="str">
        <x:v>GB</x:v>
      </x:c>
      <x:c r="G225" s="187" t="str">
        <x:v>DE_FC</x:v>
      </x:c>
      <x:c r="H225" s="187" t="str">
        <x:v>CARRIER_B</x:v>
      </x:c>
      <x:c r="I225" s="187" t="str">
        <x:v>ROAD</x:v>
      </x:c>
      <x:c r="J225" s="187" t="str">
        <x:v>RETURN_LOGISTICS</x:v>
      </x:c>
      <x:c r="K225" s="187" t="str">
        <x:v>GBP</x:v>
      </x:c>
      <x:c r="L225" s="232" t="n">
        <x:v>399.9744</x:v>
      </x:c>
      <x:c r="M225" s="232" t="n">
        <x:v>9</x:v>
      </x:c>
      <x:c r="N225" s="187" t="str">
        <x:v>3599.7696000000000</x:v>
      </x:c>
      <x:c r="O225" s="235" t="n">
        <x:v>3599.7696</x:v>
      </x:c>
      <x:c r="P225" s="235"/>
      <x:c r="Q225" s="235"/>
      <x:c r="R225" s="235" t="str">
        <x:v>INVOICE_OR_PLAN</x:v>
      </x:c>
      <x:c r="S225" s="238" t="n">
        <x:f>'Model_Calc'!AV41</x:f>
        <x:v>3599.7695999999996</x:v>
      </x:c>
      <x:c r="T225" s="238" t="n">
        <x:f>ROUND(S225-O225,4)</x:f>
        <x:v>0</x:v>
      </x:c>
    </x:row>
    <x:row r="226">
      <x:c r="A226" s="187" t="str">
        <x:v>BUDGET_2026_V1</x:v>
      </x:c>
      <x:c r="B226" s="187" t="str">
        <x:v>BUDGET</x:v>
      </x:c>
      <x:c r="C226" s="187"/>
      <x:c r="D226" s="217" t="n">
        <x:v>46113</x:v>
      </x:c>
      <x:c r="E226" s="187" t="str">
        <x:v>R_GB_DE_B_ROAD</x:v>
      </x:c>
      <x:c r="F226" s="187" t="str">
        <x:v>GB</x:v>
      </x:c>
      <x:c r="G226" s="187" t="str">
        <x:v>DE_FC</x:v>
      </x:c>
      <x:c r="H226" s="187" t="str">
        <x:v>CARRIER_B</x:v>
      </x:c>
      <x:c r="I226" s="187" t="str">
        <x:v>ROAD</x:v>
      </x:c>
      <x:c r="J226" s="187" t="str">
        <x:v>BILLABLE_EXCEPTION</x:v>
      </x:c>
      <x:c r="K226" s="187" t="str">
        <x:v>GBP</x:v>
      </x:c>
      <x:c r="L226" s="232" t="n">
        <x:v>45.6137472</x:v>
      </x:c>
      <x:c r="M226" s="232" t="n">
        <x:v>9</x:v>
      </x:c>
      <x:c r="N226" s="187" t="str">
        <x:v>410.523724800000000</x:v>
      </x:c>
      <x:c r="O226" s="235" t="n">
        <x:v>410.5237</x:v>
      </x:c>
      <x:c r="P226" s="235"/>
      <x:c r="Q226" s="235"/>
      <x:c r="R226" s="235" t="str">
        <x:v>INVOICE_OR_PLAN</x:v>
      </x:c>
      <x:c r="S226" s="238" t="n">
        <x:f>'Model_Calc'!BA41</x:f>
        <x:v>410.5237248000001</x:v>
      </x:c>
      <x:c r="T226" s="238" t="n">
        <x:f>ROUND(S226-O226,4)</x:f>
        <x:v>0</x:v>
      </x:c>
    </x:row>
    <x:row r="227">
      <x:c r="A227" s="187" t="str">
        <x:v>BUDGET_2026_V1</x:v>
      </x:c>
      <x:c r="B227" s="187" t="str">
        <x:v>BUDGET</x:v>
      </x:c>
      <x:c r="C227" s="187"/>
      <x:c r="D227" s="217" t="n">
        <x:v>46113</x:v>
      </x:c>
      <x:c r="E227" s="187" t="str">
        <x:v>R_GB_DE_B_AIR</x:v>
      </x:c>
      <x:c r="F227" s="187" t="str">
        <x:v>GB</x:v>
      </x:c>
      <x:c r="G227" s="187" t="str">
        <x:v>DE_FC</x:v>
      </x:c>
      <x:c r="H227" s="187" t="str">
        <x:v>CARRIER_B</x:v>
      </x:c>
      <x:c r="I227" s="187" t="str">
        <x:v>AIR</x:v>
      </x:c>
      <x:c r="J227" s="187" t="str">
        <x:v>BASE_FREIGHT</x:v>
      </x:c>
      <x:c r="K227" s="187" t="str">
        <x:v>GBP</x:v>
      </x:c>
      <x:c r="L227" s="232" t="n">
        <x:v>1903.69148928</x:v>
      </x:c>
      <x:c r="M227" s="232" t="n">
        <x:v>9</x:v>
      </x:c>
      <x:c r="N227" s="187" t="str">
        <x:v>17133.22340352000000</x:v>
      </x:c>
      <x:c r="O227" s="235" t="n">
        <x:v>17133.2234</x:v>
      </x:c>
      <x:c r="P227" s="235"/>
      <x:c r="Q227" s="235"/>
      <x:c r="R227" s="235" t="str">
        <x:v>INVOICE_OR_PLAN</x:v>
      </x:c>
      <x:c r="S227" s="238" t="n">
        <x:f>'Model_Calc'!AF42</x:f>
        <x:v>17133.22340352</x:v>
      </x:c>
      <x:c r="T227" s="238" t="n">
        <x:f>ROUND(S227-O227,4)</x:f>
        <x:v>0</x:v>
      </x:c>
    </x:row>
    <x:row r="228">
      <x:c r="A228" s="187" t="str">
        <x:v>BUDGET_2026_V1</x:v>
      </x:c>
      <x:c r="B228" s="187" t="str">
        <x:v>BUDGET</x:v>
      </x:c>
      <x:c r="C228" s="187"/>
      <x:c r="D228" s="217" t="n">
        <x:v>46113</x:v>
      </x:c>
      <x:c r="E228" s="187" t="str">
        <x:v>R_GB_DE_B_AIR</x:v>
      </x:c>
      <x:c r="F228" s="187" t="str">
        <x:v>GB</x:v>
      </x:c>
      <x:c r="G228" s="187" t="str">
        <x:v>DE_FC</x:v>
      </x:c>
      <x:c r="H228" s="187" t="str">
        <x:v>CARRIER_B</x:v>
      </x:c>
      <x:c r="I228" s="187" t="str">
        <x:v>AIR</x:v>
      </x:c>
      <x:c r="J228" s="187" t="str">
        <x:v>FUEL_SURCHARGE</x:v>
      </x:c>
      <x:c r="K228" s="187" t="str">
        <x:v>GBP</x:v>
      </x:c>
      <x:c r="L228" s="232" t="n">
        <x:v>218.9245212672</x:v>
      </x:c>
      <x:c r="M228" s="232" t="n">
        <x:v>9</x:v>
      </x:c>
      <x:c r="N228" s="187" t="str">
        <x:v>1970.32069140480000000</x:v>
      </x:c>
      <x:c r="O228" s="235" t="n">
        <x:v>1970.3207</x:v>
      </x:c>
      <x:c r="P228" s="235"/>
      <x:c r="Q228" s="235"/>
      <x:c r="R228" s="235" t="str">
        <x:v>INVOICE_OR_PLAN</x:v>
      </x:c>
      <x:c r="S228" s="238" t="n">
        <x:f>'Model_Calc'!AG42</x:f>
        <x:v>1970.3206914048005</x:v>
      </x:c>
      <x:c r="T228" s="238" t="n">
        <x:f>ROUND(S228-O228,4)</x:f>
        <x:v>0</x:v>
      </x:c>
    </x:row>
    <x:row r="229">
      <x:c r="A229" s="187" t="str">
        <x:v>BUDGET_2026_V1</x:v>
      </x:c>
      <x:c r="B229" s="187" t="str">
        <x:v>BUDGET</x:v>
      </x:c>
      <x:c r="C229" s="187"/>
      <x:c r="D229" s="217" t="n">
        <x:v>46113</x:v>
      </x:c>
      <x:c r="E229" s="187" t="str">
        <x:v>R_GB_DE_B_AIR</x:v>
      </x:c>
      <x:c r="F229" s="187" t="str">
        <x:v>GB</x:v>
      </x:c>
      <x:c r="G229" s="187" t="str">
        <x:v>DE_FC</x:v>
      </x:c>
      <x:c r="H229" s="187" t="str">
        <x:v>CARRIER_B</x:v>
      </x:c>
      <x:c r="I229" s="187" t="str">
        <x:v>AIR</x:v>
      </x:c>
      <x:c r="J229" s="187" t="str">
        <x:v>WAREHOUSE_OPERATION</x:v>
      </x:c>
      <x:c r="K229" s="187" t="str">
        <x:v>EUR</x:v>
      </x:c>
      <x:c r="L229" s="232" t="n">
        <x:v>344.14464</x:v>
      </x:c>
      <x:c r="M229" s="232" t="n">
        <x:v>7.8</x:v>
      </x:c>
      <x:c r="N229" s="187" t="str">
        <x:v>2684.3281920000</x:v>
      </x:c>
      <x:c r="O229" s="235" t="n">
        <x:v>2684.3282</x:v>
      </x:c>
      <x:c r="P229" s="235"/>
      <x:c r="Q229" s="235"/>
      <x:c r="R229" s="235" t="str">
        <x:v>INVOICE_OR_PLAN</x:v>
      </x:c>
      <x:c r="S229" s="238" t="n">
        <x:f>'Model_Calc'!AL42</x:f>
        <x:v>2684.3281920000004</x:v>
      </x:c>
      <x:c r="T229" s="238" t="n">
        <x:f>ROUND(S229-O229,4)</x:f>
        <x:v>0</x:v>
      </x:c>
    </x:row>
    <x:row r="230">
      <x:c r="A230" s="187" t="str">
        <x:v>BUDGET_2026_V1</x:v>
      </x:c>
      <x:c r="B230" s="187" t="str">
        <x:v>BUDGET</x:v>
      </x:c>
      <x:c r="C230" s="187"/>
      <x:c r="D230" s="217" t="n">
        <x:v>46113</x:v>
      </x:c>
      <x:c r="E230" s="187" t="str">
        <x:v>R_GB_DE_B_AIR</x:v>
      </x:c>
      <x:c r="F230" s="187" t="str">
        <x:v>GB</x:v>
      </x:c>
      <x:c r="G230" s="187" t="str">
        <x:v>DE_FC</x:v>
      </x:c>
      <x:c r="H230" s="187" t="str">
        <x:v>CARRIER_B</x:v>
      </x:c>
      <x:c r="I230" s="187" t="str">
        <x:v>AIR</x:v>
      </x:c>
      <x:c r="J230" s="187" t="str">
        <x:v>PACKAGING</x:v>
      </x:c>
      <x:c r="K230" s="187" t="str">
        <x:v>EUR</x:v>
      </x:c>
      <x:c r="L230" s="232" t="n">
        <x:v>137.1912192</x:v>
      </x:c>
      <x:c r="M230" s="232" t="n">
        <x:v>7.8</x:v>
      </x:c>
      <x:c r="N230" s="187" t="str">
        <x:v>1070.091509760000</x:v>
      </x:c>
      <x:c r="O230" s="235" t="n">
        <x:v>1070.0915</x:v>
      </x:c>
      <x:c r="P230" s="235"/>
      <x:c r="Q230" s="235"/>
      <x:c r="R230" s="235" t="str">
        <x:v>INVOICE_OR_PLAN</x:v>
      </x:c>
      <x:c r="S230" s="238" t="n">
        <x:f>'Model_Calc'!AQ42</x:f>
        <x:v>1070.09150976</x:v>
      </x:c>
      <x:c r="T230" s="238" t="n">
        <x:f>ROUND(S230-O230,4)</x:f>
        <x:v>0</x:v>
      </x:c>
    </x:row>
    <x:row r="231">
      <x:c r="A231" s="187" t="str">
        <x:v>BUDGET_2026_V1</x:v>
      </x:c>
      <x:c r="B231" s="187" t="str">
        <x:v>BUDGET</x:v>
      </x:c>
      <x:c r="C231" s="187"/>
      <x:c r="D231" s="217" t="n">
        <x:v>46113</x:v>
      </x:c>
      <x:c r="E231" s="187" t="str">
        <x:v>R_GB_DE_B_AIR</x:v>
      </x:c>
      <x:c r="F231" s="187" t="str">
        <x:v>GB</x:v>
      </x:c>
      <x:c r="G231" s="187" t="str">
        <x:v>DE_FC</x:v>
      </x:c>
      <x:c r="H231" s="187" t="str">
        <x:v>CARRIER_B</x:v>
      </x:c>
      <x:c r="I231" s="187" t="str">
        <x:v>AIR</x:v>
      </x:c>
      <x:c r="J231" s="187" t="str">
        <x:v>RETURN_LOGISTICS</x:v>
      </x:c>
      <x:c r="K231" s="187" t="str">
        <x:v>GBP</x:v>
      </x:c>
      <x:c r="L231" s="232" t="n">
        <x:v>111.992832</x:v>
      </x:c>
      <x:c r="M231" s="232" t="n">
        <x:v>9</x:v>
      </x:c>
      <x:c r="N231" s="187" t="str">
        <x:v>1007.9354880000000</x:v>
      </x:c>
      <x:c r="O231" s="235" t="n">
        <x:v>1007.9355</x:v>
      </x:c>
      <x:c r="P231" s="235"/>
      <x:c r="Q231" s="235"/>
      <x:c r="R231" s="235" t="str">
        <x:v>INVOICE_OR_PLAN</x:v>
      </x:c>
      <x:c r="S231" s="238" t="n">
        <x:f>'Model_Calc'!AV42</x:f>
        <x:v>1007.9354880000001</x:v>
      </x:c>
      <x:c r="T231" s="238" t="n">
        <x:f>ROUND(S231-O231,4)</x:f>
        <x:v>0</x:v>
      </x:c>
    </x:row>
    <x:row r="232">
      <x:c r="A232" s="187" t="str">
        <x:v>BUDGET_2026_V1</x:v>
      </x:c>
      <x:c r="B232" s="187" t="str">
        <x:v>BUDGET</x:v>
      </x:c>
      <x:c r="C232" s="187"/>
      <x:c r="D232" s="217" t="n">
        <x:v>46113</x:v>
      </x:c>
      <x:c r="E232" s="187" t="str">
        <x:v>R_GB_DE_B_AIR</x:v>
      </x:c>
      <x:c r="F232" s="187" t="str">
        <x:v>GB</x:v>
      </x:c>
      <x:c r="G232" s="187" t="str">
        <x:v>DE_FC</x:v>
      </x:c>
      <x:c r="H232" s="187" t="str">
        <x:v>CARRIER_B</x:v>
      </x:c>
      <x:c r="I232" s="187" t="str">
        <x:v>AIR</x:v>
      </x:c>
      <x:c r="J232" s="187" t="str">
        <x:v>BILLABLE_EXCEPTION</x:v>
      </x:c>
      <x:c r="K232" s="187" t="str">
        <x:v>GBP</x:v>
      </x:c>
      <x:c r="L232" s="232" t="n">
        <x:v>11.889905664</x:v>
      </x:c>
      <x:c r="M232" s="232" t="n">
        <x:v>9</x:v>
      </x:c>
      <x:c r="N232" s="187" t="str">
        <x:v>107.009150976000000</x:v>
      </x:c>
      <x:c r="O232" s="235" t="n">
        <x:v>107.0092</x:v>
      </x:c>
      <x:c r="P232" s="235"/>
      <x:c r="Q232" s="235"/>
      <x:c r="R232" s="235" t="str">
        <x:v>INVOICE_OR_PLAN</x:v>
      </x:c>
      <x:c r="S232" s="238" t="n">
        <x:f>'Model_Calc'!BA42</x:f>
        <x:v>107.009150976</x:v>
      </x:c>
      <x:c r="T232" s="238" t="n">
        <x:f>ROUND(S232-O232,4)</x:f>
        <x:v>0</x:v>
      </x:c>
    </x:row>
    <x:row r="233">
      <x:c r="A233" s="187" t="str">
        <x:v>BUDGET_2026_V1</x:v>
      </x:c>
      <x:c r="B233" s="187" t="str">
        <x:v>BUDGET</x:v>
      </x:c>
      <x:c r="C233" s="187"/>
      <x:c r="D233" s="217" t="n">
        <x:v>46113</x:v>
      </x:c>
      <x:c r="E233" s="187" t="str">
        <x:v>R_GB_DE_C_AIR</x:v>
      </x:c>
      <x:c r="F233" s="187" t="str">
        <x:v>GB</x:v>
      </x:c>
      <x:c r="G233" s="187" t="str">
        <x:v>DE_FC</x:v>
      </x:c>
      <x:c r="H233" s="187" t="str">
        <x:v>CARRIER_C</x:v>
      </x:c>
      <x:c r="I233" s="187" t="str">
        <x:v>AIR</x:v>
      </x:c>
      <x:c r="J233" s="187" t="str">
        <x:v>BASE_FREIGHT</x:v>
      </x:c>
      <x:c r="K233" s="187" t="str">
        <x:v>GBP</x:v>
      </x:c>
      <x:c r="L233" s="232" t="n">
        <x:v>965.938176</x:v>
      </x:c>
      <x:c r="M233" s="232" t="n">
        <x:v>9</x:v>
      </x:c>
      <x:c r="N233" s="187" t="str">
        <x:v>8693.44358400000000</x:v>
      </x:c>
      <x:c r="O233" s="235" t="n">
        <x:v>8693.4436</x:v>
      </x:c>
      <x:c r="P233" s="235"/>
      <x:c r="Q233" s="235"/>
      <x:c r="R233" s="235" t="str">
        <x:v>INVOICE_OR_PLAN</x:v>
      </x:c>
      <x:c r="S233" s="238" t="n">
        <x:f>'Model_Calc'!AF43</x:f>
        <x:v>8693.443584</x:v>
      </x:c>
      <x:c r="T233" s="238" t="n">
        <x:f>ROUND(S233-O233,4)</x:f>
        <x:v>0</x:v>
      </x:c>
    </x:row>
    <x:row r="234">
      <x:c r="A234" s="187" t="str">
        <x:v>BUDGET_2026_V1</x:v>
      </x:c>
      <x:c r="B234" s="187" t="str">
        <x:v>BUDGET</x:v>
      </x:c>
      <x:c r="C234" s="187"/>
      <x:c r="D234" s="217" t="n">
        <x:v>46113</x:v>
      </x:c>
      <x:c r="E234" s="187" t="str">
        <x:v>R_GB_DE_C_AIR</x:v>
      </x:c>
      <x:c r="F234" s="187" t="str">
        <x:v>GB</x:v>
      </x:c>
      <x:c r="G234" s="187" t="str">
        <x:v>DE_FC</x:v>
      </x:c>
      <x:c r="H234" s="187" t="str">
        <x:v>CARRIER_C</x:v>
      </x:c>
      <x:c r="I234" s="187" t="str">
        <x:v>AIR</x:v>
      </x:c>
      <x:c r="J234" s="187" t="str">
        <x:v>FUEL_SURCHARGE</x:v>
      </x:c>
      <x:c r="K234" s="187" t="str">
        <x:v>GBP</x:v>
      </x:c>
      <x:c r="L234" s="232" t="n">
        <x:v>74.699218944</x:v>
      </x:c>
      <x:c r="M234" s="232" t="n">
        <x:v>9</x:v>
      </x:c>
      <x:c r="N234" s="187" t="str">
        <x:v>672.29297049600000</x:v>
      </x:c>
      <x:c r="O234" s="235" t="n">
        <x:v>672.293</x:v>
      </x:c>
      <x:c r="P234" s="235"/>
      <x:c r="Q234" s="235"/>
      <x:c r="R234" s="235" t="str">
        <x:v>INVOICE_OR_PLAN</x:v>
      </x:c>
      <x:c r="S234" s="238" t="n">
        <x:f>'Model_Calc'!AG43</x:f>
        <x:v>672.292970496</x:v>
      </x:c>
      <x:c r="T234" s="238" t="n">
        <x:f>ROUND(S234-O234,4)</x:f>
        <x:v>0</x:v>
      </x:c>
    </x:row>
    <x:row r="235">
      <x:c r="A235" s="187" t="str">
        <x:v>BUDGET_2026_V1</x:v>
      </x:c>
      <x:c r="B235" s="187" t="str">
        <x:v>BUDGET</x:v>
      </x:c>
      <x:c r="C235" s="187"/>
      <x:c r="D235" s="217" t="n">
        <x:v>46113</x:v>
      </x:c>
      <x:c r="E235" s="187" t="str">
        <x:v>R_GB_DE_C_AIR</x:v>
      </x:c>
      <x:c r="F235" s="187" t="str">
        <x:v>GB</x:v>
      </x:c>
      <x:c r="G235" s="187" t="str">
        <x:v>DE_FC</x:v>
      </x:c>
      <x:c r="H235" s="187" t="str">
        <x:v>CARRIER_C</x:v>
      </x:c>
      <x:c r="I235" s="187" t="str">
        <x:v>AIR</x:v>
      </x:c>
      <x:c r="J235" s="187" t="str">
        <x:v>WAREHOUSE_OPERATION</x:v>
      </x:c>
      <x:c r="K235" s="187" t="str">
        <x:v>EUR</x:v>
      </x:c>
      <x:c r="L235" s="232" t="n">
        <x:v>147.49056</x:v>
      </x:c>
      <x:c r="M235" s="232" t="n">
        <x:v>7.8</x:v>
      </x:c>
      <x:c r="N235" s="187" t="str">
        <x:v>1150.4263680000</x:v>
      </x:c>
      <x:c r="O235" s="235" t="n">
        <x:v>1150.4264</x:v>
      </x:c>
      <x:c r="P235" s="235"/>
      <x:c r="Q235" s="235"/>
      <x:c r="R235" s="235" t="str">
        <x:v>INVOICE_OR_PLAN</x:v>
      </x:c>
      <x:c r="S235" s="238" t="n">
        <x:f>'Model_Calc'!AL43</x:f>
        <x:v>1150.426368</x:v>
      </x:c>
      <x:c r="T235" s="238" t="n">
        <x:f>ROUND(S235-O235,4)</x:f>
        <x:v>0</x:v>
      </x:c>
    </x:row>
    <x:row r="236">
      <x:c r="A236" s="187" t="str">
        <x:v>BUDGET_2026_V1</x:v>
      </x:c>
      <x:c r="B236" s="187" t="str">
        <x:v>BUDGET</x:v>
      </x:c>
      <x:c r="C236" s="187"/>
      <x:c r="D236" s="217" t="n">
        <x:v>46113</x:v>
      </x:c>
      <x:c r="E236" s="187" t="str">
        <x:v>R_GB_DE_C_AIR</x:v>
      </x:c>
      <x:c r="F236" s="187" t="str">
        <x:v>GB</x:v>
      </x:c>
      <x:c r="G236" s="187" t="str">
        <x:v>DE_FC</x:v>
      </x:c>
      <x:c r="H236" s="187" t="str">
        <x:v>CARRIER_C</x:v>
      </x:c>
      <x:c r="I236" s="187" t="str">
        <x:v>AIR</x:v>
      </x:c>
      <x:c r="J236" s="187" t="str">
        <x:v>PACKAGING</x:v>
      </x:c>
      <x:c r="K236" s="187" t="str">
        <x:v>EUR</x:v>
      </x:c>
      <x:c r="L236" s="232" t="n">
        <x:v>58.7962368</x:v>
      </x:c>
      <x:c r="M236" s="232" t="n">
        <x:v>7.8</x:v>
      </x:c>
      <x:c r="N236" s="187" t="str">
        <x:v>458.610647040000</x:v>
      </x:c>
      <x:c r="O236" s="235" t="n">
        <x:v>458.6106</x:v>
      </x:c>
      <x:c r="P236" s="235"/>
      <x:c r="Q236" s="235"/>
      <x:c r="R236" s="235" t="str">
        <x:v>INVOICE_OR_PLAN</x:v>
      </x:c>
      <x:c r="S236" s="238" t="n">
        <x:f>'Model_Calc'!AQ43</x:f>
        <x:v>458.61064703999995</x:v>
      </x:c>
      <x:c r="T236" s="238" t="n">
        <x:f>ROUND(S236-O236,4)</x:f>
        <x:v>0</x:v>
      </x:c>
    </x:row>
    <x:row r="237">
      <x:c r="A237" s="187" t="str">
        <x:v>BUDGET_2026_V1</x:v>
      </x:c>
      <x:c r="B237" s="187" t="str">
        <x:v>BUDGET</x:v>
      </x:c>
      <x:c r="C237" s="187"/>
      <x:c r="D237" s="217" t="n">
        <x:v>46113</x:v>
      </x:c>
      <x:c r="E237" s="187" t="str">
        <x:v>R_GB_DE_C_AIR</x:v>
      </x:c>
      <x:c r="F237" s="187" t="str">
        <x:v>GB</x:v>
      </x:c>
      <x:c r="G237" s="187" t="str">
        <x:v>DE_FC</x:v>
      </x:c>
      <x:c r="H237" s="187" t="str">
        <x:v>CARRIER_C</x:v>
      </x:c>
      <x:c r="I237" s="187" t="str">
        <x:v>AIR</x:v>
      </x:c>
      <x:c r="J237" s="187" t="str">
        <x:v>RETURN_LOGISTICS</x:v>
      </x:c>
      <x:c r="K237" s="187" t="str">
        <x:v>GBP</x:v>
      </x:c>
      <x:c r="L237" s="232" t="n">
        <x:v>47.996928</x:v>
      </x:c>
      <x:c r="M237" s="232" t="n">
        <x:v>9</x:v>
      </x:c>
      <x:c r="N237" s="187" t="str">
        <x:v>431.9723520000000</x:v>
      </x:c>
      <x:c r="O237" s="235" t="n">
        <x:v>431.9724</x:v>
      </x:c>
      <x:c r="P237" s="235"/>
      <x:c r="Q237" s="235"/>
      <x:c r="R237" s="235" t="str">
        <x:v>INVOICE_OR_PLAN</x:v>
      </x:c>
      <x:c r="S237" s="238" t="n">
        <x:f>'Model_Calc'!AV43</x:f>
        <x:v>431.972352</x:v>
      </x:c>
      <x:c r="T237" s="238" t="n">
        <x:f>ROUND(S237-O237,4)</x:f>
        <x:v>0</x:v>
      </x:c>
    </x:row>
    <x:row r="238">
      <x:c r="A238" s="187" t="str">
        <x:v>BUDGET_2026_V1</x:v>
      </x:c>
      <x:c r="B238" s="187" t="str">
        <x:v>BUDGET</x:v>
      </x:c>
      <x:c r="C238" s="187"/>
      <x:c r="D238" s="217" t="n">
        <x:v>46113</x:v>
      </x:c>
      <x:c r="E238" s="187" t="str">
        <x:v>R_GB_DE_C_AIR</x:v>
      </x:c>
      <x:c r="F238" s="187" t="str">
        <x:v>GB</x:v>
      </x:c>
      <x:c r="G238" s="187" t="str">
        <x:v>DE_FC</x:v>
      </x:c>
      <x:c r="H238" s="187" t="str">
        <x:v>CARRIER_C</x:v>
      </x:c>
      <x:c r="I238" s="187" t="str">
        <x:v>AIR</x:v>
      </x:c>
      <x:c r="J238" s="187" t="str">
        <x:v>BILLABLE_EXCEPTION</x:v>
      </x:c>
      <x:c r="K238" s="187" t="str">
        <x:v>GBP</x:v>
      </x:c>
      <x:c r="L238" s="232" t="n">
        <x:v>4.535709696</x:v>
      </x:c>
      <x:c r="M238" s="232" t="n">
        <x:v>9</x:v>
      </x:c>
      <x:c r="N238" s="187" t="str">
        <x:v>40.821387264000000</x:v>
      </x:c>
      <x:c r="O238" s="235" t="n">
        <x:v>40.8214</x:v>
      </x:c>
      <x:c r="P238" s="235"/>
      <x:c r="Q238" s="235"/>
      <x:c r="R238" s="235" t="str">
        <x:v>INVOICE_OR_PLAN</x:v>
      </x:c>
      <x:c r="S238" s="238" t="n">
        <x:f>'Model_Calc'!BA43</x:f>
        <x:v>40.821387263999995</x:v>
      </x:c>
      <x:c r="T238" s="238" t="n">
        <x:f>ROUND(S238-O238,4)</x:f>
        <x:v>0</x:v>
      </x:c>
    </x:row>
    <x:row r="239">
      <x:c r="A239" s="187" t="str">
        <x:v>BUDGET_2026_V1</x:v>
      </x:c>
      <x:c r="B239" s="187" t="str">
        <x:v>BUDGET</x:v>
      </x:c>
      <x:c r="C239" s="187"/>
      <x:c r="D239" s="217" t="n">
        <x:v>46113</x:v>
      </x:c>
      <x:c r="E239" s="187" t="str">
        <x:v>R_GB_FR_B_AIR</x:v>
      </x:c>
      <x:c r="F239" s="187" t="str">
        <x:v>GB</x:v>
      </x:c>
      <x:c r="G239" s="187" t="str">
        <x:v>FR_FC</x:v>
      </x:c>
      <x:c r="H239" s="187" t="str">
        <x:v>CARRIER_B</x:v>
      </x:c>
      <x:c r="I239" s="187" t="str">
        <x:v>AIR</x:v>
      </x:c>
      <x:c r="J239" s="187" t="str">
        <x:v>BASE_FREIGHT</x:v>
      </x:c>
      <x:c r="K239" s="187" t="str">
        <x:v>EUR</x:v>
      </x:c>
      <x:c r="L239" s="232" t="n">
        <x:v>1203.8292</x:v>
      </x:c>
      <x:c r="M239" s="232" t="n">
        <x:v>7.8</x:v>
      </x:c>
      <x:c r="N239" s="187" t="str">
        <x:v>9389.867760000000</x:v>
      </x:c>
      <x:c r="O239" s="235" t="n">
        <x:v>9389.8678</x:v>
      </x:c>
      <x:c r="P239" s="235"/>
      <x:c r="Q239" s="235"/>
      <x:c r="R239" s="235" t="str">
        <x:v>INVOICE_OR_PLAN</x:v>
      </x:c>
      <x:c r="S239" s="238" t="n">
        <x:f>'Model_Calc'!AF44</x:f>
        <x:v>9389.86776</x:v>
      </x:c>
      <x:c r="T239" s="238" t="n">
        <x:f>ROUND(S239-O239,4)</x:f>
        <x:v>0</x:v>
      </x:c>
    </x:row>
    <x:row r="240">
      <x:c r="A240" s="187" t="str">
        <x:v>BUDGET_2026_V1</x:v>
      </x:c>
      <x:c r="B240" s="187" t="str">
        <x:v>BUDGET</x:v>
      </x:c>
      <x:c r="C240" s="187"/>
      <x:c r="D240" s="217" t="n">
        <x:v>46113</x:v>
      </x:c>
      <x:c r="E240" s="187" t="str">
        <x:v>R_GB_FR_B_AIR</x:v>
      </x:c>
      <x:c r="F240" s="187" t="str">
        <x:v>GB</x:v>
      </x:c>
      <x:c r="G240" s="187" t="str">
        <x:v>FR_FC</x:v>
      </x:c>
      <x:c r="H240" s="187" t="str">
        <x:v>CARRIER_B</x:v>
      </x:c>
      <x:c r="I240" s="187" t="str">
        <x:v>AIR</x:v>
      </x:c>
      <x:c r="J240" s="187" t="str">
        <x:v>FUEL_SURCHARGE</x:v>
      </x:c>
      <x:c r="K240" s="187" t="str">
        <x:v>EUR</x:v>
      </x:c>
      <x:c r="L240" s="232" t="n">
        <x:v>126.402066</x:v>
      </x:c>
      <x:c r="M240" s="232" t="n">
        <x:v>7.8</x:v>
      </x:c>
      <x:c r="N240" s="187" t="str">
        <x:v>985.936114800000000</x:v>
      </x:c>
      <x:c r="O240" s="235" t="n">
        <x:v>985.9361</x:v>
      </x:c>
      <x:c r="P240" s="235"/>
      <x:c r="Q240" s="235"/>
      <x:c r="R240" s="235" t="str">
        <x:v>INVOICE_OR_PLAN</x:v>
      </x:c>
      <x:c r="S240" s="238" t="n">
        <x:f>'Model_Calc'!AG44</x:f>
        <x:v>985.9361147999999</x:v>
      </x:c>
      <x:c r="T240" s="238" t="n">
        <x:f>ROUND(S240-O240,4)</x:f>
        <x:v>0</x:v>
      </x:c>
    </x:row>
    <x:row r="241">
      <x:c r="A241" s="187" t="str">
        <x:v>BUDGET_2026_V1</x:v>
      </x:c>
      <x:c r="B241" s="187" t="str">
        <x:v>BUDGET</x:v>
      </x:c>
      <x:c r="C241" s="187"/>
      <x:c r="D241" s="217" t="n">
        <x:v>46113</x:v>
      </x:c>
      <x:c r="E241" s="187" t="str">
        <x:v>R_GB_FR_B_AIR</x:v>
      </x:c>
      <x:c r="F241" s="187" t="str">
        <x:v>GB</x:v>
      </x:c>
      <x:c r="G241" s="187" t="str">
        <x:v>FR_FC</x:v>
      </x:c>
      <x:c r="H241" s="187" t="str">
        <x:v>CARRIER_B</x:v>
      </x:c>
      <x:c r="I241" s="187" t="str">
        <x:v>AIR</x:v>
      </x:c>
      <x:c r="J241" s="187" t="str">
        <x:v>WAREHOUSE_OPERATION</x:v>
      </x:c>
      <x:c r="K241" s="187" t="str">
        <x:v>EUR</x:v>
      </x:c>
      <x:c r="L241" s="232" t="n">
        <x:v>182.28</x:v>
      </x:c>
      <x:c r="M241" s="232" t="n">
        <x:v>7.8</x:v>
      </x:c>
      <x:c r="N241" s="187" t="str">
        <x:v>1421.78400000</x:v>
      </x:c>
      <x:c r="O241" s="235" t="n">
        <x:v>1421.784</x:v>
      </x:c>
      <x:c r="P241" s="235"/>
      <x:c r="Q241" s="235"/>
      <x:c r="R241" s="235" t="str">
        <x:v>INVOICE_OR_PLAN</x:v>
      </x:c>
      <x:c r="S241" s="238" t="n">
        <x:f>'Model_Calc'!AL44</x:f>
        <x:v>1421.7839999999999</x:v>
      </x:c>
      <x:c r="T241" s="238" t="n">
        <x:f>ROUND(S241-O241,4)</x:f>
        <x:v>0</x:v>
      </x:c>
    </x:row>
    <x:row r="242">
      <x:c r="A242" s="187" t="str">
        <x:v>BUDGET_2026_V1</x:v>
      </x:c>
      <x:c r="B242" s="187" t="str">
        <x:v>BUDGET</x:v>
      </x:c>
      <x:c r="C242" s="187"/>
      <x:c r="D242" s="217" t="n">
        <x:v>46113</x:v>
      </x:c>
      <x:c r="E242" s="187" t="str">
        <x:v>R_GB_FR_B_AIR</x:v>
      </x:c>
      <x:c r="F242" s="187" t="str">
        <x:v>GB</x:v>
      </x:c>
      <x:c r="G242" s="187" t="str">
        <x:v>FR_FC</x:v>
      </x:c>
      <x:c r="H242" s="187" t="str">
        <x:v>CARRIER_B</x:v>
      </x:c>
      <x:c r="I242" s="187" t="str">
        <x:v>AIR</x:v>
      </x:c>
      <x:c r="J242" s="187" t="str">
        <x:v>PACKAGING</x:v>
      </x:c>
      <x:c r="K242" s="187" t="str">
        <x:v>EUR</x:v>
      </x:c>
      <x:c r="L242" s="232" t="n">
        <x:v>75.8632</x:v>
      </x:c>
      <x:c r="M242" s="232" t="n">
        <x:v>7.8</x:v>
      </x:c>
      <x:c r="N242" s="187" t="str">
        <x:v>591.7329600000</x:v>
      </x:c>
      <x:c r="O242" s="235" t="n">
        <x:v>591.733</x:v>
      </x:c>
      <x:c r="P242" s="235"/>
      <x:c r="Q242" s="235"/>
      <x:c r="R242" s="235" t="str">
        <x:v>INVOICE_OR_PLAN</x:v>
      </x:c>
      <x:c r="S242" s="238" t="n">
        <x:f>'Model_Calc'!AQ44</x:f>
        <x:v>591.7329599999999</x:v>
      </x:c>
      <x:c r="T242" s="238" t="n">
        <x:f>ROUND(S242-O242,4)</x:f>
        <x:v>0</x:v>
      </x:c>
    </x:row>
    <x:row r="243">
      <x:c r="A243" s="187" t="str">
        <x:v>BUDGET_2026_V1</x:v>
      </x:c>
      <x:c r="B243" s="187" t="str">
        <x:v>BUDGET</x:v>
      </x:c>
      <x:c r="C243" s="187"/>
      <x:c r="D243" s="217" t="n">
        <x:v>46113</x:v>
      </x:c>
      <x:c r="E243" s="187" t="str">
        <x:v>R_GB_FR_B_AIR</x:v>
      </x:c>
      <x:c r="F243" s="187" t="str">
        <x:v>GB</x:v>
      </x:c>
      <x:c r="G243" s="187" t="str">
        <x:v>FR_FC</x:v>
      </x:c>
      <x:c r="H243" s="187" t="str">
        <x:v>CARRIER_B</x:v>
      </x:c>
      <x:c r="I243" s="187" t="str">
        <x:v>AIR</x:v>
      </x:c>
      <x:c r="J243" s="187" t="str">
        <x:v>RETURN_LOGISTICS</x:v>
      </x:c>
      <x:c r="K243" s="187" t="str">
        <x:v>EUR</x:v>
      </x:c>
      <x:c r="L243" s="232" t="n">
        <x:v>72.2176</x:v>
      </x:c>
      <x:c r="M243" s="232" t="n">
        <x:v>7.8</x:v>
      </x:c>
      <x:c r="N243" s="187" t="str">
        <x:v>563.29728000000</x:v>
      </x:c>
      <x:c r="O243" s="235" t="n">
        <x:v>563.2973</x:v>
      </x:c>
      <x:c r="P243" s="235"/>
      <x:c r="Q243" s="235"/>
      <x:c r="R243" s="235" t="str">
        <x:v>INVOICE_OR_PLAN</x:v>
      </x:c>
      <x:c r="S243" s="238" t="n">
        <x:f>'Model_Calc'!AV44</x:f>
        <x:v>563.29728</x:v>
      </x:c>
      <x:c r="T243" s="238" t="n">
        <x:f>ROUND(S243-O243,4)</x:f>
        <x:v>0</x:v>
      </x:c>
    </x:row>
    <x:row r="244">
      <x:c r="A244" s="187" t="str">
        <x:v>BUDGET_2026_V1</x:v>
      </x:c>
      <x:c r="B244" s="187" t="str">
        <x:v>BUDGET</x:v>
      </x:c>
      <x:c r="C244" s="187"/>
      <x:c r="D244" s="217" t="n">
        <x:v>46113</x:v>
      </x:c>
      <x:c r="E244" s="187" t="str">
        <x:v>R_GB_FR_B_AIR</x:v>
      </x:c>
      <x:c r="F244" s="187" t="str">
        <x:v>GB</x:v>
      </x:c>
      <x:c r="G244" s="187" t="str">
        <x:v>FR_FC</x:v>
      </x:c>
      <x:c r="H244" s="187" t="str">
        <x:v>CARRIER_B</x:v>
      </x:c>
      <x:c r="I244" s="187" t="str">
        <x:v>AIR</x:v>
      </x:c>
      <x:c r="J244" s="187" t="str">
        <x:v>BILLABLE_EXCEPTION</x:v>
      </x:c>
      <x:c r="K244" s="187" t="str">
        <x:v>EUR</x:v>
      </x:c>
      <x:c r="L244" s="232" t="n">
        <x:v>6.707904</x:v>
      </x:c>
      <x:c r="M244" s="232" t="n">
        <x:v>7.8</x:v>
      </x:c>
      <x:c r="N244" s="187" t="str">
        <x:v>52.3216512000000</x:v>
      </x:c>
      <x:c r="O244" s="235" t="n">
        <x:v>52.3217</x:v>
      </x:c>
      <x:c r="P244" s="235"/>
      <x:c r="Q244" s="235"/>
      <x:c r="R244" s="235" t="str">
        <x:v>INVOICE_OR_PLAN</x:v>
      </x:c>
      <x:c r="S244" s="238" t="n">
        <x:f>'Model_Calc'!BA44</x:f>
        <x:v>52.3216512</x:v>
      </x:c>
      <x:c r="T244" s="238" t="n">
        <x:f>ROUND(S244-O244,4)</x:f>
        <x:v>0</x:v>
      </x:c>
    </x:row>
    <x:row r="245">
      <x:c r="A245" s="187" t="str">
        <x:v>BUDGET_2026_V1</x:v>
      </x:c>
      <x:c r="B245" s="187" t="str">
        <x:v>BUDGET</x:v>
      </x:c>
      <x:c r="C245" s="187"/>
      <x:c r="D245" s="217" t="n">
        <x:v>46143</x:v>
      </x:c>
      <x:c r="E245" s="187" t="str">
        <x:v>R_DE_DE_A_ROAD</x:v>
      </x:c>
      <x:c r="F245" s="187" t="str">
        <x:v>DE</x:v>
      </x:c>
      <x:c r="G245" s="187" t="str">
        <x:v>DE_FC</x:v>
      </x:c>
      <x:c r="H245" s="187" t="str">
        <x:v>CARRIER_A</x:v>
      </x:c>
      <x:c r="I245" s="187" t="str">
        <x:v>ROAD</x:v>
      </x:c>
      <x:c r="J245" s="187" t="str">
        <x:v>BASE_FREIGHT</x:v>
      </x:c>
      <x:c r="K245" s="187" t="str">
        <x:v>EUR</x:v>
      </x:c>
      <x:c r="L245" s="232" t="n">
        <x:v>6543.561024</x:v>
      </x:c>
      <x:c r="M245" s="232" t="n">
        <x:v>7.8</x:v>
      </x:c>
      <x:c r="N245" s="187" t="str">
        <x:v>51039.77598720000000</x:v>
      </x:c>
      <x:c r="O245" s="235" t="n">
        <x:v>51039.776</x:v>
      </x:c>
      <x:c r="P245" s="235"/>
      <x:c r="Q245" s="235"/>
      <x:c r="R245" s="235" t="str">
        <x:v>INVOICE_OR_PLAN</x:v>
      </x:c>
      <x:c r="S245" s="238" t="n">
        <x:f>'Model_Calc'!AF45</x:f>
        <x:v>51039.7759872</x:v>
      </x:c>
      <x:c r="T245" s="238" t="n">
        <x:f>ROUND(S245-O245,4)</x:f>
        <x:v>0</x:v>
      </x:c>
    </x:row>
    <x:row r="246">
      <x:c r="A246" s="187" t="str">
        <x:v>BUDGET_2026_V1</x:v>
      </x:c>
      <x:c r="B246" s="187" t="str">
        <x:v>BUDGET</x:v>
      </x:c>
      <x:c r="C246" s="187"/>
      <x:c r="D246" s="217" t="n">
        <x:v>46143</x:v>
      </x:c>
      <x:c r="E246" s="187" t="str">
        <x:v>R_DE_DE_A_ROAD</x:v>
      </x:c>
      <x:c r="F246" s="187" t="str">
        <x:v>DE</x:v>
      </x:c>
      <x:c r="G246" s="187" t="str">
        <x:v>DE_FC</x:v>
      </x:c>
      <x:c r="H246" s="187" t="str">
        <x:v>CARRIER_A</x:v>
      </x:c>
      <x:c r="I246" s="187" t="str">
        <x:v>ROAD</x:v>
      </x:c>
      <x:c r="J246" s="187" t="str">
        <x:v>FUEL_SURCHARGE</x:v>
      </x:c>
      <x:c r="K246" s="187" t="str">
        <x:v>EUR</x:v>
      </x:c>
      <x:c r="L246" s="232" t="n">
        <x:v>621.63829728</x:v>
      </x:c>
      <x:c r="M246" s="232" t="n">
        <x:v>7.8</x:v>
      </x:c>
      <x:c r="N246" s="187" t="str">
        <x:v>4848.77871878400000000</x:v>
      </x:c>
      <x:c r="O246" s="235" t="n">
        <x:v>4848.7787</x:v>
      </x:c>
      <x:c r="P246" s="235"/>
      <x:c r="Q246" s="235"/>
      <x:c r="R246" s="235" t="str">
        <x:v>INVOICE_OR_PLAN</x:v>
      </x:c>
      <x:c r="S246" s="238" t="n">
        <x:f>'Model_Calc'!AG45</x:f>
        <x:v>4848.778718784</x:v>
      </x:c>
      <x:c r="T246" s="238" t="n">
        <x:f>ROUND(S246-O246,4)</x:f>
        <x:v>0</x:v>
      </x:c>
    </x:row>
    <x:row r="247">
      <x:c r="A247" s="187" t="str">
        <x:v>BUDGET_2026_V1</x:v>
      </x:c>
      <x:c r="B247" s="187" t="str">
        <x:v>BUDGET</x:v>
      </x:c>
      <x:c r="C247" s="187"/>
      <x:c r="D247" s="217" t="n">
        <x:v>46143</x:v>
      </x:c>
      <x:c r="E247" s="187" t="str">
        <x:v>R_DE_DE_A_ROAD</x:v>
      </x:c>
      <x:c r="F247" s="187" t="str">
        <x:v>DE</x:v>
      </x:c>
      <x:c r="G247" s="187" t="str">
        <x:v>DE_FC</x:v>
      </x:c>
      <x:c r="H247" s="187" t="str">
        <x:v>CARRIER_A</x:v>
      </x:c>
      <x:c r="I247" s="187" t="str">
        <x:v>ROAD</x:v>
      </x:c>
      <x:c r="J247" s="187" t="str">
        <x:v>WAREHOUSE_OPERATION</x:v>
      </x:c>
      <x:c r="K247" s="187" t="str">
        <x:v>EUR</x:v>
      </x:c>
      <x:c r="L247" s="232" t="n">
        <x:v>4285.3824</x:v>
      </x:c>
      <x:c r="M247" s="232" t="n">
        <x:v>7.8</x:v>
      </x:c>
      <x:c r="N247" s="187" t="str">
        <x:v>33425.9827200000</x:v>
      </x:c>
      <x:c r="O247" s="235" t="n">
        <x:v>33425.9827</x:v>
      </x:c>
      <x:c r="P247" s="235"/>
      <x:c r="Q247" s="235"/>
      <x:c r="R247" s="235" t="str">
        <x:v>INVOICE_OR_PLAN</x:v>
      </x:c>
      <x:c r="S247" s="238" t="n">
        <x:f>'Model_Calc'!AL45</x:f>
        <x:v>33425.98271999999</x:v>
      </x:c>
      <x:c r="T247" s="238" t="n">
        <x:f>ROUND(S247-O247,4)</x:f>
        <x:v>0</x:v>
      </x:c>
    </x:row>
    <x:row r="248">
      <x:c r="A248" s="187" t="str">
        <x:v>BUDGET_2026_V1</x:v>
      </x:c>
      <x:c r="B248" s="187" t="str">
        <x:v>BUDGET</x:v>
      </x:c>
      <x:c r="C248" s="187"/>
      <x:c r="D248" s="217" t="n">
        <x:v>46143</x:v>
      </x:c>
      <x:c r="E248" s="187" t="str">
        <x:v>R_DE_DE_A_ROAD</x:v>
      </x:c>
      <x:c r="F248" s="187" t="str">
        <x:v>DE</x:v>
      </x:c>
      <x:c r="G248" s="187" t="str">
        <x:v>DE_FC</x:v>
      </x:c>
      <x:c r="H248" s="187" t="str">
        <x:v>CARRIER_A</x:v>
      </x:c>
      <x:c r="I248" s="187" t="str">
        <x:v>ROAD</x:v>
      </x:c>
      <x:c r="J248" s="187" t="str">
        <x:v>PACKAGING</x:v>
      </x:c>
      <x:c r="K248" s="187" t="str">
        <x:v>EUR</x:v>
      </x:c>
      <x:c r="L248" s="232" t="n">
        <x:v>1601.57088</x:v>
      </x:c>
      <x:c r="M248" s="232" t="n">
        <x:v>7.8</x:v>
      </x:c>
      <x:c r="N248" s="187" t="str">
        <x:v>12492.252864000000</x:v>
      </x:c>
      <x:c r="O248" s="235" t="n">
        <x:v>12492.2529</x:v>
      </x:c>
      <x:c r="P248" s="235"/>
      <x:c r="Q248" s="235"/>
      <x:c r="R248" s="235" t="str">
        <x:v>INVOICE_OR_PLAN</x:v>
      </x:c>
      <x:c r="S248" s="238" t="n">
        <x:f>'Model_Calc'!AQ45</x:f>
        <x:v>12492.252864</x:v>
      </x:c>
      <x:c r="T248" s="238" t="n">
        <x:f>ROUND(S248-O248,4)</x:f>
        <x:v>0</x:v>
      </x:c>
    </x:row>
    <x:row r="249">
      <x:c r="A249" s="187" t="str">
        <x:v>BUDGET_2026_V1</x:v>
      </x:c>
      <x:c r="B249" s="187" t="str">
        <x:v>BUDGET</x:v>
      </x:c>
      <x:c r="C249" s="187"/>
      <x:c r="D249" s="217" t="n">
        <x:v>46143</x:v>
      </x:c>
      <x:c r="E249" s="187" t="str">
        <x:v>R_DE_DE_A_ROAD</x:v>
      </x:c>
      <x:c r="F249" s="187" t="str">
        <x:v>DE</x:v>
      </x:c>
      <x:c r="G249" s="187" t="str">
        <x:v>DE_FC</x:v>
      </x:c>
      <x:c r="H249" s="187" t="str">
        <x:v>CARRIER_A</x:v>
      </x:c>
      <x:c r="I249" s="187" t="str">
        <x:v>ROAD</x:v>
      </x:c>
      <x:c r="J249" s="187" t="str">
        <x:v>RETURN_LOGISTICS</x:v>
      </x:c>
      <x:c r="K249" s="187" t="str">
        <x:v>EUR</x:v>
      </x:c>
      <x:c r="L249" s="232" t="n">
        <x:v>581.0688</x:v>
      </x:c>
      <x:c r="M249" s="232" t="n">
        <x:v>7.8</x:v>
      </x:c>
      <x:c r="N249" s="187" t="str">
        <x:v>4532.3366400000000</x:v>
      </x:c>
      <x:c r="O249" s="235" t="n">
        <x:v>4532.3366</x:v>
      </x:c>
      <x:c r="P249" s="235"/>
      <x:c r="Q249" s="235"/>
      <x:c r="R249" s="235" t="str">
        <x:v>INVOICE_OR_PLAN</x:v>
      </x:c>
      <x:c r="S249" s="238" t="n">
        <x:f>'Model_Calc'!AV45</x:f>
        <x:v>4532.3366399999995</x:v>
      </x:c>
      <x:c r="T249" s="238" t="n">
        <x:f>ROUND(S249-O249,4)</x:f>
        <x:v>0</x:v>
      </x:c>
    </x:row>
    <x:row r="250">
      <x:c r="A250" s="187" t="str">
        <x:v>BUDGET_2026_V1</x:v>
      </x:c>
      <x:c r="B250" s="187" t="str">
        <x:v>BUDGET</x:v>
      </x:c>
      <x:c r="C250" s="187"/>
      <x:c r="D250" s="217" t="n">
        <x:v>46143</x:v>
      </x:c>
      <x:c r="E250" s="187" t="str">
        <x:v>R_DE_DE_A_ROAD</x:v>
      </x:c>
      <x:c r="F250" s="187" t="str">
        <x:v>DE</x:v>
      </x:c>
      <x:c r="G250" s="187" t="str">
        <x:v>DE_FC</x:v>
      </x:c>
      <x:c r="H250" s="187" t="str">
        <x:v>CARRIER_A</x:v>
      </x:c>
      <x:c r="I250" s="187" t="str">
        <x:v>ROAD</x:v>
      </x:c>
      <x:c r="J250" s="187" t="str">
        <x:v>BILLABLE_EXCEPTION</x:v>
      </x:c>
      <x:c r="K250" s="187" t="str">
        <x:v>EUR</x:v>
      </x:c>
      <x:c r="L250" s="232" t="n">
        <x:v>140.3281152</x:v>
      </x:c>
      <x:c r="M250" s="232" t="n">
        <x:v>7.8</x:v>
      </x:c>
      <x:c r="N250" s="187" t="str">
        <x:v>1094.559298560000000</x:v>
      </x:c>
      <x:c r="O250" s="235" t="n">
        <x:v>1094.5593</x:v>
      </x:c>
      <x:c r="P250" s="235"/>
      <x:c r="Q250" s="235"/>
      <x:c r="R250" s="235" t="str">
        <x:v>INVOICE_OR_PLAN</x:v>
      </x:c>
      <x:c r="S250" s="238" t="n">
        <x:f>'Model_Calc'!BA45</x:f>
        <x:v>1094.55929856</x:v>
      </x:c>
      <x:c r="T250" s="238" t="n">
        <x:f>ROUND(S250-O250,4)</x:f>
        <x:v>0</x:v>
      </x:c>
    </x:row>
    <x:row r="251">
      <x:c r="A251" s="187" t="str">
        <x:v>BUDGET_2026_V1</x:v>
      </x:c>
      <x:c r="B251" s="187" t="str">
        <x:v>BUDGET</x:v>
      </x:c>
      <x:c r="C251" s="187"/>
      <x:c r="D251" s="217" t="n">
        <x:v>46143</x:v>
      </x:c>
      <x:c r="E251" s="187" t="str">
        <x:v>R_DE_DE_B_ROAD</x:v>
      </x:c>
      <x:c r="F251" s="187" t="str">
        <x:v>DE</x:v>
      </x:c>
      <x:c r="G251" s="187" t="str">
        <x:v>DE_FC</x:v>
      </x:c>
      <x:c r="H251" s="187" t="str">
        <x:v>CARRIER_B</x:v>
      </x:c>
      <x:c r="I251" s="187" t="str">
        <x:v>ROAD</x:v>
      </x:c>
      <x:c r="J251" s="187" t="str">
        <x:v>BASE_FREIGHT</x:v>
      </x:c>
      <x:c r="K251" s="187" t="str">
        <x:v>EUR</x:v>
      </x:c>
      <x:c r="L251" s="232" t="n">
        <x:v>5592.7872</x:v>
      </x:c>
      <x:c r="M251" s="232" t="n">
        <x:v>7.8</x:v>
      </x:c>
      <x:c r="N251" s="187" t="str">
        <x:v>43623.74016000000000</x:v>
      </x:c>
      <x:c r="O251" s="235" t="n">
        <x:v>43623.7402</x:v>
      </x:c>
      <x:c r="P251" s="235"/>
      <x:c r="Q251" s="235"/>
      <x:c r="R251" s="235" t="str">
        <x:v>INVOICE_OR_PLAN</x:v>
      </x:c>
      <x:c r="S251" s="238" t="n">
        <x:f>'Model_Calc'!AF46</x:f>
        <x:v>43623.74016000001</x:v>
      </x:c>
      <x:c r="T251" s="238" t="n">
        <x:f>ROUND(S251-O251,4)</x:f>
        <x:v>0</x:v>
      </x:c>
    </x:row>
    <x:row r="252">
      <x:c r="A252" s="187" t="str">
        <x:v>BUDGET_2026_V1</x:v>
      </x:c>
      <x:c r="B252" s="187" t="str">
        <x:v>BUDGET</x:v>
      </x:c>
      <x:c r="C252" s="187"/>
      <x:c r="D252" s="217" t="n">
        <x:v>46143</x:v>
      </x:c>
      <x:c r="E252" s="187" t="str">
        <x:v>R_DE_DE_B_ROAD</x:v>
      </x:c>
      <x:c r="F252" s="187" t="str">
        <x:v>DE</x:v>
      </x:c>
      <x:c r="G252" s="187" t="str">
        <x:v>DE_FC</x:v>
      </x:c>
      <x:c r="H252" s="187" t="str">
        <x:v>CARRIER_B</x:v>
      </x:c>
      <x:c r="I252" s="187" t="str">
        <x:v>ROAD</x:v>
      </x:c>
      <x:c r="J252" s="187" t="str">
        <x:v>FUEL_SURCHARGE</x:v>
      </x:c>
      <x:c r="K252" s="187" t="str">
        <x:v>EUR</x:v>
      </x:c>
      <x:c r="L252" s="232" t="n">
        <x:v>427.085568</x:v>
      </x:c>
      <x:c r="M252" s="232" t="n">
        <x:v>7.8</x:v>
      </x:c>
      <x:c r="N252" s="187" t="str">
        <x:v>3331.26743040000000</x:v>
      </x:c>
      <x:c r="O252" s="235" t="n">
        <x:v>3331.2674</x:v>
      </x:c>
      <x:c r="P252" s="235"/>
      <x:c r="Q252" s="235"/>
      <x:c r="R252" s="235" t="str">
        <x:v>INVOICE_OR_PLAN</x:v>
      </x:c>
      <x:c r="S252" s="238" t="n">
        <x:f>'Model_Calc'!AG46</x:f>
        <x:v>3331.2674304000006</x:v>
      </x:c>
      <x:c r="T252" s="238" t="n">
        <x:f>ROUND(S252-O252,4)</x:f>
        <x:v>0</x:v>
      </x:c>
    </x:row>
    <x:row r="253">
      <x:c r="A253" s="187" t="str">
        <x:v>BUDGET_2026_V1</x:v>
      </x:c>
      <x:c r="B253" s="187" t="str">
        <x:v>BUDGET</x:v>
      </x:c>
      <x:c r="C253" s="187"/>
      <x:c r="D253" s="217" t="n">
        <x:v>46143</x:v>
      </x:c>
      <x:c r="E253" s="187" t="str">
        <x:v>R_DE_DE_B_ROAD</x:v>
      </x:c>
      <x:c r="F253" s="187" t="str">
        <x:v>DE</x:v>
      </x:c>
      <x:c r="G253" s="187" t="str">
        <x:v>DE_FC</x:v>
      </x:c>
      <x:c r="H253" s="187" t="str">
        <x:v>CARRIER_B</x:v>
      </x:c>
      <x:c r="I253" s="187" t="str">
        <x:v>ROAD</x:v>
      </x:c>
      <x:c r="J253" s="187" t="str">
        <x:v>WAREHOUSE_OPERATION</x:v>
      </x:c>
      <x:c r="K253" s="187" t="str">
        <x:v>EUR</x:v>
      </x:c>
      <x:c r="L253" s="232" t="n">
        <x:v>2856.9216</x:v>
      </x:c>
      <x:c r="M253" s="232" t="n">
        <x:v>7.8</x:v>
      </x:c>
      <x:c r="N253" s="187" t="str">
        <x:v>22283.9884800000</x:v>
      </x:c>
      <x:c r="O253" s="235" t="n">
        <x:v>22283.9885</x:v>
      </x:c>
      <x:c r="P253" s="235"/>
      <x:c r="Q253" s="235"/>
      <x:c r="R253" s="235" t="str">
        <x:v>INVOICE_OR_PLAN</x:v>
      </x:c>
      <x:c r="S253" s="238" t="n">
        <x:f>'Model_Calc'!AL46</x:f>
        <x:v>22283.98848</x:v>
      </x:c>
      <x:c r="T253" s="238" t="n">
        <x:f>ROUND(S253-O253,4)</x:f>
        <x:v>0</x:v>
      </x:c>
    </x:row>
    <x:row r="254">
      <x:c r="A254" s="187" t="str">
        <x:v>BUDGET_2026_V1</x:v>
      </x:c>
      <x:c r="B254" s="187" t="str">
        <x:v>BUDGET</x:v>
      </x:c>
      <x:c r="C254" s="187"/>
      <x:c r="D254" s="217" t="n">
        <x:v>46143</x:v>
      </x:c>
      <x:c r="E254" s="187" t="str">
        <x:v>R_DE_DE_B_ROAD</x:v>
      </x:c>
      <x:c r="F254" s="187" t="str">
        <x:v>DE</x:v>
      </x:c>
      <x:c r="G254" s="187" t="str">
        <x:v>DE_FC</x:v>
      </x:c>
      <x:c r="H254" s="187" t="str">
        <x:v>CARRIER_B</x:v>
      </x:c>
      <x:c r="I254" s="187" t="str">
        <x:v>ROAD</x:v>
      </x:c>
      <x:c r="J254" s="187" t="str">
        <x:v>PACKAGING</x:v>
      </x:c>
      <x:c r="K254" s="187" t="str">
        <x:v>EUR</x:v>
      </x:c>
      <x:c r="L254" s="232" t="n">
        <x:v>1067.71392</x:v>
      </x:c>
      <x:c r="M254" s="232" t="n">
        <x:v>7.8</x:v>
      </x:c>
      <x:c r="N254" s="187" t="str">
        <x:v>8328.168576000000</x:v>
      </x:c>
      <x:c r="O254" s="235" t="n">
        <x:v>8328.1686</x:v>
      </x:c>
      <x:c r="P254" s="235"/>
      <x:c r="Q254" s="235"/>
      <x:c r="R254" s="235" t="str">
        <x:v>INVOICE_OR_PLAN</x:v>
      </x:c>
      <x:c r="S254" s="238" t="n">
        <x:f>'Model_Calc'!AQ46</x:f>
        <x:v>8328.168576</x:v>
      </x:c>
      <x:c r="T254" s="238" t="n">
        <x:f>ROUND(S254-O254,4)</x:f>
        <x:v>0</x:v>
      </x:c>
    </x:row>
    <x:row r="255">
      <x:c r="A255" s="187" t="str">
        <x:v>BUDGET_2026_V1</x:v>
      </x:c>
      <x:c r="B255" s="187" t="str">
        <x:v>BUDGET</x:v>
      </x:c>
      <x:c r="C255" s="187"/>
      <x:c r="D255" s="217" t="n">
        <x:v>46143</x:v>
      </x:c>
      <x:c r="E255" s="187" t="str">
        <x:v>R_DE_DE_B_ROAD</x:v>
      </x:c>
      <x:c r="F255" s="187" t="str">
        <x:v>DE</x:v>
      </x:c>
      <x:c r="G255" s="187" t="str">
        <x:v>DE_FC</x:v>
      </x:c>
      <x:c r="H255" s="187" t="str">
        <x:v>CARRIER_B</x:v>
      </x:c>
      <x:c r="I255" s="187" t="str">
        <x:v>ROAD</x:v>
      </x:c>
      <x:c r="J255" s="187" t="str">
        <x:v>RETURN_LOGISTICS</x:v>
      </x:c>
      <x:c r="K255" s="187" t="str">
        <x:v>EUR</x:v>
      </x:c>
      <x:c r="L255" s="232" t="n">
        <x:v>387.3792</x:v>
      </x:c>
      <x:c r="M255" s="232" t="n">
        <x:v>7.8</x:v>
      </x:c>
      <x:c r="N255" s="187" t="str">
        <x:v>3021.5577600000000</x:v>
      </x:c>
      <x:c r="O255" s="235" t="n">
        <x:v>3021.5578</x:v>
      </x:c>
      <x:c r="P255" s="235"/>
      <x:c r="Q255" s="235"/>
      <x:c r="R255" s="235" t="str">
        <x:v>INVOICE_OR_PLAN</x:v>
      </x:c>
      <x:c r="S255" s="238" t="n">
        <x:f>'Model_Calc'!AV46</x:f>
        <x:v>3021.5577600000006</x:v>
      </x:c>
      <x:c r="T255" s="238" t="n">
        <x:f>ROUND(S255-O255,4)</x:f>
        <x:v>0</x:v>
      </x:c>
    </x:row>
    <x:row r="256">
      <x:c r="A256" s="187" t="str">
        <x:v>BUDGET_2026_V1</x:v>
      </x:c>
      <x:c r="B256" s="187" t="str">
        <x:v>BUDGET</x:v>
      </x:c>
      <x:c r="C256" s="187"/>
      <x:c r="D256" s="217" t="n">
        <x:v>46143</x:v>
      </x:c>
      <x:c r="E256" s="187" t="str">
        <x:v>R_DE_DE_B_ROAD</x:v>
      </x:c>
      <x:c r="F256" s="187" t="str">
        <x:v>DE</x:v>
      </x:c>
      <x:c r="G256" s="187" t="str">
        <x:v>DE_FC</x:v>
      </x:c>
      <x:c r="H256" s="187" t="str">
        <x:v>CARRIER_B</x:v>
      </x:c>
      <x:c r="I256" s="187" t="str">
        <x:v>ROAD</x:v>
      </x:c>
      <x:c r="J256" s="187" t="str">
        <x:v>BILLABLE_EXCEPTION</x:v>
      </x:c>
      <x:c r="K256" s="187" t="str">
        <x:v>EUR</x:v>
      </x:c>
      <x:c r="L256" s="232" t="n">
        <x:v>76.0110624</x:v>
      </x:c>
      <x:c r="M256" s="232" t="n">
        <x:v>7.8</x:v>
      </x:c>
      <x:c r="N256" s="187" t="str">
        <x:v>592.886286720000000</x:v>
      </x:c>
      <x:c r="O256" s="235" t="n">
        <x:v>592.8863</x:v>
      </x:c>
      <x:c r="P256" s="235"/>
      <x:c r="Q256" s="235"/>
      <x:c r="R256" s="235" t="str">
        <x:v>INVOICE_OR_PLAN</x:v>
      </x:c>
      <x:c r="S256" s="238" t="n">
        <x:f>'Model_Calc'!BA46</x:f>
        <x:v>592.88628672</x:v>
      </x:c>
      <x:c r="T256" s="238" t="n">
        <x:f>ROUND(S256-O256,4)</x:f>
        <x:v>0</x:v>
      </x:c>
    </x:row>
    <x:row r="257">
      <x:c r="A257" s="187" t="str">
        <x:v>BUDGET_2026_V1</x:v>
      </x:c>
      <x:c r="B257" s="187" t="str">
        <x:v>BUDGET</x:v>
      </x:c>
      <x:c r="C257" s="187"/>
      <x:c r="D257" s="217" t="n">
        <x:v>46143</x:v>
      </x:c>
      <x:c r="E257" s="187" t="str">
        <x:v>R_DE_FR_B_ROAD</x:v>
      </x:c>
      <x:c r="F257" s="187" t="str">
        <x:v>DE</x:v>
      </x:c>
      <x:c r="G257" s="187" t="str">
        <x:v>FR_FC</x:v>
      </x:c>
      <x:c r="H257" s="187" t="str">
        <x:v>CARRIER_B</x:v>
      </x:c>
      <x:c r="I257" s="187" t="str">
        <x:v>ROAD</x:v>
      </x:c>
      <x:c r="J257" s="187" t="str">
        <x:v>BASE_FREIGHT</x:v>
      </x:c>
      <x:c r="K257" s="187" t="str">
        <x:v>EUR</x:v>
      </x:c>
      <x:c r="L257" s="232" t="n">
        <x:v>573.775488</x:v>
      </x:c>
      <x:c r="M257" s="232" t="n">
        <x:v>7.8</x:v>
      </x:c>
      <x:c r="N257" s="187" t="str">
        <x:v>4475.448806400000</x:v>
      </x:c>
      <x:c r="O257" s="235" t="n">
        <x:v>4475.4488</x:v>
      </x:c>
      <x:c r="P257" s="235"/>
      <x:c r="Q257" s="235"/>
      <x:c r="R257" s="235" t="str">
        <x:v>INVOICE_OR_PLAN</x:v>
      </x:c>
      <x:c r="S257" s="238" t="n">
        <x:f>'Model_Calc'!AF47</x:f>
        <x:v>4475.448806399999</x:v>
      </x:c>
      <x:c r="T257" s="238" t="n">
        <x:f>ROUND(S257-O257,4)</x:f>
        <x:v>0</x:v>
      </x:c>
    </x:row>
    <x:row r="258">
      <x:c r="A258" s="187" t="str">
        <x:v>BUDGET_2026_V1</x:v>
      </x:c>
      <x:c r="B258" s="187" t="str">
        <x:v>BUDGET</x:v>
      </x:c>
      <x:c r="C258" s="187"/>
      <x:c r="D258" s="217" t="n">
        <x:v>46143</x:v>
      </x:c>
      <x:c r="E258" s="187" t="str">
        <x:v>R_DE_FR_B_ROAD</x:v>
      </x:c>
      <x:c r="F258" s="187" t="str">
        <x:v>DE</x:v>
      </x:c>
      <x:c r="G258" s="187" t="str">
        <x:v>FR_FC</x:v>
      </x:c>
      <x:c r="H258" s="187" t="str">
        <x:v>CARRIER_B</x:v>
      </x:c>
      <x:c r="I258" s="187" t="str">
        <x:v>ROAD</x:v>
      </x:c>
      <x:c r="J258" s="187" t="str">
        <x:v>FUEL_SURCHARGE</x:v>
      </x:c>
      <x:c r="K258" s="187" t="str">
        <x:v>EUR</x:v>
      </x:c>
      <x:c r="L258" s="232" t="n">
        <x:v>41.7291264</x:v>
      </x:c>
      <x:c r="M258" s="232" t="n">
        <x:v>7.8</x:v>
      </x:c>
      <x:c r="N258" s="187" t="str">
        <x:v>325.487185920000</x:v>
      </x:c>
      <x:c r="O258" s="235" t="n">
        <x:v>325.4872</x:v>
      </x:c>
      <x:c r="P258" s="235"/>
      <x:c r="Q258" s="235"/>
      <x:c r="R258" s="235" t="str">
        <x:v>INVOICE_OR_PLAN</x:v>
      </x:c>
      <x:c r="S258" s="238" t="n">
        <x:f>'Model_Calc'!AG47</x:f>
        <x:v>325.48718591999994</x:v>
      </x:c>
      <x:c r="T258" s="238" t="n">
        <x:f>ROUND(S258-O258,4)</x:f>
        <x:v>0</x:v>
      </x:c>
    </x:row>
    <x:row r="259">
      <x:c r="A259" s="187" t="str">
        <x:v>BUDGET_2026_V1</x:v>
      </x:c>
      <x:c r="B259" s="187" t="str">
        <x:v>BUDGET</x:v>
      </x:c>
      <x:c r="C259" s="187"/>
      <x:c r="D259" s="217" t="n">
        <x:v>46143</x:v>
      </x:c>
      <x:c r="E259" s="187" t="str">
        <x:v>R_DE_FR_B_ROAD</x:v>
      </x:c>
      <x:c r="F259" s="187" t="str">
        <x:v>DE</x:v>
      </x:c>
      <x:c r="G259" s="187" t="str">
        <x:v>FR_FC</x:v>
      </x:c>
      <x:c r="H259" s="187" t="str">
        <x:v>CARRIER_B</x:v>
      </x:c>
      <x:c r="I259" s="187" t="str">
        <x:v>ROAD</x:v>
      </x:c>
      <x:c r="J259" s="187" t="str">
        <x:v>WAREHOUSE_OPERATION</x:v>
      </x:c>
      <x:c r="K259" s="187" t="str">
        <x:v>EUR</x:v>
      </x:c>
      <x:c r="L259" s="232" t="n">
        <x:v>196.56</x:v>
      </x:c>
      <x:c r="M259" s="232" t="n">
        <x:v>7.8</x:v>
      </x:c>
      <x:c r="N259" s="187" t="str">
        <x:v>1533.16800000</x:v>
      </x:c>
      <x:c r="O259" s="235" t="n">
        <x:v>1533.168</x:v>
      </x:c>
      <x:c r="P259" s="235"/>
      <x:c r="Q259" s="235"/>
      <x:c r="R259" s="235" t="str">
        <x:v>INVOICE_OR_PLAN</x:v>
      </x:c>
      <x:c r="S259" s="238" t="n">
        <x:f>'Model_Calc'!AL47</x:f>
        <x:v>1533.168</x:v>
      </x:c>
      <x:c r="T259" s="238" t="n">
        <x:f>ROUND(S259-O259,4)</x:f>
        <x:v>0</x:v>
      </x:c>
    </x:row>
    <x:row r="260">
      <x:c r="A260" s="187" t="str">
        <x:v>BUDGET_2026_V1</x:v>
      </x:c>
      <x:c r="B260" s="187" t="str">
        <x:v>BUDGET</x:v>
      </x:c>
      <x:c r="C260" s="187"/>
      <x:c r="D260" s="217" t="n">
        <x:v>46143</x:v>
      </x:c>
      <x:c r="E260" s="187" t="str">
        <x:v>R_DE_FR_B_ROAD</x:v>
      </x:c>
      <x:c r="F260" s="187" t="str">
        <x:v>DE</x:v>
      </x:c>
      <x:c r="G260" s="187" t="str">
        <x:v>FR_FC</x:v>
      </x:c>
      <x:c r="H260" s="187" t="str">
        <x:v>CARRIER_B</x:v>
      </x:c>
      <x:c r="I260" s="187" t="str">
        <x:v>ROAD</x:v>
      </x:c>
      <x:c r="J260" s="187" t="str">
        <x:v>PACKAGING</x:v>
      </x:c>
      <x:c r="K260" s="187" t="str">
        <x:v>EUR</x:v>
      </x:c>
      <x:c r="L260" s="232" t="n">
        <x:v>76.82688</x:v>
      </x:c>
      <x:c r="M260" s="232" t="n">
        <x:v>7.8</x:v>
      </x:c>
      <x:c r="N260" s="187" t="str">
        <x:v>599.2496640000</x:v>
      </x:c>
      <x:c r="O260" s="235" t="n">
        <x:v>599.2497</x:v>
      </x:c>
      <x:c r="P260" s="235"/>
      <x:c r="Q260" s="235"/>
      <x:c r="R260" s="235" t="str">
        <x:v>INVOICE_OR_PLAN</x:v>
      </x:c>
      <x:c r="S260" s="238" t="n">
        <x:f>'Model_Calc'!AQ47</x:f>
        <x:v>599.249664</x:v>
      </x:c>
      <x:c r="T260" s="238" t="n">
        <x:f>ROUND(S260-O260,4)</x:f>
        <x:v>0</x:v>
      </x:c>
    </x:row>
    <x:row r="261">
      <x:c r="A261" s="187" t="str">
        <x:v>BUDGET_2026_V1</x:v>
      </x:c>
      <x:c r="B261" s="187" t="str">
        <x:v>BUDGET</x:v>
      </x:c>
      <x:c r="C261" s="187"/>
      <x:c r="D261" s="217" t="n">
        <x:v>46143</x:v>
      </x:c>
      <x:c r="E261" s="187" t="str">
        <x:v>R_DE_FR_B_ROAD</x:v>
      </x:c>
      <x:c r="F261" s="187" t="str">
        <x:v>DE</x:v>
      </x:c>
      <x:c r="G261" s="187" t="str">
        <x:v>FR_FC</x:v>
      </x:c>
      <x:c r="H261" s="187" t="str">
        <x:v>CARRIER_B</x:v>
      </x:c>
      <x:c r="I261" s="187" t="str">
        <x:v>ROAD</x:v>
      </x:c>
      <x:c r="J261" s="187" t="str">
        <x:v>RETURN_LOGISTICS</x:v>
      </x:c>
      <x:c r="K261" s="187" t="str">
        <x:v>EUR</x:v>
      </x:c>
      <x:c r="L261" s="232" t="n">
        <x:v>35.568</x:v>
      </x:c>
      <x:c r="M261" s="232" t="n">
        <x:v>7.8</x:v>
      </x:c>
      <x:c r="N261" s="187" t="str">
        <x:v>277.43040000000</x:v>
      </x:c>
      <x:c r="O261" s="235" t="n">
        <x:v>277.4304</x:v>
      </x:c>
      <x:c r="P261" s="235"/>
      <x:c r="Q261" s="235"/>
      <x:c r="R261" s="235" t="str">
        <x:v>INVOICE_OR_PLAN</x:v>
      </x:c>
      <x:c r="S261" s="238" t="n">
        <x:f>'Model_Calc'!AV47</x:f>
        <x:v>277.43039999999996</x:v>
      </x:c>
      <x:c r="T261" s="238" t="n">
        <x:f>ROUND(S261-O261,4)</x:f>
        <x:v>0</x:v>
      </x:c>
    </x:row>
    <x:row r="262">
      <x:c r="A262" s="187" t="str">
        <x:v>BUDGET_2026_V1</x:v>
      </x:c>
      <x:c r="B262" s="187" t="str">
        <x:v>BUDGET</x:v>
      </x:c>
      <x:c r="C262" s="187"/>
      <x:c r="D262" s="217" t="n">
        <x:v>46143</x:v>
      </x:c>
      <x:c r="E262" s="187" t="str">
        <x:v>R_DE_FR_B_ROAD</x:v>
      </x:c>
      <x:c r="F262" s="187" t="str">
        <x:v>DE</x:v>
      </x:c>
      <x:c r="G262" s="187" t="str">
        <x:v>FR_FC</x:v>
      </x:c>
      <x:c r="H262" s="187" t="str">
        <x:v>CARRIER_B</x:v>
      </x:c>
      <x:c r="I262" s="187" t="str">
        <x:v>ROAD</x:v>
      </x:c>
      <x:c r="J262" s="187" t="str">
        <x:v>BILLABLE_EXCEPTION</x:v>
      </x:c>
      <x:c r="K262" s="187" t="str">
        <x:v>EUR</x:v>
      </x:c>
      <x:c r="L262" s="232" t="n">
        <x:v>6.5100672</x:v>
      </x:c>
      <x:c r="M262" s="232" t="n">
        <x:v>7.8</x:v>
      </x:c>
      <x:c r="N262" s="187" t="str">
        <x:v>50.7785241600000</x:v>
      </x:c>
      <x:c r="O262" s="235" t="n">
        <x:v>50.7785</x:v>
      </x:c>
      <x:c r="P262" s="235"/>
      <x:c r="Q262" s="235"/>
      <x:c r="R262" s="235" t="str">
        <x:v>INVOICE_OR_PLAN</x:v>
      </x:c>
      <x:c r="S262" s="238" t="n">
        <x:f>'Model_Calc'!BA47</x:f>
        <x:v>50.778524159999996</x:v>
      </x:c>
      <x:c r="T262" s="238" t="n">
        <x:f>ROUND(S262-O262,4)</x:f>
        <x:v>0</x:v>
      </x:c>
    </x:row>
    <x:row r="263">
      <x:c r="A263" s="187" t="str">
        <x:v>BUDGET_2026_V1</x:v>
      </x:c>
      <x:c r="B263" s="187" t="str">
        <x:v>BUDGET</x:v>
      </x:c>
      <x:c r="C263" s="187"/>
      <x:c r="D263" s="217" t="n">
        <x:v>46143</x:v>
      </x:c>
      <x:c r="E263" s="187" t="str">
        <x:v>R_FR_FR_A_ROAD</x:v>
      </x:c>
      <x:c r="F263" s="187" t="str">
        <x:v>FR</x:v>
      </x:c>
      <x:c r="G263" s="187" t="str">
        <x:v>FR_FC</x:v>
      </x:c>
      <x:c r="H263" s="187" t="str">
        <x:v>CARRIER_A</x:v>
      </x:c>
      <x:c r="I263" s="187" t="str">
        <x:v>ROAD</x:v>
      </x:c>
      <x:c r="J263" s="187" t="str">
        <x:v>BASE_FREIGHT</x:v>
      </x:c>
      <x:c r="K263" s="187" t="str">
        <x:v>EUR</x:v>
      </x:c>
      <x:c r="L263" s="232" t="n">
        <x:v>3031.63392</x:v>
      </x:c>
      <x:c r="M263" s="232" t="n">
        <x:v>7.8</x:v>
      </x:c>
      <x:c r="N263" s="187" t="str">
        <x:v>23646.744576000000</x:v>
      </x:c>
      <x:c r="O263" s="235" t="n">
        <x:v>23646.7446</x:v>
      </x:c>
      <x:c r="P263" s="235"/>
      <x:c r="Q263" s="235"/>
      <x:c r="R263" s="235" t="str">
        <x:v>INVOICE_OR_PLAN</x:v>
      </x:c>
      <x:c r="S263" s="238" t="n">
        <x:f>'Model_Calc'!AF48</x:f>
        <x:v>23646.744576</x:v>
      </x:c>
      <x:c r="T263" s="238" t="n">
        <x:f>ROUND(S263-O263,4)</x:f>
        <x:v>0</x:v>
      </x:c>
    </x:row>
    <x:row r="264">
      <x:c r="A264" s="187" t="str">
        <x:v>BUDGET_2026_V1</x:v>
      </x:c>
      <x:c r="B264" s="187" t="str">
        <x:v>BUDGET</x:v>
      </x:c>
      <x:c r="C264" s="187"/>
      <x:c r="D264" s="217" t="n">
        <x:v>46143</x:v>
      </x:c>
      <x:c r="E264" s="187" t="str">
        <x:v>R_FR_FR_A_ROAD</x:v>
      </x:c>
      <x:c r="F264" s="187" t="str">
        <x:v>FR</x:v>
      </x:c>
      <x:c r="G264" s="187" t="str">
        <x:v>FR_FC</x:v>
      </x:c>
      <x:c r="H264" s="187" t="str">
        <x:v>CARRIER_A</x:v>
      </x:c>
      <x:c r="I264" s="187" t="str">
        <x:v>ROAD</x:v>
      </x:c>
      <x:c r="J264" s="187" t="str">
        <x:v>FUEL_SURCHARGE</x:v>
      </x:c>
      <x:c r="K264" s="187" t="str">
        <x:v>EUR</x:v>
      </x:c>
      <x:c r="L264" s="232" t="n">
        <x:v>272.8470528</x:v>
      </x:c>
      <x:c r="M264" s="232" t="n">
        <x:v>7.8</x:v>
      </x:c>
      <x:c r="N264" s="187" t="str">
        <x:v>2128.207011840000000</x:v>
      </x:c>
      <x:c r="O264" s="235" t="n">
        <x:v>2128.207</x:v>
      </x:c>
      <x:c r="P264" s="235"/>
      <x:c r="Q264" s="235"/>
      <x:c r="R264" s="235" t="str">
        <x:v>INVOICE_OR_PLAN</x:v>
      </x:c>
      <x:c r="S264" s="238" t="n">
        <x:f>'Model_Calc'!AG48</x:f>
        <x:v>2128.20701184</x:v>
      </x:c>
      <x:c r="T264" s="238" t="n">
        <x:f>ROUND(S264-O264,4)</x:f>
        <x:v>0</x:v>
      </x:c>
    </x:row>
    <x:row r="265">
      <x:c r="A265" s="187" t="str">
        <x:v>BUDGET_2026_V1</x:v>
      </x:c>
      <x:c r="B265" s="187" t="str">
        <x:v>BUDGET</x:v>
      </x:c>
      <x:c r="C265" s="187"/>
      <x:c r="D265" s="217" t="n">
        <x:v>46143</x:v>
      </x:c>
      <x:c r="E265" s="187" t="str">
        <x:v>R_FR_FR_A_ROAD</x:v>
      </x:c>
      <x:c r="F265" s="187" t="str">
        <x:v>FR</x:v>
      </x:c>
      <x:c r="G265" s="187" t="str">
        <x:v>FR_FC</x:v>
      </x:c>
      <x:c r="H265" s="187" t="str">
        <x:v>CARRIER_A</x:v>
      </x:c>
      <x:c r="I265" s="187" t="str">
        <x:v>ROAD</x:v>
      </x:c>
      <x:c r="J265" s="187" t="str">
        <x:v>WAREHOUSE_OPERATION</x:v>
      </x:c>
      <x:c r="K265" s="187" t="str">
        <x:v>EUR</x:v>
      </x:c>
      <x:c r="L265" s="232" t="n">
        <x:v>1881.6</x:v>
      </x:c>
      <x:c r="M265" s="232" t="n">
        <x:v>7.8</x:v>
      </x:c>
      <x:c r="N265" s="187" t="str">
        <x:v>14676.48000000</x:v>
      </x:c>
      <x:c r="O265" s="235" t="n">
        <x:v>14676.48</x:v>
      </x:c>
      <x:c r="P265" s="235"/>
      <x:c r="Q265" s="235"/>
      <x:c r="R265" s="235" t="str">
        <x:v>INVOICE_OR_PLAN</x:v>
      </x:c>
      <x:c r="S265" s="238" t="n">
        <x:f>'Model_Calc'!AL48</x:f>
        <x:v>14676.480000000001</x:v>
      </x:c>
      <x:c r="T265" s="238" t="n">
        <x:f>ROUND(S265-O265,4)</x:f>
        <x:v>0</x:v>
      </x:c>
    </x:row>
    <x:row r="266">
      <x:c r="A266" s="187" t="str">
        <x:v>BUDGET_2026_V1</x:v>
      </x:c>
      <x:c r="B266" s="187" t="str">
        <x:v>BUDGET</x:v>
      </x:c>
      <x:c r="C266" s="187"/>
      <x:c r="D266" s="217" t="n">
        <x:v>46143</x:v>
      </x:c>
      <x:c r="E266" s="187" t="str">
        <x:v>R_FR_FR_A_ROAD</x:v>
      </x:c>
      <x:c r="F266" s="187" t="str">
        <x:v>FR</x:v>
      </x:c>
      <x:c r="G266" s="187" t="str">
        <x:v>FR_FC</x:v>
      </x:c>
      <x:c r="H266" s="187" t="str">
        <x:v>CARRIER_A</x:v>
      </x:c>
      <x:c r="I266" s="187" t="str">
        <x:v>ROAD</x:v>
      </x:c>
      <x:c r="J266" s="187" t="str">
        <x:v>PACKAGING</x:v>
      </x:c>
      <x:c r="K266" s="187" t="str">
        <x:v>EUR</x:v>
      </x:c>
      <x:c r="L266" s="232" t="n">
        <x:v>721.8176</x:v>
      </x:c>
      <x:c r="M266" s="232" t="n">
        <x:v>7.8</x:v>
      </x:c>
      <x:c r="N266" s="187" t="str">
        <x:v>5630.1772800000</x:v>
      </x:c>
      <x:c r="O266" s="235" t="n">
        <x:v>5630.1773</x:v>
      </x:c>
      <x:c r="P266" s="235"/>
      <x:c r="Q266" s="235"/>
      <x:c r="R266" s="235" t="str">
        <x:v>INVOICE_OR_PLAN</x:v>
      </x:c>
      <x:c r="S266" s="238" t="n">
        <x:f>'Model_Calc'!AQ48</x:f>
        <x:v>5630.17728</x:v>
      </x:c>
      <x:c r="T266" s="238" t="n">
        <x:f>ROUND(S266-O266,4)</x:f>
        <x:v>0</x:v>
      </x:c>
    </x:row>
    <x:row r="267">
      <x:c r="A267" s="187" t="str">
        <x:v>BUDGET_2026_V1</x:v>
      </x:c>
      <x:c r="B267" s="187" t="str">
        <x:v>BUDGET</x:v>
      </x:c>
      <x:c r="C267" s="187"/>
      <x:c r="D267" s="217" t="n">
        <x:v>46143</x:v>
      </x:c>
      <x:c r="E267" s="187" t="str">
        <x:v>R_FR_FR_A_ROAD</x:v>
      </x:c>
      <x:c r="F267" s="187" t="str">
        <x:v>FR</x:v>
      </x:c>
      <x:c r="G267" s="187" t="str">
        <x:v>FR_FC</x:v>
      </x:c>
      <x:c r="H267" s="187" t="str">
        <x:v>CARRIER_A</x:v>
      </x:c>
      <x:c r="I267" s="187" t="str">
        <x:v>ROAD</x:v>
      </x:c>
      <x:c r="J267" s="187" t="str">
        <x:v>RETURN_LOGISTICS</x:v>
      </x:c>
      <x:c r="K267" s="187" t="str">
        <x:v>EUR</x:v>
      </x:c>
      <x:c r="L267" s="232" t="n">
        <x:v>322.56</x:v>
      </x:c>
      <x:c r="M267" s="232" t="n">
        <x:v>7.8</x:v>
      </x:c>
      <x:c r="N267" s="187" t="str">
        <x:v>2515.96800000000</x:v>
      </x:c>
      <x:c r="O267" s="235" t="n">
        <x:v>2515.968</x:v>
      </x:c>
      <x:c r="P267" s="235"/>
      <x:c r="Q267" s="235"/>
      <x:c r="R267" s="235" t="str">
        <x:v>INVOICE_OR_PLAN</x:v>
      </x:c>
      <x:c r="S267" s="238" t="n">
        <x:f>'Model_Calc'!AV48</x:f>
        <x:v>2515.968</x:v>
      </x:c>
      <x:c r="T267" s="238" t="n">
        <x:f>ROUND(S267-O267,4)</x:f>
        <x:v>0</x:v>
      </x:c>
    </x:row>
    <x:row r="268">
      <x:c r="A268" s="187" t="str">
        <x:v>BUDGET_2026_V1</x:v>
      </x:c>
      <x:c r="B268" s="187" t="str">
        <x:v>BUDGET</x:v>
      </x:c>
      <x:c r="C268" s="187"/>
      <x:c r="D268" s="217" t="n">
        <x:v>46143</x:v>
      </x:c>
      <x:c r="E268" s="187" t="str">
        <x:v>R_FR_FR_A_ROAD</x:v>
      </x:c>
      <x:c r="F268" s="187" t="str">
        <x:v>FR</x:v>
      </x:c>
      <x:c r="G268" s="187" t="str">
        <x:v>FR_FC</x:v>
      </x:c>
      <x:c r="H268" s="187" t="str">
        <x:v>CARRIER_A</x:v>
      </x:c>
      <x:c r="I268" s="187" t="str">
        <x:v>ROAD</x:v>
      </x:c>
      <x:c r="J268" s="187" t="str">
        <x:v>BILLABLE_EXCEPTION</x:v>
      </x:c>
      <x:c r="K268" s="187" t="str">
        <x:v>EUR</x:v>
      </x:c>
      <x:c r="L268" s="232" t="n">
        <x:v>74.271232</x:v>
      </x:c>
      <x:c r="M268" s="232" t="n">
        <x:v>7.8</x:v>
      </x:c>
      <x:c r="N268" s="187" t="str">
        <x:v>579.3156096000000</x:v>
      </x:c>
      <x:c r="O268" s="235" t="n">
        <x:v>579.3156</x:v>
      </x:c>
      <x:c r="P268" s="235"/>
      <x:c r="Q268" s="235"/>
      <x:c r="R268" s="235" t="str">
        <x:v>INVOICE_OR_PLAN</x:v>
      </x:c>
      <x:c r="S268" s="238" t="n">
        <x:f>'Model_Calc'!BA48</x:f>
        <x:v>579.3156096</x:v>
      </x:c>
      <x:c r="T268" s="238" t="n">
        <x:f>ROUND(S268-O268,4)</x:f>
        <x:v>0</x:v>
      </x:c>
    </x:row>
    <x:row r="269">
      <x:c r="A269" s="187" t="str">
        <x:v>BUDGET_2026_V1</x:v>
      </x:c>
      <x:c r="B269" s="187" t="str">
        <x:v>BUDGET</x:v>
      </x:c>
      <x:c r="C269" s="187"/>
      <x:c r="D269" s="217" t="n">
        <x:v>46143</x:v>
      </x:c>
      <x:c r="E269" s="187" t="str">
        <x:v>R_FR_FR_B_ROAD</x:v>
      </x:c>
      <x:c r="F269" s="187" t="str">
        <x:v>FR</x:v>
      </x:c>
      <x:c r="G269" s="187" t="str">
        <x:v>FR_FC</x:v>
      </x:c>
      <x:c r="H269" s="187" t="str">
        <x:v>CARRIER_B</x:v>
      </x:c>
      <x:c r="I269" s="187" t="str">
        <x:v>ROAD</x:v>
      </x:c>
      <x:c r="J269" s="187" t="str">
        <x:v>BASE_FREIGHT</x:v>
      </x:c>
      <x:c r="K269" s="187" t="str">
        <x:v>EUR</x:v>
      </x:c>
      <x:c r="L269" s="232" t="n">
        <x:v>7245.85472</x:v>
      </x:c>
      <x:c r="M269" s="232" t="n">
        <x:v>7.8</x:v>
      </x:c>
      <x:c r="N269" s="187" t="str">
        <x:v>56517.666816000000</x:v>
      </x:c>
      <x:c r="O269" s="235" t="n">
        <x:v>56517.6668</x:v>
      </x:c>
      <x:c r="P269" s="235"/>
      <x:c r="Q269" s="235"/>
      <x:c r="R269" s="235" t="str">
        <x:v>INVOICE_OR_PLAN</x:v>
      </x:c>
      <x:c r="S269" s="238" t="n">
        <x:f>'Model_Calc'!AF49</x:f>
        <x:v>56517.666816</x:v>
      </x:c>
      <x:c r="T269" s="238" t="n">
        <x:f>ROUND(S269-O269,4)</x:f>
        <x:v>0</x:v>
      </x:c>
    </x:row>
    <x:row r="270">
      <x:c r="A270" s="187" t="str">
        <x:v>BUDGET_2026_V1</x:v>
      </x:c>
      <x:c r="B270" s="187" t="str">
        <x:v>BUDGET</x:v>
      </x:c>
      <x:c r="C270" s="187"/>
      <x:c r="D270" s="217" t="n">
        <x:v>46143</x:v>
      </x:c>
      <x:c r="E270" s="187" t="str">
        <x:v>R_FR_FR_B_ROAD</x:v>
      </x:c>
      <x:c r="F270" s="187" t="str">
        <x:v>FR</x:v>
      </x:c>
      <x:c r="G270" s="187" t="str">
        <x:v>FR_FC</x:v>
      </x:c>
      <x:c r="H270" s="187" t="str">
        <x:v>CARRIER_B</x:v>
      </x:c>
      <x:c r="I270" s="187" t="str">
        <x:v>ROAD</x:v>
      </x:c>
      <x:c r="J270" s="187" t="str">
        <x:v>FUEL_SURCHARGE</x:v>
      </x:c>
      <x:c r="K270" s="187" t="str">
        <x:v>EUR</x:v>
      </x:c>
      <x:c r="L270" s="232" t="n">
        <x:v>557.37344</x:v>
      </x:c>
      <x:c r="M270" s="232" t="n">
        <x:v>7.8</x:v>
      </x:c>
      <x:c r="N270" s="187" t="str">
        <x:v>4347.512832000000</x:v>
      </x:c>
      <x:c r="O270" s="235" t="n">
        <x:v>4347.5128</x:v>
      </x:c>
      <x:c r="P270" s="235"/>
      <x:c r="Q270" s="235"/>
      <x:c r="R270" s="235" t="str">
        <x:v>INVOICE_OR_PLAN</x:v>
      </x:c>
      <x:c r="S270" s="238" t="n">
        <x:f>'Model_Calc'!AG49</x:f>
        <x:v>4347.512832</x:v>
      </x:c>
      <x:c r="T270" s="238" t="n">
        <x:f>ROUND(S270-O270,4)</x:f>
        <x:v>0</x:v>
      </x:c>
    </x:row>
    <x:row r="271">
      <x:c r="A271" s="187" t="str">
        <x:v>BUDGET_2026_V1</x:v>
      </x:c>
      <x:c r="B271" s="187" t="str">
        <x:v>BUDGET</x:v>
      </x:c>
      <x:c r="C271" s="187"/>
      <x:c r="D271" s="217" t="n">
        <x:v>46143</x:v>
      </x:c>
      <x:c r="E271" s="187" t="str">
        <x:v>R_FR_FR_B_ROAD</x:v>
      </x:c>
      <x:c r="F271" s="187" t="str">
        <x:v>FR</x:v>
      </x:c>
      <x:c r="G271" s="187" t="str">
        <x:v>FR_FC</x:v>
      </x:c>
      <x:c r="H271" s="187" t="str">
        <x:v>CARRIER_B</x:v>
      </x:c>
      <x:c r="I271" s="187" t="str">
        <x:v>ROAD</x:v>
      </x:c>
      <x:c r="J271" s="187" t="str">
        <x:v>WAREHOUSE_OPERATION</x:v>
      </x:c>
      <x:c r="K271" s="187" t="str">
        <x:v>EUR</x:v>
      </x:c>
      <x:c r="L271" s="232" t="n">
        <x:v>3494.4</x:v>
      </x:c>
      <x:c r="M271" s="232" t="n">
        <x:v>7.8</x:v>
      </x:c>
      <x:c r="N271" s="187" t="str">
        <x:v>27256.32000000</x:v>
      </x:c>
      <x:c r="O271" s="235" t="n">
        <x:v>27256.32</x:v>
      </x:c>
      <x:c r="P271" s="235"/>
      <x:c r="Q271" s="235"/>
      <x:c r="R271" s="235" t="str">
        <x:v>INVOICE_OR_PLAN</x:v>
      </x:c>
      <x:c r="S271" s="238" t="n">
        <x:f>'Model_Calc'!AL49</x:f>
        <x:v>27256.32</x:v>
      </x:c>
      <x:c r="T271" s="238" t="n">
        <x:f>ROUND(S271-O271,4)</x:f>
        <x:v>0</x:v>
      </x:c>
    </x:row>
    <x:row r="272">
      <x:c r="A272" s="187" t="str">
        <x:v>BUDGET_2026_V1</x:v>
      </x:c>
      <x:c r="B272" s="187" t="str">
        <x:v>BUDGET</x:v>
      </x:c>
      <x:c r="C272" s="187"/>
      <x:c r="D272" s="217" t="n">
        <x:v>46143</x:v>
      </x:c>
      <x:c r="E272" s="187" t="str">
        <x:v>R_FR_FR_B_ROAD</x:v>
      </x:c>
      <x:c r="F272" s="187" t="str">
        <x:v>FR</x:v>
      </x:c>
      <x:c r="G272" s="187" t="str">
        <x:v>FR_FC</x:v>
      </x:c>
      <x:c r="H272" s="187" t="str">
        <x:v>CARRIER_B</x:v>
      </x:c>
      <x:c r="I272" s="187" t="str">
        <x:v>ROAD</x:v>
      </x:c>
      <x:c r="J272" s="187" t="str">
        <x:v>PACKAGING</x:v>
      </x:c>
      <x:c r="K272" s="187" t="str">
        <x:v>EUR</x:v>
      </x:c>
      <x:c r="L272" s="232" t="n">
        <x:v>1340.5184</x:v>
      </x:c>
      <x:c r="M272" s="232" t="n">
        <x:v>7.8</x:v>
      </x:c>
      <x:c r="N272" s="187" t="str">
        <x:v>10456.0435200000</x:v>
      </x:c>
      <x:c r="O272" s="235" t="n">
        <x:v>10456.0435</x:v>
      </x:c>
      <x:c r="P272" s="235"/>
      <x:c r="Q272" s="235"/>
      <x:c r="R272" s="235" t="str">
        <x:v>INVOICE_OR_PLAN</x:v>
      </x:c>
      <x:c r="S272" s="238" t="n">
        <x:f>'Model_Calc'!AQ49</x:f>
        <x:v>10456.043520000001</x:v>
      </x:c>
      <x:c r="T272" s="238" t="n">
        <x:f>ROUND(S272-O272,4)</x:f>
        <x:v>0</x:v>
      </x:c>
    </x:row>
    <x:row r="273">
      <x:c r="A273" s="187" t="str">
        <x:v>BUDGET_2026_V1</x:v>
      </x:c>
      <x:c r="B273" s="187" t="str">
        <x:v>BUDGET</x:v>
      </x:c>
      <x:c r="C273" s="187"/>
      <x:c r="D273" s="217" t="n">
        <x:v>46143</x:v>
      </x:c>
      <x:c r="E273" s="187" t="str">
        <x:v>R_FR_FR_B_ROAD</x:v>
      </x:c>
      <x:c r="F273" s="187" t="str">
        <x:v>FR</x:v>
      </x:c>
      <x:c r="G273" s="187" t="str">
        <x:v>FR_FC</x:v>
      </x:c>
      <x:c r="H273" s="187" t="str">
        <x:v>CARRIER_B</x:v>
      </x:c>
      <x:c r="I273" s="187" t="str">
        <x:v>ROAD</x:v>
      </x:c>
      <x:c r="J273" s="187" t="str">
        <x:v>RETURN_LOGISTICS</x:v>
      </x:c>
      <x:c r="K273" s="187" t="str">
        <x:v>EUR</x:v>
      </x:c>
      <x:c r="L273" s="232" t="n">
        <x:v>599.04</x:v>
      </x:c>
      <x:c r="M273" s="232" t="n">
        <x:v>7.8</x:v>
      </x:c>
      <x:c r="N273" s="187" t="str">
        <x:v>4672.51200000000</x:v>
      </x:c>
      <x:c r="O273" s="235" t="n">
        <x:v>4672.512</x:v>
      </x:c>
      <x:c r="P273" s="235"/>
      <x:c r="Q273" s="235"/>
      <x:c r="R273" s="235" t="str">
        <x:v>INVOICE_OR_PLAN</x:v>
      </x:c>
      <x:c r="S273" s="238" t="n">
        <x:f>'Model_Calc'!AV49</x:f>
        <x:v>4672.512</x:v>
      </x:c>
      <x:c r="T273" s="238" t="n">
        <x:f>ROUND(S273-O273,4)</x:f>
        <x:v>0</x:v>
      </x:c>
    </x:row>
    <x:row r="274">
      <x:c r="A274" s="187" t="str">
        <x:v>BUDGET_2026_V1</x:v>
      </x:c>
      <x:c r="B274" s="187" t="str">
        <x:v>BUDGET</x:v>
      </x:c>
      <x:c r="C274" s="187"/>
      <x:c r="D274" s="217" t="n">
        <x:v>46143</x:v>
      </x:c>
      <x:c r="E274" s="187" t="str">
        <x:v>R_FR_FR_B_ROAD</x:v>
      </x:c>
      <x:c r="F274" s="187" t="str">
        <x:v>FR</x:v>
      </x:c>
      <x:c r="G274" s="187" t="str">
        <x:v>FR_FC</x:v>
      </x:c>
      <x:c r="H274" s="187" t="str">
        <x:v>CARRIER_B</x:v>
      </x:c>
      <x:c r="I274" s="187" t="str">
        <x:v>ROAD</x:v>
      </x:c>
      <x:c r="J274" s="187" t="str">
        <x:v>BILLABLE_EXCEPTION</x:v>
      </x:c>
      <x:c r="K274" s="187" t="str">
        <x:v>EUR</x:v>
      </x:c>
      <x:c r="L274" s="232" t="n">
        <x:v>113.591296</x:v>
      </x:c>
      <x:c r="M274" s="232" t="n">
        <x:v>7.8</x:v>
      </x:c>
      <x:c r="N274" s="187" t="str">
        <x:v>886.0121088000000</x:v>
      </x:c>
      <x:c r="O274" s="235" t="n">
        <x:v>886.0121</x:v>
      </x:c>
      <x:c r="P274" s="235"/>
      <x:c r="Q274" s="235"/>
      <x:c r="R274" s="235" t="str">
        <x:v>INVOICE_OR_PLAN</x:v>
      </x:c>
      <x:c r="S274" s="238" t="n">
        <x:f>'Model_Calc'!BA49</x:f>
        <x:v>886.0121088</x:v>
      </x:c>
      <x:c r="T274" s="238" t="n">
        <x:f>ROUND(S274-O274,4)</x:f>
        <x:v>0</x:v>
      </x:c>
    </x:row>
    <x:row r="275">
      <x:c r="A275" s="187" t="str">
        <x:v>BUDGET_2026_V1</x:v>
      </x:c>
      <x:c r="B275" s="187" t="str">
        <x:v>BUDGET</x:v>
      </x:c>
      <x:c r="C275" s="187"/>
      <x:c r="D275" s="217" t="n">
        <x:v>46143</x:v>
      </x:c>
      <x:c r="E275" s="187" t="str">
        <x:v>R_GB_DE_A_ROAD</x:v>
      </x:c>
      <x:c r="F275" s="187" t="str">
        <x:v>GB</x:v>
      </x:c>
      <x:c r="G275" s="187" t="str">
        <x:v>DE_FC</x:v>
      </x:c>
      <x:c r="H275" s="187" t="str">
        <x:v>CARRIER_A</x:v>
      </x:c>
      <x:c r="I275" s="187" t="str">
        <x:v>ROAD</x:v>
      </x:c>
      <x:c r="J275" s="187" t="str">
        <x:v>BASE_FREIGHT</x:v>
      </x:c>
      <x:c r="K275" s="187" t="str">
        <x:v>GBP</x:v>
      </x:c>
      <x:c r="L275" s="232" t="n">
        <x:v>13230.637056</x:v>
      </x:c>
      <x:c r="M275" s="232" t="n">
        <x:v>9</x:v>
      </x:c>
      <x:c r="N275" s="187" t="str">
        <x:v>119075.73350400000000</x:v>
      </x:c>
      <x:c r="O275" s="235" t="n">
        <x:v>119075.7335</x:v>
      </x:c>
      <x:c r="P275" s="235"/>
      <x:c r="Q275" s="235"/>
      <x:c r="R275" s="235" t="str">
        <x:v>INVOICE_OR_PLAN</x:v>
      </x:c>
      <x:c r="S275" s="238" t="n">
        <x:f>'Model_Calc'!AF50</x:f>
        <x:v>119075.733504</x:v>
      </x:c>
      <x:c r="T275" s="238" t="n">
        <x:f>ROUND(S275-O275,4)</x:f>
        <x:v>0</x:v>
      </x:c>
    </x:row>
    <x:row r="276">
      <x:c r="A276" s="187" t="str">
        <x:v>BUDGET_2026_V1</x:v>
      </x:c>
      <x:c r="B276" s="187" t="str">
        <x:v>BUDGET</x:v>
      </x:c>
      <x:c r="C276" s="187"/>
      <x:c r="D276" s="217" t="n">
        <x:v>46143</x:v>
      </x:c>
      <x:c r="E276" s="187" t="str">
        <x:v>R_GB_DE_A_ROAD</x:v>
      </x:c>
      <x:c r="F276" s="187" t="str">
        <x:v>GB</x:v>
      </x:c>
      <x:c r="G276" s="187" t="str">
        <x:v>DE_FC</x:v>
      </x:c>
      <x:c r="H276" s="187" t="str">
        <x:v>CARRIER_A</x:v>
      </x:c>
      <x:c r="I276" s="187" t="str">
        <x:v>ROAD</x:v>
      </x:c>
      <x:c r="J276" s="187" t="str">
        <x:v>FUEL_SURCHARGE</x:v>
      </x:c>
      <x:c r="K276" s="187" t="str">
        <x:v>GBP</x:v>
      </x:c>
      <x:c r="L276" s="232" t="n">
        <x:v>1323.0637056</x:v>
      </x:c>
      <x:c r="M276" s="232" t="n">
        <x:v>9</x:v>
      </x:c>
      <x:c r="N276" s="187" t="str">
        <x:v>11907.57335040000000000</x:v>
      </x:c>
      <x:c r="O276" s="235" t="n">
        <x:v>11907.5734</x:v>
      </x:c>
      <x:c r="P276" s="235"/>
      <x:c r="Q276" s="235"/>
      <x:c r="R276" s="235" t="str">
        <x:v>INVOICE_OR_PLAN</x:v>
      </x:c>
      <x:c r="S276" s="238" t="n">
        <x:f>'Model_Calc'!AG50</x:f>
        <x:v>11907.5733504</x:v>
      </x:c>
      <x:c r="T276" s="238" t="n">
        <x:f>ROUND(S276-O276,4)</x:f>
        <x:v>0</x:v>
      </x:c>
    </x:row>
    <x:row r="277">
      <x:c r="A277" s="187" t="str">
        <x:v>BUDGET_2026_V1</x:v>
      </x:c>
      <x:c r="B277" s="187" t="str">
        <x:v>BUDGET</x:v>
      </x:c>
      <x:c r="C277" s="187"/>
      <x:c r="D277" s="217" t="n">
        <x:v>46143</x:v>
      </x:c>
      <x:c r="E277" s="187" t="str">
        <x:v>R_GB_DE_A_ROAD</x:v>
      </x:c>
      <x:c r="F277" s="187" t="str">
        <x:v>GB</x:v>
      </x:c>
      <x:c r="G277" s="187" t="str">
        <x:v>DE_FC</x:v>
      </x:c>
      <x:c r="H277" s="187" t="str">
        <x:v>CARRIER_A</x:v>
      </x:c>
      <x:c r="I277" s="187" t="str">
        <x:v>ROAD</x:v>
      </x:c>
      <x:c r="J277" s="187" t="str">
        <x:v>WAREHOUSE_OPERATION</x:v>
      </x:c>
      <x:c r="K277" s="187" t="str">
        <x:v>EUR</x:v>
      </x:c>
      <x:c r="L277" s="232" t="n">
        <x:v>3416.5248</x:v>
      </x:c>
      <x:c r="M277" s="232" t="n">
        <x:v>7.8</x:v>
      </x:c>
      <x:c r="N277" s="187" t="str">
        <x:v>26648.8934400000</x:v>
      </x:c>
      <x:c r="O277" s="235" t="n">
        <x:v>26648.8934</x:v>
      </x:c>
      <x:c r="P277" s="235"/>
      <x:c r="Q277" s="235"/>
      <x:c r="R277" s="235" t="str">
        <x:v>INVOICE_OR_PLAN</x:v>
      </x:c>
      <x:c r="S277" s="238" t="n">
        <x:f>'Model_Calc'!AL50</x:f>
        <x:v>26648.893439999993</x:v>
      </x:c>
      <x:c r="T277" s="238" t="n">
        <x:f>ROUND(S277-O277,4)</x:f>
        <x:v>0</x:v>
      </x:c>
    </x:row>
    <x:row r="278">
      <x:c r="A278" s="187" t="str">
        <x:v>BUDGET_2026_V1</x:v>
      </x:c>
      <x:c r="B278" s="187" t="str">
        <x:v>BUDGET</x:v>
      </x:c>
      <x:c r="C278" s="187"/>
      <x:c r="D278" s="217" t="n">
        <x:v>46143</x:v>
      </x:c>
      <x:c r="E278" s="187" t="str">
        <x:v>R_GB_DE_A_ROAD</x:v>
      </x:c>
      <x:c r="F278" s="187" t="str">
        <x:v>GB</x:v>
      </x:c>
      <x:c r="G278" s="187" t="str">
        <x:v>DE_FC</x:v>
      </x:c>
      <x:c r="H278" s="187" t="str">
        <x:v>CARRIER_A</x:v>
      </x:c>
      <x:c r="I278" s="187" t="str">
        <x:v>ROAD</x:v>
      </x:c>
      <x:c r="J278" s="187" t="str">
        <x:v>PACKAGING</x:v>
      </x:c>
      <x:c r="K278" s="187" t="str">
        <x:v>EUR</x:v>
      </x:c>
      <x:c r="L278" s="232" t="n">
        <x:v>1361.977344</x:v>
      </x:c>
      <x:c r="M278" s="232" t="n">
        <x:v>7.8</x:v>
      </x:c>
      <x:c r="N278" s="187" t="str">
        <x:v>10623.423283200000</x:v>
      </x:c>
      <x:c r="O278" s="235" t="n">
        <x:v>10623.4233</x:v>
      </x:c>
      <x:c r="P278" s="235"/>
      <x:c r="Q278" s="235"/>
      <x:c r="R278" s="235" t="str">
        <x:v>INVOICE_OR_PLAN</x:v>
      </x:c>
      <x:c r="S278" s="238" t="n">
        <x:f>'Model_Calc'!AQ50</x:f>
        <x:v>10623.4232832</x:v>
      </x:c>
      <x:c r="T278" s="238" t="n">
        <x:f>ROUND(S278-O278,4)</x:f>
        <x:v>0</x:v>
      </x:c>
    </x:row>
    <x:row r="279">
      <x:c r="A279" s="187" t="str">
        <x:v>BUDGET_2026_V1</x:v>
      </x:c>
      <x:c r="B279" s="187" t="str">
        <x:v>BUDGET</x:v>
      </x:c>
      <x:c r="C279" s="187"/>
      <x:c r="D279" s="217" t="n">
        <x:v>46143</x:v>
      </x:c>
      <x:c r="E279" s="187" t="str">
        <x:v>R_GB_DE_A_ROAD</x:v>
      </x:c>
      <x:c r="F279" s="187" t="str">
        <x:v>GB</x:v>
      </x:c>
      <x:c r="G279" s="187" t="str">
        <x:v>DE_FC</x:v>
      </x:c>
      <x:c r="H279" s="187" t="str">
        <x:v>CARRIER_A</x:v>
      </x:c>
      <x:c r="I279" s="187" t="str">
        <x:v>ROAD</x:v>
      </x:c>
      <x:c r="J279" s="187" t="str">
        <x:v>RETURN_LOGISTICS</x:v>
      </x:c>
      <x:c r="K279" s="187" t="str">
        <x:v>GBP</x:v>
      </x:c>
      <x:c r="L279" s="232" t="n">
        <x:v>1111.81824</x:v>
      </x:c>
      <x:c r="M279" s="232" t="n">
        <x:v>9</x:v>
      </x:c>
      <x:c r="N279" s="187" t="str">
        <x:v>10006.3641600000000</x:v>
      </x:c>
      <x:c r="O279" s="235" t="n">
        <x:v>10006.3642</x:v>
      </x:c>
      <x:c r="P279" s="235"/>
      <x:c r="Q279" s="235"/>
      <x:c r="R279" s="235" t="str">
        <x:v>INVOICE_OR_PLAN</x:v>
      </x:c>
      <x:c r="S279" s="238" t="n">
        <x:f>'Model_Calc'!AV50</x:f>
        <x:v>10006.36416</x:v>
      </x:c>
      <x:c r="T279" s="238" t="n">
        <x:f>ROUND(S279-O279,4)</x:f>
        <x:v>0</x:v>
      </x:c>
    </x:row>
    <x:row r="280">
      <x:c r="A280" s="187" t="str">
        <x:v>BUDGET_2026_V1</x:v>
      </x:c>
      <x:c r="B280" s="187" t="str">
        <x:v>BUDGET</x:v>
      </x:c>
      <x:c r="C280" s="187"/>
      <x:c r="D280" s="217" t="n">
        <x:v>46143</x:v>
      </x:c>
      <x:c r="E280" s="187" t="str">
        <x:v>R_GB_DE_A_ROAD</x:v>
      </x:c>
      <x:c r="F280" s="187" t="str">
        <x:v>GB</x:v>
      </x:c>
      <x:c r="G280" s="187" t="str">
        <x:v>DE_FC</x:v>
      </x:c>
      <x:c r="H280" s="187" t="str">
        <x:v>CARRIER_A</x:v>
      </x:c>
      <x:c r="I280" s="187" t="str">
        <x:v>ROAD</x:v>
      </x:c>
      <x:c r="J280" s="187" t="str">
        <x:v>BILLABLE_EXCEPTION</x:v>
      </x:c>
      <x:c r="K280" s="187" t="str">
        <x:v>GBP</x:v>
      </x:c>
      <x:c r="L280" s="232" t="n">
        <x:v>164.08584192</x:v>
      </x:c>
      <x:c r="M280" s="232" t="n">
        <x:v>9</x:v>
      </x:c>
      <x:c r="N280" s="187" t="str">
        <x:v>1476.772577280000000</x:v>
      </x:c>
      <x:c r="O280" s="235" t="n">
        <x:v>1476.7726</x:v>
      </x:c>
      <x:c r="P280" s="235"/>
      <x:c r="Q280" s="235"/>
      <x:c r="R280" s="235" t="str">
        <x:v>INVOICE_OR_PLAN</x:v>
      </x:c>
      <x:c r="S280" s="238" t="n">
        <x:f>'Model_Calc'!BA50</x:f>
        <x:v>1476.7725772799997</x:v>
      </x:c>
      <x:c r="T280" s="238" t="n">
        <x:f>ROUND(S280-O280,4)</x:f>
        <x:v>0</x:v>
      </x:c>
    </x:row>
    <x:row r="281">
      <x:c r="A281" s="187" t="str">
        <x:v>BUDGET_2026_V1</x:v>
      </x:c>
      <x:c r="B281" s="187" t="str">
        <x:v>BUDGET</x:v>
      </x:c>
      <x:c r="C281" s="187"/>
      <x:c r="D281" s="217" t="n">
        <x:v>46143</x:v>
      </x:c>
      <x:c r="E281" s="187" t="str">
        <x:v>R_GB_DE_B_ROAD</x:v>
      </x:c>
      <x:c r="F281" s="187" t="str">
        <x:v>GB</x:v>
      </x:c>
      <x:c r="G281" s="187" t="str">
        <x:v>DE_FC</x:v>
      </x:c>
      <x:c r="H281" s="187" t="str">
        <x:v>CARRIER_B</x:v>
      </x:c>
      <x:c r="I281" s="187" t="str">
        <x:v>ROAD</x:v>
      </x:c>
      <x:c r="J281" s="187" t="str">
        <x:v>BASE_FREIGHT</x:v>
      </x:c>
      <x:c r="K281" s="187" t="str">
        <x:v>GBP</x:v>
      </x:c>
      <x:c r="L281" s="232" t="n">
        <x:v>5861.9904</x:v>
      </x:c>
      <x:c r="M281" s="232" t="n">
        <x:v>9</x:v>
      </x:c>
      <x:c r="N281" s="187" t="str">
        <x:v>52757.91360000000000</x:v>
      </x:c>
      <x:c r="O281" s="235" t="n">
        <x:v>52757.9136</x:v>
      </x:c>
      <x:c r="P281" s="235"/>
      <x:c r="Q281" s="235"/>
      <x:c r="R281" s="235" t="str">
        <x:v>INVOICE_OR_PLAN</x:v>
      </x:c>
      <x:c r="S281" s="238" t="n">
        <x:f>'Model_Calc'!AF51</x:f>
        <x:v>52757.9136</x:v>
      </x:c>
      <x:c r="T281" s="238" t="n">
        <x:f>ROUND(S281-O281,4)</x:f>
        <x:v>0</x:v>
      </x:c>
    </x:row>
    <x:row r="282">
      <x:c r="A282" s="187" t="str">
        <x:v>BUDGET_2026_V1</x:v>
      </x:c>
      <x:c r="B282" s="187" t="str">
        <x:v>BUDGET</x:v>
      </x:c>
      <x:c r="C282" s="187"/>
      <x:c r="D282" s="217" t="n">
        <x:v>46143</x:v>
      </x:c>
      <x:c r="E282" s="187" t="str">
        <x:v>R_GB_DE_B_ROAD</x:v>
      </x:c>
      <x:c r="F282" s="187" t="str">
        <x:v>GB</x:v>
      </x:c>
      <x:c r="G282" s="187" t="str">
        <x:v>DE_FC</x:v>
      </x:c>
      <x:c r="H282" s="187" t="str">
        <x:v>CARRIER_B</x:v>
      </x:c>
      <x:c r="I282" s="187" t="str">
        <x:v>ROAD</x:v>
      </x:c>
      <x:c r="J282" s="187" t="str">
        <x:v>FUEL_SURCHARGE</x:v>
      </x:c>
      <x:c r="K282" s="187" t="str">
        <x:v>GBP</x:v>
      </x:c>
      <x:c r="L282" s="232" t="n">
        <x:v>411.58656</x:v>
      </x:c>
      <x:c r="M282" s="232" t="n">
        <x:v>9</x:v>
      </x:c>
      <x:c r="N282" s="187" t="str">
        <x:v>3704.27904000000000</x:v>
      </x:c>
      <x:c r="O282" s="235" t="n">
        <x:v>3704.279</x:v>
      </x:c>
      <x:c r="P282" s="235"/>
      <x:c r="Q282" s="235"/>
      <x:c r="R282" s="235" t="str">
        <x:v>INVOICE_OR_PLAN</x:v>
      </x:c>
      <x:c r="S282" s="238" t="n">
        <x:f>'Model_Calc'!AG51</x:f>
        <x:v>3704.2790400000004</x:v>
      </x:c>
      <x:c r="T282" s="238" t="n">
        <x:f>ROUND(S282-O282,4)</x:f>
        <x:v>0</x:v>
      </x:c>
    </x:row>
    <x:row r="283">
      <x:c r="A283" s="187" t="str">
        <x:v>BUDGET_2026_V1</x:v>
      </x:c>
      <x:c r="B283" s="187" t="str">
        <x:v>BUDGET</x:v>
      </x:c>
      <x:c r="C283" s="187"/>
      <x:c r="D283" s="217" t="n">
        <x:v>46143</x:v>
      </x:c>
      <x:c r="E283" s="187" t="str">
        <x:v>R_GB_DE_B_ROAD</x:v>
      </x:c>
      <x:c r="F283" s="187" t="str">
        <x:v>GB</x:v>
      </x:c>
      <x:c r="G283" s="187" t="str">
        <x:v>DE_FC</x:v>
      </x:c>
      <x:c r="H283" s="187" t="str">
        <x:v>CARRIER_B</x:v>
      </x:c>
      <x:c r="I283" s="187" t="str">
        <x:v>ROAD</x:v>
      </x:c>
      <x:c r="J283" s="187" t="str">
        <x:v>WAREHOUSE_OPERATION</x:v>
      </x:c>
      <x:c r="K283" s="187" t="str">
        <x:v>EUR</x:v>
      </x:c>
      <x:c r="L283" s="232" t="n">
        <x:v>1314.048</x:v>
      </x:c>
      <x:c r="M283" s="232" t="n">
        <x:v>7.8</x:v>
      </x:c>
      <x:c r="N283" s="187" t="str">
        <x:v>10249.5744000000</x:v>
      </x:c>
      <x:c r="O283" s="235" t="n">
        <x:v>10249.5744</x:v>
      </x:c>
      <x:c r="P283" s="235"/>
      <x:c r="Q283" s="235"/>
      <x:c r="R283" s="235" t="str">
        <x:v>INVOICE_OR_PLAN</x:v>
      </x:c>
      <x:c r="S283" s="238" t="n">
        <x:f>'Model_Calc'!AL51</x:f>
        <x:v>10249.574399999998</x:v>
      </x:c>
      <x:c r="T283" s="238" t="n">
        <x:f>ROUND(S283-O283,4)</x:f>
        <x:v>0</x:v>
      </x:c>
    </x:row>
    <x:row r="284">
      <x:c r="A284" s="187" t="str">
        <x:v>BUDGET_2026_V1</x:v>
      </x:c>
      <x:c r="B284" s="187" t="str">
        <x:v>BUDGET</x:v>
      </x:c>
      <x:c r="C284" s="187"/>
      <x:c r="D284" s="217" t="n">
        <x:v>46143</x:v>
      </x:c>
      <x:c r="E284" s="187" t="str">
        <x:v>R_GB_DE_B_ROAD</x:v>
      </x:c>
      <x:c r="F284" s="187" t="str">
        <x:v>GB</x:v>
      </x:c>
      <x:c r="G284" s="187" t="str">
        <x:v>DE_FC</x:v>
      </x:c>
      <x:c r="H284" s="187" t="str">
        <x:v>CARRIER_B</x:v>
      </x:c>
      <x:c r="I284" s="187" t="str">
        <x:v>ROAD</x:v>
      </x:c>
      <x:c r="J284" s="187" t="str">
        <x:v>PACKAGING</x:v>
      </x:c>
      <x:c r="K284" s="187" t="str">
        <x:v>EUR</x:v>
      </x:c>
      <x:c r="L284" s="232" t="n">
        <x:v>523.83744</x:v>
      </x:c>
      <x:c r="M284" s="232" t="n">
        <x:v>7.8</x:v>
      </x:c>
      <x:c r="N284" s="187" t="str">
        <x:v>4085.932032000000</x:v>
      </x:c>
      <x:c r="O284" s="235" t="n">
        <x:v>4085.932</x:v>
      </x:c>
      <x:c r="P284" s="235"/>
      <x:c r="Q284" s="235"/>
      <x:c r="R284" s="235" t="str">
        <x:v>INVOICE_OR_PLAN</x:v>
      </x:c>
      <x:c r="S284" s="238" t="n">
        <x:f>'Model_Calc'!AQ51</x:f>
        <x:v>4085.932032</x:v>
      </x:c>
      <x:c r="T284" s="238" t="n">
        <x:f>ROUND(S284-O284,4)</x:f>
        <x:v>0</x:v>
      </x:c>
    </x:row>
    <x:row r="285">
      <x:c r="A285" s="187" t="str">
        <x:v>BUDGET_2026_V1</x:v>
      </x:c>
      <x:c r="B285" s="187" t="str">
        <x:v>BUDGET</x:v>
      </x:c>
      <x:c r="C285" s="187"/>
      <x:c r="D285" s="217" t="n">
        <x:v>46143</x:v>
      </x:c>
      <x:c r="E285" s="187" t="str">
        <x:v>R_GB_DE_B_ROAD</x:v>
      </x:c>
      <x:c r="F285" s="187" t="str">
        <x:v>GB</x:v>
      </x:c>
      <x:c r="G285" s="187" t="str">
        <x:v>DE_FC</x:v>
      </x:c>
      <x:c r="H285" s="187" t="str">
        <x:v>CARRIER_B</x:v>
      </x:c>
      <x:c r="I285" s="187" t="str">
        <x:v>ROAD</x:v>
      </x:c>
      <x:c r="J285" s="187" t="str">
        <x:v>RETURN_LOGISTICS</x:v>
      </x:c>
      <x:c r="K285" s="187" t="str">
        <x:v>GBP</x:v>
      </x:c>
      <x:c r="L285" s="232" t="n">
        <x:v>427.6224</x:v>
      </x:c>
      <x:c r="M285" s="232" t="n">
        <x:v>9</x:v>
      </x:c>
      <x:c r="N285" s="187" t="str">
        <x:v>3848.6016000000000</x:v>
      </x:c>
      <x:c r="O285" s="235" t="n">
        <x:v>3848.6016</x:v>
      </x:c>
      <x:c r="P285" s="235"/>
      <x:c r="Q285" s="235"/>
      <x:c r="R285" s="235" t="str">
        <x:v>INVOICE_OR_PLAN</x:v>
      </x:c>
      <x:c r="S285" s="238" t="n">
        <x:f>'Model_Calc'!AV51</x:f>
        <x:v>3848.6016</x:v>
      </x:c>
      <x:c r="T285" s="238" t="n">
        <x:f>ROUND(S285-O285,4)</x:f>
        <x:v>0</x:v>
      </x:c>
    </x:row>
    <x:row r="286">
      <x:c r="A286" s="187" t="str">
        <x:v>BUDGET_2026_V1</x:v>
      </x:c>
      <x:c r="B286" s="187" t="str">
        <x:v>BUDGET</x:v>
      </x:c>
      <x:c r="C286" s="187"/>
      <x:c r="D286" s="217" t="n">
        <x:v>46143</x:v>
      </x:c>
      <x:c r="E286" s="187" t="str">
        <x:v>R_GB_DE_B_ROAD</x:v>
      </x:c>
      <x:c r="F286" s="187" t="str">
        <x:v>GB</x:v>
      </x:c>
      <x:c r="G286" s="187" t="str">
        <x:v>DE_FC</x:v>
      </x:c>
      <x:c r="H286" s="187" t="str">
        <x:v>CARRIER_B</x:v>
      </x:c>
      <x:c r="I286" s="187" t="str">
        <x:v>ROAD</x:v>
      </x:c>
      <x:c r="J286" s="187" t="str">
        <x:v>BILLABLE_EXCEPTION</x:v>
      </x:c>
      <x:c r="K286" s="187" t="str">
        <x:v>GBP</x:v>
      </x:c>
      <x:c r="L286" s="232" t="n">
        <x:v>48.7667712</x:v>
      </x:c>
      <x:c r="M286" s="232" t="n">
        <x:v>9</x:v>
      </x:c>
      <x:c r="N286" s="187" t="str">
        <x:v>438.900940800000000</x:v>
      </x:c>
      <x:c r="O286" s="235" t="n">
        <x:v>438.9009</x:v>
      </x:c>
      <x:c r="P286" s="235"/>
      <x:c r="Q286" s="235"/>
      <x:c r="R286" s="235" t="str">
        <x:v>INVOICE_OR_PLAN</x:v>
      </x:c>
      <x:c r="S286" s="238" t="n">
        <x:f>'Model_Calc'!BA51</x:f>
        <x:v>438.9009408</x:v>
      </x:c>
      <x:c r="T286" s="238" t="n">
        <x:f>ROUND(S286-O286,4)</x:f>
        <x:v>0</x:v>
      </x:c>
    </x:row>
    <x:row r="287">
      <x:c r="A287" s="187" t="str">
        <x:v>BUDGET_2026_V1</x:v>
      </x:c>
      <x:c r="B287" s="187" t="str">
        <x:v>BUDGET</x:v>
      </x:c>
      <x:c r="C287" s="187"/>
      <x:c r="D287" s="217" t="n">
        <x:v>46143</x:v>
      </x:c>
      <x:c r="E287" s="187" t="str">
        <x:v>R_GB_DE_B_AIR</x:v>
      </x:c>
      <x:c r="F287" s="187" t="str">
        <x:v>GB</x:v>
      </x:c>
      <x:c r="G287" s="187" t="str">
        <x:v>DE_FC</x:v>
      </x:c>
      <x:c r="H287" s="187" t="str">
        <x:v>CARRIER_B</x:v>
      </x:c>
      <x:c r="I287" s="187" t="str">
        <x:v>AIR</x:v>
      </x:c>
      <x:c r="J287" s="187" t="str">
        <x:v>BASE_FREIGHT</x:v>
      </x:c>
      <x:c r="K287" s="187" t="str">
        <x:v>GBP</x:v>
      </x:c>
      <x:c r="L287" s="232" t="n">
        <x:v>2035.28306688</x:v>
      </x:c>
      <x:c r="M287" s="232" t="n">
        <x:v>9</x:v>
      </x:c>
      <x:c r="N287" s="187" t="str">
        <x:v>18317.54760192000000</x:v>
      </x:c>
      <x:c r="O287" s="235" t="n">
        <x:v>18317.5476</x:v>
      </x:c>
      <x:c r="P287" s="235"/>
      <x:c r="Q287" s="235"/>
      <x:c r="R287" s="235" t="str">
        <x:v>INVOICE_OR_PLAN</x:v>
      </x:c>
      <x:c r="S287" s="238" t="n">
        <x:f>'Model_Calc'!AF52</x:f>
        <x:v>18317.547601920003</x:v>
      </x:c>
      <x:c r="T287" s="238" t="n">
        <x:f>ROUND(S287-O287,4)</x:f>
        <x:v>0</x:v>
      </x:c>
    </x:row>
    <x:row r="288">
      <x:c r="A288" s="187" t="str">
        <x:v>BUDGET_2026_V1</x:v>
      </x:c>
      <x:c r="B288" s="187" t="str">
        <x:v>BUDGET</x:v>
      </x:c>
      <x:c r="C288" s="187"/>
      <x:c r="D288" s="217" t="n">
        <x:v>46143</x:v>
      </x:c>
      <x:c r="E288" s="187" t="str">
        <x:v>R_GB_DE_B_AIR</x:v>
      </x:c>
      <x:c r="F288" s="187" t="str">
        <x:v>GB</x:v>
      </x:c>
      <x:c r="G288" s="187" t="str">
        <x:v>DE_FC</x:v>
      </x:c>
      <x:c r="H288" s="187" t="str">
        <x:v>CARRIER_B</x:v>
      </x:c>
      <x:c r="I288" s="187" t="str">
        <x:v>AIR</x:v>
      </x:c>
      <x:c r="J288" s="187" t="str">
        <x:v>FUEL_SURCHARGE</x:v>
      </x:c>
      <x:c r="K288" s="187" t="str">
        <x:v>GBP</x:v>
      </x:c>
      <x:c r="L288" s="232" t="n">
        <x:v>234.0575526912</x:v>
      </x:c>
      <x:c r="M288" s="232" t="n">
        <x:v>9</x:v>
      </x:c>
      <x:c r="N288" s="187" t="str">
        <x:v>2106.51797422080000000</x:v>
      </x:c>
      <x:c r="O288" s="235" t="n">
        <x:v>2106.518</x:v>
      </x:c>
      <x:c r="P288" s="235"/>
      <x:c r="Q288" s="235"/>
      <x:c r="R288" s="235" t="str">
        <x:v>INVOICE_OR_PLAN</x:v>
      </x:c>
      <x:c r="S288" s="238" t="n">
        <x:f>'Model_Calc'!AG52</x:f>
        <x:v>2106.5179742208</x:v>
      </x:c>
      <x:c r="T288" s="238" t="n">
        <x:f>ROUND(S288-O288,4)</x:f>
        <x:v>0</x:v>
      </x:c>
    </x:row>
    <x:row r="289">
      <x:c r="A289" s="187" t="str">
        <x:v>BUDGET_2026_V1</x:v>
      </x:c>
      <x:c r="B289" s="187" t="str">
        <x:v>BUDGET</x:v>
      </x:c>
      <x:c r="C289" s="187"/>
      <x:c r="D289" s="217" t="n">
        <x:v>46143</x:v>
      </x:c>
      <x:c r="E289" s="187" t="str">
        <x:v>R_GB_DE_B_AIR</x:v>
      </x:c>
      <x:c r="F289" s="187" t="str">
        <x:v>GB</x:v>
      </x:c>
      <x:c r="G289" s="187" t="str">
        <x:v>DE_FC</x:v>
      </x:c>
      <x:c r="H289" s="187" t="str">
        <x:v>CARRIER_B</x:v>
      </x:c>
      <x:c r="I289" s="187" t="str">
        <x:v>AIR</x:v>
      </x:c>
      <x:c r="J289" s="187" t="str">
        <x:v>WAREHOUSE_OPERATION</x:v>
      </x:c>
      <x:c r="K289" s="187" t="str">
        <x:v>EUR</x:v>
      </x:c>
      <x:c r="L289" s="232" t="n">
        <x:v>367.93344</x:v>
      </x:c>
      <x:c r="M289" s="232" t="n">
        <x:v>7.8</x:v>
      </x:c>
      <x:c r="N289" s="187" t="str">
        <x:v>2869.8808320000</x:v>
      </x:c>
      <x:c r="O289" s="235" t="n">
        <x:v>2869.8808</x:v>
      </x:c>
      <x:c r="P289" s="235"/>
      <x:c r="Q289" s="235"/>
      <x:c r="R289" s="235" t="str">
        <x:v>INVOICE_OR_PLAN</x:v>
      </x:c>
      <x:c r="S289" s="238" t="n">
        <x:f>'Model_Calc'!AL52</x:f>
        <x:v>2869.880832</x:v>
      </x:c>
      <x:c r="T289" s="238" t="n">
        <x:f>ROUND(S289-O289,4)</x:f>
        <x:v>0</x:v>
      </x:c>
    </x:row>
    <x:row r="290">
      <x:c r="A290" s="187" t="str">
        <x:v>BUDGET_2026_V1</x:v>
      </x:c>
      <x:c r="B290" s="187" t="str">
        <x:v>BUDGET</x:v>
      </x:c>
      <x:c r="C290" s="187"/>
      <x:c r="D290" s="217" t="n">
        <x:v>46143</x:v>
      </x:c>
      <x:c r="E290" s="187" t="str">
        <x:v>R_GB_DE_B_AIR</x:v>
      </x:c>
      <x:c r="F290" s="187" t="str">
        <x:v>GB</x:v>
      </x:c>
      <x:c r="G290" s="187" t="str">
        <x:v>DE_FC</x:v>
      </x:c>
      <x:c r="H290" s="187" t="str">
        <x:v>CARRIER_B</x:v>
      </x:c>
      <x:c r="I290" s="187" t="str">
        <x:v>AIR</x:v>
      </x:c>
      <x:c r="J290" s="187" t="str">
        <x:v>PACKAGING</x:v>
      </x:c>
      <x:c r="K290" s="187" t="str">
        <x:v>EUR</x:v>
      </x:c>
      <x:c r="L290" s="232" t="n">
        <x:v>146.6744832</x:v>
      </x:c>
      <x:c r="M290" s="232" t="n">
        <x:v>7.8</x:v>
      </x:c>
      <x:c r="N290" s="187" t="str">
        <x:v>1144.060968960000</x:v>
      </x:c>
      <x:c r="O290" s="235" t="n">
        <x:v>1144.061</x:v>
      </x:c>
      <x:c r="P290" s="235"/>
      <x:c r="Q290" s="235"/>
      <x:c r="R290" s="235" t="str">
        <x:v>INVOICE_OR_PLAN</x:v>
      </x:c>
      <x:c r="S290" s="238" t="n">
        <x:f>'Model_Calc'!AQ52</x:f>
        <x:v>1144.0609689599999</x:v>
      </x:c>
      <x:c r="T290" s="238" t="n">
        <x:f>ROUND(S290-O290,4)</x:f>
        <x:v>0</x:v>
      </x:c>
    </x:row>
    <x:row r="291">
      <x:c r="A291" s="187" t="str">
        <x:v>BUDGET_2026_V1</x:v>
      </x:c>
      <x:c r="B291" s="187" t="str">
        <x:v>BUDGET</x:v>
      </x:c>
      <x:c r="C291" s="187"/>
      <x:c r="D291" s="217" t="n">
        <x:v>46143</x:v>
      </x:c>
      <x:c r="E291" s="187" t="str">
        <x:v>R_GB_DE_B_AIR</x:v>
      </x:c>
      <x:c r="F291" s="187" t="str">
        <x:v>GB</x:v>
      </x:c>
      <x:c r="G291" s="187" t="str">
        <x:v>DE_FC</x:v>
      </x:c>
      <x:c r="H291" s="187" t="str">
        <x:v>CARRIER_B</x:v>
      </x:c>
      <x:c r="I291" s="187" t="str">
        <x:v>AIR</x:v>
      </x:c>
      <x:c r="J291" s="187" t="str">
        <x:v>RETURN_LOGISTICS</x:v>
      </x:c>
      <x:c r="K291" s="187" t="str">
        <x:v>GBP</x:v>
      </x:c>
      <x:c r="L291" s="232" t="n">
        <x:v>119.734272</x:v>
      </x:c>
      <x:c r="M291" s="232" t="n">
        <x:v>9</x:v>
      </x:c>
      <x:c r="N291" s="187" t="str">
        <x:v>1077.6084480000000</x:v>
      </x:c>
      <x:c r="O291" s="235" t="n">
        <x:v>1077.6084</x:v>
      </x:c>
      <x:c r="P291" s="235"/>
      <x:c r="Q291" s="235"/>
      <x:c r="R291" s="235" t="str">
        <x:v>INVOICE_OR_PLAN</x:v>
      </x:c>
      <x:c r="S291" s="238" t="n">
        <x:f>'Model_Calc'!AV52</x:f>
        <x:v>1077.608448</x:v>
      </x:c>
      <x:c r="T291" s="238" t="n">
        <x:f>ROUND(S291-O291,4)</x:f>
        <x:v>0</x:v>
      </x:c>
    </x:row>
    <x:row r="292">
      <x:c r="A292" s="187" t="str">
        <x:v>BUDGET_2026_V1</x:v>
      </x:c>
      <x:c r="B292" s="187" t="str">
        <x:v>BUDGET</x:v>
      </x:c>
      <x:c r="C292" s="187"/>
      <x:c r="D292" s="217" t="n">
        <x:v>46143</x:v>
      </x:c>
      <x:c r="E292" s="187" t="str">
        <x:v>R_GB_DE_B_AIR</x:v>
      </x:c>
      <x:c r="F292" s="187" t="str">
        <x:v>GB</x:v>
      </x:c>
      <x:c r="G292" s="187" t="str">
        <x:v>DE_FC</x:v>
      </x:c>
      <x:c r="H292" s="187" t="str">
        <x:v>CARRIER_B</x:v>
      </x:c>
      <x:c r="I292" s="187" t="str">
        <x:v>AIR</x:v>
      </x:c>
      <x:c r="J292" s="187" t="str">
        <x:v>BILLABLE_EXCEPTION</x:v>
      </x:c>
      <x:c r="K292" s="187" t="str">
        <x:v>GBP</x:v>
      </x:c>
      <x:c r="L292" s="232" t="n">
        <x:v>12.711788544</x:v>
      </x:c>
      <x:c r="M292" s="232" t="n">
        <x:v>9</x:v>
      </x:c>
      <x:c r="N292" s="187" t="str">
        <x:v>114.406096896000000</x:v>
      </x:c>
      <x:c r="O292" s="235" t="n">
        <x:v>114.4061</x:v>
      </x:c>
      <x:c r="P292" s="235"/>
      <x:c r="Q292" s="235"/>
      <x:c r="R292" s="235" t="str">
        <x:v>INVOICE_OR_PLAN</x:v>
      </x:c>
      <x:c r="S292" s="238" t="n">
        <x:f>'Model_Calc'!BA52</x:f>
        <x:v>114.406096896</x:v>
      </x:c>
      <x:c r="T292" s="238" t="n">
        <x:f>ROUND(S292-O292,4)</x:f>
        <x:v>0</x:v>
      </x:c>
    </x:row>
    <x:row r="293">
      <x:c r="A293" s="187" t="str">
        <x:v>BUDGET_2026_V1</x:v>
      </x:c>
      <x:c r="B293" s="187" t="str">
        <x:v>BUDGET</x:v>
      </x:c>
      <x:c r="C293" s="187"/>
      <x:c r="D293" s="217" t="n">
        <x:v>46143</x:v>
      </x:c>
      <x:c r="E293" s="187" t="str">
        <x:v>R_GB_DE_C_AIR</x:v>
      </x:c>
      <x:c r="F293" s="187" t="str">
        <x:v>GB</x:v>
      </x:c>
      <x:c r="G293" s="187" t="str">
        <x:v>DE_FC</x:v>
      </x:c>
      <x:c r="H293" s="187" t="str">
        <x:v>CARRIER_C</x:v>
      </x:c>
      <x:c r="I293" s="187" t="str">
        <x:v>AIR</x:v>
      </x:c>
      <x:c r="J293" s="187" t="str">
        <x:v>BASE_FREIGHT</x:v>
      </x:c>
      <x:c r="K293" s="187" t="str">
        <x:v>GBP</x:v>
      </x:c>
      <x:c r="L293" s="232" t="n">
        <x:v>1032.708096</x:v>
      </x:c>
      <x:c r="M293" s="232" t="n">
        <x:v>9</x:v>
      </x:c>
      <x:c r="N293" s="187" t="str">
        <x:v>9294.37286400000000</x:v>
      </x:c>
      <x:c r="O293" s="235" t="n">
        <x:v>9294.3729</x:v>
      </x:c>
      <x:c r="P293" s="235"/>
      <x:c r="Q293" s="235"/>
      <x:c r="R293" s="235" t="str">
        <x:v>INVOICE_OR_PLAN</x:v>
      </x:c>
      <x:c r="S293" s="238" t="n">
        <x:f>'Model_Calc'!AF53</x:f>
        <x:v>9294.372863999999</x:v>
      </x:c>
      <x:c r="T293" s="238" t="n">
        <x:f>ROUND(S293-O293,4)</x:f>
        <x:v>0</x:v>
      </x:c>
    </x:row>
    <x:row r="294">
      <x:c r="A294" s="187" t="str">
        <x:v>BUDGET_2026_V1</x:v>
      </x:c>
      <x:c r="B294" s="187" t="str">
        <x:v>BUDGET</x:v>
      </x:c>
      <x:c r="C294" s="187"/>
      <x:c r="D294" s="217" t="n">
        <x:v>46143</x:v>
      </x:c>
      <x:c r="E294" s="187" t="str">
        <x:v>R_GB_DE_C_AIR</x:v>
      </x:c>
      <x:c r="F294" s="187" t="str">
        <x:v>GB</x:v>
      </x:c>
      <x:c r="G294" s="187" t="str">
        <x:v>DE_FC</x:v>
      </x:c>
      <x:c r="H294" s="187" t="str">
        <x:v>CARRIER_C</x:v>
      </x:c>
      <x:c r="I294" s="187" t="str">
        <x:v>AIR</x:v>
      </x:c>
      <x:c r="J294" s="187" t="str">
        <x:v>FUEL_SURCHARGE</x:v>
      </x:c>
      <x:c r="K294" s="187" t="str">
        <x:v>GBP</x:v>
      </x:c>
      <x:c r="L294" s="232" t="n">
        <x:v>79.862759424</x:v>
      </x:c>
      <x:c r="M294" s="232" t="n">
        <x:v>9</x:v>
      </x:c>
      <x:c r="N294" s="187" t="str">
        <x:v>718.76483481600000</x:v>
      </x:c>
      <x:c r="O294" s="235" t="n">
        <x:v>718.7648</x:v>
      </x:c>
      <x:c r="P294" s="235"/>
      <x:c r="Q294" s="235"/>
      <x:c r="R294" s="235" t="str">
        <x:v>INVOICE_OR_PLAN</x:v>
      </x:c>
      <x:c r="S294" s="238" t="n">
        <x:f>'Model_Calc'!AG53</x:f>
        <x:v>718.7648348159998</x:v>
      </x:c>
      <x:c r="T294" s="238" t="n">
        <x:f>ROUND(S294-O294,4)</x:f>
        <x:v>0</x:v>
      </x:c>
    </x:row>
    <x:row r="295">
      <x:c r="A295" s="187" t="str">
        <x:v>BUDGET_2026_V1</x:v>
      </x:c>
      <x:c r="B295" s="187" t="str">
        <x:v>BUDGET</x:v>
      </x:c>
      <x:c r="C295" s="187"/>
      <x:c r="D295" s="217" t="n">
        <x:v>46143</x:v>
      </x:c>
      <x:c r="E295" s="187" t="str">
        <x:v>R_GB_DE_C_AIR</x:v>
      </x:c>
      <x:c r="F295" s="187" t="str">
        <x:v>GB</x:v>
      </x:c>
      <x:c r="G295" s="187" t="str">
        <x:v>DE_FC</x:v>
      </x:c>
      <x:c r="H295" s="187" t="str">
        <x:v>CARRIER_C</x:v>
      </x:c>
      <x:c r="I295" s="187" t="str">
        <x:v>AIR</x:v>
      </x:c>
      <x:c r="J295" s="187" t="str">
        <x:v>WAREHOUSE_OPERATION</x:v>
      </x:c>
      <x:c r="K295" s="187" t="str">
        <x:v>EUR</x:v>
      </x:c>
      <x:c r="L295" s="232" t="n">
        <x:v>157.68576</x:v>
      </x:c>
      <x:c r="M295" s="232" t="n">
        <x:v>7.8</x:v>
      </x:c>
      <x:c r="N295" s="187" t="str">
        <x:v>1229.9489280000</x:v>
      </x:c>
      <x:c r="O295" s="235" t="n">
        <x:v>1229.9489</x:v>
      </x:c>
      <x:c r="P295" s="235"/>
      <x:c r="Q295" s="235"/>
      <x:c r="R295" s="235" t="str">
        <x:v>INVOICE_OR_PLAN</x:v>
      </x:c>
      <x:c r="S295" s="238" t="n">
        <x:f>'Model_Calc'!AL53</x:f>
        <x:v>1229.9489279999996</x:v>
      </x:c>
      <x:c r="T295" s="238" t="n">
        <x:f>ROUND(S295-O295,4)</x:f>
        <x:v>0</x:v>
      </x:c>
    </x:row>
    <x:row r="296">
      <x:c r="A296" s="187" t="str">
        <x:v>BUDGET_2026_V1</x:v>
      </x:c>
      <x:c r="B296" s="187" t="str">
        <x:v>BUDGET</x:v>
      </x:c>
      <x:c r="C296" s="187"/>
      <x:c r="D296" s="217" t="n">
        <x:v>46143</x:v>
      </x:c>
      <x:c r="E296" s="187" t="str">
        <x:v>R_GB_DE_C_AIR</x:v>
      </x:c>
      <x:c r="F296" s="187" t="str">
        <x:v>GB</x:v>
      </x:c>
      <x:c r="G296" s="187" t="str">
        <x:v>DE_FC</x:v>
      </x:c>
      <x:c r="H296" s="187" t="str">
        <x:v>CARRIER_C</x:v>
      </x:c>
      <x:c r="I296" s="187" t="str">
        <x:v>AIR</x:v>
      </x:c>
      <x:c r="J296" s="187" t="str">
        <x:v>PACKAGING</x:v>
      </x:c>
      <x:c r="K296" s="187" t="str">
        <x:v>EUR</x:v>
      </x:c>
      <x:c r="L296" s="232" t="n">
        <x:v>62.8604928</x:v>
      </x:c>
      <x:c r="M296" s="232" t="n">
        <x:v>7.8</x:v>
      </x:c>
      <x:c r="N296" s="187" t="str">
        <x:v>490.311843840000</x:v>
      </x:c>
      <x:c r="O296" s="235" t="n">
        <x:v>490.3118</x:v>
      </x:c>
      <x:c r="P296" s="235"/>
      <x:c r="Q296" s="235"/>
      <x:c r="R296" s="235" t="str">
        <x:v>INVOICE_OR_PLAN</x:v>
      </x:c>
      <x:c r="S296" s="238" t="n">
        <x:f>'Model_Calc'!AQ53</x:f>
        <x:v>490.3118438399999</x:v>
      </x:c>
      <x:c r="T296" s="238" t="n">
        <x:f>ROUND(S296-O296,4)</x:f>
        <x:v>0</x:v>
      </x:c>
    </x:row>
    <x:row r="297">
      <x:c r="A297" s="187" t="str">
        <x:v>BUDGET_2026_V1</x:v>
      </x:c>
      <x:c r="B297" s="187" t="str">
        <x:v>BUDGET</x:v>
      </x:c>
      <x:c r="C297" s="187"/>
      <x:c r="D297" s="217" t="n">
        <x:v>46143</x:v>
      </x:c>
      <x:c r="E297" s="187" t="str">
        <x:v>R_GB_DE_C_AIR</x:v>
      </x:c>
      <x:c r="F297" s="187" t="str">
        <x:v>GB</x:v>
      </x:c>
      <x:c r="G297" s="187" t="str">
        <x:v>DE_FC</x:v>
      </x:c>
      <x:c r="H297" s="187" t="str">
        <x:v>CARRIER_C</x:v>
      </x:c>
      <x:c r="I297" s="187" t="str">
        <x:v>AIR</x:v>
      </x:c>
      <x:c r="J297" s="187" t="str">
        <x:v>RETURN_LOGISTICS</x:v>
      </x:c>
      <x:c r="K297" s="187" t="str">
        <x:v>GBP</x:v>
      </x:c>
      <x:c r="L297" s="232" t="n">
        <x:v>51.314688</x:v>
      </x:c>
      <x:c r="M297" s="232" t="n">
        <x:v>9</x:v>
      </x:c>
      <x:c r="N297" s="187" t="str">
        <x:v>461.8321920000000</x:v>
      </x:c>
      <x:c r="O297" s="235" t="n">
        <x:v>461.8322</x:v>
      </x:c>
      <x:c r="P297" s="235"/>
      <x:c r="Q297" s="235"/>
      <x:c r="R297" s="235" t="str">
        <x:v>INVOICE_OR_PLAN</x:v>
      </x:c>
      <x:c r="S297" s="238" t="n">
        <x:f>'Model_Calc'!AV53</x:f>
        <x:v>461.8321919999999</x:v>
      </x:c>
      <x:c r="T297" s="238" t="n">
        <x:f>ROUND(S297-O297,4)</x:f>
        <x:v>0</x:v>
      </x:c>
    </x:row>
    <x:row r="298">
      <x:c r="A298" s="187" t="str">
        <x:v>BUDGET_2026_V1</x:v>
      </x:c>
      <x:c r="B298" s="187" t="str">
        <x:v>BUDGET</x:v>
      </x:c>
      <x:c r="C298" s="187"/>
      <x:c r="D298" s="217" t="n">
        <x:v>46143</x:v>
      </x:c>
      <x:c r="E298" s="187" t="str">
        <x:v>R_GB_DE_C_AIR</x:v>
      </x:c>
      <x:c r="F298" s="187" t="str">
        <x:v>GB</x:v>
      </x:c>
      <x:c r="G298" s="187" t="str">
        <x:v>DE_FC</x:v>
      </x:c>
      <x:c r="H298" s="187" t="str">
        <x:v>CARRIER_C</x:v>
      </x:c>
      <x:c r="I298" s="187" t="str">
        <x:v>AIR</x:v>
      </x:c>
      <x:c r="J298" s="187" t="str">
        <x:v>BILLABLE_EXCEPTION</x:v>
      </x:c>
      <x:c r="K298" s="187" t="str">
        <x:v>GBP</x:v>
      </x:c>
      <x:c r="L298" s="232" t="n">
        <x:v>4.849238016</x:v>
      </x:c>
      <x:c r="M298" s="232" t="n">
        <x:v>9</x:v>
      </x:c>
      <x:c r="N298" s="187" t="str">
        <x:v>43.643142144000000</x:v>
      </x:c>
      <x:c r="O298" s="235" t="n">
        <x:v>43.6431</x:v>
      </x:c>
      <x:c r="P298" s="235"/>
      <x:c r="Q298" s="235"/>
      <x:c r="R298" s="235" t="str">
        <x:v>INVOICE_OR_PLAN</x:v>
      </x:c>
      <x:c r="S298" s="238" t="n">
        <x:f>'Model_Calc'!BA53</x:f>
        <x:v>43.643142143999995</x:v>
      </x:c>
      <x:c r="T298" s="238" t="n">
        <x:f>ROUND(S298-O298,4)</x:f>
        <x:v>0</x:v>
      </x:c>
    </x:row>
    <x:row r="299">
      <x:c r="A299" s="187" t="str">
        <x:v>BUDGET_2026_V1</x:v>
      </x:c>
      <x:c r="B299" s="187" t="str">
        <x:v>BUDGET</x:v>
      </x:c>
      <x:c r="C299" s="187"/>
      <x:c r="D299" s="217" t="n">
        <x:v>46143</x:v>
      </x:c>
      <x:c r="E299" s="187" t="str">
        <x:v>R_GB_FR_B_AIR</x:v>
      </x:c>
      <x:c r="F299" s="187" t="str">
        <x:v>GB</x:v>
      </x:c>
      <x:c r="G299" s="187" t="str">
        <x:v>FR_FC</x:v>
      </x:c>
      <x:c r="H299" s="187" t="str">
        <x:v>CARRIER_B</x:v>
      </x:c>
      <x:c r="I299" s="187" t="str">
        <x:v>AIR</x:v>
      </x:c>
      <x:c r="J299" s="187" t="str">
        <x:v>BASE_FREIGHT</x:v>
      </x:c>
      <x:c r="K299" s="187" t="str">
        <x:v>EUR</x:v>
      </x:c>
      <x:c r="L299" s="232" t="n">
        <x:v>1287.0432</x:v>
      </x:c>
      <x:c r="M299" s="232" t="n">
        <x:v>7.8</x:v>
      </x:c>
      <x:c r="N299" s="187" t="str">
        <x:v>10038.936960000000</x:v>
      </x:c>
      <x:c r="O299" s="235" t="n">
        <x:v>10038.937</x:v>
      </x:c>
      <x:c r="P299" s="235"/>
      <x:c r="Q299" s="235"/>
      <x:c r="R299" s="235" t="str">
        <x:v>INVOICE_OR_PLAN</x:v>
      </x:c>
      <x:c r="S299" s="238" t="n">
        <x:f>'Model_Calc'!AF54</x:f>
        <x:v>10038.936959999999</x:v>
      </x:c>
      <x:c r="T299" s="238" t="n">
        <x:f>ROUND(S299-O299,4)</x:f>
        <x:v>0</x:v>
      </x:c>
    </x:row>
    <x:row r="300">
      <x:c r="A300" s="187" t="str">
        <x:v>BUDGET_2026_V1</x:v>
      </x:c>
      <x:c r="B300" s="187" t="str">
        <x:v>BUDGET</x:v>
      </x:c>
      <x:c r="C300" s="187"/>
      <x:c r="D300" s="217" t="n">
        <x:v>46143</x:v>
      </x:c>
      <x:c r="E300" s="187" t="str">
        <x:v>R_GB_FR_B_AIR</x:v>
      </x:c>
      <x:c r="F300" s="187" t="str">
        <x:v>GB</x:v>
      </x:c>
      <x:c r="G300" s="187" t="str">
        <x:v>FR_FC</x:v>
      </x:c>
      <x:c r="H300" s="187" t="str">
        <x:v>CARRIER_B</x:v>
      </x:c>
      <x:c r="I300" s="187" t="str">
        <x:v>AIR</x:v>
      </x:c>
      <x:c r="J300" s="187" t="str">
        <x:v>FUEL_SURCHARGE</x:v>
      </x:c>
      <x:c r="K300" s="187" t="str">
        <x:v>EUR</x:v>
      </x:c>
      <x:c r="L300" s="232" t="n">
        <x:v>135.139536</x:v>
      </x:c>
      <x:c r="M300" s="232" t="n">
        <x:v>7.8</x:v>
      </x:c>
      <x:c r="N300" s="187" t="str">
        <x:v>1054.088380800000000</x:v>
      </x:c>
      <x:c r="O300" s="235" t="n">
        <x:v>1054.0884</x:v>
      </x:c>
      <x:c r="P300" s="235"/>
      <x:c r="Q300" s="235"/>
      <x:c r="R300" s="235" t="str">
        <x:v>INVOICE_OR_PLAN</x:v>
      </x:c>
      <x:c r="S300" s="238" t="n">
        <x:f>'Model_Calc'!AG54</x:f>
        <x:v>1054.0883807999999</x:v>
      </x:c>
      <x:c r="T300" s="238" t="n">
        <x:f>ROUND(S300-O300,4)</x:f>
        <x:v>0</x:v>
      </x:c>
    </x:row>
    <x:row r="301">
      <x:c r="A301" s="187" t="str">
        <x:v>BUDGET_2026_V1</x:v>
      </x:c>
      <x:c r="B301" s="187" t="str">
        <x:v>BUDGET</x:v>
      </x:c>
      <x:c r="C301" s="187"/>
      <x:c r="D301" s="217" t="n">
        <x:v>46143</x:v>
      </x:c>
      <x:c r="E301" s="187" t="str">
        <x:v>R_GB_FR_B_AIR</x:v>
      </x:c>
      <x:c r="F301" s="187" t="str">
        <x:v>GB</x:v>
      </x:c>
      <x:c r="G301" s="187" t="str">
        <x:v>FR_FC</x:v>
      </x:c>
      <x:c r="H301" s="187" t="str">
        <x:v>CARRIER_B</x:v>
      </x:c>
      <x:c r="I301" s="187" t="str">
        <x:v>AIR</x:v>
      </x:c>
      <x:c r="J301" s="187" t="str">
        <x:v>WAREHOUSE_OPERATION</x:v>
      </x:c>
      <x:c r="K301" s="187" t="str">
        <x:v>EUR</x:v>
      </x:c>
      <x:c r="L301" s="232" t="n">
        <x:v>194.88</x:v>
      </x:c>
      <x:c r="M301" s="232" t="n">
        <x:v>7.8</x:v>
      </x:c>
      <x:c r="N301" s="187" t="str">
        <x:v>1520.06400000</x:v>
      </x:c>
      <x:c r="O301" s="235" t="n">
        <x:v>1520.064</x:v>
      </x:c>
      <x:c r="P301" s="235"/>
      <x:c r="Q301" s="235"/>
      <x:c r="R301" s="235" t="str">
        <x:v>INVOICE_OR_PLAN</x:v>
      </x:c>
      <x:c r="S301" s="238" t="n">
        <x:f>'Model_Calc'!AL54</x:f>
        <x:v>1520.0639999999999</x:v>
      </x:c>
      <x:c r="T301" s="238" t="n">
        <x:f>ROUND(S301-O301,4)</x:f>
        <x:v>0</x:v>
      </x:c>
    </x:row>
    <x:row r="302">
      <x:c r="A302" s="187" t="str">
        <x:v>BUDGET_2026_V1</x:v>
      </x:c>
      <x:c r="B302" s="187" t="str">
        <x:v>BUDGET</x:v>
      </x:c>
      <x:c r="C302" s="187"/>
      <x:c r="D302" s="217" t="n">
        <x:v>46143</x:v>
      </x:c>
      <x:c r="E302" s="187" t="str">
        <x:v>R_GB_FR_B_AIR</x:v>
      </x:c>
      <x:c r="F302" s="187" t="str">
        <x:v>GB</x:v>
      </x:c>
      <x:c r="G302" s="187" t="str">
        <x:v>FR_FC</x:v>
      </x:c>
      <x:c r="H302" s="187" t="str">
        <x:v>CARRIER_B</x:v>
      </x:c>
      <x:c r="I302" s="187" t="str">
        <x:v>AIR</x:v>
      </x:c>
      <x:c r="J302" s="187" t="str">
        <x:v>PACKAGING</x:v>
      </x:c>
      <x:c r="K302" s="187" t="str">
        <x:v>EUR</x:v>
      </x:c>
      <x:c r="L302" s="232" t="n">
        <x:v>81.1072</x:v>
      </x:c>
      <x:c r="M302" s="232" t="n">
        <x:v>7.8</x:v>
      </x:c>
      <x:c r="N302" s="187" t="str">
        <x:v>632.6361600000</x:v>
      </x:c>
      <x:c r="O302" s="235" t="n">
        <x:v>632.6362</x:v>
      </x:c>
      <x:c r="P302" s="235"/>
      <x:c r="Q302" s="235"/>
      <x:c r="R302" s="235" t="str">
        <x:v>INVOICE_OR_PLAN</x:v>
      </x:c>
      <x:c r="S302" s="238" t="n">
        <x:f>'Model_Calc'!AQ54</x:f>
        <x:v>632.6361599999999</x:v>
      </x:c>
      <x:c r="T302" s="238" t="n">
        <x:f>ROUND(S302-O302,4)</x:f>
        <x:v>0</x:v>
      </x:c>
    </x:row>
    <x:row r="303">
      <x:c r="A303" s="187" t="str">
        <x:v>BUDGET_2026_V1</x:v>
      </x:c>
      <x:c r="B303" s="187" t="str">
        <x:v>BUDGET</x:v>
      </x:c>
      <x:c r="C303" s="187"/>
      <x:c r="D303" s="217" t="n">
        <x:v>46143</x:v>
      </x:c>
      <x:c r="E303" s="187" t="str">
        <x:v>R_GB_FR_B_AIR</x:v>
      </x:c>
      <x:c r="F303" s="187" t="str">
        <x:v>GB</x:v>
      </x:c>
      <x:c r="G303" s="187" t="str">
        <x:v>FR_FC</x:v>
      </x:c>
      <x:c r="H303" s="187" t="str">
        <x:v>CARRIER_B</x:v>
      </x:c>
      <x:c r="I303" s="187" t="str">
        <x:v>AIR</x:v>
      </x:c>
      <x:c r="J303" s="187" t="str">
        <x:v>RETURN_LOGISTICS</x:v>
      </x:c>
      <x:c r="K303" s="187" t="str">
        <x:v>EUR</x:v>
      </x:c>
      <x:c r="L303" s="232" t="n">
        <x:v>77.2096</x:v>
      </x:c>
      <x:c r="M303" s="232" t="n">
        <x:v>7.8</x:v>
      </x:c>
      <x:c r="N303" s="187" t="str">
        <x:v>602.23488000000</x:v>
      </x:c>
      <x:c r="O303" s="235" t="n">
        <x:v>602.2349</x:v>
      </x:c>
      <x:c r="P303" s="235"/>
      <x:c r="Q303" s="235"/>
      <x:c r="R303" s="235" t="str">
        <x:v>INVOICE_OR_PLAN</x:v>
      </x:c>
      <x:c r="S303" s="238" t="n">
        <x:f>'Model_Calc'!AV54</x:f>
        <x:v>602.23488</x:v>
      </x:c>
      <x:c r="T303" s="238" t="n">
        <x:f>ROUND(S303-O303,4)</x:f>
        <x:v>0</x:v>
      </x:c>
    </x:row>
    <x:row r="304">
      <x:c r="A304" s="187" t="str">
        <x:v>BUDGET_2026_V1</x:v>
      </x:c>
      <x:c r="B304" s="187" t="str">
        <x:v>BUDGET</x:v>
      </x:c>
      <x:c r="C304" s="187"/>
      <x:c r="D304" s="217" t="n">
        <x:v>46143</x:v>
      </x:c>
      <x:c r="E304" s="187" t="str">
        <x:v>R_GB_FR_B_AIR</x:v>
      </x:c>
      <x:c r="F304" s="187" t="str">
        <x:v>GB</x:v>
      </x:c>
      <x:c r="G304" s="187" t="str">
        <x:v>FR_FC</x:v>
      </x:c>
      <x:c r="H304" s="187" t="str">
        <x:v>CARRIER_B</x:v>
      </x:c>
      <x:c r="I304" s="187" t="str">
        <x:v>AIR</x:v>
      </x:c>
      <x:c r="J304" s="187" t="str">
        <x:v>BILLABLE_EXCEPTION</x:v>
      </x:c>
      <x:c r="K304" s="187" t="str">
        <x:v>EUR</x:v>
      </x:c>
      <x:c r="L304" s="232" t="n">
        <x:v>7.171584</x:v>
      </x:c>
      <x:c r="M304" s="232" t="n">
        <x:v>7.8</x:v>
      </x:c>
      <x:c r="N304" s="187" t="str">
        <x:v>55.9383552000000</x:v>
      </x:c>
      <x:c r="O304" s="235" t="n">
        <x:v>55.9384</x:v>
      </x:c>
      <x:c r="P304" s="235"/>
      <x:c r="Q304" s="235"/>
      <x:c r="R304" s="235" t="str">
        <x:v>INVOICE_OR_PLAN</x:v>
      </x:c>
      <x:c r="S304" s="238" t="n">
        <x:f>'Model_Calc'!BA54</x:f>
        <x:v>55.93835519999999</x:v>
      </x:c>
      <x:c r="T304" s="238" t="n">
        <x:f>ROUND(S304-O304,4)</x:f>
        <x:v>0</x:v>
      </x:c>
    </x:row>
    <x:row r="305">
      <x:c r="A305" s="187" t="str">
        <x:v>BUDGET_2026_V1</x:v>
      </x:c>
      <x:c r="B305" s="187" t="str">
        <x:v>BUDGET</x:v>
      </x:c>
      <x:c r="C305" s="187"/>
      <x:c r="D305" s="217" t="n">
        <x:v>46174</x:v>
      </x:c>
      <x:c r="E305" s="187" t="str">
        <x:v>R_DE_DE_A_ROAD</x:v>
      </x:c>
      <x:c r="F305" s="187" t="str">
        <x:v>DE</x:v>
      </x:c>
      <x:c r="G305" s="187" t="str">
        <x:v>DE_FC</x:v>
      </x:c>
      <x:c r="H305" s="187" t="str">
        <x:v>CARRIER_A</x:v>
      </x:c>
      <x:c r="I305" s="187" t="str">
        <x:v>ROAD</x:v>
      </x:c>
      <x:c r="J305" s="187" t="str">
        <x:v>BASE_FREIGHT</x:v>
      </x:c>
      <x:c r="K305" s="187" t="str">
        <x:v>EUR</x:v>
      </x:c>
      <x:c r="L305" s="232" t="n">
        <x:v>6748.047306</x:v>
      </x:c>
      <x:c r="M305" s="232" t="n">
        <x:v>7.8</x:v>
      </x:c>
      <x:c r="N305" s="187" t="str">
        <x:v>52634.76898680000000</x:v>
      </x:c>
      <x:c r="O305" s="235" t="n">
        <x:v>52634.769</x:v>
      </x:c>
      <x:c r="P305" s="235"/>
      <x:c r="Q305" s="235"/>
      <x:c r="R305" s="235" t="str">
        <x:v>INVOICE_OR_PLAN</x:v>
      </x:c>
      <x:c r="S305" s="238" t="n">
        <x:f>'Model_Calc'!AF55</x:f>
        <x:v>52634.7689868</x:v>
      </x:c>
      <x:c r="T305" s="238" t="n">
        <x:f>ROUND(S305-O305,4)</x:f>
        <x:v>0</x:v>
      </x:c>
    </x:row>
    <x:row r="306">
      <x:c r="A306" s="187" t="str">
        <x:v>BUDGET_2026_V1</x:v>
      </x:c>
      <x:c r="B306" s="187" t="str">
        <x:v>BUDGET</x:v>
      </x:c>
      <x:c r="C306" s="187"/>
      <x:c r="D306" s="217" t="n">
        <x:v>46174</x:v>
      </x:c>
      <x:c r="E306" s="187" t="str">
        <x:v>R_DE_DE_A_ROAD</x:v>
      </x:c>
      <x:c r="F306" s="187" t="str">
        <x:v>DE</x:v>
      </x:c>
      <x:c r="G306" s="187" t="str">
        <x:v>DE_FC</x:v>
      </x:c>
      <x:c r="H306" s="187" t="str">
        <x:v>CARRIER_A</x:v>
      </x:c>
      <x:c r="I306" s="187" t="str">
        <x:v>ROAD</x:v>
      </x:c>
      <x:c r="J306" s="187" t="str">
        <x:v>FUEL_SURCHARGE</x:v>
      </x:c>
      <x:c r="K306" s="187" t="str">
        <x:v>EUR</x:v>
      </x:c>
      <x:c r="L306" s="232" t="n">
        <x:v>641.06449407</x:v>
      </x:c>
      <x:c r="M306" s="232" t="n">
        <x:v>7.8</x:v>
      </x:c>
      <x:c r="N306" s="187" t="str">
        <x:v>5000.30305374600000000</x:v>
      </x:c>
      <x:c r="O306" s="235" t="n">
        <x:v>5000.3031</x:v>
      </x:c>
      <x:c r="P306" s="235"/>
      <x:c r="Q306" s="235"/>
      <x:c r="R306" s="235" t="str">
        <x:v>INVOICE_OR_PLAN</x:v>
      </x:c>
      <x:c r="S306" s="238" t="n">
        <x:f>'Model_Calc'!AG55</x:f>
        <x:v>5000.303053746</x:v>
      </x:c>
      <x:c r="T306" s="238" t="n">
        <x:f>ROUND(S306-O306,4)</x:f>
        <x:v>0</x:v>
      </x:c>
    </x:row>
    <x:row r="307">
      <x:c r="A307" s="187" t="str">
        <x:v>BUDGET_2026_V1</x:v>
      </x:c>
      <x:c r="B307" s="187" t="str">
        <x:v>BUDGET</x:v>
      </x:c>
      <x:c r="C307" s="187"/>
      <x:c r="D307" s="217" t="n">
        <x:v>46174</x:v>
      </x:c>
      <x:c r="E307" s="187" t="str">
        <x:v>R_DE_DE_A_ROAD</x:v>
      </x:c>
      <x:c r="F307" s="187" t="str">
        <x:v>DE</x:v>
      </x:c>
      <x:c r="G307" s="187" t="str">
        <x:v>DE_FC</x:v>
      </x:c>
      <x:c r="H307" s="187" t="str">
        <x:v>CARRIER_A</x:v>
      </x:c>
      <x:c r="I307" s="187" t="str">
        <x:v>ROAD</x:v>
      </x:c>
      <x:c r="J307" s="187" t="str">
        <x:v>WAREHOUSE_OPERATION</x:v>
      </x:c>
      <x:c r="K307" s="187" t="str">
        <x:v>EUR</x:v>
      </x:c>
      <x:c r="L307" s="232" t="n">
        <x:v>4419.3006</x:v>
      </x:c>
      <x:c r="M307" s="232" t="n">
        <x:v>7.8</x:v>
      </x:c>
      <x:c r="N307" s="187" t="str">
        <x:v>34470.5446800000</x:v>
      </x:c>
      <x:c r="O307" s="235" t="n">
        <x:v>34470.5447</x:v>
      </x:c>
      <x:c r="P307" s="235"/>
      <x:c r="Q307" s="235"/>
      <x:c r="R307" s="235" t="str">
        <x:v>INVOICE_OR_PLAN</x:v>
      </x:c>
      <x:c r="S307" s="238" t="n">
        <x:f>'Model_Calc'!AL55</x:f>
        <x:v>34470.54468</x:v>
      </x:c>
      <x:c r="T307" s="238" t="n">
        <x:f>ROUND(S307-O307,4)</x:f>
        <x:v>0</x:v>
      </x:c>
    </x:row>
    <x:row r="308">
      <x:c r="A308" s="187" t="str">
        <x:v>BUDGET_2026_V1</x:v>
      </x:c>
      <x:c r="B308" s="187" t="str">
        <x:v>BUDGET</x:v>
      </x:c>
      <x:c r="C308" s="187"/>
      <x:c r="D308" s="217" t="n">
        <x:v>46174</x:v>
      </x:c>
      <x:c r="E308" s="187" t="str">
        <x:v>R_DE_DE_A_ROAD</x:v>
      </x:c>
      <x:c r="F308" s="187" t="str">
        <x:v>DE</x:v>
      </x:c>
      <x:c r="G308" s="187" t="str">
        <x:v>DE_FC</x:v>
      </x:c>
      <x:c r="H308" s="187" t="str">
        <x:v>CARRIER_A</x:v>
      </x:c>
      <x:c r="I308" s="187" t="str">
        <x:v>ROAD</x:v>
      </x:c>
      <x:c r="J308" s="187" t="str">
        <x:v>PACKAGING</x:v>
      </x:c>
      <x:c r="K308" s="187" t="str">
        <x:v>EUR</x:v>
      </x:c>
      <x:c r="L308" s="232" t="n">
        <x:v>1651.61997</x:v>
      </x:c>
      <x:c r="M308" s="232" t="n">
        <x:v>7.8</x:v>
      </x:c>
      <x:c r="N308" s="187" t="str">
        <x:v>12882.635766000000</x:v>
      </x:c>
      <x:c r="O308" s="235" t="n">
        <x:v>12882.6358</x:v>
      </x:c>
      <x:c r="P308" s="235"/>
      <x:c r="Q308" s="235"/>
      <x:c r="R308" s="235" t="str">
        <x:v>INVOICE_OR_PLAN</x:v>
      </x:c>
      <x:c r="S308" s="238" t="n">
        <x:f>'Model_Calc'!AQ55</x:f>
        <x:v>12882.635766</x:v>
      </x:c>
      <x:c r="T308" s="238" t="n">
        <x:f>ROUND(S308-O308,4)</x:f>
        <x:v>0</x:v>
      </x:c>
    </x:row>
    <x:row r="309">
      <x:c r="A309" s="187" t="str">
        <x:v>BUDGET_2026_V1</x:v>
      </x:c>
      <x:c r="B309" s="187" t="str">
        <x:v>BUDGET</x:v>
      </x:c>
      <x:c r="C309" s="187"/>
      <x:c r="D309" s="217" t="n">
        <x:v>46174</x:v>
      </x:c>
      <x:c r="E309" s="187" t="str">
        <x:v>R_DE_DE_A_ROAD</x:v>
      </x:c>
      <x:c r="F309" s="187" t="str">
        <x:v>DE</x:v>
      </x:c>
      <x:c r="G309" s="187" t="str">
        <x:v>DE_FC</x:v>
      </x:c>
      <x:c r="H309" s="187" t="str">
        <x:v>CARRIER_A</x:v>
      </x:c>
      <x:c r="I309" s="187" t="str">
        <x:v>ROAD</x:v>
      </x:c>
      <x:c r="J309" s="187" t="str">
        <x:v>RETURN_LOGISTICS</x:v>
      </x:c>
      <x:c r="K309" s="187" t="str">
        <x:v>EUR</x:v>
      </x:c>
      <x:c r="L309" s="232" t="n">
        <x:v>599.2272</x:v>
      </x:c>
      <x:c r="M309" s="232" t="n">
        <x:v>7.8</x:v>
      </x:c>
      <x:c r="N309" s="187" t="str">
        <x:v>4673.9721600000000</x:v>
      </x:c>
      <x:c r="O309" s="235" t="n">
        <x:v>4673.9722</x:v>
      </x:c>
      <x:c r="P309" s="235"/>
      <x:c r="Q309" s="235"/>
      <x:c r="R309" s="235" t="str">
        <x:v>INVOICE_OR_PLAN</x:v>
      </x:c>
      <x:c r="S309" s="238" t="n">
        <x:f>'Model_Calc'!AV55</x:f>
        <x:v>4673.97216</x:v>
      </x:c>
      <x:c r="T309" s="238" t="n">
        <x:f>ROUND(S309-O309,4)</x:f>
        <x:v>0</x:v>
      </x:c>
    </x:row>
    <x:row r="310">
      <x:c r="A310" s="187" t="str">
        <x:v>BUDGET_2026_V1</x:v>
      </x:c>
      <x:c r="B310" s="187" t="str">
        <x:v>BUDGET</x:v>
      </x:c>
      <x:c r="C310" s="187"/>
      <x:c r="D310" s="217" t="n">
        <x:v>46174</x:v>
      </x:c>
      <x:c r="E310" s="187" t="str">
        <x:v>R_DE_DE_A_ROAD</x:v>
      </x:c>
      <x:c r="F310" s="187" t="str">
        <x:v>DE</x:v>
      </x:c>
      <x:c r="G310" s="187" t="str">
        <x:v>DE_FC</x:v>
      </x:c>
      <x:c r="H310" s="187" t="str">
        <x:v>CARRIER_A</x:v>
      </x:c>
      <x:c r="I310" s="187" t="str">
        <x:v>ROAD</x:v>
      </x:c>
      <x:c r="J310" s="187" t="str">
        <x:v>BILLABLE_EXCEPTION</x:v>
      </x:c>
      <x:c r="K310" s="187" t="str">
        <x:v>EUR</x:v>
      </x:c>
      <x:c r="L310" s="232" t="n">
        <x:v>144.7133688</x:v>
      </x:c>
      <x:c r="M310" s="232" t="n">
        <x:v>7.8</x:v>
      </x:c>
      <x:c r="N310" s="187" t="str">
        <x:v>1128.764276640000000</x:v>
      </x:c>
      <x:c r="O310" s="235" t="n">
        <x:v>1128.7643</x:v>
      </x:c>
      <x:c r="P310" s="235"/>
      <x:c r="Q310" s="235"/>
      <x:c r="R310" s="235" t="str">
        <x:v>INVOICE_OR_PLAN</x:v>
      </x:c>
      <x:c r="S310" s="238" t="n">
        <x:f>'Model_Calc'!BA55</x:f>
        <x:v>1128.76427664</x:v>
      </x:c>
      <x:c r="T310" s="238" t="n">
        <x:f>ROUND(S310-O310,4)</x:f>
        <x:v>0</x:v>
      </x:c>
    </x:row>
    <x:row r="311">
      <x:c r="A311" s="187" t="str">
        <x:v>BUDGET_2026_V1</x:v>
      </x:c>
      <x:c r="B311" s="187" t="str">
        <x:v>BUDGET</x:v>
      </x:c>
      <x:c r="C311" s="187"/>
      <x:c r="D311" s="217" t="n">
        <x:v>46174</x:v>
      </x:c>
      <x:c r="E311" s="187" t="str">
        <x:v>R_DE_DE_B_ROAD</x:v>
      </x:c>
      <x:c r="F311" s="187" t="str">
        <x:v>DE</x:v>
      </x:c>
      <x:c r="G311" s="187" t="str">
        <x:v>DE_FC</x:v>
      </x:c>
      <x:c r="H311" s="187" t="str">
        <x:v>CARRIER_B</x:v>
      </x:c>
      <x:c r="I311" s="187" t="str">
        <x:v>ROAD</x:v>
      </x:c>
      <x:c r="J311" s="187" t="str">
        <x:v>BASE_FREIGHT</x:v>
      </x:c>
      <x:c r="K311" s="187" t="str">
        <x:v>EUR</x:v>
      </x:c>
      <x:c r="L311" s="232" t="n">
        <x:v>5767.5618</x:v>
      </x:c>
      <x:c r="M311" s="232" t="n">
        <x:v>7.8</x:v>
      </x:c>
      <x:c r="N311" s="187" t="str">
        <x:v>44986.98204000000000</x:v>
      </x:c>
      <x:c r="O311" s="235" t="n">
        <x:v>44986.982</x:v>
      </x:c>
      <x:c r="P311" s="235"/>
      <x:c r="Q311" s="235"/>
      <x:c r="R311" s="235" t="str">
        <x:v>INVOICE_OR_PLAN</x:v>
      </x:c>
      <x:c r="S311" s="238" t="n">
        <x:f>'Model_Calc'!AF56</x:f>
        <x:v>44986.98204</x:v>
      </x:c>
      <x:c r="T311" s="238" t="n">
        <x:f>ROUND(S311-O311,4)</x:f>
        <x:v>0</x:v>
      </x:c>
    </x:row>
    <x:row r="312">
      <x:c r="A312" s="187" t="str">
        <x:v>BUDGET_2026_V1</x:v>
      </x:c>
      <x:c r="B312" s="187" t="str">
        <x:v>BUDGET</x:v>
      </x:c>
      <x:c r="C312" s="187"/>
      <x:c r="D312" s="217" t="n">
        <x:v>46174</x:v>
      </x:c>
      <x:c r="E312" s="187" t="str">
        <x:v>R_DE_DE_B_ROAD</x:v>
      </x:c>
      <x:c r="F312" s="187" t="str">
        <x:v>DE</x:v>
      </x:c>
      <x:c r="G312" s="187" t="str">
        <x:v>DE_FC</x:v>
      </x:c>
      <x:c r="H312" s="187" t="str">
        <x:v>CARRIER_B</x:v>
      </x:c>
      <x:c r="I312" s="187" t="str">
        <x:v>ROAD</x:v>
      </x:c>
      <x:c r="J312" s="187" t="str">
        <x:v>FUEL_SURCHARGE</x:v>
      </x:c>
      <x:c r="K312" s="187" t="str">
        <x:v>EUR</x:v>
      </x:c>
      <x:c r="L312" s="232" t="n">
        <x:v>440.431992</x:v>
      </x:c>
      <x:c r="M312" s="232" t="n">
        <x:v>7.8</x:v>
      </x:c>
      <x:c r="N312" s="187" t="str">
        <x:v>3435.36953760000000</x:v>
      </x:c>
      <x:c r="O312" s="235" t="n">
        <x:v>3435.3695</x:v>
      </x:c>
      <x:c r="P312" s="235"/>
      <x:c r="Q312" s="235"/>
      <x:c r="R312" s="235" t="str">
        <x:v>INVOICE_OR_PLAN</x:v>
      </x:c>
      <x:c r="S312" s="238" t="n">
        <x:f>'Model_Calc'!AG56</x:f>
        <x:v>3435.3695375999996</x:v>
      </x:c>
      <x:c r="T312" s="238" t="n">
        <x:f>ROUND(S312-O312,4)</x:f>
        <x:v>0</x:v>
      </x:c>
    </x:row>
    <x:row r="313">
      <x:c r="A313" s="187" t="str">
        <x:v>BUDGET_2026_V1</x:v>
      </x:c>
      <x:c r="B313" s="187" t="str">
        <x:v>BUDGET</x:v>
      </x:c>
      <x:c r="C313" s="187"/>
      <x:c r="D313" s="217" t="n">
        <x:v>46174</x:v>
      </x:c>
      <x:c r="E313" s="187" t="str">
        <x:v>R_DE_DE_B_ROAD</x:v>
      </x:c>
      <x:c r="F313" s="187" t="str">
        <x:v>DE</x:v>
      </x:c>
      <x:c r="G313" s="187" t="str">
        <x:v>DE_FC</x:v>
      </x:c>
      <x:c r="H313" s="187" t="str">
        <x:v>CARRIER_B</x:v>
      </x:c>
      <x:c r="I313" s="187" t="str">
        <x:v>ROAD</x:v>
      </x:c>
      <x:c r="J313" s="187" t="str">
        <x:v>WAREHOUSE_OPERATION</x:v>
      </x:c>
      <x:c r="K313" s="187" t="str">
        <x:v>EUR</x:v>
      </x:c>
      <x:c r="L313" s="232" t="n">
        <x:v>2946.2004</x:v>
      </x:c>
      <x:c r="M313" s="232" t="n">
        <x:v>7.8</x:v>
      </x:c>
      <x:c r="N313" s="187" t="str">
        <x:v>22980.3631200000</x:v>
      </x:c>
      <x:c r="O313" s="235" t="n">
        <x:v>22980.3631</x:v>
      </x:c>
      <x:c r="P313" s="235"/>
      <x:c r="Q313" s="235"/>
      <x:c r="R313" s="235" t="str">
        <x:v>INVOICE_OR_PLAN</x:v>
      </x:c>
      <x:c r="S313" s="238" t="n">
        <x:f>'Model_Calc'!AL56</x:f>
        <x:v>22980.36312</x:v>
      </x:c>
      <x:c r="T313" s="238" t="n">
        <x:f>ROUND(S313-O313,4)</x:f>
        <x:v>0</x:v>
      </x:c>
    </x:row>
    <x:row r="314">
      <x:c r="A314" s="187" t="str">
        <x:v>BUDGET_2026_V1</x:v>
      </x:c>
      <x:c r="B314" s="187" t="str">
        <x:v>BUDGET</x:v>
      </x:c>
      <x:c r="C314" s="187"/>
      <x:c r="D314" s="217" t="n">
        <x:v>46174</x:v>
      </x:c>
      <x:c r="E314" s="187" t="str">
        <x:v>R_DE_DE_B_ROAD</x:v>
      </x:c>
      <x:c r="F314" s="187" t="str">
        <x:v>DE</x:v>
      </x:c>
      <x:c r="G314" s="187" t="str">
        <x:v>DE_FC</x:v>
      </x:c>
      <x:c r="H314" s="187" t="str">
        <x:v>CARRIER_B</x:v>
      </x:c>
      <x:c r="I314" s="187" t="str">
        <x:v>ROAD</x:v>
      </x:c>
      <x:c r="J314" s="187" t="str">
        <x:v>PACKAGING</x:v>
      </x:c>
      <x:c r="K314" s="187" t="str">
        <x:v>EUR</x:v>
      </x:c>
      <x:c r="L314" s="232" t="n">
        <x:v>1101.07998</x:v>
      </x:c>
      <x:c r="M314" s="232" t="n">
        <x:v>7.8</x:v>
      </x:c>
      <x:c r="N314" s="187" t="str">
        <x:v>8588.423844000000</x:v>
      </x:c>
      <x:c r="O314" s="235" t="n">
        <x:v>8588.4238</x:v>
      </x:c>
      <x:c r="P314" s="235"/>
      <x:c r="Q314" s="235"/>
      <x:c r="R314" s="235" t="str">
        <x:v>INVOICE_OR_PLAN</x:v>
      </x:c>
      <x:c r="S314" s="238" t="n">
        <x:f>'Model_Calc'!AQ56</x:f>
        <x:v>8588.423843999999</x:v>
      </x:c>
      <x:c r="T314" s="238" t="n">
        <x:f>ROUND(S314-O314,4)</x:f>
        <x:v>0</x:v>
      </x:c>
    </x:row>
    <x:row r="315">
      <x:c r="A315" s="187" t="str">
        <x:v>BUDGET_2026_V1</x:v>
      </x:c>
      <x:c r="B315" s="187" t="str">
        <x:v>BUDGET</x:v>
      </x:c>
      <x:c r="C315" s="187"/>
      <x:c r="D315" s="217" t="n">
        <x:v>46174</x:v>
      </x:c>
      <x:c r="E315" s="187" t="str">
        <x:v>R_DE_DE_B_ROAD</x:v>
      </x:c>
      <x:c r="F315" s="187" t="str">
        <x:v>DE</x:v>
      </x:c>
      <x:c r="G315" s="187" t="str">
        <x:v>DE_FC</x:v>
      </x:c>
      <x:c r="H315" s="187" t="str">
        <x:v>CARRIER_B</x:v>
      </x:c>
      <x:c r="I315" s="187" t="str">
        <x:v>ROAD</x:v>
      </x:c>
      <x:c r="J315" s="187" t="str">
        <x:v>RETURN_LOGISTICS</x:v>
      </x:c>
      <x:c r="K315" s="187" t="str">
        <x:v>EUR</x:v>
      </x:c>
      <x:c r="L315" s="232" t="n">
        <x:v>399.4848</x:v>
      </x:c>
      <x:c r="M315" s="232" t="n">
        <x:v>7.8</x:v>
      </x:c>
      <x:c r="N315" s="187" t="str">
        <x:v>3115.9814400000000</x:v>
      </x:c>
      <x:c r="O315" s="235" t="n">
        <x:v>3115.9814</x:v>
      </x:c>
      <x:c r="P315" s="235"/>
      <x:c r="Q315" s="235"/>
      <x:c r="R315" s="235" t="str">
        <x:v>INVOICE_OR_PLAN</x:v>
      </x:c>
      <x:c r="S315" s="238" t="n">
        <x:f>'Model_Calc'!AV56</x:f>
        <x:v>3115.9814400000005</x:v>
      </x:c>
      <x:c r="T315" s="238" t="n">
        <x:f>ROUND(S315-O315,4)</x:f>
        <x:v>0</x:v>
      </x:c>
    </x:row>
    <x:row r="316">
      <x:c r="A316" s="187" t="str">
        <x:v>BUDGET_2026_V1</x:v>
      </x:c>
      <x:c r="B316" s="187" t="str">
        <x:v>BUDGET</x:v>
      </x:c>
      <x:c r="C316" s="187"/>
      <x:c r="D316" s="217" t="n">
        <x:v>46174</x:v>
      </x:c>
      <x:c r="E316" s="187" t="str">
        <x:v>R_DE_DE_B_ROAD</x:v>
      </x:c>
      <x:c r="F316" s="187" t="str">
        <x:v>DE</x:v>
      </x:c>
      <x:c r="G316" s="187" t="str">
        <x:v>DE_FC</x:v>
      </x:c>
      <x:c r="H316" s="187" t="str">
        <x:v>CARRIER_B</x:v>
      </x:c>
      <x:c r="I316" s="187" t="str">
        <x:v>ROAD</x:v>
      </x:c>
      <x:c r="J316" s="187" t="str">
        <x:v>BILLABLE_EXCEPTION</x:v>
      </x:c>
      <x:c r="K316" s="187" t="str">
        <x:v>EUR</x:v>
      </x:c>
      <x:c r="L316" s="232" t="n">
        <x:v>78.3864081</x:v>
      </x:c>
      <x:c r="M316" s="232" t="n">
        <x:v>7.8</x:v>
      </x:c>
      <x:c r="N316" s="187" t="str">
        <x:v>611.413983180000000</x:v>
      </x:c>
      <x:c r="O316" s="235" t="n">
        <x:v>611.414</x:v>
      </x:c>
      <x:c r="P316" s="235"/>
      <x:c r="Q316" s="235"/>
      <x:c r="R316" s="235" t="str">
        <x:v>INVOICE_OR_PLAN</x:v>
      </x:c>
      <x:c r="S316" s="238" t="n">
        <x:f>'Model_Calc'!BA56</x:f>
        <x:v>611.4139831799998</x:v>
      </x:c>
      <x:c r="T316" s="238" t="n">
        <x:f>ROUND(S316-O316,4)</x:f>
        <x:v>0</x:v>
      </x:c>
    </x:row>
    <x:row r="317">
      <x:c r="A317" s="187" t="str">
        <x:v>BUDGET_2026_V1</x:v>
      </x:c>
      <x:c r="B317" s="187" t="str">
        <x:v>BUDGET</x:v>
      </x:c>
      <x:c r="C317" s="187"/>
      <x:c r="D317" s="217" t="n">
        <x:v>46174</x:v>
      </x:c>
      <x:c r="E317" s="187" t="str">
        <x:v>R_DE_FR_B_ROAD</x:v>
      </x:c>
      <x:c r="F317" s="187" t="str">
        <x:v>DE</x:v>
      </x:c>
      <x:c r="G317" s="187" t="str">
        <x:v>FR_FC</x:v>
      </x:c>
      <x:c r="H317" s="187" t="str">
        <x:v>CARRIER_B</x:v>
      </x:c>
      <x:c r="I317" s="187" t="str">
        <x:v>ROAD</x:v>
      </x:c>
      <x:c r="J317" s="187" t="str">
        <x:v>BASE_FREIGHT</x:v>
      </x:c>
      <x:c r="K317" s="187" t="str">
        <x:v>EUR</x:v>
      </x:c>
      <x:c r="L317" s="232" t="n">
        <x:v>591.705972</x:v>
      </x:c>
      <x:c r="M317" s="232" t="n">
        <x:v>7.8</x:v>
      </x:c>
      <x:c r="N317" s="187" t="str">
        <x:v>4615.306581600000</x:v>
      </x:c>
      <x:c r="O317" s="235" t="n">
        <x:v>4615.3066</x:v>
      </x:c>
      <x:c r="P317" s="235"/>
      <x:c r="Q317" s="235"/>
      <x:c r="R317" s="235" t="str">
        <x:v>INVOICE_OR_PLAN</x:v>
      </x:c>
      <x:c r="S317" s="238" t="n">
        <x:f>'Model_Calc'!AF57</x:f>
        <x:v>4615.306581599999</x:v>
      </x:c>
      <x:c r="T317" s="238" t="n">
        <x:f>ROUND(S317-O317,4)</x:f>
        <x:v>0</x:v>
      </x:c>
    </x:row>
    <x:row r="318">
      <x:c r="A318" s="187" t="str">
        <x:v>BUDGET_2026_V1</x:v>
      </x:c>
      <x:c r="B318" s="187" t="str">
        <x:v>BUDGET</x:v>
      </x:c>
      <x:c r="C318" s="187"/>
      <x:c r="D318" s="217" t="n">
        <x:v>46174</x:v>
      </x:c>
      <x:c r="E318" s="187" t="str">
        <x:v>R_DE_FR_B_ROAD</x:v>
      </x:c>
      <x:c r="F318" s="187" t="str">
        <x:v>DE</x:v>
      </x:c>
      <x:c r="G318" s="187" t="str">
        <x:v>FR_FC</x:v>
      </x:c>
      <x:c r="H318" s="187" t="str">
        <x:v>CARRIER_B</x:v>
      </x:c>
      <x:c r="I318" s="187" t="str">
        <x:v>ROAD</x:v>
      </x:c>
      <x:c r="J318" s="187" t="str">
        <x:v>FUEL_SURCHARGE</x:v>
      </x:c>
      <x:c r="K318" s="187" t="str">
        <x:v>EUR</x:v>
      </x:c>
      <x:c r="L318" s="232" t="n">
        <x:v>43.0331616</x:v>
      </x:c>
      <x:c r="M318" s="232" t="n">
        <x:v>7.8</x:v>
      </x:c>
      <x:c r="N318" s="187" t="str">
        <x:v>335.658660480000</x:v>
      </x:c>
      <x:c r="O318" s="235" t="n">
        <x:v>335.6587</x:v>
      </x:c>
      <x:c r="P318" s="235"/>
      <x:c r="Q318" s="235"/>
      <x:c r="R318" s="235" t="str">
        <x:v>INVOICE_OR_PLAN</x:v>
      </x:c>
      <x:c r="S318" s="238" t="n">
        <x:f>'Model_Calc'!AG57</x:f>
        <x:v>335.6586604799999</x:v>
      </x:c>
      <x:c r="T318" s="238" t="n">
        <x:f>ROUND(S318-O318,4)</x:f>
        <x:v>0</x:v>
      </x:c>
    </x:row>
    <x:row r="319">
      <x:c r="A319" s="187" t="str">
        <x:v>BUDGET_2026_V1</x:v>
      </x:c>
      <x:c r="B319" s="187" t="str">
        <x:v>BUDGET</x:v>
      </x:c>
      <x:c r="C319" s="187"/>
      <x:c r="D319" s="217" t="n">
        <x:v>46174</x:v>
      </x:c>
      <x:c r="E319" s="187" t="str">
        <x:v>R_DE_FR_B_ROAD</x:v>
      </x:c>
      <x:c r="F319" s="187" t="str">
        <x:v>DE</x:v>
      </x:c>
      <x:c r="G319" s="187" t="str">
        <x:v>FR_FC</x:v>
      </x:c>
      <x:c r="H319" s="187" t="str">
        <x:v>CARRIER_B</x:v>
      </x:c>
      <x:c r="I319" s="187" t="str">
        <x:v>ROAD</x:v>
      </x:c>
      <x:c r="J319" s="187" t="str">
        <x:v>WAREHOUSE_OPERATION</x:v>
      </x:c>
      <x:c r="K319" s="187" t="str">
        <x:v>EUR</x:v>
      </x:c>
      <x:c r="L319" s="232" t="n">
        <x:v>202.7025</x:v>
      </x:c>
      <x:c r="M319" s="232" t="n">
        <x:v>7.8</x:v>
      </x:c>
      <x:c r="N319" s="187" t="str">
        <x:v>1581.07950000</x:v>
      </x:c>
      <x:c r="O319" s="235" t="n">
        <x:v>1581.0795</x:v>
      </x:c>
      <x:c r="P319" s="235"/>
      <x:c r="Q319" s="235"/>
      <x:c r="R319" s="235" t="str">
        <x:v>INVOICE_OR_PLAN</x:v>
      </x:c>
      <x:c r="S319" s="238" t="n">
        <x:f>'Model_Calc'!AL57</x:f>
        <x:v>1581.0794999999998</x:v>
      </x:c>
      <x:c r="T319" s="238" t="n">
        <x:f>ROUND(S319-O319,4)</x:f>
        <x:v>0</x:v>
      </x:c>
    </x:row>
    <x:row r="320">
      <x:c r="A320" s="187" t="str">
        <x:v>BUDGET_2026_V1</x:v>
      </x:c>
      <x:c r="B320" s="187" t="str">
        <x:v>BUDGET</x:v>
      </x:c>
      <x:c r="C320" s="187"/>
      <x:c r="D320" s="217" t="n">
        <x:v>46174</x:v>
      </x:c>
      <x:c r="E320" s="187" t="str">
        <x:v>R_DE_FR_B_ROAD</x:v>
      </x:c>
      <x:c r="F320" s="187" t="str">
        <x:v>DE</x:v>
      </x:c>
      <x:c r="G320" s="187" t="str">
        <x:v>FR_FC</x:v>
      </x:c>
      <x:c r="H320" s="187" t="str">
        <x:v>CARRIER_B</x:v>
      </x:c>
      <x:c r="I320" s="187" t="str">
        <x:v>ROAD</x:v>
      </x:c>
      <x:c r="J320" s="187" t="str">
        <x:v>PACKAGING</x:v>
      </x:c>
      <x:c r="K320" s="187" t="str">
        <x:v>EUR</x:v>
      </x:c>
      <x:c r="L320" s="232" t="n">
        <x:v>79.22772</x:v>
      </x:c>
      <x:c r="M320" s="232" t="n">
        <x:v>7.8</x:v>
      </x:c>
      <x:c r="N320" s="187" t="str">
        <x:v>617.9762160000</x:v>
      </x:c>
      <x:c r="O320" s="235" t="n">
        <x:v>617.9762</x:v>
      </x:c>
      <x:c r="P320" s="235"/>
      <x:c r="Q320" s="235"/>
      <x:c r="R320" s="235" t="str">
        <x:v>INVOICE_OR_PLAN</x:v>
      </x:c>
      <x:c r="S320" s="238" t="n">
        <x:f>'Model_Calc'!AQ57</x:f>
        <x:v>617.976216</x:v>
      </x:c>
      <x:c r="T320" s="238" t="n">
        <x:f>ROUND(S320-O320,4)</x:f>
        <x:v>0</x:v>
      </x:c>
    </x:row>
    <x:row r="321">
      <x:c r="A321" s="187" t="str">
        <x:v>BUDGET_2026_V1</x:v>
      </x:c>
      <x:c r="B321" s="187" t="str">
        <x:v>BUDGET</x:v>
      </x:c>
      <x:c r="C321" s="187"/>
      <x:c r="D321" s="217" t="n">
        <x:v>46174</x:v>
      </x:c>
      <x:c r="E321" s="187" t="str">
        <x:v>R_DE_FR_B_ROAD</x:v>
      </x:c>
      <x:c r="F321" s="187" t="str">
        <x:v>DE</x:v>
      </x:c>
      <x:c r="G321" s="187" t="str">
        <x:v>FR_FC</x:v>
      </x:c>
      <x:c r="H321" s="187" t="str">
        <x:v>CARRIER_B</x:v>
      </x:c>
      <x:c r="I321" s="187" t="str">
        <x:v>ROAD</x:v>
      </x:c>
      <x:c r="J321" s="187" t="str">
        <x:v>RETURN_LOGISTICS</x:v>
      </x:c>
      <x:c r="K321" s="187" t="str">
        <x:v>EUR</x:v>
      </x:c>
      <x:c r="L321" s="232" t="n">
        <x:v>36.6795</x:v>
      </x:c>
      <x:c r="M321" s="232" t="n">
        <x:v>7.8</x:v>
      </x:c>
      <x:c r="N321" s="187" t="str">
        <x:v>286.10010000000</x:v>
      </x:c>
      <x:c r="O321" s="235" t="n">
        <x:v>286.1001</x:v>
      </x:c>
      <x:c r="P321" s="235"/>
      <x:c r="Q321" s="235"/>
      <x:c r="R321" s="235" t="str">
        <x:v>INVOICE_OR_PLAN</x:v>
      </x:c>
      <x:c r="S321" s="238" t="n">
        <x:f>'Model_Calc'!AV57</x:f>
        <x:v>286.1001</x:v>
      </x:c>
      <x:c r="T321" s="238" t="n">
        <x:f>ROUND(S321-O321,4)</x:f>
        <x:v>0</x:v>
      </x:c>
    </x:row>
    <x:row r="322">
      <x:c r="A322" s="187" t="str">
        <x:v>BUDGET_2026_V1</x:v>
      </x:c>
      <x:c r="B322" s="187" t="str">
        <x:v>BUDGET</x:v>
      </x:c>
      <x:c r="C322" s="187"/>
      <x:c r="D322" s="217" t="n">
        <x:v>46174</x:v>
      </x:c>
      <x:c r="E322" s="187" t="str">
        <x:v>R_DE_FR_B_ROAD</x:v>
      </x:c>
      <x:c r="F322" s="187" t="str">
        <x:v>DE</x:v>
      </x:c>
      <x:c r="G322" s="187" t="str">
        <x:v>FR_FC</x:v>
      </x:c>
      <x:c r="H322" s="187" t="str">
        <x:v>CARRIER_B</x:v>
      </x:c>
      <x:c r="I322" s="187" t="str">
        <x:v>ROAD</x:v>
      </x:c>
      <x:c r="J322" s="187" t="str">
        <x:v>BILLABLE_EXCEPTION</x:v>
      </x:c>
      <x:c r="K322" s="187" t="str">
        <x:v>EUR</x:v>
      </x:c>
      <x:c r="L322" s="232" t="n">
        <x:v>6.7135068</x:v>
      </x:c>
      <x:c r="M322" s="232" t="n">
        <x:v>7.8</x:v>
      </x:c>
      <x:c r="N322" s="187" t="str">
        <x:v>52.3653530400000</x:v>
      </x:c>
      <x:c r="O322" s="235" t="n">
        <x:v>52.3654</x:v>
      </x:c>
      <x:c r="P322" s="235"/>
      <x:c r="Q322" s="235"/>
      <x:c r="R322" s="235" t="str">
        <x:v>INVOICE_OR_PLAN</x:v>
      </x:c>
      <x:c r="S322" s="238" t="n">
        <x:f>'Model_Calc'!BA57</x:f>
        <x:v>52.365353039999995</x:v>
      </x:c>
      <x:c r="T322" s="238" t="n">
        <x:f>ROUND(S322-O322,4)</x:f>
        <x:v>0</x:v>
      </x:c>
    </x:row>
    <x:row r="323">
      <x:c r="A323" s="187" t="str">
        <x:v>BUDGET_2026_V1</x:v>
      </x:c>
      <x:c r="B323" s="187" t="str">
        <x:v>BUDGET</x:v>
      </x:c>
      <x:c r="C323" s="187"/>
      <x:c r="D323" s="217" t="n">
        <x:v>46174</x:v>
      </x:c>
      <x:c r="E323" s="187" t="str">
        <x:v>R_FR_FR_A_ROAD</x:v>
      </x:c>
      <x:c r="F323" s="187" t="str">
        <x:v>FR</x:v>
      </x:c>
      <x:c r="G323" s="187" t="str">
        <x:v>FR_FC</x:v>
      </x:c>
      <x:c r="H323" s="187" t="str">
        <x:v>CARRIER_A</x:v>
      </x:c>
      <x:c r="I323" s="187" t="str">
        <x:v>ROAD</x:v>
      </x:c>
      <x:c r="J323" s="187" t="str">
        <x:v>BASE_FREIGHT</x:v>
      </x:c>
      <x:c r="K323" s="187" t="str">
        <x:v>EUR</x:v>
      </x:c>
      <x:c r="L323" s="232" t="n">
        <x:v>3126.37248</x:v>
      </x:c>
      <x:c r="M323" s="232" t="n">
        <x:v>7.8</x:v>
      </x:c>
      <x:c r="N323" s="187" t="str">
        <x:v>24385.705344000000</x:v>
      </x:c>
      <x:c r="O323" s="235" t="n">
        <x:v>24385.7053</x:v>
      </x:c>
      <x:c r="P323" s="235"/>
      <x:c r="Q323" s="235"/>
      <x:c r="R323" s="235" t="str">
        <x:v>INVOICE_OR_PLAN</x:v>
      </x:c>
      <x:c r="S323" s="238" t="n">
        <x:f>'Model_Calc'!AF58</x:f>
        <x:v>24385.705343999998</x:v>
      </x:c>
      <x:c r="T323" s="238" t="n">
        <x:f>ROUND(S323-O323,4)</x:f>
        <x:v>0</x:v>
      </x:c>
    </x:row>
    <x:row r="324">
      <x:c r="A324" s="187" t="str">
        <x:v>BUDGET_2026_V1</x:v>
      </x:c>
      <x:c r="B324" s="187" t="str">
        <x:v>BUDGET</x:v>
      </x:c>
      <x:c r="C324" s="187"/>
      <x:c r="D324" s="217" t="n">
        <x:v>46174</x:v>
      </x:c>
      <x:c r="E324" s="187" t="str">
        <x:v>R_FR_FR_A_ROAD</x:v>
      </x:c>
      <x:c r="F324" s="187" t="str">
        <x:v>FR</x:v>
      </x:c>
      <x:c r="G324" s="187" t="str">
        <x:v>FR_FC</x:v>
      </x:c>
      <x:c r="H324" s="187" t="str">
        <x:v>CARRIER_A</x:v>
      </x:c>
      <x:c r="I324" s="187" t="str">
        <x:v>ROAD</x:v>
      </x:c>
      <x:c r="J324" s="187" t="str">
        <x:v>FUEL_SURCHARGE</x:v>
      </x:c>
      <x:c r="K324" s="187" t="str">
        <x:v>EUR</x:v>
      </x:c>
      <x:c r="L324" s="232" t="n">
        <x:v>281.3735232</x:v>
      </x:c>
      <x:c r="M324" s="232" t="n">
        <x:v>7.8</x:v>
      </x:c>
      <x:c r="N324" s="187" t="str">
        <x:v>2194.713480960000000</x:v>
      </x:c>
      <x:c r="O324" s="235" t="n">
        <x:v>2194.7135</x:v>
      </x:c>
      <x:c r="P324" s="235"/>
      <x:c r="Q324" s="235"/>
      <x:c r="R324" s="235" t="str">
        <x:v>INVOICE_OR_PLAN</x:v>
      </x:c>
      <x:c r="S324" s="238" t="n">
        <x:f>'Model_Calc'!AG58</x:f>
        <x:v>2194.7134809599997</x:v>
      </x:c>
      <x:c r="T324" s="238" t="n">
        <x:f>ROUND(S324-O324,4)</x:f>
        <x:v>0</x:v>
      </x:c>
    </x:row>
    <x:row r="325">
      <x:c r="A325" s="187" t="str">
        <x:v>BUDGET_2026_V1</x:v>
      </x:c>
      <x:c r="B325" s="187" t="str">
        <x:v>BUDGET</x:v>
      </x:c>
      <x:c r="C325" s="187"/>
      <x:c r="D325" s="217" t="n">
        <x:v>46174</x:v>
      </x:c>
      <x:c r="E325" s="187" t="str">
        <x:v>R_FR_FR_A_ROAD</x:v>
      </x:c>
      <x:c r="F325" s="187" t="str">
        <x:v>FR</x:v>
      </x:c>
      <x:c r="G325" s="187" t="str">
        <x:v>FR_FC</x:v>
      </x:c>
      <x:c r="H325" s="187" t="str">
        <x:v>CARRIER_A</x:v>
      </x:c>
      <x:c r="I325" s="187" t="str">
        <x:v>ROAD</x:v>
      </x:c>
      <x:c r="J325" s="187" t="str">
        <x:v>WAREHOUSE_OPERATION</x:v>
      </x:c>
      <x:c r="K325" s="187" t="str">
        <x:v>EUR</x:v>
      </x:c>
      <x:c r="L325" s="232" t="n">
        <x:v>1940.4</x:v>
      </x:c>
      <x:c r="M325" s="232" t="n">
        <x:v>7.8</x:v>
      </x:c>
      <x:c r="N325" s="187" t="str">
        <x:v>15135.12000000</x:v>
      </x:c>
      <x:c r="O325" s="235" t="n">
        <x:v>15135.12</x:v>
      </x:c>
      <x:c r="P325" s="235"/>
      <x:c r="Q325" s="235"/>
      <x:c r="R325" s="235" t="str">
        <x:v>INVOICE_OR_PLAN</x:v>
      </x:c>
      <x:c r="S325" s="238" t="n">
        <x:f>'Model_Calc'!AL58</x:f>
        <x:v>15135.119999999999</x:v>
      </x:c>
      <x:c r="T325" s="238" t="n">
        <x:f>ROUND(S325-O325,4)</x:f>
        <x:v>0</x:v>
      </x:c>
    </x:row>
    <x:row r="326">
      <x:c r="A326" s="187" t="str">
        <x:v>BUDGET_2026_V1</x:v>
      </x:c>
      <x:c r="B326" s="187" t="str">
        <x:v>BUDGET</x:v>
      </x:c>
      <x:c r="C326" s="187"/>
      <x:c r="D326" s="217" t="n">
        <x:v>46174</x:v>
      </x:c>
      <x:c r="E326" s="187" t="str">
        <x:v>R_FR_FR_A_ROAD</x:v>
      </x:c>
      <x:c r="F326" s="187" t="str">
        <x:v>FR</x:v>
      </x:c>
      <x:c r="G326" s="187" t="str">
        <x:v>FR_FC</x:v>
      </x:c>
      <x:c r="H326" s="187" t="str">
        <x:v>CARRIER_A</x:v>
      </x:c>
      <x:c r="I326" s="187" t="str">
        <x:v>ROAD</x:v>
      </x:c>
      <x:c r="J326" s="187" t="str">
        <x:v>PACKAGING</x:v>
      </x:c>
      <x:c r="K326" s="187" t="str">
        <x:v>EUR</x:v>
      </x:c>
      <x:c r="L326" s="232" t="n">
        <x:v>744.3744</x:v>
      </x:c>
      <x:c r="M326" s="232" t="n">
        <x:v>7.8</x:v>
      </x:c>
      <x:c r="N326" s="187" t="str">
        <x:v>5806.1203200000</x:v>
      </x:c>
      <x:c r="O326" s="235" t="n">
        <x:v>5806.1203</x:v>
      </x:c>
      <x:c r="P326" s="235"/>
      <x:c r="Q326" s="235"/>
      <x:c r="R326" s="235" t="str">
        <x:v>INVOICE_OR_PLAN</x:v>
      </x:c>
      <x:c r="S326" s="238" t="n">
        <x:f>'Model_Calc'!AQ58</x:f>
        <x:v>5806.120319999999</x:v>
      </x:c>
      <x:c r="T326" s="238" t="n">
        <x:f>ROUND(S326-O326,4)</x:f>
        <x:v>0</x:v>
      </x:c>
    </x:row>
    <x:row r="327">
      <x:c r="A327" s="187" t="str">
        <x:v>BUDGET_2026_V1</x:v>
      </x:c>
      <x:c r="B327" s="187" t="str">
        <x:v>BUDGET</x:v>
      </x:c>
      <x:c r="C327" s="187"/>
      <x:c r="D327" s="217" t="n">
        <x:v>46174</x:v>
      </x:c>
      <x:c r="E327" s="187" t="str">
        <x:v>R_FR_FR_A_ROAD</x:v>
      </x:c>
      <x:c r="F327" s="187" t="str">
        <x:v>FR</x:v>
      </x:c>
      <x:c r="G327" s="187" t="str">
        <x:v>FR_FC</x:v>
      </x:c>
      <x:c r="H327" s="187" t="str">
        <x:v>CARRIER_A</x:v>
      </x:c>
      <x:c r="I327" s="187" t="str">
        <x:v>ROAD</x:v>
      </x:c>
      <x:c r="J327" s="187" t="str">
        <x:v>RETURN_LOGISTICS</x:v>
      </x:c>
      <x:c r="K327" s="187" t="str">
        <x:v>EUR</x:v>
      </x:c>
      <x:c r="L327" s="232" t="n">
        <x:v>332.64</x:v>
      </x:c>
      <x:c r="M327" s="232" t="n">
        <x:v>7.8</x:v>
      </x:c>
      <x:c r="N327" s="187" t="str">
        <x:v>2594.59200000000</x:v>
      </x:c>
      <x:c r="O327" s="235" t="n">
        <x:v>2594.592</x:v>
      </x:c>
      <x:c r="P327" s="235"/>
      <x:c r="Q327" s="235"/>
      <x:c r="R327" s="235" t="str">
        <x:v>INVOICE_OR_PLAN</x:v>
      </x:c>
      <x:c r="S327" s="238" t="n">
        <x:f>'Model_Calc'!AV58</x:f>
        <x:v>2594.591999999999</x:v>
      </x:c>
      <x:c r="T327" s="238" t="n">
        <x:f>ROUND(S327-O327,4)</x:f>
        <x:v>0</x:v>
      </x:c>
    </x:row>
    <x:row r="328">
      <x:c r="A328" s="187" t="str">
        <x:v>BUDGET_2026_V1</x:v>
      </x:c>
      <x:c r="B328" s="187" t="str">
        <x:v>BUDGET</x:v>
      </x:c>
      <x:c r="C328" s="187"/>
      <x:c r="D328" s="217" t="n">
        <x:v>46174</x:v>
      </x:c>
      <x:c r="E328" s="187" t="str">
        <x:v>R_FR_FR_A_ROAD</x:v>
      </x:c>
      <x:c r="F328" s="187" t="str">
        <x:v>FR</x:v>
      </x:c>
      <x:c r="G328" s="187" t="str">
        <x:v>FR_FC</x:v>
      </x:c>
      <x:c r="H328" s="187" t="str">
        <x:v>CARRIER_A</x:v>
      </x:c>
      <x:c r="I328" s="187" t="str">
        <x:v>ROAD</x:v>
      </x:c>
      <x:c r="J328" s="187" t="str">
        <x:v>BILLABLE_EXCEPTION</x:v>
      </x:c>
      <x:c r="K328" s="187" t="str">
        <x:v>EUR</x:v>
      </x:c>
      <x:c r="L328" s="232" t="n">
        <x:v>76.592208</x:v>
      </x:c>
      <x:c r="M328" s="232" t="n">
        <x:v>7.8</x:v>
      </x:c>
      <x:c r="N328" s="187" t="str">
        <x:v>597.4192224000000</x:v>
      </x:c>
      <x:c r="O328" s="235" t="n">
        <x:v>597.4192</x:v>
      </x:c>
      <x:c r="P328" s="235"/>
      <x:c r="Q328" s="235"/>
      <x:c r="R328" s="235" t="str">
        <x:v>INVOICE_OR_PLAN</x:v>
      </x:c>
      <x:c r="S328" s="238" t="n">
        <x:f>'Model_Calc'!BA58</x:f>
        <x:v>597.4192224</x:v>
      </x:c>
      <x:c r="T328" s="238" t="n">
        <x:f>ROUND(S328-O328,4)</x:f>
        <x:v>0</x:v>
      </x:c>
    </x:row>
    <x:row r="329">
      <x:c r="A329" s="187" t="str">
        <x:v>BUDGET_2026_V1</x:v>
      </x:c>
      <x:c r="B329" s="187" t="str">
        <x:v>BUDGET</x:v>
      </x:c>
      <x:c r="C329" s="187"/>
      <x:c r="D329" s="217" t="n">
        <x:v>46174</x:v>
      </x:c>
      <x:c r="E329" s="187" t="str">
        <x:v>R_FR_FR_B_ROAD</x:v>
      </x:c>
      <x:c r="F329" s="187" t="str">
        <x:v>FR</x:v>
      </x:c>
      <x:c r="G329" s="187" t="str">
        <x:v>FR_FC</x:v>
      </x:c>
      <x:c r="H329" s="187" t="str">
        <x:v>CARRIER_B</x:v>
      </x:c>
      <x:c r="I329" s="187" t="str">
        <x:v>ROAD</x:v>
      </x:c>
      <x:c r="J329" s="187" t="str">
        <x:v>BASE_FREIGHT</x:v>
      </x:c>
      <x:c r="K329" s="187" t="str">
        <x:v>EUR</x:v>
      </x:c>
      <x:c r="L329" s="232" t="n">
        <x:v>7472.28768</x:v>
      </x:c>
      <x:c r="M329" s="232" t="n">
        <x:v>7.8</x:v>
      </x:c>
      <x:c r="N329" s="187" t="str">
        <x:v>58283.843904000000</x:v>
      </x:c>
      <x:c r="O329" s="235" t="n">
        <x:v>58283.8439</x:v>
      </x:c>
      <x:c r="P329" s="235"/>
      <x:c r="Q329" s="235"/>
      <x:c r="R329" s="235" t="str">
        <x:v>INVOICE_OR_PLAN</x:v>
      </x:c>
      <x:c r="S329" s="238" t="n">
        <x:f>'Model_Calc'!AF59</x:f>
        <x:v>58283.84390400001</x:v>
      </x:c>
      <x:c r="T329" s="238" t="n">
        <x:f>ROUND(S329-O329,4)</x:f>
        <x:v>0</x:v>
      </x:c>
    </x:row>
    <x:row r="330">
      <x:c r="A330" s="187" t="str">
        <x:v>BUDGET_2026_V1</x:v>
      </x:c>
      <x:c r="B330" s="187" t="str">
        <x:v>BUDGET</x:v>
      </x:c>
      <x:c r="C330" s="187"/>
      <x:c r="D330" s="217" t="n">
        <x:v>46174</x:v>
      </x:c>
      <x:c r="E330" s="187" t="str">
        <x:v>R_FR_FR_B_ROAD</x:v>
      </x:c>
      <x:c r="F330" s="187" t="str">
        <x:v>FR</x:v>
      </x:c>
      <x:c r="G330" s="187" t="str">
        <x:v>FR_FC</x:v>
      </x:c>
      <x:c r="H330" s="187" t="str">
        <x:v>CARRIER_B</x:v>
      </x:c>
      <x:c r="I330" s="187" t="str">
        <x:v>ROAD</x:v>
      </x:c>
      <x:c r="J330" s="187" t="str">
        <x:v>FUEL_SURCHARGE</x:v>
      </x:c>
      <x:c r="K330" s="187" t="str">
        <x:v>EUR</x:v>
      </x:c>
      <x:c r="L330" s="232" t="n">
        <x:v>574.79136</x:v>
      </x:c>
      <x:c r="M330" s="232" t="n">
        <x:v>7.8</x:v>
      </x:c>
      <x:c r="N330" s="187" t="str">
        <x:v>4483.372608000000</x:v>
      </x:c>
      <x:c r="O330" s="235" t="n">
        <x:v>4483.3726</x:v>
      </x:c>
      <x:c r="P330" s="235"/>
      <x:c r="Q330" s="235"/>
      <x:c r="R330" s="235" t="str">
        <x:v>INVOICE_OR_PLAN</x:v>
      </x:c>
      <x:c r="S330" s="238" t="n">
        <x:f>'Model_Calc'!AG59</x:f>
        <x:v>4483.372608000001</x:v>
      </x:c>
      <x:c r="T330" s="238" t="n">
        <x:f>ROUND(S330-O330,4)</x:f>
        <x:v>0</x:v>
      </x:c>
    </x:row>
    <x:row r="331">
      <x:c r="A331" s="187" t="str">
        <x:v>BUDGET_2026_V1</x:v>
      </x:c>
      <x:c r="B331" s="187" t="str">
        <x:v>BUDGET</x:v>
      </x:c>
      <x:c r="C331" s="187"/>
      <x:c r="D331" s="217" t="n">
        <x:v>46174</x:v>
      </x:c>
      <x:c r="E331" s="187" t="str">
        <x:v>R_FR_FR_B_ROAD</x:v>
      </x:c>
      <x:c r="F331" s="187" t="str">
        <x:v>FR</x:v>
      </x:c>
      <x:c r="G331" s="187" t="str">
        <x:v>FR_FC</x:v>
      </x:c>
      <x:c r="H331" s="187" t="str">
        <x:v>CARRIER_B</x:v>
      </x:c>
      <x:c r="I331" s="187" t="str">
        <x:v>ROAD</x:v>
      </x:c>
      <x:c r="J331" s="187" t="str">
        <x:v>WAREHOUSE_OPERATION</x:v>
      </x:c>
      <x:c r="K331" s="187" t="str">
        <x:v>EUR</x:v>
      </x:c>
      <x:c r="L331" s="232" t="n">
        <x:v>3603.6</x:v>
      </x:c>
      <x:c r="M331" s="232" t="n">
        <x:v>7.8</x:v>
      </x:c>
      <x:c r="N331" s="187" t="str">
        <x:v>28108.08000000</x:v>
      </x:c>
      <x:c r="O331" s="235" t="n">
        <x:v>28108.08</x:v>
      </x:c>
      <x:c r="P331" s="235"/>
      <x:c r="Q331" s="235"/>
      <x:c r="R331" s="235" t="str">
        <x:v>INVOICE_OR_PLAN</x:v>
      </x:c>
      <x:c r="S331" s="238" t="n">
        <x:f>'Model_Calc'!AL59</x:f>
        <x:v>28108.08</x:v>
      </x:c>
      <x:c r="T331" s="238" t="n">
        <x:f>ROUND(S331-O331,4)</x:f>
        <x:v>0</x:v>
      </x:c>
    </x:row>
    <x:row r="332">
      <x:c r="A332" s="187" t="str">
        <x:v>BUDGET_2026_V1</x:v>
      </x:c>
      <x:c r="B332" s="187" t="str">
        <x:v>BUDGET</x:v>
      </x:c>
      <x:c r="C332" s="187"/>
      <x:c r="D332" s="217" t="n">
        <x:v>46174</x:v>
      </x:c>
      <x:c r="E332" s="187" t="str">
        <x:v>R_FR_FR_B_ROAD</x:v>
      </x:c>
      <x:c r="F332" s="187" t="str">
        <x:v>FR</x:v>
      </x:c>
      <x:c r="G332" s="187" t="str">
        <x:v>FR_FC</x:v>
      </x:c>
      <x:c r="H332" s="187" t="str">
        <x:v>CARRIER_B</x:v>
      </x:c>
      <x:c r="I332" s="187" t="str">
        <x:v>ROAD</x:v>
      </x:c>
      <x:c r="J332" s="187" t="str">
        <x:v>PACKAGING</x:v>
      </x:c>
      <x:c r="K332" s="187" t="str">
        <x:v>EUR</x:v>
      </x:c>
      <x:c r="L332" s="232" t="n">
        <x:v>1382.4096</x:v>
      </x:c>
      <x:c r="M332" s="232" t="n">
        <x:v>7.8</x:v>
      </x:c>
      <x:c r="N332" s="187" t="str">
        <x:v>10782.7948800000</x:v>
      </x:c>
      <x:c r="O332" s="235" t="n">
        <x:v>10782.7949</x:v>
      </x:c>
      <x:c r="P332" s="235"/>
      <x:c r="Q332" s="235"/>
      <x:c r="R332" s="235" t="str">
        <x:v>INVOICE_OR_PLAN</x:v>
      </x:c>
      <x:c r="S332" s="238" t="n">
        <x:f>'Model_Calc'!AQ59</x:f>
        <x:v>10782.79488</x:v>
      </x:c>
      <x:c r="T332" s="238" t="n">
        <x:f>ROUND(S332-O332,4)</x:f>
        <x:v>0</x:v>
      </x:c>
    </x:row>
    <x:row r="333">
      <x:c r="A333" s="187" t="str">
        <x:v>BUDGET_2026_V1</x:v>
      </x:c>
      <x:c r="B333" s="187" t="str">
        <x:v>BUDGET</x:v>
      </x:c>
      <x:c r="C333" s="187"/>
      <x:c r="D333" s="217" t="n">
        <x:v>46174</x:v>
      </x:c>
      <x:c r="E333" s="187" t="str">
        <x:v>R_FR_FR_B_ROAD</x:v>
      </x:c>
      <x:c r="F333" s="187" t="str">
        <x:v>FR</x:v>
      </x:c>
      <x:c r="G333" s="187" t="str">
        <x:v>FR_FC</x:v>
      </x:c>
      <x:c r="H333" s="187" t="str">
        <x:v>CARRIER_B</x:v>
      </x:c>
      <x:c r="I333" s="187" t="str">
        <x:v>ROAD</x:v>
      </x:c>
      <x:c r="J333" s="187" t="str">
        <x:v>RETURN_LOGISTICS</x:v>
      </x:c>
      <x:c r="K333" s="187" t="str">
        <x:v>EUR</x:v>
      </x:c>
      <x:c r="L333" s="232" t="n">
        <x:v>617.76</x:v>
      </x:c>
      <x:c r="M333" s="232" t="n">
        <x:v>7.8</x:v>
      </x:c>
      <x:c r="N333" s="187" t="str">
        <x:v>4818.52800000000</x:v>
      </x:c>
      <x:c r="O333" s="235" t="n">
        <x:v>4818.528</x:v>
      </x:c>
      <x:c r="P333" s="235"/>
      <x:c r="Q333" s="235"/>
      <x:c r="R333" s="235" t="str">
        <x:v>INVOICE_OR_PLAN</x:v>
      </x:c>
      <x:c r="S333" s="238" t="n">
        <x:f>'Model_Calc'!AV59</x:f>
        <x:v>4818.528</x:v>
      </x:c>
      <x:c r="T333" s="238" t="n">
        <x:f>ROUND(S333-O333,4)</x:f>
        <x:v>0</x:v>
      </x:c>
    </x:row>
    <x:row r="334">
      <x:c r="A334" s="187" t="str">
        <x:v>BUDGET_2026_V1</x:v>
      </x:c>
      <x:c r="B334" s="187" t="str">
        <x:v>BUDGET</x:v>
      </x:c>
      <x:c r="C334" s="187"/>
      <x:c r="D334" s="217" t="n">
        <x:v>46174</x:v>
      </x:c>
      <x:c r="E334" s="187" t="str">
        <x:v>R_FR_FR_B_ROAD</x:v>
      </x:c>
      <x:c r="F334" s="187" t="str">
        <x:v>FR</x:v>
      </x:c>
      <x:c r="G334" s="187" t="str">
        <x:v>FR_FC</x:v>
      </x:c>
      <x:c r="H334" s="187" t="str">
        <x:v>CARRIER_B</x:v>
      </x:c>
      <x:c r="I334" s="187" t="str">
        <x:v>ROAD</x:v>
      </x:c>
      <x:c r="J334" s="187" t="str">
        <x:v>BILLABLE_EXCEPTION</x:v>
      </x:c>
      <x:c r="K334" s="187" t="str">
        <x:v>EUR</x:v>
      </x:c>
      <x:c r="L334" s="232" t="n">
        <x:v>117.141024</x:v>
      </x:c>
      <x:c r="M334" s="232" t="n">
        <x:v>7.8</x:v>
      </x:c>
      <x:c r="N334" s="187" t="str">
        <x:v>913.6999872000000</x:v>
      </x:c>
      <x:c r="O334" s="235" t="n">
        <x:v>913.7</x:v>
      </x:c>
      <x:c r="P334" s="235"/>
      <x:c r="Q334" s="235"/>
      <x:c r="R334" s="235" t="str">
        <x:v>INVOICE_OR_PLAN</x:v>
      </x:c>
      <x:c r="S334" s="238" t="n">
        <x:f>'Model_Calc'!BA59</x:f>
        <x:v>913.6999872</x:v>
      </x:c>
      <x:c r="T334" s="238" t="n">
        <x:f>ROUND(S334-O334,4)</x:f>
        <x:v>0</x:v>
      </x:c>
    </x:row>
    <x:row r="335">
      <x:c r="A335" s="187" t="str">
        <x:v>BUDGET_2026_V1</x:v>
      </x:c>
      <x:c r="B335" s="187" t="str">
        <x:v>BUDGET</x:v>
      </x:c>
      <x:c r="C335" s="187"/>
      <x:c r="D335" s="217" t="n">
        <x:v>46174</x:v>
      </x:c>
      <x:c r="E335" s="187" t="str">
        <x:v>R_GB_DE_A_ROAD</x:v>
      </x:c>
      <x:c r="F335" s="187" t="str">
        <x:v>GB</x:v>
      </x:c>
      <x:c r="G335" s="187" t="str">
        <x:v>DE_FC</x:v>
      </x:c>
      <x:c r="H335" s="187" t="str">
        <x:v>CARRIER_A</x:v>
      </x:c>
      <x:c r="I335" s="187" t="str">
        <x:v>ROAD</x:v>
      </x:c>
      <x:c r="J335" s="187" t="str">
        <x:v>BASE_FREIGHT</x:v>
      </x:c>
      <x:c r="K335" s="187" t="str">
        <x:v>GBP</x:v>
      </x:c>
      <x:c r="L335" s="232" t="n">
        <x:v>13644.094464</x:v>
      </x:c>
      <x:c r="M335" s="232" t="n">
        <x:v>9</x:v>
      </x:c>
      <x:c r="N335" s="187" t="str">
        <x:v>122796.85017600000000</x:v>
      </x:c>
      <x:c r="O335" s="235" t="n">
        <x:v>122796.8502</x:v>
      </x:c>
      <x:c r="P335" s="235"/>
      <x:c r="Q335" s="235"/>
      <x:c r="R335" s="235" t="str">
        <x:v>INVOICE_OR_PLAN</x:v>
      </x:c>
      <x:c r="S335" s="238" t="n">
        <x:f>'Model_Calc'!AF60</x:f>
        <x:v>122796.850176</x:v>
      </x:c>
      <x:c r="T335" s="238" t="n">
        <x:f>ROUND(S335-O335,4)</x:f>
        <x:v>0</x:v>
      </x:c>
    </x:row>
    <x:row r="336">
      <x:c r="A336" s="187" t="str">
        <x:v>BUDGET_2026_V1</x:v>
      </x:c>
      <x:c r="B336" s="187" t="str">
        <x:v>BUDGET</x:v>
      </x:c>
      <x:c r="C336" s="187"/>
      <x:c r="D336" s="217" t="n">
        <x:v>46174</x:v>
      </x:c>
      <x:c r="E336" s="187" t="str">
        <x:v>R_GB_DE_A_ROAD</x:v>
      </x:c>
      <x:c r="F336" s="187" t="str">
        <x:v>GB</x:v>
      </x:c>
      <x:c r="G336" s="187" t="str">
        <x:v>DE_FC</x:v>
      </x:c>
      <x:c r="H336" s="187" t="str">
        <x:v>CARRIER_A</x:v>
      </x:c>
      <x:c r="I336" s="187" t="str">
        <x:v>ROAD</x:v>
      </x:c>
      <x:c r="J336" s="187" t="str">
        <x:v>FUEL_SURCHARGE</x:v>
      </x:c>
      <x:c r="K336" s="187" t="str">
        <x:v>GBP</x:v>
      </x:c>
      <x:c r="L336" s="232" t="n">
        <x:v>1364.4094464</x:v>
      </x:c>
      <x:c r="M336" s="232" t="n">
        <x:v>9</x:v>
      </x:c>
      <x:c r="N336" s="187" t="str">
        <x:v>12279.68501760000000000</x:v>
      </x:c>
      <x:c r="O336" s="235" t="n">
        <x:v>12279.685</x:v>
      </x:c>
      <x:c r="P336" s="235"/>
      <x:c r="Q336" s="235"/>
      <x:c r="R336" s="235" t="str">
        <x:v>INVOICE_OR_PLAN</x:v>
      </x:c>
      <x:c r="S336" s="238" t="n">
        <x:f>'Model_Calc'!AG60</x:f>
        <x:v>12279.685017600003</x:v>
      </x:c>
      <x:c r="T336" s="238" t="n">
        <x:f>ROUND(S336-O336,4)</x:f>
        <x:v>0</x:v>
      </x:c>
    </x:row>
    <x:row r="337">
      <x:c r="A337" s="187" t="str">
        <x:v>BUDGET_2026_V1</x:v>
      </x:c>
      <x:c r="B337" s="187" t="str">
        <x:v>BUDGET</x:v>
      </x:c>
      <x:c r="C337" s="187"/>
      <x:c r="D337" s="217" t="n">
        <x:v>46174</x:v>
      </x:c>
      <x:c r="E337" s="187" t="str">
        <x:v>R_GB_DE_A_ROAD</x:v>
      </x:c>
      <x:c r="F337" s="187" t="str">
        <x:v>GB</x:v>
      </x:c>
      <x:c r="G337" s="187" t="str">
        <x:v>DE_FC</x:v>
      </x:c>
      <x:c r="H337" s="187" t="str">
        <x:v>CARRIER_A</x:v>
      </x:c>
      <x:c r="I337" s="187" t="str">
        <x:v>ROAD</x:v>
      </x:c>
      <x:c r="J337" s="187" t="str">
        <x:v>WAREHOUSE_OPERATION</x:v>
      </x:c>
      <x:c r="K337" s="187" t="str">
        <x:v>EUR</x:v>
      </x:c>
      <x:c r="L337" s="232" t="n">
        <x:v>3523.2912</x:v>
      </x:c>
      <x:c r="M337" s="232" t="n">
        <x:v>7.8</x:v>
      </x:c>
      <x:c r="N337" s="187" t="str">
        <x:v>27481.6713600000</x:v>
      </x:c>
      <x:c r="O337" s="235" t="n">
        <x:v>27481.6714</x:v>
      </x:c>
      <x:c r="P337" s="235"/>
      <x:c r="Q337" s="235"/>
      <x:c r="R337" s="235" t="str">
        <x:v>INVOICE_OR_PLAN</x:v>
      </x:c>
      <x:c r="S337" s="238" t="n">
        <x:f>'Model_Calc'!AL60</x:f>
        <x:v>27481.671359999997</x:v>
      </x:c>
      <x:c r="T337" s="238" t="n">
        <x:f>ROUND(S337-O337,4)</x:f>
        <x:v>0</x:v>
      </x:c>
    </x:row>
    <x:row r="338">
      <x:c r="A338" s="187" t="str">
        <x:v>BUDGET_2026_V1</x:v>
      </x:c>
      <x:c r="B338" s="187" t="str">
        <x:v>BUDGET</x:v>
      </x:c>
      <x:c r="C338" s="187"/>
      <x:c r="D338" s="217" t="n">
        <x:v>46174</x:v>
      </x:c>
      <x:c r="E338" s="187" t="str">
        <x:v>R_GB_DE_A_ROAD</x:v>
      </x:c>
      <x:c r="F338" s="187" t="str">
        <x:v>GB</x:v>
      </x:c>
      <x:c r="G338" s="187" t="str">
        <x:v>DE_FC</x:v>
      </x:c>
      <x:c r="H338" s="187" t="str">
        <x:v>CARRIER_A</x:v>
      </x:c>
      <x:c r="I338" s="187" t="str">
        <x:v>ROAD</x:v>
      </x:c>
      <x:c r="J338" s="187" t="str">
        <x:v>PACKAGING</x:v>
      </x:c>
      <x:c r="K338" s="187" t="str">
        <x:v>EUR</x:v>
      </x:c>
      <x:c r="L338" s="232" t="n">
        <x:v>1404.539136</x:v>
      </x:c>
      <x:c r="M338" s="232" t="n">
        <x:v>7.8</x:v>
      </x:c>
      <x:c r="N338" s="187" t="str">
        <x:v>10955.405260800000</x:v>
      </x:c>
      <x:c r="O338" s="235" t="n">
        <x:v>10955.4053</x:v>
      </x:c>
      <x:c r="P338" s="235"/>
      <x:c r="Q338" s="235"/>
      <x:c r="R338" s="235" t="str">
        <x:v>INVOICE_OR_PLAN</x:v>
      </x:c>
      <x:c r="S338" s="238" t="n">
        <x:f>'Model_Calc'!AQ60</x:f>
        <x:v>10955.4052608</x:v>
      </x:c>
      <x:c r="T338" s="238" t="n">
        <x:f>ROUND(S338-O338,4)</x:f>
        <x:v>0</x:v>
      </x:c>
    </x:row>
    <x:row r="339">
      <x:c r="A339" s="187" t="str">
        <x:v>BUDGET_2026_V1</x:v>
      </x:c>
      <x:c r="B339" s="187" t="str">
        <x:v>BUDGET</x:v>
      </x:c>
      <x:c r="C339" s="187"/>
      <x:c r="D339" s="217" t="n">
        <x:v>46174</x:v>
      </x:c>
      <x:c r="E339" s="187" t="str">
        <x:v>R_GB_DE_A_ROAD</x:v>
      </x:c>
      <x:c r="F339" s="187" t="str">
        <x:v>GB</x:v>
      </x:c>
      <x:c r="G339" s="187" t="str">
        <x:v>DE_FC</x:v>
      </x:c>
      <x:c r="H339" s="187" t="str">
        <x:v>CARRIER_A</x:v>
      </x:c>
      <x:c r="I339" s="187" t="str">
        <x:v>ROAD</x:v>
      </x:c>
      <x:c r="J339" s="187" t="str">
        <x:v>RETURN_LOGISTICS</x:v>
      </x:c>
      <x:c r="K339" s="187" t="str">
        <x:v>GBP</x:v>
      </x:c>
      <x:c r="L339" s="232" t="n">
        <x:v>1146.56256</x:v>
      </x:c>
      <x:c r="M339" s="232" t="n">
        <x:v>9</x:v>
      </x:c>
      <x:c r="N339" s="187" t="str">
        <x:v>10319.0630400000000</x:v>
      </x:c>
      <x:c r="O339" s="235" t="n">
        <x:v>10319.063</x:v>
      </x:c>
      <x:c r="P339" s="235"/>
      <x:c r="Q339" s="235"/>
      <x:c r="R339" s="235" t="str">
        <x:v>INVOICE_OR_PLAN</x:v>
      </x:c>
      <x:c r="S339" s="238" t="n">
        <x:f>'Model_Calc'!AV60</x:f>
        <x:v>10319.06304</x:v>
      </x:c>
      <x:c r="T339" s="238" t="n">
        <x:f>ROUND(S339-O339,4)</x:f>
        <x:v>0</x:v>
      </x:c>
    </x:row>
    <x:row r="340">
      <x:c r="A340" s="187" t="str">
        <x:v>BUDGET_2026_V1</x:v>
      </x:c>
      <x:c r="B340" s="187" t="str">
        <x:v>BUDGET</x:v>
      </x:c>
      <x:c r="C340" s="187"/>
      <x:c r="D340" s="217" t="n">
        <x:v>46174</x:v>
      </x:c>
      <x:c r="E340" s="187" t="str">
        <x:v>R_GB_DE_A_ROAD</x:v>
      </x:c>
      <x:c r="F340" s="187" t="str">
        <x:v>GB</x:v>
      </x:c>
      <x:c r="G340" s="187" t="str">
        <x:v>DE_FC</x:v>
      </x:c>
      <x:c r="H340" s="187" t="str">
        <x:v>CARRIER_A</x:v>
      </x:c>
      <x:c r="I340" s="187" t="str">
        <x:v>ROAD</x:v>
      </x:c>
      <x:c r="J340" s="187" t="str">
        <x:v>BILLABLE_EXCEPTION</x:v>
      </x:c>
      <x:c r="K340" s="187" t="str">
        <x:v>GBP</x:v>
      </x:c>
      <x:c r="L340" s="232" t="n">
        <x:v>169.21352448</x:v>
      </x:c>
      <x:c r="M340" s="232" t="n">
        <x:v>9</x:v>
      </x:c>
      <x:c r="N340" s="187" t="str">
        <x:v>1522.921720320000000</x:v>
      </x:c>
      <x:c r="O340" s="235" t="n">
        <x:v>1522.9217</x:v>
      </x:c>
      <x:c r="P340" s="235"/>
      <x:c r="Q340" s="235"/>
      <x:c r="R340" s="235" t="str">
        <x:v>INVOICE_OR_PLAN</x:v>
      </x:c>
      <x:c r="S340" s="238" t="n">
        <x:f>'Model_Calc'!BA60</x:f>
        <x:v>1522.9217203199998</x:v>
      </x:c>
      <x:c r="T340" s="238" t="n">
        <x:f>ROUND(S340-O340,4)</x:f>
        <x:v>0</x:v>
      </x:c>
    </x:row>
    <x:row r="341">
      <x:c r="A341" s="187" t="str">
        <x:v>BUDGET_2026_V1</x:v>
      </x:c>
      <x:c r="B341" s="187" t="str">
        <x:v>BUDGET</x:v>
      </x:c>
      <x:c r="C341" s="187"/>
      <x:c r="D341" s="217" t="n">
        <x:v>46174</x:v>
      </x:c>
      <x:c r="E341" s="187" t="str">
        <x:v>R_GB_DE_B_ROAD</x:v>
      </x:c>
      <x:c r="F341" s="187" t="str">
        <x:v>GB</x:v>
      </x:c>
      <x:c r="G341" s="187" t="str">
        <x:v>DE_FC</x:v>
      </x:c>
      <x:c r="H341" s="187" t="str">
        <x:v>CARRIER_B</x:v>
      </x:c>
      <x:c r="I341" s="187" t="str">
        <x:v>ROAD</x:v>
      </x:c>
      <x:c r="J341" s="187" t="str">
        <x:v>BASE_FREIGHT</x:v>
      </x:c>
      <x:c r="K341" s="187" t="str">
        <x:v>GBP</x:v>
      </x:c>
      <x:c r="L341" s="232" t="n">
        <x:v>6045.1776</x:v>
      </x:c>
      <x:c r="M341" s="232" t="n">
        <x:v>9</x:v>
      </x:c>
      <x:c r="N341" s="187" t="str">
        <x:v>54406.59840000000000</x:v>
      </x:c>
      <x:c r="O341" s="235" t="n">
        <x:v>54406.5984</x:v>
      </x:c>
      <x:c r="P341" s="235"/>
      <x:c r="Q341" s="235"/>
      <x:c r="R341" s="235" t="str">
        <x:v>INVOICE_OR_PLAN</x:v>
      </x:c>
      <x:c r="S341" s="238" t="n">
        <x:f>'Model_Calc'!AF61</x:f>
        <x:v>54406.5984</x:v>
      </x:c>
      <x:c r="T341" s="238" t="n">
        <x:f>ROUND(S341-O341,4)</x:f>
        <x:v>0</x:v>
      </x:c>
    </x:row>
    <x:row r="342">
      <x:c r="A342" s="187" t="str">
        <x:v>BUDGET_2026_V1</x:v>
      </x:c>
      <x:c r="B342" s="187" t="str">
        <x:v>BUDGET</x:v>
      </x:c>
      <x:c r="C342" s="187"/>
      <x:c r="D342" s="217" t="n">
        <x:v>46174</x:v>
      </x:c>
      <x:c r="E342" s="187" t="str">
        <x:v>R_GB_DE_B_ROAD</x:v>
      </x:c>
      <x:c r="F342" s="187" t="str">
        <x:v>GB</x:v>
      </x:c>
      <x:c r="G342" s="187" t="str">
        <x:v>DE_FC</x:v>
      </x:c>
      <x:c r="H342" s="187" t="str">
        <x:v>CARRIER_B</x:v>
      </x:c>
      <x:c r="I342" s="187" t="str">
        <x:v>ROAD</x:v>
      </x:c>
      <x:c r="J342" s="187" t="str">
        <x:v>FUEL_SURCHARGE</x:v>
      </x:c>
      <x:c r="K342" s="187" t="str">
        <x:v>GBP</x:v>
      </x:c>
      <x:c r="L342" s="232" t="n">
        <x:v>424.44864</x:v>
      </x:c>
      <x:c r="M342" s="232" t="n">
        <x:v>9</x:v>
      </x:c>
      <x:c r="N342" s="187" t="str">
        <x:v>3820.03776000000000</x:v>
      </x:c>
      <x:c r="O342" s="235" t="n">
        <x:v>3820.0378</x:v>
      </x:c>
      <x:c r="P342" s="235"/>
      <x:c r="Q342" s="235"/>
      <x:c r="R342" s="235" t="str">
        <x:v>INVOICE_OR_PLAN</x:v>
      </x:c>
      <x:c r="S342" s="238" t="n">
        <x:f>'Model_Calc'!AG61</x:f>
        <x:v>3820.0377599999997</x:v>
      </x:c>
      <x:c r="T342" s="238" t="n">
        <x:f>ROUND(S342-O342,4)</x:f>
        <x:v>0</x:v>
      </x:c>
    </x:row>
    <x:row r="343">
      <x:c r="A343" s="187" t="str">
        <x:v>BUDGET_2026_V1</x:v>
      </x:c>
      <x:c r="B343" s="187" t="str">
        <x:v>BUDGET</x:v>
      </x:c>
      <x:c r="C343" s="187"/>
      <x:c r="D343" s="217" t="n">
        <x:v>46174</x:v>
      </x:c>
      <x:c r="E343" s="187" t="str">
        <x:v>R_GB_DE_B_ROAD</x:v>
      </x:c>
      <x:c r="F343" s="187" t="str">
        <x:v>GB</x:v>
      </x:c>
      <x:c r="G343" s="187" t="str">
        <x:v>DE_FC</x:v>
      </x:c>
      <x:c r="H343" s="187" t="str">
        <x:v>CARRIER_B</x:v>
      </x:c>
      <x:c r="I343" s="187" t="str">
        <x:v>ROAD</x:v>
      </x:c>
      <x:c r="J343" s="187" t="str">
        <x:v>WAREHOUSE_OPERATION</x:v>
      </x:c>
      <x:c r="K343" s="187" t="str">
        <x:v>EUR</x:v>
      </x:c>
      <x:c r="L343" s="232" t="n">
        <x:v>1355.112</x:v>
      </x:c>
      <x:c r="M343" s="232" t="n">
        <x:v>7.8</x:v>
      </x:c>
      <x:c r="N343" s="187" t="str">
        <x:v>10569.8736000000</x:v>
      </x:c>
      <x:c r="O343" s="235" t="n">
        <x:v>10569.8736</x:v>
      </x:c>
      <x:c r="P343" s="235"/>
      <x:c r="Q343" s="235"/>
      <x:c r="R343" s="235" t="str">
        <x:v>INVOICE_OR_PLAN</x:v>
      </x:c>
      <x:c r="S343" s="238" t="n">
        <x:f>'Model_Calc'!AL61</x:f>
        <x:v>10569.873599999999</x:v>
      </x:c>
      <x:c r="T343" s="238" t="n">
        <x:f>ROUND(S343-O343,4)</x:f>
        <x:v>0</x:v>
      </x:c>
    </x:row>
    <x:row r="344">
      <x:c r="A344" s="187" t="str">
        <x:v>BUDGET_2026_V1</x:v>
      </x:c>
      <x:c r="B344" s="187" t="str">
        <x:v>BUDGET</x:v>
      </x:c>
      <x:c r="C344" s="187"/>
      <x:c r="D344" s="217" t="n">
        <x:v>46174</x:v>
      </x:c>
      <x:c r="E344" s="187" t="str">
        <x:v>R_GB_DE_B_ROAD</x:v>
      </x:c>
      <x:c r="F344" s="187" t="str">
        <x:v>GB</x:v>
      </x:c>
      <x:c r="G344" s="187" t="str">
        <x:v>DE_FC</x:v>
      </x:c>
      <x:c r="H344" s="187" t="str">
        <x:v>CARRIER_B</x:v>
      </x:c>
      <x:c r="I344" s="187" t="str">
        <x:v>ROAD</x:v>
      </x:c>
      <x:c r="J344" s="187" t="str">
        <x:v>PACKAGING</x:v>
      </x:c>
      <x:c r="K344" s="187" t="str">
        <x:v>EUR</x:v>
      </x:c>
      <x:c r="L344" s="232" t="n">
        <x:v>540.20736</x:v>
      </x:c>
      <x:c r="M344" s="232" t="n">
        <x:v>7.8</x:v>
      </x:c>
      <x:c r="N344" s="187" t="str">
        <x:v>4213.617408000000</x:v>
      </x:c>
      <x:c r="O344" s="235" t="n">
        <x:v>4213.6174</x:v>
      </x:c>
      <x:c r="P344" s="235"/>
      <x:c r="Q344" s="235"/>
      <x:c r="R344" s="235" t="str">
        <x:v>INVOICE_OR_PLAN</x:v>
      </x:c>
      <x:c r="S344" s="238" t="n">
        <x:f>'Model_Calc'!AQ61</x:f>
        <x:v>4213.617407999999</x:v>
      </x:c>
      <x:c r="T344" s="238" t="n">
        <x:f>ROUND(S344-O344,4)</x:f>
        <x:v>0</x:v>
      </x:c>
    </x:row>
    <x:row r="345">
      <x:c r="A345" s="187" t="str">
        <x:v>BUDGET_2026_V1</x:v>
      </x:c>
      <x:c r="B345" s="187" t="str">
        <x:v>BUDGET</x:v>
      </x:c>
      <x:c r="C345" s="187"/>
      <x:c r="D345" s="217" t="n">
        <x:v>46174</x:v>
      </x:c>
      <x:c r="E345" s="187" t="str">
        <x:v>R_GB_DE_B_ROAD</x:v>
      </x:c>
      <x:c r="F345" s="187" t="str">
        <x:v>GB</x:v>
      </x:c>
      <x:c r="G345" s="187" t="str">
        <x:v>DE_FC</x:v>
      </x:c>
      <x:c r="H345" s="187" t="str">
        <x:v>CARRIER_B</x:v>
      </x:c>
      <x:c r="I345" s="187" t="str">
        <x:v>ROAD</x:v>
      </x:c>
      <x:c r="J345" s="187" t="str">
        <x:v>RETURN_LOGISTICS</x:v>
      </x:c>
      <x:c r="K345" s="187" t="str">
        <x:v>GBP</x:v>
      </x:c>
      <x:c r="L345" s="232" t="n">
        <x:v>440.9856</x:v>
      </x:c>
      <x:c r="M345" s="232" t="n">
        <x:v>9</x:v>
      </x:c>
      <x:c r="N345" s="187" t="str">
        <x:v>3968.8704000000000</x:v>
      </x:c>
      <x:c r="O345" s="235" t="n">
        <x:v>3968.8704</x:v>
      </x:c>
      <x:c r="P345" s="235"/>
      <x:c r="Q345" s="235"/>
      <x:c r="R345" s="235" t="str">
        <x:v>INVOICE_OR_PLAN</x:v>
      </x:c>
      <x:c r="S345" s="238" t="n">
        <x:f>'Model_Calc'!AV61</x:f>
        <x:v>3968.8703999999993</x:v>
      </x:c>
      <x:c r="T345" s="238" t="n">
        <x:f>ROUND(S345-O345,4)</x:f>
        <x:v>0</x:v>
      </x:c>
    </x:row>
    <x:row r="346">
      <x:c r="A346" s="187" t="str">
        <x:v>BUDGET_2026_V1</x:v>
      </x:c>
      <x:c r="B346" s="187" t="str">
        <x:v>BUDGET</x:v>
      </x:c>
      <x:c r="C346" s="187"/>
      <x:c r="D346" s="217" t="n">
        <x:v>46174</x:v>
      </x:c>
      <x:c r="E346" s="187" t="str">
        <x:v>R_GB_DE_B_ROAD</x:v>
      </x:c>
      <x:c r="F346" s="187" t="str">
        <x:v>GB</x:v>
      </x:c>
      <x:c r="G346" s="187" t="str">
        <x:v>DE_FC</x:v>
      </x:c>
      <x:c r="H346" s="187" t="str">
        <x:v>CARRIER_B</x:v>
      </x:c>
      <x:c r="I346" s="187" t="str">
        <x:v>ROAD</x:v>
      </x:c>
      <x:c r="J346" s="187" t="str">
        <x:v>BILLABLE_EXCEPTION</x:v>
      </x:c>
      <x:c r="K346" s="187" t="str">
        <x:v>GBP</x:v>
      </x:c>
      <x:c r="L346" s="232" t="n">
        <x:v>50.2907328</x:v>
      </x:c>
      <x:c r="M346" s="232" t="n">
        <x:v>9</x:v>
      </x:c>
      <x:c r="N346" s="187" t="str">
        <x:v>452.616595200000000</x:v>
      </x:c>
      <x:c r="O346" s="235" t="n">
        <x:v>452.6166</x:v>
      </x:c>
      <x:c r="P346" s="235"/>
      <x:c r="Q346" s="235"/>
      <x:c r="R346" s="235" t="str">
        <x:v>INVOICE_OR_PLAN</x:v>
      </x:c>
      <x:c r="S346" s="238" t="n">
        <x:f>'Model_Calc'!BA61</x:f>
        <x:v>452.61659519999995</x:v>
      </x:c>
      <x:c r="T346" s="238" t="n">
        <x:f>ROUND(S346-O346,4)</x:f>
        <x:v>0</x:v>
      </x:c>
    </x:row>
    <x:row r="347">
      <x:c r="A347" s="187" t="str">
        <x:v>BUDGET_2026_V1</x:v>
      </x:c>
      <x:c r="B347" s="187" t="str">
        <x:v>BUDGET</x:v>
      </x:c>
      <x:c r="C347" s="187"/>
      <x:c r="D347" s="217" t="n">
        <x:v>46174</x:v>
      </x:c>
      <x:c r="E347" s="187" t="str">
        <x:v>R_GB_DE_B_AIR</x:v>
      </x:c>
      <x:c r="F347" s="187" t="str">
        <x:v>GB</x:v>
      </x:c>
      <x:c r="G347" s="187" t="str">
        <x:v>DE_FC</x:v>
      </x:c>
      <x:c r="H347" s="187" t="str">
        <x:v>CARRIER_B</x:v>
      </x:c>
      <x:c r="I347" s="187" t="str">
        <x:v>AIR</x:v>
      </x:c>
      <x:c r="J347" s="187" t="str">
        <x:v>BASE_FREIGHT</x:v>
      </x:c>
      <x:c r="K347" s="187" t="str">
        <x:v>GBP</x:v>
      </x:c>
      <x:c r="L347" s="232" t="n">
        <x:v>2098.88566272</x:v>
      </x:c>
      <x:c r="M347" s="232" t="n">
        <x:v>9</x:v>
      </x:c>
      <x:c r="N347" s="187" t="str">
        <x:v>18889.97096448000000</x:v>
      </x:c>
      <x:c r="O347" s="235" t="n">
        <x:v>18889.971</x:v>
      </x:c>
      <x:c r="P347" s="235"/>
      <x:c r="Q347" s="235"/>
      <x:c r="R347" s="235" t="str">
        <x:v>INVOICE_OR_PLAN</x:v>
      </x:c>
      <x:c r="S347" s="238" t="n">
        <x:f>'Model_Calc'!AF62</x:f>
        <x:v>18889.97096448</x:v>
      </x:c>
      <x:c r="T347" s="238" t="n">
        <x:f>ROUND(S347-O347,4)</x:f>
        <x:v>0</x:v>
      </x:c>
    </x:row>
    <x:row r="348">
      <x:c r="A348" s="187" t="str">
        <x:v>BUDGET_2026_V1</x:v>
      </x:c>
      <x:c r="B348" s="187" t="str">
        <x:v>BUDGET</x:v>
      </x:c>
      <x:c r="C348" s="187"/>
      <x:c r="D348" s="217" t="n">
        <x:v>46174</x:v>
      </x:c>
      <x:c r="E348" s="187" t="str">
        <x:v>R_GB_DE_B_AIR</x:v>
      </x:c>
      <x:c r="F348" s="187" t="str">
        <x:v>GB</x:v>
      </x:c>
      <x:c r="G348" s="187" t="str">
        <x:v>DE_FC</x:v>
      </x:c>
      <x:c r="H348" s="187" t="str">
        <x:v>CARRIER_B</x:v>
      </x:c>
      <x:c r="I348" s="187" t="str">
        <x:v>AIR</x:v>
      </x:c>
      <x:c r="J348" s="187" t="str">
        <x:v>FUEL_SURCHARGE</x:v>
      </x:c>
      <x:c r="K348" s="187" t="str">
        <x:v>GBP</x:v>
      </x:c>
      <x:c r="L348" s="232" t="n">
        <x:v>241.3718512128</x:v>
      </x:c>
      <x:c r="M348" s="232" t="n">
        <x:v>9</x:v>
      </x:c>
      <x:c r="N348" s="187" t="str">
        <x:v>2172.34666091520000000</x:v>
      </x:c>
      <x:c r="O348" s="235" t="n">
        <x:v>2172.3467</x:v>
      </x:c>
      <x:c r="P348" s="235"/>
      <x:c r="Q348" s="235"/>
      <x:c r="R348" s="235" t="str">
        <x:v>INVOICE_OR_PLAN</x:v>
      </x:c>
      <x:c r="S348" s="238" t="n">
        <x:f>'Model_Calc'!AG62</x:f>
        <x:v>2172.3466609151997</x:v>
      </x:c>
      <x:c r="T348" s="238" t="n">
        <x:f>ROUND(S348-O348,4)</x:f>
        <x:v>0</x:v>
      </x:c>
    </x:row>
    <x:row r="349">
      <x:c r="A349" s="187" t="str">
        <x:v>BUDGET_2026_V1</x:v>
      </x:c>
      <x:c r="B349" s="187" t="str">
        <x:v>BUDGET</x:v>
      </x:c>
      <x:c r="C349" s="187"/>
      <x:c r="D349" s="217" t="n">
        <x:v>46174</x:v>
      </x:c>
      <x:c r="E349" s="187" t="str">
        <x:v>R_GB_DE_B_AIR</x:v>
      </x:c>
      <x:c r="F349" s="187" t="str">
        <x:v>GB</x:v>
      </x:c>
      <x:c r="G349" s="187" t="str">
        <x:v>DE_FC</x:v>
      </x:c>
      <x:c r="H349" s="187" t="str">
        <x:v>CARRIER_B</x:v>
      </x:c>
      <x:c r="I349" s="187" t="str">
        <x:v>AIR</x:v>
      </x:c>
      <x:c r="J349" s="187" t="str">
        <x:v>WAREHOUSE_OPERATION</x:v>
      </x:c>
      <x:c r="K349" s="187" t="str">
        <x:v>EUR</x:v>
      </x:c>
      <x:c r="L349" s="232" t="n">
        <x:v>379.43136</x:v>
      </x:c>
      <x:c r="M349" s="232" t="n">
        <x:v>7.8</x:v>
      </x:c>
      <x:c r="N349" s="187" t="str">
        <x:v>2959.5646080000</x:v>
      </x:c>
      <x:c r="O349" s="235" t="n">
        <x:v>2959.5646</x:v>
      </x:c>
      <x:c r="P349" s="235"/>
      <x:c r="Q349" s="235"/>
      <x:c r="R349" s="235" t="str">
        <x:v>INVOICE_OR_PLAN</x:v>
      </x:c>
      <x:c r="S349" s="238" t="n">
        <x:f>'Model_Calc'!AL62</x:f>
        <x:v>2959.564607999999</x:v>
      </x:c>
      <x:c r="T349" s="238" t="n">
        <x:f>ROUND(S349-O349,4)</x:f>
        <x:v>0</x:v>
      </x:c>
    </x:row>
    <x:row r="350">
      <x:c r="A350" s="187" t="str">
        <x:v>BUDGET_2026_V1</x:v>
      </x:c>
      <x:c r="B350" s="187" t="str">
        <x:v>BUDGET</x:v>
      </x:c>
      <x:c r="C350" s="187"/>
      <x:c r="D350" s="217" t="n">
        <x:v>46174</x:v>
      </x:c>
      <x:c r="E350" s="187" t="str">
        <x:v>R_GB_DE_B_AIR</x:v>
      </x:c>
      <x:c r="F350" s="187" t="str">
        <x:v>GB</x:v>
      </x:c>
      <x:c r="G350" s="187" t="str">
        <x:v>DE_FC</x:v>
      </x:c>
      <x:c r="H350" s="187" t="str">
        <x:v>CARRIER_B</x:v>
      </x:c>
      <x:c r="I350" s="187" t="str">
        <x:v>AIR</x:v>
      </x:c>
      <x:c r="J350" s="187" t="str">
        <x:v>PACKAGING</x:v>
      </x:c>
      <x:c r="K350" s="187" t="str">
        <x:v>EUR</x:v>
      </x:c>
      <x:c r="L350" s="232" t="n">
        <x:v>151.2580608</x:v>
      </x:c>
      <x:c r="M350" s="232" t="n">
        <x:v>7.8</x:v>
      </x:c>
      <x:c r="N350" s="187" t="str">
        <x:v>1179.812874240000</x:v>
      </x:c>
      <x:c r="O350" s="235" t="n">
        <x:v>1179.8129</x:v>
      </x:c>
      <x:c r="P350" s="235"/>
      <x:c r="Q350" s="235"/>
      <x:c r="R350" s="235" t="str">
        <x:v>INVOICE_OR_PLAN</x:v>
      </x:c>
      <x:c r="S350" s="238" t="n">
        <x:f>'Model_Calc'!AQ62</x:f>
        <x:v>1179.81287424</x:v>
      </x:c>
      <x:c r="T350" s="238" t="n">
        <x:f>ROUND(S350-O350,4)</x:f>
        <x:v>0</x:v>
      </x:c>
    </x:row>
    <x:row r="351">
      <x:c r="A351" s="187" t="str">
        <x:v>BUDGET_2026_V1</x:v>
      </x:c>
      <x:c r="B351" s="187" t="str">
        <x:v>BUDGET</x:v>
      </x:c>
      <x:c r="C351" s="187"/>
      <x:c r="D351" s="217" t="n">
        <x:v>46174</x:v>
      </x:c>
      <x:c r="E351" s="187" t="str">
        <x:v>R_GB_DE_B_AIR</x:v>
      </x:c>
      <x:c r="F351" s="187" t="str">
        <x:v>GB</x:v>
      </x:c>
      <x:c r="G351" s="187" t="str">
        <x:v>DE_FC</x:v>
      </x:c>
      <x:c r="H351" s="187" t="str">
        <x:v>CARRIER_B</x:v>
      </x:c>
      <x:c r="I351" s="187" t="str">
        <x:v>AIR</x:v>
      </x:c>
      <x:c r="J351" s="187" t="str">
        <x:v>RETURN_LOGISTICS</x:v>
      </x:c>
      <x:c r="K351" s="187" t="str">
        <x:v>GBP</x:v>
      </x:c>
      <x:c r="L351" s="232" t="n">
        <x:v>123.475968</x:v>
      </x:c>
      <x:c r="M351" s="232" t="n">
        <x:v>9</x:v>
      </x:c>
      <x:c r="N351" s="187" t="str">
        <x:v>1111.2837120000000</x:v>
      </x:c>
      <x:c r="O351" s="235" t="n">
        <x:v>1111.2837</x:v>
      </x:c>
      <x:c r="P351" s="235"/>
      <x:c r="Q351" s="235"/>
      <x:c r="R351" s="235" t="str">
        <x:v>INVOICE_OR_PLAN</x:v>
      </x:c>
      <x:c r="S351" s="238" t="n">
        <x:f>'Model_Calc'!AV62</x:f>
        <x:v>1111.283712</x:v>
      </x:c>
      <x:c r="T351" s="238" t="n">
        <x:f>ROUND(S351-O351,4)</x:f>
        <x:v>0</x:v>
      </x:c>
    </x:row>
    <x:row r="352">
      <x:c r="A352" s="187" t="str">
        <x:v>BUDGET_2026_V1</x:v>
      </x:c>
      <x:c r="B352" s="187" t="str">
        <x:v>BUDGET</x:v>
      </x:c>
      <x:c r="C352" s="187"/>
      <x:c r="D352" s="217" t="n">
        <x:v>46174</x:v>
      </x:c>
      <x:c r="E352" s="187" t="str">
        <x:v>R_GB_DE_B_AIR</x:v>
      </x:c>
      <x:c r="F352" s="187" t="str">
        <x:v>GB</x:v>
      </x:c>
      <x:c r="G352" s="187" t="str">
        <x:v>DE_FC</x:v>
      </x:c>
      <x:c r="H352" s="187" t="str">
        <x:v>CARRIER_B</x:v>
      </x:c>
      <x:c r="I352" s="187" t="str">
        <x:v>AIR</x:v>
      </x:c>
      <x:c r="J352" s="187" t="str">
        <x:v>BILLABLE_EXCEPTION</x:v>
      </x:c>
      <x:c r="K352" s="187" t="str">
        <x:v>GBP</x:v>
      </x:c>
      <x:c r="L352" s="232" t="n">
        <x:v>13.109031936</x:v>
      </x:c>
      <x:c r="M352" s="232" t="n">
        <x:v>9</x:v>
      </x:c>
      <x:c r="N352" s="187" t="str">
        <x:v>117.981287424000000</x:v>
      </x:c>
      <x:c r="O352" s="235" t="n">
        <x:v>117.9813</x:v>
      </x:c>
      <x:c r="P352" s="235"/>
      <x:c r="Q352" s="235"/>
      <x:c r="R352" s="235" t="str">
        <x:v>INVOICE_OR_PLAN</x:v>
      </x:c>
      <x:c r="S352" s="238" t="n">
        <x:f>'Model_Calc'!BA62</x:f>
        <x:v>117.98128742399999</x:v>
      </x:c>
      <x:c r="T352" s="238" t="n">
        <x:f>ROUND(S352-O352,4)</x:f>
        <x:v>0</x:v>
      </x:c>
    </x:row>
    <x:row r="353">
      <x:c r="A353" s="187" t="str">
        <x:v>BUDGET_2026_V1</x:v>
      </x:c>
      <x:c r="B353" s="187" t="str">
        <x:v>BUDGET</x:v>
      </x:c>
      <x:c r="C353" s="187"/>
      <x:c r="D353" s="217" t="n">
        <x:v>46174</x:v>
      </x:c>
      <x:c r="E353" s="187" t="str">
        <x:v>R_GB_DE_C_AIR</x:v>
      </x:c>
      <x:c r="F353" s="187" t="str">
        <x:v>GB</x:v>
      </x:c>
      <x:c r="G353" s="187" t="str">
        <x:v>DE_FC</x:v>
      </x:c>
      <x:c r="H353" s="187" t="str">
        <x:v>CARRIER_C</x:v>
      </x:c>
      <x:c r="I353" s="187" t="str">
        <x:v>AIR</x:v>
      </x:c>
      <x:c r="J353" s="187" t="str">
        <x:v>BASE_FREIGHT</x:v>
      </x:c>
      <x:c r="K353" s="187" t="str">
        <x:v>GBP</x:v>
      </x:c>
      <x:c r="L353" s="232" t="n">
        <x:v>1064.980224</x:v>
      </x:c>
      <x:c r="M353" s="232" t="n">
        <x:v>9</x:v>
      </x:c>
      <x:c r="N353" s="187" t="str">
        <x:v>9584.82201600000000</x:v>
      </x:c>
      <x:c r="O353" s="235" t="n">
        <x:v>9584.822</x:v>
      </x:c>
      <x:c r="P353" s="235"/>
      <x:c r="Q353" s="235"/>
      <x:c r="R353" s="235" t="str">
        <x:v>INVOICE_OR_PLAN</x:v>
      </x:c>
      <x:c r="S353" s="238" t="n">
        <x:f>'Model_Calc'!AF63</x:f>
        <x:v>9584.822016000002</x:v>
      </x:c>
      <x:c r="T353" s="238" t="n">
        <x:f>ROUND(S353-O353,4)</x:f>
        <x:v>0</x:v>
      </x:c>
    </x:row>
    <x:row r="354">
      <x:c r="A354" s="187" t="str">
        <x:v>BUDGET_2026_V1</x:v>
      </x:c>
      <x:c r="B354" s="187" t="str">
        <x:v>BUDGET</x:v>
      </x:c>
      <x:c r="C354" s="187"/>
      <x:c r="D354" s="217" t="n">
        <x:v>46174</x:v>
      </x:c>
      <x:c r="E354" s="187" t="str">
        <x:v>R_GB_DE_C_AIR</x:v>
      </x:c>
      <x:c r="F354" s="187" t="str">
        <x:v>GB</x:v>
      </x:c>
      <x:c r="G354" s="187" t="str">
        <x:v>DE_FC</x:v>
      </x:c>
      <x:c r="H354" s="187" t="str">
        <x:v>CARRIER_C</x:v>
      </x:c>
      <x:c r="I354" s="187" t="str">
        <x:v>AIR</x:v>
      </x:c>
      <x:c r="J354" s="187" t="str">
        <x:v>FUEL_SURCHARGE</x:v>
      </x:c>
      <x:c r="K354" s="187" t="str">
        <x:v>GBP</x:v>
      </x:c>
      <x:c r="L354" s="232" t="n">
        <x:v>82.358470656</x:v>
      </x:c>
      <x:c r="M354" s="232" t="n">
        <x:v>9</x:v>
      </x:c>
      <x:c r="N354" s="187" t="str">
        <x:v>741.22623590400000</x:v>
      </x:c>
      <x:c r="O354" s="235" t="n">
        <x:v>741.2262</x:v>
      </x:c>
      <x:c r="P354" s="235"/>
      <x:c r="Q354" s="235"/>
      <x:c r="R354" s="235" t="str">
        <x:v>INVOICE_OR_PLAN</x:v>
      </x:c>
      <x:c r="S354" s="238" t="n">
        <x:f>'Model_Calc'!AG63</x:f>
        <x:v>741.2262359040001</x:v>
      </x:c>
      <x:c r="T354" s="238" t="n">
        <x:f>ROUND(S354-O354,4)</x:f>
        <x:v>0</x:v>
      </x:c>
    </x:row>
    <x:row r="355">
      <x:c r="A355" s="187" t="str">
        <x:v>BUDGET_2026_V1</x:v>
      </x:c>
      <x:c r="B355" s="187" t="str">
        <x:v>BUDGET</x:v>
      </x:c>
      <x:c r="C355" s="187"/>
      <x:c r="D355" s="217" t="n">
        <x:v>46174</x:v>
      </x:c>
      <x:c r="E355" s="187" t="str">
        <x:v>R_GB_DE_C_AIR</x:v>
      </x:c>
      <x:c r="F355" s="187" t="str">
        <x:v>GB</x:v>
      </x:c>
      <x:c r="G355" s="187" t="str">
        <x:v>DE_FC</x:v>
      </x:c>
      <x:c r="H355" s="187" t="str">
        <x:v>CARRIER_C</x:v>
      </x:c>
      <x:c r="I355" s="187" t="str">
        <x:v>AIR</x:v>
      </x:c>
      <x:c r="J355" s="187" t="str">
        <x:v>WAREHOUSE_OPERATION</x:v>
      </x:c>
      <x:c r="K355" s="187" t="str">
        <x:v>EUR</x:v>
      </x:c>
      <x:c r="L355" s="232" t="n">
        <x:v>162.61344</x:v>
      </x:c>
      <x:c r="M355" s="232" t="n">
        <x:v>7.8</x:v>
      </x:c>
      <x:c r="N355" s="187" t="str">
        <x:v>1268.3848320000</x:v>
      </x:c>
      <x:c r="O355" s="235" t="n">
        <x:v>1268.3848</x:v>
      </x:c>
      <x:c r="P355" s="235"/>
      <x:c r="Q355" s="235"/>
      <x:c r="R355" s="235" t="str">
        <x:v>INVOICE_OR_PLAN</x:v>
      </x:c>
      <x:c r="S355" s="238" t="n">
        <x:f>'Model_Calc'!AL63</x:f>
        <x:v>1268.3848319999997</x:v>
      </x:c>
      <x:c r="T355" s="238" t="n">
        <x:f>ROUND(S355-O355,4)</x:f>
        <x:v>0</x:v>
      </x:c>
    </x:row>
    <x:row r="356">
      <x:c r="A356" s="187" t="str">
        <x:v>BUDGET_2026_V1</x:v>
      </x:c>
      <x:c r="B356" s="187" t="str">
        <x:v>BUDGET</x:v>
      </x:c>
      <x:c r="C356" s="187"/>
      <x:c r="D356" s="217" t="n">
        <x:v>46174</x:v>
      </x:c>
      <x:c r="E356" s="187" t="str">
        <x:v>R_GB_DE_C_AIR</x:v>
      </x:c>
      <x:c r="F356" s="187" t="str">
        <x:v>GB</x:v>
      </x:c>
      <x:c r="G356" s="187" t="str">
        <x:v>DE_FC</x:v>
      </x:c>
      <x:c r="H356" s="187" t="str">
        <x:v>CARRIER_C</x:v>
      </x:c>
      <x:c r="I356" s="187" t="str">
        <x:v>AIR</x:v>
      </x:c>
      <x:c r="J356" s="187" t="str">
        <x:v>PACKAGING</x:v>
      </x:c>
      <x:c r="K356" s="187" t="str">
        <x:v>EUR</x:v>
      </x:c>
      <x:c r="L356" s="232" t="n">
        <x:v>64.8248832</x:v>
      </x:c>
      <x:c r="M356" s="232" t="n">
        <x:v>7.8</x:v>
      </x:c>
      <x:c r="N356" s="187" t="str">
        <x:v>505.634088960000</x:v>
      </x:c>
      <x:c r="O356" s="235" t="n">
        <x:v>505.6341</x:v>
      </x:c>
      <x:c r="P356" s="235"/>
      <x:c r="Q356" s="235"/>
      <x:c r="R356" s="235" t="str">
        <x:v>INVOICE_OR_PLAN</x:v>
      </x:c>
      <x:c r="S356" s="238" t="n">
        <x:f>'Model_Calc'!AQ63</x:f>
        <x:v>505.63408896</x:v>
      </x:c>
      <x:c r="T356" s="238" t="n">
        <x:f>ROUND(S356-O356,4)</x:f>
        <x:v>0</x:v>
      </x:c>
    </x:row>
    <x:row r="357">
      <x:c r="A357" s="187" t="str">
        <x:v>BUDGET_2026_V1</x:v>
      </x:c>
      <x:c r="B357" s="187" t="str">
        <x:v>BUDGET</x:v>
      </x:c>
      <x:c r="C357" s="187"/>
      <x:c r="D357" s="217" t="n">
        <x:v>46174</x:v>
      </x:c>
      <x:c r="E357" s="187" t="str">
        <x:v>R_GB_DE_C_AIR</x:v>
      </x:c>
      <x:c r="F357" s="187" t="str">
        <x:v>GB</x:v>
      </x:c>
      <x:c r="G357" s="187" t="str">
        <x:v>DE_FC</x:v>
      </x:c>
      <x:c r="H357" s="187" t="str">
        <x:v>CARRIER_C</x:v>
      </x:c>
      <x:c r="I357" s="187" t="str">
        <x:v>AIR</x:v>
      </x:c>
      <x:c r="J357" s="187" t="str">
        <x:v>RETURN_LOGISTICS</x:v>
      </x:c>
      <x:c r="K357" s="187" t="str">
        <x:v>GBP</x:v>
      </x:c>
      <x:c r="L357" s="232" t="n">
        <x:v>52.918272</x:v>
      </x:c>
      <x:c r="M357" s="232" t="n">
        <x:v>9</x:v>
      </x:c>
      <x:c r="N357" s="187" t="str">
        <x:v>476.2644480000000</x:v>
      </x:c>
      <x:c r="O357" s="235" t="n">
        <x:v>476.2644</x:v>
      </x:c>
      <x:c r="P357" s="235"/>
      <x:c r="Q357" s="235"/>
      <x:c r="R357" s="235" t="str">
        <x:v>INVOICE_OR_PLAN</x:v>
      </x:c>
      <x:c r="S357" s="238" t="n">
        <x:f>'Model_Calc'!AV63</x:f>
        <x:v>476.26444799999996</x:v>
      </x:c>
      <x:c r="T357" s="238" t="n">
        <x:f>ROUND(S357-O357,4)</x:f>
        <x:v>0</x:v>
      </x:c>
    </x:row>
    <x:row r="358">
      <x:c r="A358" s="187" t="str">
        <x:v>BUDGET_2026_V1</x:v>
      </x:c>
      <x:c r="B358" s="187" t="str">
        <x:v>BUDGET</x:v>
      </x:c>
      <x:c r="C358" s="187"/>
      <x:c r="D358" s="217" t="n">
        <x:v>46174</x:v>
      </x:c>
      <x:c r="E358" s="187" t="str">
        <x:v>R_GB_DE_C_AIR</x:v>
      </x:c>
      <x:c r="F358" s="187" t="str">
        <x:v>GB</x:v>
      </x:c>
      <x:c r="G358" s="187" t="str">
        <x:v>DE_FC</x:v>
      </x:c>
      <x:c r="H358" s="187" t="str">
        <x:v>CARRIER_C</x:v>
      </x:c>
      <x:c r="I358" s="187" t="str">
        <x:v>AIR</x:v>
      </x:c>
      <x:c r="J358" s="187" t="str">
        <x:v>BILLABLE_EXCEPTION</x:v>
      </x:c>
      <x:c r="K358" s="187" t="str">
        <x:v>GBP</x:v>
      </x:c>
      <x:c r="L358" s="232" t="n">
        <x:v>5.000776704</x:v>
      </x:c>
      <x:c r="M358" s="232" t="n">
        <x:v>9</x:v>
      </x:c>
      <x:c r="N358" s="187" t="str">
        <x:v>45.006990336000000</x:v>
      </x:c>
      <x:c r="O358" s="235" t="n">
        <x:v>45.007</x:v>
      </x:c>
      <x:c r="P358" s="235"/>
      <x:c r="Q358" s="235"/>
      <x:c r="R358" s="235" t="str">
        <x:v>INVOICE_OR_PLAN</x:v>
      </x:c>
      <x:c r="S358" s="238" t="n">
        <x:f>'Model_Calc'!BA63</x:f>
        <x:v>45.006990336</x:v>
      </x:c>
      <x:c r="T358" s="238" t="n">
        <x:f>ROUND(S358-O358,4)</x:f>
        <x:v>0</x:v>
      </x:c>
    </x:row>
    <x:row r="359">
      <x:c r="A359" s="187" t="str">
        <x:v>BUDGET_2026_V1</x:v>
      </x:c>
      <x:c r="B359" s="187" t="str">
        <x:v>BUDGET</x:v>
      </x:c>
      <x:c r="C359" s="187"/>
      <x:c r="D359" s="217" t="n">
        <x:v>46174</x:v>
      </x:c>
      <x:c r="E359" s="187" t="str">
        <x:v>R_GB_FR_B_AIR</x:v>
      </x:c>
      <x:c r="F359" s="187" t="str">
        <x:v>GB</x:v>
      </x:c>
      <x:c r="G359" s="187" t="str">
        <x:v>FR_FC</x:v>
      </x:c>
      <x:c r="H359" s="187" t="str">
        <x:v>CARRIER_B</x:v>
      </x:c>
      <x:c r="I359" s="187" t="str">
        <x:v>AIR</x:v>
      </x:c>
      <x:c r="J359" s="187" t="str">
        <x:v>BASE_FREIGHT</x:v>
      </x:c>
      <x:c r="K359" s="187" t="str">
        <x:v>EUR</x:v>
      </x:c>
      <x:c r="L359" s="232" t="n">
        <x:v>1327.2633</x:v>
      </x:c>
      <x:c r="M359" s="232" t="n">
        <x:v>7.8</x:v>
      </x:c>
      <x:c r="N359" s="187" t="str">
        <x:v>10352.653740000000</x:v>
      </x:c>
      <x:c r="O359" s="235" t="n">
        <x:v>10352.6537</x:v>
      </x:c>
      <x:c r="P359" s="235"/>
      <x:c r="Q359" s="235"/>
      <x:c r="R359" s="235" t="str">
        <x:v>INVOICE_OR_PLAN</x:v>
      </x:c>
      <x:c r="S359" s="238" t="n">
        <x:f>'Model_Calc'!AF64</x:f>
        <x:v>10352.65374</x:v>
      </x:c>
      <x:c r="T359" s="238" t="n">
        <x:f>ROUND(S359-O359,4)</x:f>
        <x:v>0</x:v>
      </x:c>
    </x:row>
    <x:row r="360">
      <x:c r="A360" s="187" t="str">
        <x:v>BUDGET_2026_V1</x:v>
      </x:c>
      <x:c r="B360" s="187" t="str">
        <x:v>BUDGET</x:v>
      </x:c>
      <x:c r="C360" s="187"/>
      <x:c r="D360" s="217" t="n">
        <x:v>46174</x:v>
      </x:c>
      <x:c r="E360" s="187" t="str">
        <x:v>R_GB_FR_B_AIR</x:v>
      </x:c>
      <x:c r="F360" s="187" t="str">
        <x:v>GB</x:v>
      </x:c>
      <x:c r="G360" s="187" t="str">
        <x:v>FR_FC</x:v>
      </x:c>
      <x:c r="H360" s="187" t="str">
        <x:v>CARRIER_B</x:v>
      </x:c>
      <x:c r="I360" s="187" t="str">
        <x:v>AIR</x:v>
      </x:c>
      <x:c r="J360" s="187" t="str">
        <x:v>FUEL_SURCHARGE</x:v>
      </x:c>
      <x:c r="K360" s="187" t="str">
        <x:v>EUR</x:v>
      </x:c>
      <x:c r="L360" s="232" t="n">
        <x:v>139.3626465</x:v>
      </x:c>
      <x:c r="M360" s="232" t="n">
        <x:v>7.8</x:v>
      </x:c>
      <x:c r="N360" s="187" t="str">
        <x:v>1087.028642700000000</x:v>
      </x:c>
      <x:c r="O360" s="235" t="n">
        <x:v>1087.0286</x:v>
      </x:c>
      <x:c r="P360" s="235"/>
      <x:c r="Q360" s="235"/>
      <x:c r="R360" s="235" t="str">
        <x:v>INVOICE_OR_PLAN</x:v>
      </x:c>
      <x:c r="S360" s="238" t="n">
        <x:f>'Model_Calc'!AG64</x:f>
        <x:v>1087.0286427</x:v>
      </x:c>
      <x:c r="T360" s="238" t="n">
        <x:f>ROUND(S360-O360,4)</x:f>
        <x:v>0</x:v>
      </x:c>
    </x:row>
    <x:row r="361">
      <x:c r="A361" s="187" t="str">
        <x:v>BUDGET_2026_V1</x:v>
      </x:c>
      <x:c r="B361" s="187" t="str">
        <x:v>BUDGET</x:v>
      </x:c>
      <x:c r="C361" s="187"/>
      <x:c r="D361" s="217" t="n">
        <x:v>46174</x:v>
      </x:c>
      <x:c r="E361" s="187" t="str">
        <x:v>R_GB_FR_B_AIR</x:v>
      </x:c>
      <x:c r="F361" s="187" t="str">
        <x:v>GB</x:v>
      </x:c>
      <x:c r="G361" s="187" t="str">
        <x:v>FR_FC</x:v>
      </x:c>
      <x:c r="H361" s="187" t="str">
        <x:v>CARRIER_B</x:v>
      </x:c>
      <x:c r="I361" s="187" t="str">
        <x:v>AIR</x:v>
      </x:c>
      <x:c r="J361" s="187" t="str">
        <x:v>WAREHOUSE_OPERATION</x:v>
      </x:c>
      <x:c r="K361" s="187" t="str">
        <x:v>EUR</x:v>
      </x:c>
      <x:c r="L361" s="232" t="n">
        <x:v>200.97</x:v>
      </x:c>
      <x:c r="M361" s="232" t="n">
        <x:v>7.8</x:v>
      </x:c>
      <x:c r="N361" s="187" t="str">
        <x:v>1567.56600000</x:v>
      </x:c>
      <x:c r="O361" s="235" t="n">
        <x:v>1567.566</x:v>
      </x:c>
      <x:c r="P361" s="235"/>
      <x:c r="Q361" s="235"/>
      <x:c r="R361" s="235" t="str">
        <x:v>INVOICE_OR_PLAN</x:v>
      </x:c>
      <x:c r="S361" s="238" t="n">
        <x:f>'Model_Calc'!AL64</x:f>
        <x:v>1567.5660000000003</x:v>
      </x:c>
      <x:c r="T361" s="238" t="n">
        <x:f>ROUND(S361-O361,4)</x:f>
        <x:v>0</x:v>
      </x:c>
    </x:row>
    <x:row r="362">
      <x:c r="A362" s="187" t="str">
        <x:v>BUDGET_2026_V1</x:v>
      </x:c>
      <x:c r="B362" s="187" t="str">
        <x:v>BUDGET</x:v>
      </x:c>
      <x:c r="C362" s="187"/>
      <x:c r="D362" s="217" t="n">
        <x:v>46174</x:v>
      </x:c>
      <x:c r="E362" s="187" t="str">
        <x:v>R_GB_FR_B_AIR</x:v>
      </x:c>
      <x:c r="F362" s="187" t="str">
        <x:v>GB</x:v>
      </x:c>
      <x:c r="G362" s="187" t="str">
        <x:v>FR_FC</x:v>
      </x:c>
      <x:c r="H362" s="187" t="str">
        <x:v>CARRIER_B</x:v>
      </x:c>
      <x:c r="I362" s="187" t="str">
        <x:v>AIR</x:v>
      </x:c>
      <x:c r="J362" s="187" t="str">
        <x:v>PACKAGING</x:v>
      </x:c>
      <x:c r="K362" s="187" t="str">
        <x:v>EUR</x:v>
      </x:c>
      <x:c r="L362" s="232" t="n">
        <x:v>83.6418</x:v>
      </x:c>
      <x:c r="M362" s="232" t="n">
        <x:v>7.8</x:v>
      </x:c>
      <x:c r="N362" s="187" t="str">
        <x:v>652.4060400000</x:v>
      </x:c>
      <x:c r="O362" s="235" t="n">
        <x:v>652.406</x:v>
      </x:c>
      <x:c r="P362" s="235"/>
      <x:c r="Q362" s="235"/>
      <x:c r="R362" s="235" t="str">
        <x:v>INVOICE_OR_PLAN</x:v>
      </x:c>
      <x:c r="S362" s="238" t="n">
        <x:f>'Model_Calc'!AQ64</x:f>
        <x:v>652.4060399999998</x:v>
      </x:c>
      <x:c r="T362" s="238" t="n">
        <x:f>ROUND(S362-O362,4)</x:f>
        <x:v>0</x:v>
      </x:c>
    </x:row>
    <x:row r="363">
      <x:c r="A363" s="187" t="str">
        <x:v>BUDGET_2026_V1</x:v>
      </x:c>
      <x:c r="B363" s="187" t="str">
        <x:v>BUDGET</x:v>
      </x:c>
      <x:c r="C363" s="187"/>
      <x:c r="D363" s="217" t="n">
        <x:v>46174</x:v>
      </x:c>
      <x:c r="E363" s="187" t="str">
        <x:v>R_GB_FR_B_AIR</x:v>
      </x:c>
      <x:c r="F363" s="187" t="str">
        <x:v>GB</x:v>
      </x:c>
      <x:c r="G363" s="187" t="str">
        <x:v>FR_FC</x:v>
      </x:c>
      <x:c r="H363" s="187" t="str">
        <x:v>CARRIER_B</x:v>
      </x:c>
      <x:c r="I363" s="187" t="str">
        <x:v>AIR</x:v>
      </x:c>
      <x:c r="J363" s="187" t="str">
        <x:v>RETURN_LOGISTICS</x:v>
      </x:c>
      <x:c r="K363" s="187" t="str">
        <x:v>EUR</x:v>
      </x:c>
      <x:c r="L363" s="232" t="n">
        <x:v>79.6224</x:v>
      </x:c>
      <x:c r="M363" s="232" t="n">
        <x:v>7.8</x:v>
      </x:c>
      <x:c r="N363" s="187" t="str">
        <x:v>621.05472000000</x:v>
      </x:c>
      <x:c r="O363" s="235" t="n">
        <x:v>621.0547</x:v>
      </x:c>
      <x:c r="P363" s="235"/>
      <x:c r="Q363" s="235"/>
      <x:c r="R363" s="235" t="str">
        <x:v>INVOICE_OR_PLAN</x:v>
      </x:c>
      <x:c r="S363" s="238" t="n">
        <x:f>'Model_Calc'!AV64</x:f>
        <x:v>621.0547200000001</x:v>
      </x:c>
      <x:c r="T363" s="238" t="n">
        <x:f>ROUND(S363-O363,4)</x:f>
        <x:v>0</x:v>
      </x:c>
    </x:row>
    <x:row r="364">
      <x:c r="A364" s="187" t="str">
        <x:v>BUDGET_2026_V1</x:v>
      </x:c>
      <x:c r="B364" s="187" t="str">
        <x:v>BUDGET</x:v>
      </x:c>
      <x:c r="C364" s="187"/>
      <x:c r="D364" s="217" t="n">
        <x:v>46174</x:v>
      </x:c>
      <x:c r="E364" s="187" t="str">
        <x:v>R_GB_FR_B_AIR</x:v>
      </x:c>
      <x:c r="F364" s="187" t="str">
        <x:v>GB</x:v>
      </x:c>
      <x:c r="G364" s="187" t="str">
        <x:v>FR_FC</x:v>
      </x:c>
      <x:c r="H364" s="187" t="str">
        <x:v>CARRIER_B</x:v>
      </x:c>
      <x:c r="I364" s="187" t="str">
        <x:v>AIR</x:v>
      </x:c>
      <x:c r="J364" s="187" t="str">
        <x:v>BILLABLE_EXCEPTION</x:v>
      </x:c>
      <x:c r="K364" s="187" t="str">
        <x:v>EUR</x:v>
      </x:c>
      <x:c r="L364" s="232" t="n">
        <x:v>7.395696</x:v>
      </x:c>
      <x:c r="M364" s="232" t="n">
        <x:v>7.8</x:v>
      </x:c>
      <x:c r="N364" s="187" t="str">
        <x:v>57.6864288000000</x:v>
      </x:c>
      <x:c r="O364" s="235" t="n">
        <x:v>57.6864</x:v>
      </x:c>
      <x:c r="P364" s="235"/>
      <x:c r="Q364" s="235"/>
      <x:c r="R364" s="235" t="str">
        <x:v>INVOICE_OR_PLAN</x:v>
      </x:c>
      <x:c r="S364" s="238" t="n">
        <x:f>'Model_Calc'!BA64</x:f>
        <x:v>57.686428799999995</x:v>
      </x:c>
      <x:c r="T364" s="238" t="n">
        <x:f>ROUND(S364-O364,4)</x:f>
        <x:v>0</x:v>
      </x:c>
    </x:row>
    <x:row r="365">
      <x:c r="A365" s="187" t="str">
        <x:v>BUDGET_2026_V1</x:v>
      </x:c>
      <x:c r="B365" s="187" t="str">
        <x:v>BUDGET</x:v>
      </x:c>
      <x:c r="C365" s="187"/>
      <x:c r="D365" s="217" t="n">
        <x:v>46204</x:v>
      </x:c>
      <x:c r="E365" s="187" t="str">
        <x:v>R_DE_DE_A_ROAD</x:v>
      </x:c>
      <x:c r="F365" s="187" t="str">
        <x:v>DE</x:v>
      </x:c>
      <x:c r="G365" s="187" t="str">
        <x:v>DE_FC</x:v>
      </x:c>
      <x:c r="H365" s="187" t="str">
        <x:v>CARRIER_A</x:v>
      </x:c>
      <x:c r="I365" s="187" t="str">
        <x:v>ROAD</x:v>
      </x:c>
      <x:c r="J365" s="187" t="str">
        <x:v>BASE_FREIGHT</x:v>
      </x:c>
      <x:c r="K365" s="187" t="str">
        <x:v>EUR</x:v>
      </x:c>
      <x:c r="L365" s="232" t="n">
        <x:v>6774.263496</x:v>
      </x:c>
      <x:c r="M365" s="232" t="n">
        <x:v>7.8</x:v>
      </x:c>
      <x:c r="N365" s="187" t="str">
        <x:v>52839.25526880000000</x:v>
      </x:c>
      <x:c r="O365" s="235" t="n">
        <x:v>52839.2553</x:v>
      </x:c>
      <x:c r="P365" s="235"/>
      <x:c r="Q365" s="235"/>
      <x:c r="R365" s="235" t="str">
        <x:v>INVOICE_OR_PLAN</x:v>
      </x:c>
      <x:c r="S365" s="238" t="n">
        <x:f>'Model_Calc'!AF65</x:f>
        <x:v>52839.2552688</x:v>
      </x:c>
      <x:c r="T365" s="238" t="n">
        <x:f>ROUND(S365-O365,4)</x:f>
        <x:v>0</x:v>
      </x:c>
    </x:row>
    <x:row r="366">
      <x:c r="A366" s="187" t="str">
        <x:v>BUDGET_2026_V1</x:v>
      </x:c>
      <x:c r="B366" s="187" t="str">
        <x:v>BUDGET</x:v>
      </x:c>
      <x:c r="C366" s="187"/>
      <x:c r="D366" s="217" t="n">
        <x:v>46204</x:v>
      </x:c>
      <x:c r="E366" s="187" t="str">
        <x:v>R_DE_DE_A_ROAD</x:v>
      </x:c>
      <x:c r="F366" s="187" t="str">
        <x:v>DE</x:v>
      </x:c>
      <x:c r="G366" s="187" t="str">
        <x:v>DE_FC</x:v>
      </x:c>
      <x:c r="H366" s="187" t="str">
        <x:v>CARRIER_A</x:v>
      </x:c>
      <x:c r="I366" s="187" t="str">
        <x:v>ROAD</x:v>
      </x:c>
      <x:c r="J366" s="187" t="str">
        <x:v>FUEL_SURCHARGE</x:v>
      </x:c>
      <x:c r="K366" s="187" t="str">
        <x:v>EUR</x:v>
      </x:c>
      <x:c r="L366" s="232" t="n">
        <x:v>643.55503212</x:v>
      </x:c>
      <x:c r="M366" s="232" t="n">
        <x:v>7.8</x:v>
      </x:c>
      <x:c r="N366" s="187" t="str">
        <x:v>5019.72925053600000000</x:v>
      </x:c>
      <x:c r="O366" s="235" t="n">
        <x:v>5019.7293</x:v>
      </x:c>
      <x:c r="P366" s="235"/>
      <x:c r="Q366" s="235"/>
      <x:c r="R366" s="235" t="str">
        <x:v>INVOICE_OR_PLAN</x:v>
      </x:c>
      <x:c r="S366" s="238" t="n">
        <x:f>'Model_Calc'!AG65</x:f>
        <x:v>5019.729250536</x:v>
      </x:c>
      <x:c r="T366" s="238" t="n">
        <x:f>ROUND(S366-O366,4)</x:f>
        <x:v>0</x:v>
      </x:c>
    </x:row>
    <x:row r="367">
      <x:c r="A367" s="187" t="str">
        <x:v>BUDGET_2026_V1</x:v>
      </x:c>
      <x:c r="B367" s="187" t="str">
        <x:v>BUDGET</x:v>
      </x:c>
      <x:c r="C367" s="187"/>
      <x:c r="D367" s="217" t="n">
        <x:v>46204</x:v>
      </x:c>
      <x:c r="E367" s="187" t="str">
        <x:v>R_DE_DE_A_ROAD</x:v>
      </x:c>
      <x:c r="F367" s="187" t="str">
        <x:v>DE</x:v>
      </x:c>
      <x:c r="G367" s="187" t="str">
        <x:v>DE_FC</x:v>
      </x:c>
      <x:c r="H367" s="187" t="str">
        <x:v>CARRIER_A</x:v>
      </x:c>
      <x:c r="I367" s="187" t="str">
        <x:v>ROAD</x:v>
      </x:c>
      <x:c r="J367" s="187" t="str">
        <x:v>WAREHOUSE_OPERATION</x:v>
      </x:c>
      <x:c r="K367" s="187" t="str">
        <x:v>EUR</x:v>
      </x:c>
      <x:c r="L367" s="232" t="n">
        <x:v>4436.4696</x:v>
      </x:c>
      <x:c r="M367" s="232" t="n">
        <x:v>7.8</x:v>
      </x:c>
      <x:c r="N367" s="187" t="str">
        <x:v>34604.4628800000</x:v>
      </x:c>
      <x:c r="O367" s="235" t="n">
        <x:v>34604.4629</x:v>
      </x:c>
      <x:c r="P367" s="235"/>
      <x:c r="Q367" s="235"/>
      <x:c r="R367" s="235" t="str">
        <x:v>INVOICE_OR_PLAN</x:v>
      </x:c>
      <x:c r="S367" s="238" t="n">
        <x:f>'Model_Calc'!AL65</x:f>
        <x:v>34604.46287999999</x:v>
      </x:c>
      <x:c r="T367" s="238" t="n">
        <x:f>ROUND(S367-O367,4)</x:f>
        <x:v>0</x:v>
      </x:c>
    </x:row>
    <x:row r="368">
      <x:c r="A368" s="187" t="str">
        <x:v>BUDGET_2026_V1</x:v>
      </x:c>
      <x:c r="B368" s="187" t="str">
        <x:v>BUDGET</x:v>
      </x:c>
      <x:c r="C368" s="187"/>
      <x:c r="D368" s="217" t="n">
        <x:v>46204</x:v>
      </x:c>
      <x:c r="E368" s="187" t="str">
        <x:v>R_DE_DE_A_ROAD</x:v>
      </x:c>
      <x:c r="F368" s="187" t="str">
        <x:v>DE</x:v>
      </x:c>
      <x:c r="G368" s="187" t="str">
        <x:v>DE_FC</x:v>
      </x:c>
      <x:c r="H368" s="187" t="str">
        <x:v>CARRIER_A</x:v>
      </x:c>
      <x:c r="I368" s="187" t="str">
        <x:v>ROAD</x:v>
      </x:c>
      <x:c r="J368" s="187" t="str">
        <x:v>PACKAGING</x:v>
      </x:c>
      <x:c r="K368" s="187" t="str">
        <x:v>EUR</x:v>
      </x:c>
      <x:c r="L368" s="232" t="n">
        <x:v>1658.03652</x:v>
      </x:c>
      <x:c r="M368" s="232" t="n">
        <x:v>7.8</x:v>
      </x:c>
      <x:c r="N368" s="187" t="str">
        <x:v>12932.684856000000</x:v>
      </x:c>
      <x:c r="O368" s="235" t="n">
        <x:v>12932.6849</x:v>
      </x:c>
      <x:c r="P368" s="235"/>
      <x:c r="Q368" s="235"/>
      <x:c r="R368" s="235" t="str">
        <x:v>INVOICE_OR_PLAN</x:v>
      </x:c>
      <x:c r="S368" s="238" t="n">
        <x:f>'Model_Calc'!AQ65</x:f>
        <x:v>12932.684855999998</x:v>
      </x:c>
      <x:c r="T368" s="238" t="n">
        <x:f>ROUND(S368-O368,4)</x:f>
        <x:v>0</x:v>
      </x:c>
    </x:row>
    <x:row r="369">
      <x:c r="A369" s="187" t="str">
        <x:v>BUDGET_2026_V1</x:v>
      </x:c>
      <x:c r="B369" s="187" t="str">
        <x:v>BUDGET</x:v>
      </x:c>
      <x:c r="C369" s="187"/>
      <x:c r="D369" s="217" t="n">
        <x:v>46204</x:v>
      </x:c>
      <x:c r="E369" s="187" t="str">
        <x:v>R_DE_DE_A_ROAD</x:v>
      </x:c>
      <x:c r="F369" s="187" t="str">
        <x:v>DE</x:v>
      </x:c>
      <x:c r="G369" s="187" t="str">
        <x:v>DE_FC</x:v>
      </x:c>
      <x:c r="H369" s="187" t="str">
        <x:v>CARRIER_A</x:v>
      </x:c>
      <x:c r="I369" s="187" t="str">
        <x:v>ROAD</x:v>
      </x:c>
      <x:c r="J369" s="187" t="str">
        <x:v>RETURN_LOGISTICS</x:v>
      </x:c>
      <x:c r="K369" s="187" t="str">
        <x:v>EUR</x:v>
      </x:c>
      <x:c r="L369" s="232" t="n">
        <x:v>601.5552</x:v>
      </x:c>
      <x:c r="M369" s="232" t="n">
        <x:v>7.8</x:v>
      </x:c>
      <x:c r="N369" s="187" t="str">
        <x:v>4692.1305600000000</x:v>
      </x:c>
      <x:c r="O369" s="235" t="n">
        <x:v>4692.1306</x:v>
      </x:c>
      <x:c r="P369" s="235"/>
      <x:c r="Q369" s="235"/>
      <x:c r="R369" s="235" t="str">
        <x:v>INVOICE_OR_PLAN</x:v>
      </x:c>
      <x:c r="S369" s="238" t="n">
        <x:f>'Model_Calc'!AV65</x:f>
        <x:v>4692.13056</x:v>
      </x:c>
      <x:c r="T369" s="238" t="n">
        <x:f>ROUND(S369-O369,4)</x:f>
        <x:v>0</x:v>
      </x:c>
    </x:row>
    <x:row r="370">
      <x:c r="A370" s="187" t="str">
        <x:v>BUDGET_2026_V1</x:v>
      </x:c>
      <x:c r="B370" s="187" t="str">
        <x:v>BUDGET</x:v>
      </x:c>
      <x:c r="C370" s="187"/>
      <x:c r="D370" s="217" t="n">
        <x:v>46204</x:v>
      </x:c>
      <x:c r="E370" s="187" t="str">
        <x:v>R_DE_DE_A_ROAD</x:v>
      </x:c>
      <x:c r="F370" s="187" t="str">
        <x:v>DE</x:v>
      </x:c>
      <x:c r="G370" s="187" t="str">
        <x:v>DE_FC</x:v>
      </x:c>
      <x:c r="H370" s="187" t="str">
        <x:v>CARRIER_A</x:v>
      </x:c>
      <x:c r="I370" s="187" t="str">
        <x:v>ROAD</x:v>
      </x:c>
      <x:c r="J370" s="187" t="str">
        <x:v>BILLABLE_EXCEPTION</x:v>
      </x:c>
      <x:c r="K370" s="187" t="str">
        <x:v>EUR</x:v>
      </x:c>
      <x:c r="L370" s="232" t="n">
        <x:v>145.2755808</x:v>
      </x:c>
      <x:c r="M370" s="232" t="n">
        <x:v>7.8</x:v>
      </x:c>
      <x:c r="N370" s="187" t="str">
        <x:v>1133.149530240000000</x:v>
      </x:c>
      <x:c r="O370" s="235" t="n">
        <x:v>1133.1495</x:v>
      </x:c>
      <x:c r="P370" s="235"/>
      <x:c r="Q370" s="235"/>
      <x:c r="R370" s="235" t="str">
        <x:v>INVOICE_OR_PLAN</x:v>
      </x:c>
      <x:c r="S370" s="238" t="n">
        <x:f>'Model_Calc'!BA65</x:f>
        <x:v>1133.1495302399999</x:v>
      </x:c>
      <x:c r="T370" s="238" t="n">
        <x:f>ROUND(S370-O370,4)</x:f>
        <x:v>0</x:v>
      </x:c>
    </x:row>
    <x:row r="371">
      <x:c r="A371" s="187" t="str">
        <x:v>BUDGET_2026_V1</x:v>
      </x:c>
      <x:c r="B371" s="187" t="str">
        <x:v>BUDGET</x:v>
      </x:c>
      <x:c r="C371" s="187"/>
      <x:c r="D371" s="217" t="n">
        <x:v>46204</x:v>
      </x:c>
      <x:c r="E371" s="187" t="str">
        <x:v>R_DE_DE_B_ROAD</x:v>
      </x:c>
      <x:c r="F371" s="187" t="str">
        <x:v>DE</x:v>
      </x:c>
      <x:c r="G371" s="187" t="str">
        <x:v>DE_FC</x:v>
      </x:c>
      <x:c r="H371" s="187" t="str">
        <x:v>CARRIER_B</x:v>
      </x:c>
      <x:c r="I371" s="187" t="str">
        <x:v>ROAD</x:v>
      </x:c>
      <x:c r="J371" s="187" t="str">
        <x:v>BASE_FREIGHT</x:v>
      </x:c>
      <x:c r="K371" s="187" t="str">
        <x:v>EUR</x:v>
      </x:c>
      <x:c r="L371" s="232" t="n">
        <x:v>5789.9688</x:v>
      </x:c>
      <x:c r="M371" s="232" t="n">
        <x:v>7.8</x:v>
      </x:c>
      <x:c r="N371" s="187" t="str">
        <x:v>45161.75664000000000</x:v>
      </x:c>
      <x:c r="O371" s="235" t="n">
        <x:v>45161.7566</x:v>
      </x:c>
      <x:c r="P371" s="235"/>
      <x:c r="Q371" s="235"/>
      <x:c r="R371" s="235" t="str">
        <x:v>INVOICE_OR_PLAN</x:v>
      </x:c>
      <x:c r="S371" s="238" t="n">
        <x:f>'Model_Calc'!AF66</x:f>
        <x:v>45161.75664000001</x:v>
      </x:c>
      <x:c r="T371" s="238" t="n">
        <x:f>ROUND(S371-O371,4)</x:f>
        <x:v>0</x:v>
      </x:c>
    </x:row>
    <x:row r="372">
      <x:c r="A372" s="187" t="str">
        <x:v>BUDGET_2026_V1</x:v>
      </x:c>
      <x:c r="B372" s="187" t="str">
        <x:v>BUDGET</x:v>
      </x:c>
      <x:c r="C372" s="187"/>
      <x:c r="D372" s="217" t="n">
        <x:v>46204</x:v>
      </x:c>
      <x:c r="E372" s="187" t="str">
        <x:v>R_DE_DE_B_ROAD</x:v>
      </x:c>
      <x:c r="F372" s="187" t="str">
        <x:v>DE</x:v>
      </x:c>
      <x:c r="G372" s="187" t="str">
        <x:v>DE_FC</x:v>
      </x:c>
      <x:c r="H372" s="187" t="str">
        <x:v>CARRIER_B</x:v>
      </x:c>
      <x:c r="I372" s="187" t="str">
        <x:v>ROAD</x:v>
      </x:c>
      <x:c r="J372" s="187" t="str">
        <x:v>FUEL_SURCHARGE</x:v>
      </x:c>
      <x:c r="K372" s="187" t="str">
        <x:v>EUR</x:v>
      </x:c>
      <x:c r="L372" s="232" t="n">
        <x:v>442.143072</x:v>
      </x:c>
      <x:c r="M372" s="232" t="n">
        <x:v>7.8</x:v>
      </x:c>
      <x:c r="N372" s="187" t="str">
        <x:v>3448.71596160000000</x:v>
      </x:c>
      <x:c r="O372" s="235" t="n">
        <x:v>3448.716</x:v>
      </x:c>
      <x:c r="P372" s="235"/>
      <x:c r="Q372" s="235"/>
      <x:c r="R372" s="235" t="str">
        <x:v>INVOICE_OR_PLAN</x:v>
      </x:c>
      <x:c r="S372" s="238" t="n">
        <x:f>'Model_Calc'!AG66</x:f>
        <x:v>3448.7159616</x:v>
      </x:c>
      <x:c r="T372" s="238" t="n">
        <x:f>ROUND(S372-O372,4)</x:f>
        <x:v>0</x:v>
      </x:c>
    </x:row>
    <x:row r="373">
      <x:c r="A373" s="187" t="str">
        <x:v>BUDGET_2026_V1</x:v>
      </x:c>
      <x:c r="B373" s="187" t="str">
        <x:v>BUDGET</x:v>
      </x:c>
      <x:c r="C373" s="187"/>
      <x:c r="D373" s="217" t="n">
        <x:v>46204</x:v>
      </x:c>
      <x:c r="E373" s="187" t="str">
        <x:v>R_DE_DE_B_ROAD</x:v>
      </x:c>
      <x:c r="F373" s="187" t="str">
        <x:v>DE</x:v>
      </x:c>
      <x:c r="G373" s="187" t="str">
        <x:v>DE_FC</x:v>
      </x:c>
      <x:c r="H373" s="187" t="str">
        <x:v>CARRIER_B</x:v>
      </x:c>
      <x:c r="I373" s="187" t="str">
        <x:v>ROAD</x:v>
      </x:c>
      <x:c r="J373" s="187" t="str">
        <x:v>WAREHOUSE_OPERATION</x:v>
      </x:c>
      <x:c r="K373" s="187" t="str">
        <x:v>EUR</x:v>
      </x:c>
      <x:c r="L373" s="232" t="n">
        <x:v>2957.6464</x:v>
      </x:c>
      <x:c r="M373" s="232" t="n">
        <x:v>7.8</x:v>
      </x:c>
      <x:c r="N373" s="187" t="str">
        <x:v>23069.6419200000</x:v>
      </x:c>
      <x:c r="O373" s="235" t="n">
        <x:v>23069.6419</x:v>
      </x:c>
      <x:c r="P373" s="235"/>
      <x:c r="Q373" s="235"/>
      <x:c r="R373" s="235" t="str">
        <x:v>INVOICE_OR_PLAN</x:v>
      </x:c>
      <x:c r="S373" s="238" t="n">
        <x:f>'Model_Calc'!AL66</x:f>
        <x:v>23069.641920000002</x:v>
      </x:c>
      <x:c r="T373" s="238" t="n">
        <x:f>ROUND(S373-O373,4)</x:f>
        <x:v>0</x:v>
      </x:c>
    </x:row>
    <x:row r="374">
      <x:c r="A374" s="187" t="str">
        <x:v>BUDGET_2026_V1</x:v>
      </x:c>
      <x:c r="B374" s="187" t="str">
        <x:v>BUDGET</x:v>
      </x:c>
      <x:c r="C374" s="187"/>
      <x:c r="D374" s="217" t="n">
        <x:v>46204</x:v>
      </x:c>
      <x:c r="E374" s="187" t="str">
        <x:v>R_DE_DE_B_ROAD</x:v>
      </x:c>
      <x:c r="F374" s="187" t="str">
        <x:v>DE</x:v>
      </x:c>
      <x:c r="G374" s="187" t="str">
        <x:v>DE_FC</x:v>
      </x:c>
      <x:c r="H374" s="187" t="str">
        <x:v>CARRIER_B</x:v>
      </x:c>
      <x:c r="I374" s="187" t="str">
        <x:v>ROAD</x:v>
      </x:c>
      <x:c r="J374" s="187" t="str">
        <x:v>PACKAGING</x:v>
      </x:c>
      <x:c r="K374" s="187" t="str">
        <x:v>EUR</x:v>
      </x:c>
      <x:c r="L374" s="232" t="n">
        <x:v>1105.35768</x:v>
      </x:c>
      <x:c r="M374" s="232" t="n">
        <x:v>7.8</x:v>
      </x:c>
      <x:c r="N374" s="187" t="str">
        <x:v>8621.789904000000</x:v>
      </x:c>
      <x:c r="O374" s="235" t="n">
        <x:v>8621.7899</x:v>
      </x:c>
      <x:c r="P374" s="235"/>
      <x:c r="Q374" s="235"/>
      <x:c r="R374" s="235" t="str">
        <x:v>INVOICE_OR_PLAN</x:v>
      </x:c>
      <x:c r="S374" s="238" t="n">
        <x:f>'Model_Calc'!AQ66</x:f>
        <x:v>8621.789904000001</x:v>
      </x:c>
      <x:c r="T374" s="238" t="n">
        <x:f>ROUND(S374-O374,4)</x:f>
        <x:v>0</x:v>
      </x:c>
    </x:row>
    <x:row r="375">
      <x:c r="A375" s="187" t="str">
        <x:v>BUDGET_2026_V1</x:v>
      </x:c>
      <x:c r="B375" s="187" t="str">
        <x:v>BUDGET</x:v>
      </x:c>
      <x:c r="C375" s="187"/>
      <x:c r="D375" s="217" t="n">
        <x:v>46204</x:v>
      </x:c>
      <x:c r="E375" s="187" t="str">
        <x:v>R_DE_DE_B_ROAD</x:v>
      </x:c>
      <x:c r="F375" s="187" t="str">
        <x:v>DE</x:v>
      </x:c>
      <x:c r="G375" s="187" t="str">
        <x:v>DE_FC</x:v>
      </x:c>
      <x:c r="H375" s="187" t="str">
        <x:v>CARRIER_B</x:v>
      </x:c>
      <x:c r="I375" s="187" t="str">
        <x:v>ROAD</x:v>
      </x:c>
      <x:c r="J375" s="187" t="str">
        <x:v>RETURN_LOGISTICS</x:v>
      </x:c>
      <x:c r="K375" s="187" t="str">
        <x:v>EUR</x:v>
      </x:c>
      <x:c r="L375" s="232" t="n">
        <x:v>401.0368</x:v>
      </x:c>
      <x:c r="M375" s="232" t="n">
        <x:v>7.8</x:v>
      </x:c>
      <x:c r="N375" s="187" t="str">
        <x:v>3128.0870400000000</x:v>
      </x:c>
      <x:c r="O375" s="235" t="n">
        <x:v>3128.087</x:v>
      </x:c>
      <x:c r="P375" s="235"/>
      <x:c r="Q375" s="235"/>
      <x:c r="R375" s="235" t="str">
        <x:v>INVOICE_OR_PLAN</x:v>
      </x:c>
      <x:c r="S375" s="238" t="n">
        <x:f>'Model_Calc'!AV66</x:f>
        <x:v>3128.087040000001</x:v>
      </x:c>
      <x:c r="T375" s="238" t="n">
        <x:f>ROUND(S375-O375,4)</x:f>
        <x:v>0</x:v>
      </x:c>
    </x:row>
    <x:row r="376">
      <x:c r="A376" s="187" t="str">
        <x:v>BUDGET_2026_V1</x:v>
      </x:c>
      <x:c r="B376" s="187" t="str">
        <x:v>BUDGET</x:v>
      </x:c>
      <x:c r="C376" s="187"/>
      <x:c r="D376" s="217" t="n">
        <x:v>46204</x:v>
      </x:c>
      <x:c r="E376" s="187" t="str">
        <x:v>R_DE_DE_B_ROAD</x:v>
      </x:c>
      <x:c r="F376" s="187" t="str">
        <x:v>DE</x:v>
      </x:c>
      <x:c r="G376" s="187" t="str">
        <x:v>DE_FC</x:v>
      </x:c>
      <x:c r="H376" s="187" t="str">
        <x:v>CARRIER_B</x:v>
      </x:c>
      <x:c r="I376" s="187" t="str">
        <x:v>ROAD</x:v>
      </x:c>
      <x:c r="J376" s="187" t="str">
        <x:v>BILLABLE_EXCEPTION</x:v>
      </x:c>
      <x:c r="K376" s="187" t="str">
        <x:v>EUR</x:v>
      </x:c>
      <x:c r="L376" s="232" t="n">
        <x:v>78.6909396</x:v>
      </x:c>
      <x:c r="M376" s="232" t="n">
        <x:v>7.8</x:v>
      </x:c>
      <x:c r="N376" s="187" t="str">
        <x:v>613.789328880000000</x:v>
      </x:c>
      <x:c r="O376" s="235" t="n">
        <x:v>613.7893</x:v>
      </x:c>
      <x:c r="P376" s="235"/>
      <x:c r="Q376" s="235"/>
      <x:c r="R376" s="235" t="str">
        <x:v>INVOICE_OR_PLAN</x:v>
      </x:c>
      <x:c r="S376" s="238" t="n">
        <x:f>'Model_Calc'!BA66</x:f>
        <x:v>613.78932888</x:v>
      </x:c>
      <x:c r="T376" s="238" t="n">
        <x:f>ROUND(S376-O376,4)</x:f>
        <x:v>0</x:v>
      </x:c>
    </x:row>
    <x:row r="377">
      <x:c r="A377" s="187" t="str">
        <x:v>BUDGET_2026_V1</x:v>
      </x:c>
      <x:c r="B377" s="187" t="str">
        <x:v>BUDGET</x:v>
      </x:c>
      <x:c r="C377" s="187"/>
      <x:c r="D377" s="217" t="n">
        <x:v>46204</x:v>
      </x:c>
      <x:c r="E377" s="187" t="str">
        <x:v>R_DE_FR_B_ROAD</x:v>
      </x:c>
      <x:c r="F377" s="187" t="str">
        <x:v>DE</x:v>
      </x:c>
      <x:c r="G377" s="187" t="str">
        <x:v>FR_FC</x:v>
      </x:c>
      <x:c r="H377" s="187" t="str">
        <x:v>CARRIER_B</x:v>
      </x:c>
      <x:c r="I377" s="187" t="str">
        <x:v>ROAD</x:v>
      </x:c>
      <x:c r="J377" s="187" t="str">
        <x:v>BASE_FREIGHT</x:v>
      </x:c>
      <x:c r="K377" s="187" t="str">
        <x:v>EUR</x:v>
      </x:c>
      <x:c r="L377" s="232" t="n">
        <x:v>594.004752</x:v>
      </x:c>
      <x:c r="M377" s="232" t="n">
        <x:v>7.8</x:v>
      </x:c>
      <x:c r="N377" s="187" t="str">
        <x:v>4633.237065600000</x:v>
      </x:c>
      <x:c r="O377" s="235" t="n">
        <x:v>4633.2371</x:v>
      </x:c>
      <x:c r="P377" s="235"/>
      <x:c r="Q377" s="235"/>
      <x:c r="R377" s="235" t="str">
        <x:v>INVOICE_OR_PLAN</x:v>
      </x:c>
      <x:c r="S377" s="238" t="n">
        <x:f>'Model_Calc'!AF67</x:f>
        <x:v>4633.237065599999</x:v>
      </x:c>
      <x:c r="T377" s="238" t="n">
        <x:f>ROUND(S377-O377,4)</x:f>
        <x:v>0</x:v>
      </x:c>
    </x:row>
    <x:row r="378">
      <x:c r="A378" s="187" t="str">
        <x:v>BUDGET_2026_V1</x:v>
      </x:c>
      <x:c r="B378" s="187" t="str">
        <x:v>BUDGET</x:v>
      </x:c>
      <x:c r="C378" s="187"/>
      <x:c r="D378" s="217" t="n">
        <x:v>46204</x:v>
      </x:c>
      <x:c r="E378" s="187" t="str">
        <x:v>R_DE_FR_B_ROAD</x:v>
      </x:c>
      <x:c r="F378" s="187" t="str">
        <x:v>DE</x:v>
      </x:c>
      <x:c r="G378" s="187" t="str">
        <x:v>FR_FC</x:v>
      </x:c>
      <x:c r="H378" s="187" t="str">
        <x:v>CARRIER_B</x:v>
      </x:c>
      <x:c r="I378" s="187" t="str">
        <x:v>ROAD</x:v>
      </x:c>
      <x:c r="J378" s="187" t="str">
        <x:v>FUEL_SURCHARGE</x:v>
      </x:c>
      <x:c r="K378" s="187" t="str">
        <x:v>EUR</x:v>
      </x:c>
      <x:c r="L378" s="232" t="n">
        <x:v>43.2003456</x:v>
      </x:c>
      <x:c r="M378" s="232" t="n">
        <x:v>7.8</x:v>
      </x:c>
      <x:c r="N378" s="187" t="str">
        <x:v>336.962695680000</x:v>
      </x:c>
      <x:c r="O378" s="235" t="n">
        <x:v>336.9627</x:v>
      </x:c>
      <x:c r="P378" s="235"/>
      <x:c r="Q378" s="235"/>
      <x:c r="R378" s="235" t="str">
        <x:v>INVOICE_OR_PLAN</x:v>
      </x:c>
      <x:c r="S378" s="238" t="n">
        <x:f>'Model_Calc'!AG67</x:f>
        <x:v>336.96269567999997</x:v>
      </x:c>
      <x:c r="T378" s="238" t="n">
        <x:f>ROUND(S378-O378,4)</x:f>
        <x:v>0</x:v>
      </x:c>
    </x:row>
    <x:row r="379">
      <x:c r="A379" s="187" t="str">
        <x:v>BUDGET_2026_V1</x:v>
      </x:c>
      <x:c r="B379" s="187" t="str">
        <x:v>BUDGET</x:v>
      </x:c>
      <x:c r="C379" s="187"/>
      <x:c r="D379" s="217" t="n">
        <x:v>46204</x:v>
      </x:c>
      <x:c r="E379" s="187" t="str">
        <x:v>R_DE_FR_B_ROAD</x:v>
      </x:c>
      <x:c r="F379" s="187" t="str">
        <x:v>DE</x:v>
      </x:c>
      <x:c r="G379" s="187" t="str">
        <x:v>FR_FC</x:v>
      </x:c>
      <x:c r="H379" s="187" t="str">
        <x:v>CARRIER_B</x:v>
      </x:c>
      <x:c r="I379" s="187" t="str">
        <x:v>ROAD</x:v>
      </x:c>
      <x:c r="J379" s="187" t="str">
        <x:v>WAREHOUSE_OPERATION</x:v>
      </x:c>
      <x:c r="K379" s="187" t="str">
        <x:v>EUR</x:v>
      </x:c>
      <x:c r="L379" s="232" t="n">
        <x:v>203.49</x:v>
      </x:c>
      <x:c r="M379" s="232" t="n">
        <x:v>7.8</x:v>
      </x:c>
      <x:c r="N379" s="187" t="str">
        <x:v>1587.22200000</x:v>
      </x:c>
      <x:c r="O379" s="235" t="n">
        <x:v>1587.222</x:v>
      </x:c>
      <x:c r="P379" s="235"/>
      <x:c r="Q379" s="235"/>
      <x:c r="R379" s="235" t="str">
        <x:v>INVOICE_OR_PLAN</x:v>
      </x:c>
      <x:c r="S379" s="238" t="n">
        <x:f>'Model_Calc'!AL67</x:f>
        <x:v>1587.2219999999998</x:v>
      </x:c>
      <x:c r="T379" s="238" t="n">
        <x:f>ROUND(S379-O379,4)</x:f>
        <x:v>0</x:v>
      </x:c>
    </x:row>
    <x:row r="380">
      <x:c r="A380" s="187" t="str">
        <x:v>BUDGET_2026_V1</x:v>
      </x:c>
      <x:c r="B380" s="187" t="str">
        <x:v>BUDGET</x:v>
      </x:c>
      <x:c r="C380" s="187"/>
      <x:c r="D380" s="217" t="n">
        <x:v>46204</x:v>
      </x:c>
      <x:c r="E380" s="187" t="str">
        <x:v>R_DE_FR_B_ROAD</x:v>
      </x:c>
      <x:c r="F380" s="187" t="str">
        <x:v>DE</x:v>
      </x:c>
      <x:c r="G380" s="187" t="str">
        <x:v>FR_FC</x:v>
      </x:c>
      <x:c r="H380" s="187" t="str">
        <x:v>CARRIER_B</x:v>
      </x:c>
      <x:c r="I380" s="187" t="str">
        <x:v>ROAD</x:v>
      </x:c>
      <x:c r="J380" s="187" t="str">
        <x:v>PACKAGING</x:v>
      </x:c>
      <x:c r="K380" s="187" t="str">
        <x:v>EUR</x:v>
      </x:c>
      <x:c r="L380" s="232" t="n">
        <x:v>79.53552</x:v>
      </x:c>
      <x:c r="M380" s="232" t="n">
        <x:v>7.8</x:v>
      </x:c>
      <x:c r="N380" s="187" t="str">
        <x:v>620.3770560000</x:v>
      </x:c>
      <x:c r="O380" s="235" t="n">
        <x:v>620.3771</x:v>
      </x:c>
      <x:c r="P380" s="235"/>
      <x:c r="Q380" s="235"/>
      <x:c r="R380" s="235" t="str">
        <x:v>INVOICE_OR_PLAN</x:v>
      </x:c>
      <x:c r="S380" s="238" t="n">
        <x:f>'Model_Calc'!AQ67</x:f>
        <x:v>620.377056</x:v>
      </x:c>
      <x:c r="T380" s="238" t="n">
        <x:f>ROUND(S380-O380,4)</x:f>
        <x:v>0</x:v>
      </x:c>
    </x:row>
    <x:row r="381">
      <x:c r="A381" s="187" t="str">
        <x:v>BUDGET_2026_V1</x:v>
      </x:c>
      <x:c r="B381" s="187" t="str">
        <x:v>BUDGET</x:v>
      </x:c>
      <x:c r="C381" s="187"/>
      <x:c r="D381" s="217" t="n">
        <x:v>46204</x:v>
      </x:c>
      <x:c r="E381" s="187" t="str">
        <x:v>R_DE_FR_B_ROAD</x:v>
      </x:c>
      <x:c r="F381" s="187" t="str">
        <x:v>DE</x:v>
      </x:c>
      <x:c r="G381" s="187" t="str">
        <x:v>FR_FC</x:v>
      </x:c>
      <x:c r="H381" s="187" t="str">
        <x:v>CARRIER_B</x:v>
      </x:c>
      <x:c r="I381" s="187" t="str">
        <x:v>ROAD</x:v>
      </x:c>
      <x:c r="J381" s="187" t="str">
        <x:v>RETURN_LOGISTICS</x:v>
      </x:c>
      <x:c r="K381" s="187" t="str">
        <x:v>EUR</x:v>
      </x:c>
      <x:c r="L381" s="232" t="n">
        <x:v>36.822</x:v>
      </x:c>
      <x:c r="M381" s="232" t="n">
        <x:v>7.8</x:v>
      </x:c>
      <x:c r="N381" s="187" t="str">
        <x:v>287.21160000000</x:v>
      </x:c>
      <x:c r="O381" s="235" t="n">
        <x:v>287.2116</x:v>
      </x:c>
      <x:c r="P381" s="235"/>
      <x:c r="Q381" s="235"/>
      <x:c r="R381" s="235" t="str">
        <x:v>INVOICE_OR_PLAN</x:v>
      </x:c>
      <x:c r="S381" s="238" t="n">
        <x:f>'Model_Calc'!AV67</x:f>
        <x:v>287.2116</x:v>
      </x:c>
      <x:c r="T381" s="238" t="n">
        <x:f>ROUND(S381-O381,4)</x:f>
        <x:v>0</x:v>
      </x:c>
    </x:row>
    <x:row r="382">
      <x:c r="A382" s="187" t="str">
        <x:v>BUDGET_2026_V1</x:v>
      </x:c>
      <x:c r="B382" s="187" t="str">
        <x:v>BUDGET</x:v>
      </x:c>
      <x:c r="C382" s="187"/>
      <x:c r="D382" s="217" t="n">
        <x:v>46204</x:v>
      </x:c>
      <x:c r="E382" s="187" t="str">
        <x:v>R_DE_FR_B_ROAD</x:v>
      </x:c>
      <x:c r="F382" s="187" t="str">
        <x:v>DE</x:v>
      </x:c>
      <x:c r="G382" s="187" t="str">
        <x:v>FR_FC</x:v>
      </x:c>
      <x:c r="H382" s="187" t="str">
        <x:v>CARRIER_B</x:v>
      </x:c>
      <x:c r="I382" s="187" t="str">
        <x:v>ROAD</x:v>
      </x:c>
      <x:c r="J382" s="187" t="str">
        <x:v>BILLABLE_EXCEPTION</x:v>
      </x:c>
      <x:c r="K382" s="187" t="str">
        <x:v>EUR</x:v>
      </x:c>
      <x:c r="L382" s="232" t="n">
        <x:v>6.7395888</x:v>
      </x:c>
      <x:c r="M382" s="232" t="n">
        <x:v>7.8</x:v>
      </x:c>
      <x:c r="N382" s="187" t="str">
        <x:v>52.5687926400000</x:v>
      </x:c>
      <x:c r="O382" s="235" t="n">
        <x:v>52.5688</x:v>
      </x:c>
      <x:c r="P382" s="235"/>
      <x:c r="Q382" s="235"/>
      <x:c r="R382" s="235" t="str">
        <x:v>INVOICE_OR_PLAN</x:v>
      </x:c>
      <x:c r="S382" s="238" t="n">
        <x:f>'Model_Calc'!BA67</x:f>
        <x:v>52.56879263999999</x:v>
      </x:c>
      <x:c r="T382" s="238" t="n">
        <x:f>ROUND(S382-O382,4)</x:f>
        <x:v>0</x:v>
      </x:c>
    </x:row>
    <x:row r="383">
      <x:c r="A383" s="187" t="str">
        <x:v>BUDGET_2026_V1</x:v>
      </x:c>
      <x:c r="B383" s="187" t="str">
        <x:v>BUDGET</x:v>
      </x:c>
      <x:c r="C383" s="187"/>
      <x:c r="D383" s="217" t="n">
        <x:v>46204</x:v>
      </x:c>
      <x:c r="E383" s="187" t="str">
        <x:v>R_FR_FR_A_ROAD</x:v>
      </x:c>
      <x:c r="F383" s="187" t="str">
        <x:v>FR</x:v>
      </x:c>
      <x:c r="G383" s="187" t="str">
        <x:v>FR_FC</x:v>
      </x:c>
      <x:c r="H383" s="187" t="str">
        <x:v>CARRIER_A</x:v>
      </x:c>
      <x:c r="I383" s="187" t="str">
        <x:v>ROAD</x:v>
      </x:c>
      <x:c r="J383" s="187" t="str">
        <x:v>BASE_FREIGHT</x:v>
      </x:c>
      <x:c r="K383" s="187" t="str">
        <x:v>EUR</x:v>
      </x:c>
      <x:c r="L383" s="232" t="n">
        <x:v>3221.11104</x:v>
      </x:c>
      <x:c r="M383" s="232" t="n">
        <x:v>7.8</x:v>
      </x:c>
      <x:c r="N383" s="187" t="str">
        <x:v>25124.666112000000</x:v>
      </x:c>
      <x:c r="O383" s="235" t="n">
        <x:v>25124.6661</x:v>
      </x:c>
      <x:c r="P383" s="235"/>
      <x:c r="Q383" s="235"/>
      <x:c r="R383" s="235" t="str">
        <x:v>INVOICE_OR_PLAN</x:v>
      </x:c>
      <x:c r="S383" s="238" t="n">
        <x:f>'Model_Calc'!AF68</x:f>
        <x:v>25124.666112</x:v>
      </x:c>
      <x:c r="T383" s="238" t="n">
        <x:f>ROUND(S383-O383,4)</x:f>
        <x:v>0</x:v>
      </x:c>
    </x:row>
    <x:row r="384">
      <x:c r="A384" s="187" t="str">
        <x:v>BUDGET_2026_V1</x:v>
      </x:c>
      <x:c r="B384" s="187" t="str">
        <x:v>BUDGET</x:v>
      </x:c>
      <x:c r="C384" s="187"/>
      <x:c r="D384" s="217" t="n">
        <x:v>46204</x:v>
      </x:c>
      <x:c r="E384" s="187" t="str">
        <x:v>R_FR_FR_A_ROAD</x:v>
      </x:c>
      <x:c r="F384" s="187" t="str">
        <x:v>FR</x:v>
      </x:c>
      <x:c r="G384" s="187" t="str">
        <x:v>FR_FC</x:v>
      </x:c>
      <x:c r="H384" s="187" t="str">
        <x:v>CARRIER_A</x:v>
      </x:c>
      <x:c r="I384" s="187" t="str">
        <x:v>ROAD</x:v>
      </x:c>
      <x:c r="J384" s="187" t="str">
        <x:v>FUEL_SURCHARGE</x:v>
      </x:c>
      <x:c r="K384" s="187" t="str">
        <x:v>EUR</x:v>
      </x:c>
      <x:c r="L384" s="232" t="n">
        <x:v>289.8999936</x:v>
      </x:c>
      <x:c r="M384" s="232" t="n">
        <x:v>7.8</x:v>
      </x:c>
      <x:c r="N384" s="187" t="str">
        <x:v>2261.219950080000000</x:v>
      </x:c>
      <x:c r="O384" s="235" t="n">
        <x:v>2261.22</x:v>
      </x:c>
      <x:c r="P384" s="235"/>
      <x:c r="Q384" s="235"/>
      <x:c r="R384" s="235" t="str">
        <x:v>INVOICE_OR_PLAN</x:v>
      </x:c>
      <x:c r="S384" s="238" t="n">
        <x:f>'Model_Calc'!AG68</x:f>
        <x:v>2261.2199500799998</x:v>
      </x:c>
      <x:c r="T384" s="238" t="n">
        <x:f>ROUND(S384-O384,4)</x:f>
        <x:v>0</x:v>
      </x:c>
    </x:row>
    <x:row r="385">
      <x:c r="A385" s="187" t="str">
        <x:v>BUDGET_2026_V1</x:v>
      </x:c>
      <x:c r="B385" s="187" t="str">
        <x:v>BUDGET</x:v>
      </x:c>
      <x:c r="C385" s="187"/>
      <x:c r="D385" s="217" t="n">
        <x:v>46204</x:v>
      </x:c>
      <x:c r="E385" s="187" t="str">
        <x:v>R_FR_FR_A_ROAD</x:v>
      </x:c>
      <x:c r="F385" s="187" t="str">
        <x:v>FR</x:v>
      </x:c>
      <x:c r="G385" s="187" t="str">
        <x:v>FR_FC</x:v>
      </x:c>
      <x:c r="H385" s="187" t="str">
        <x:v>CARRIER_A</x:v>
      </x:c>
      <x:c r="I385" s="187" t="str">
        <x:v>ROAD</x:v>
      </x:c>
      <x:c r="J385" s="187" t="str">
        <x:v>WAREHOUSE_OPERATION</x:v>
      </x:c>
      <x:c r="K385" s="187" t="str">
        <x:v>EUR</x:v>
      </x:c>
      <x:c r="L385" s="232" t="n">
        <x:v>1999.2</x:v>
      </x:c>
      <x:c r="M385" s="232" t="n">
        <x:v>7.8</x:v>
      </x:c>
      <x:c r="N385" s="187" t="str">
        <x:v>15593.76000000</x:v>
      </x:c>
      <x:c r="O385" s="235" t="n">
        <x:v>15593.76</x:v>
      </x:c>
      <x:c r="P385" s="235"/>
      <x:c r="Q385" s="235"/>
      <x:c r="R385" s="235" t="str">
        <x:v>INVOICE_OR_PLAN</x:v>
      </x:c>
      <x:c r="S385" s="238" t="n">
        <x:f>'Model_Calc'!AL68</x:f>
        <x:v>15593.759999999998</x:v>
      </x:c>
      <x:c r="T385" s="238" t="n">
        <x:f>ROUND(S385-O385,4)</x:f>
        <x:v>0</x:v>
      </x:c>
    </x:row>
    <x:row r="386">
      <x:c r="A386" s="187" t="str">
        <x:v>BUDGET_2026_V1</x:v>
      </x:c>
      <x:c r="B386" s="187" t="str">
        <x:v>BUDGET</x:v>
      </x:c>
      <x:c r="C386" s="187"/>
      <x:c r="D386" s="217" t="n">
        <x:v>46204</x:v>
      </x:c>
      <x:c r="E386" s="187" t="str">
        <x:v>R_FR_FR_A_ROAD</x:v>
      </x:c>
      <x:c r="F386" s="187" t="str">
        <x:v>FR</x:v>
      </x:c>
      <x:c r="G386" s="187" t="str">
        <x:v>FR_FC</x:v>
      </x:c>
      <x:c r="H386" s="187" t="str">
        <x:v>CARRIER_A</x:v>
      </x:c>
      <x:c r="I386" s="187" t="str">
        <x:v>ROAD</x:v>
      </x:c>
      <x:c r="J386" s="187" t="str">
        <x:v>PACKAGING</x:v>
      </x:c>
      <x:c r="K386" s="187" t="str">
        <x:v>EUR</x:v>
      </x:c>
      <x:c r="L386" s="232" t="n">
        <x:v>766.9312</x:v>
      </x:c>
      <x:c r="M386" s="232" t="n">
        <x:v>7.8</x:v>
      </x:c>
      <x:c r="N386" s="187" t="str">
        <x:v>5982.0633600000</x:v>
      </x:c>
      <x:c r="O386" s="235" t="n">
        <x:v>5982.0634</x:v>
      </x:c>
      <x:c r="P386" s="235"/>
      <x:c r="Q386" s="235"/>
      <x:c r="R386" s="235" t="str">
        <x:v>INVOICE_OR_PLAN</x:v>
      </x:c>
      <x:c r="S386" s="238" t="n">
        <x:f>'Model_Calc'!AQ68</x:f>
        <x:v>5982.063359999999</x:v>
      </x:c>
      <x:c r="T386" s="238" t="n">
        <x:f>ROUND(S386-O386,4)</x:f>
        <x:v>0</x:v>
      </x:c>
    </x:row>
    <x:row r="387">
      <x:c r="A387" s="187" t="str">
        <x:v>BUDGET_2026_V1</x:v>
      </x:c>
      <x:c r="B387" s="187" t="str">
        <x:v>BUDGET</x:v>
      </x:c>
      <x:c r="C387" s="187"/>
      <x:c r="D387" s="217" t="n">
        <x:v>46204</x:v>
      </x:c>
      <x:c r="E387" s="187" t="str">
        <x:v>R_FR_FR_A_ROAD</x:v>
      </x:c>
      <x:c r="F387" s="187" t="str">
        <x:v>FR</x:v>
      </x:c>
      <x:c r="G387" s="187" t="str">
        <x:v>FR_FC</x:v>
      </x:c>
      <x:c r="H387" s="187" t="str">
        <x:v>CARRIER_A</x:v>
      </x:c>
      <x:c r="I387" s="187" t="str">
        <x:v>ROAD</x:v>
      </x:c>
      <x:c r="J387" s="187" t="str">
        <x:v>RETURN_LOGISTICS</x:v>
      </x:c>
      <x:c r="K387" s="187" t="str">
        <x:v>EUR</x:v>
      </x:c>
      <x:c r="L387" s="232" t="n">
        <x:v>342.72</x:v>
      </x:c>
      <x:c r="M387" s="232" t="n">
        <x:v>7.8</x:v>
      </x:c>
      <x:c r="N387" s="187" t="str">
        <x:v>2673.21600000000</x:v>
      </x:c>
      <x:c r="O387" s="235" t="n">
        <x:v>2673.216</x:v>
      </x:c>
      <x:c r="P387" s="235"/>
      <x:c r="Q387" s="235"/>
      <x:c r="R387" s="235" t="str">
        <x:v>INVOICE_OR_PLAN</x:v>
      </x:c>
      <x:c r="S387" s="238" t="n">
        <x:f>'Model_Calc'!AV68</x:f>
        <x:v>2673.2159999999994</x:v>
      </x:c>
      <x:c r="T387" s="238" t="n">
        <x:f>ROUND(S387-O387,4)</x:f>
        <x:v>0</x:v>
      </x:c>
    </x:row>
    <x:row r="388">
      <x:c r="A388" s="187" t="str">
        <x:v>BUDGET_2026_V1</x:v>
      </x:c>
      <x:c r="B388" s="187" t="str">
        <x:v>BUDGET</x:v>
      </x:c>
      <x:c r="C388" s="187"/>
      <x:c r="D388" s="217" t="n">
        <x:v>46204</x:v>
      </x:c>
      <x:c r="E388" s="187" t="str">
        <x:v>R_FR_FR_A_ROAD</x:v>
      </x:c>
      <x:c r="F388" s="187" t="str">
        <x:v>FR</x:v>
      </x:c>
      <x:c r="G388" s="187" t="str">
        <x:v>FR_FC</x:v>
      </x:c>
      <x:c r="H388" s="187" t="str">
        <x:v>CARRIER_A</x:v>
      </x:c>
      <x:c r="I388" s="187" t="str">
        <x:v>ROAD</x:v>
      </x:c>
      <x:c r="J388" s="187" t="str">
        <x:v>BILLABLE_EXCEPTION</x:v>
      </x:c>
      <x:c r="K388" s="187" t="str">
        <x:v>EUR</x:v>
      </x:c>
      <x:c r="L388" s="232" t="n">
        <x:v>78.913184</x:v>
      </x:c>
      <x:c r="M388" s="232" t="n">
        <x:v>7.8</x:v>
      </x:c>
      <x:c r="N388" s="187" t="str">
        <x:v>615.5228352000000</x:v>
      </x:c>
      <x:c r="O388" s="235" t="n">
        <x:v>615.5228</x:v>
      </x:c>
      <x:c r="P388" s="235"/>
      <x:c r="Q388" s="235"/>
      <x:c r="R388" s="235" t="str">
        <x:v>INVOICE_OR_PLAN</x:v>
      </x:c>
      <x:c r="S388" s="238" t="n">
        <x:f>'Model_Calc'!BA68</x:f>
        <x:v>615.5228351999999</x:v>
      </x:c>
      <x:c r="T388" s="238" t="n">
        <x:f>ROUND(S388-O388,4)</x:f>
        <x:v>0</x:v>
      </x:c>
    </x:row>
    <x:row r="389">
      <x:c r="A389" s="187" t="str">
        <x:v>BUDGET_2026_V1</x:v>
      </x:c>
      <x:c r="B389" s="187" t="str">
        <x:v>BUDGET</x:v>
      </x:c>
      <x:c r="C389" s="187"/>
      <x:c r="D389" s="217" t="n">
        <x:v>46204</x:v>
      </x:c>
      <x:c r="E389" s="187" t="str">
        <x:v>R_FR_FR_B_ROAD</x:v>
      </x:c>
      <x:c r="F389" s="187" t="str">
        <x:v>FR</x:v>
      </x:c>
      <x:c r="G389" s="187" t="str">
        <x:v>FR_FC</x:v>
      </x:c>
      <x:c r="H389" s="187" t="str">
        <x:v>CARRIER_B</x:v>
      </x:c>
      <x:c r="I389" s="187" t="str">
        <x:v>ROAD</x:v>
      </x:c>
      <x:c r="J389" s="187" t="str">
        <x:v>BASE_FREIGHT</x:v>
      </x:c>
      <x:c r="K389" s="187" t="str">
        <x:v>EUR</x:v>
      </x:c>
      <x:c r="L389" s="232" t="n">
        <x:v>7698.72064</x:v>
      </x:c>
      <x:c r="M389" s="232" t="n">
        <x:v>7.8</x:v>
      </x:c>
      <x:c r="N389" s="187" t="str">
        <x:v>60050.020992000000</x:v>
      </x:c>
      <x:c r="O389" s="235" t="n">
        <x:v>60050.021</x:v>
      </x:c>
      <x:c r="P389" s="235"/>
      <x:c r="Q389" s="235"/>
      <x:c r="R389" s="235" t="str">
        <x:v>INVOICE_OR_PLAN</x:v>
      </x:c>
      <x:c r="S389" s="238" t="n">
        <x:f>'Model_Calc'!AF69</x:f>
        <x:v>60050.020992000005</x:v>
      </x:c>
      <x:c r="T389" s="238" t="n">
        <x:f>ROUND(S389-O389,4)</x:f>
        <x:v>0</x:v>
      </x:c>
    </x:row>
    <x:row r="390">
      <x:c r="A390" s="187" t="str">
        <x:v>BUDGET_2026_V1</x:v>
      </x:c>
      <x:c r="B390" s="187" t="str">
        <x:v>BUDGET</x:v>
      </x:c>
      <x:c r="C390" s="187"/>
      <x:c r="D390" s="217" t="n">
        <x:v>46204</x:v>
      </x:c>
      <x:c r="E390" s="187" t="str">
        <x:v>R_FR_FR_B_ROAD</x:v>
      </x:c>
      <x:c r="F390" s="187" t="str">
        <x:v>FR</x:v>
      </x:c>
      <x:c r="G390" s="187" t="str">
        <x:v>FR_FC</x:v>
      </x:c>
      <x:c r="H390" s="187" t="str">
        <x:v>CARRIER_B</x:v>
      </x:c>
      <x:c r="I390" s="187" t="str">
        <x:v>ROAD</x:v>
      </x:c>
      <x:c r="J390" s="187" t="str">
        <x:v>FUEL_SURCHARGE</x:v>
      </x:c>
      <x:c r="K390" s="187" t="str">
        <x:v>EUR</x:v>
      </x:c>
      <x:c r="L390" s="232" t="n">
        <x:v>592.20928</x:v>
      </x:c>
      <x:c r="M390" s="232" t="n">
        <x:v>7.8</x:v>
      </x:c>
      <x:c r="N390" s="187" t="str">
        <x:v>4619.232384000000</x:v>
      </x:c>
      <x:c r="O390" s="235" t="n">
        <x:v>4619.2324</x:v>
      </x:c>
      <x:c r="P390" s="235"/>
      <x:c r="Q390" s="235"/>
      <x:c r="R390" s="235" t="str">
        <x:v>INVOICE_OR_PLAN</x:v>
      </x:c>
      <x:c r="S390" s="238" t="n">
        <x:f>'Model_Calc'!AG69</x:f>
        <x:v>4619.232384</x:v>
      </x:c>
      <x:c r="T390" s="238" t="n">
        <x:f>ROUND(S390-O390,4)</x:f>
        <x:v>0</x:v>
      </x:c>
    </x:row>
    <x:row r="391">
      <x:c r="A391" s="187" t="str">
        <x:v>BUDGET_2026_V1</x:v>
      </x:c>
      <x:c r="B391" s="187" t="str">
        <x:v>BUDGET</x:v>
      </x:c>
      <x:c r="C391" s="187"/>
      <x:c r="D391" s="217" t="n">
        <x:v>46204</x:v>
      </x:c>
      <x:c r="E391" s="187" t="str">
        <x:v>R_FR_FR_B_ROAD</x:v>
      </x:c>
      <x:c r="F391" s="187" t="str">
        <x:v>FR</x:v>
      </x:c>
      <x:c r="G391" s="187" t="str">
        <x:v>FR_FC</x:v>
      </x:c>
      <x:c r="H391" s="187" t="str">
        <x:v>CARRIER_B</x:v>
      </x:c>
      <x:c r="I391" s="187" t="str">
        <x:v>ROAD</x:v>
      </x:c>
      <x:c r="J391" s="187" t="str">
        <x:v>WAREHOUSE_OPERATION</x:v>
      </x:c>
      <x:c r="K391" s="187" t="str">
        <x:v>EUR</x:v>
      </x:c>
      <x:c r="L391" s="232" t="n">
        <x:v>3712.8</x:v>
      </x:c>
      <x:c r="M391" s="232" t="n">
        <x:v>7.8</x:v>
      </x:c>
      <x:c r="N391" s="187" t="str">
        <x:v>28959.84000000</x:v>
      </x:c>
      <x:c r="O391" s="235" t="n">
        <x:v>28959.84</x:v>
      </x:c>
      <x:c r="P391" s="235"/>
      <x:c r="Q391" s="235"/>
      <x:c r="R391" s="235" t="str">
        <x:v>INVOICE_OR_PLAN</x:v>
      </x:c>
      <x:c r="S391" s="238" t="n">
        <x:f>'Model_Calc'!AL69</x:f>
        <x:v>28959.84</x:v>
      </x:c>
      <x:c r="T391" s="238" t="n">
        <x:f>ROUND(S391-O391,4)</x:f>
        <x:v>0</x:v>
      </x:c>
    </x:row>
    <x:row r="392">
      <x:c r="A392" s="187" t="str">
        <x:v>BUDGET_2026_V1</x:v>
      </x:c>
      <x:c r="B392" s="187" t="str">
        <x:v>BUDGET</x:v>
      </x:c>
      <x:c r="C392" s="187"/>
      <x:c r="D392" s="217" t="n">
        <x:v>46204</x:v>
      </x:c>
      <x:c r="E392" s="187" t="str">
        <x:v>R_FR_FR_B_ROAD</x:v>
      </x:c>
      <x:c r="F392" s="187" t="str">
        <x:v>FR</x:v>
      </x:c>
      <x:c r="G392" s="187" t="str">
        <x:v>FR_FC</x:v>
      </x:c>
      <x:c r="H392" s="187" t="str">
        <x:v>CARRIER_B</x:v>
      </x:c>
      <x:c r="I392" s="187" t="str">
        <x:v>ROAD</x:v>
      </x:c>
      <x:c r="J392" s="187" t="str">
        <x:v>PACKAGING</x:v>
      </x:c>
      <x:c r="K392" s="187" t="str">
        <x:v>EUR</x:v>
      </x:c>
      <x:c r="L392" s="232" t="n">
        <x:v>1424.3008</x:v>
      </x:c>
      <x:c r="M392" s="232" t="n">
        <x:v>7.8</x:v>
      </x:c>
      <x:c r="N392" s="187" t="str">
        <x:v>11109.5462400000</x:v>
      </x:c>
      <x:c r="O392" s="235" t="n">
        <x:v>11109.5462</x:v>
      </x:c>
      <x:c r="P392" s="235"/>
      <x:c r="Q392" s="235"/>
      <x:c r="R392" s="235" t="str">
        <x:v>INVOICE_OR_PLAN</x:v>
      </x:c>
      <x:c r="S392" s="238" t="n">
        <x:f>'Model_Calc'!AQ69</x:f>
        <x:v>11109.546240000001</x:v>
      </x:c>
      <x:c r="T392" s="238" t="n">
        <x:f>ROUND(S392-O392,4)</x:f>
        <x:v>0</x:v>
      </x:c>
    </x:row>
    <x:row r="393">
      <x:c r="A393" s="187" t="str">
        <x:v>BUDGET_2026_V1</x:v>
      </x:c>
      <x:c r="B393" s="187" t="str">
        <x:v>BUDGET</x:v>
      </x:c>
      <x:c r="C393" s="187"/>
      <x:c r="D393" s="217" t="n">
        <x:v>46204</x:v>
      </x:c>
      <x:c r="E393" s="187" t="str">
        <x:v>R_FR_FR_B_ROAD</x:v>
      </x:c>
      <x:c r="F393" s="187" t="str">
        <x:v>FR</x:v>
      </x:c>
      <x:c r="G393" s="187" t="str">
        <x:v>FR_FC</x:v>
      </x:c>
      <x:c r="H393" s="187" t="str">
        <x:v>CARRIER_B</x:v>
      </x:c>
      <x:c r="I393" s="187" t="str">
        <x:v>ROAD</x:v>
      </x:c>
      <x:c r="J393" s="187" t="str">
        <x:v>RETURN_LOGISTICS</x:v>
      </x:c>
      <x:c r="K393" s="187" t="str">
        <x:v>EUR</x:v>
      </x:c>
      <x:c r="L393" s="232" t="n">
        <x:v>636.48</x:v>
      </x:c>
      <x:c r="M393" s="232" t="n">
        <x:v>7.8</x:v>
      </x:c>
      <x:c r="N393" s="187" t="str">
        <x:v>4964.54400000000</x:v>
      </x:c>
      <x:c r="O393" s="235" t="n">
        <x:v>4964.544</x:v>
      </x:c>
      <x:c r="P393" s="235"/>
      <x:c r="Q393" s="235"/>
      <x:c r="R393" s="235" t="str">
        <x:v>INVOICE_OR_PLAN</x:v>
      </x:c>
      <x:c r="S393" s="238" t="n">
        <x:f>'Model_Calc'!AV69</x:f>
        <x:v>4964.544</x:v>
      </x:c>
      <x:c r="T393" s="238" t="n">
        <x:f>ROUND(S393-O393,4)</x:f>
        <x:v>0</x:v>
      </x:c>
    </x:row>
    <x:row r="394">
      <x:c r="A394" s="187" t="str">
        <x:v>BUDGET_2026_V1</x:v>
      </x:c>
      <x:c r="B394" s="187" t="str">
        <x:v>BUDGET</x:v>
      </x:c>
      <x:c r="C394" s="187"/>
      <x:c r="D394" s="217" t="n">
        <x:v>46204</x:v>
      </x:c>
      <x:c r="E394" s="187" t="str">
        <x:v>R_FR_FR_B_ROAD</x:v>
      </x:c>
      <x:c r="F394" s="187" t="str">
        <x:v>FR</x:v>
      </x:c>
      <x:c r="G394" s="187" t="str">
        <x:v>FR_FC</x:v>
      </x:c>
      <x:c r="H394" s="187" t="str">
        <x:v>CARRIER_B</x:v>
      </x:c>
      <x:c r="I394" s="187" t="str">
        <x:v>ROAD</x:v>
      </x:c>
      <x:c r="J394" s="187" t="str">
        <x:v>BILLABLE_EXCEPTION</x:v>
      </x:c>
      <x:c r="K394" s="187" t="str">
        <x:v>EUR</x:v>
      </x:c>
      <x:c r="L394" s="232" t="n">
        <x:v>120.690752</x:v>
      </x:c>
      <x:c r="M394" s="232" t="n">
        <x:v>7.8</x:v>
      </x:c>
      <x:c r="N394" s="187" t="str">
        <x:v>941.3878656000000</x:v>
      </x:c>
      <x:c r="O394" s="235" t="n">
        <x:v>941.3879</x:v>
      </x:c>
      <x:c r="P394" s="235"/>
      <x:c r="Q394" s="235"/>
      <x:c r="R394" s="235" t="str">
        <x:v>INVOICE_OR_PLAN</x:v>
      </x:c>
      <x:c r="S394" s="238" t="n">
        <x:f>'Model_Calc'!BA69</x:f>
        <x:v>941.3878656000002</x:v>
      </x:c>
      <x:c r="T394" s="238" t="n">
        <x:f>ROUND(S394-O394,4)</x:f>
        <x:v>0</x:v>
      </x:c>
    </x:row>
    <x:row r="395">
      <x:c r="A395" s="187" t="str">
        <x:v>BUDGET_2026_V1</x:v>
      </x:c>
      <x:c r="B395" s="187" t="str">
        <x:v>BUDGET</x:v>
      </x:c>
      <x:c r="C395" s="187"/>
      <x:c r="D395" s="217" t="n">
        <x:v>46204</x:v>
      </x:c>
      <x:c r="E395" s="187" t="str">
        <x:v>R_GB_DE_A_ROAD</x:v>
      </x:c>
      <x:c r="F395" s="187" t="str">
        <x:v>GB</x:v>
      </x:c>
      <x:c r="G395" s="187" t="str">
        <x:v>DE_FC</x:v>
      </x:c>
      <x:c r="H395" s="187" t="str">
        <x:v>CARRIER_A</x:v>
      </x:c>
      <x:c r="I395" s="187" t="str">
        <x:v>ROAD</x:v>
      </x:c>
      <x:c r="J395" s="187" t="str">
        <x:v>BASE_FREIGHT</x:v>
      </x:c>
      <x:c r="K395" s="187" t="str">
        <x:v>GBP</x:v>
      </x:c>
      <x:c r="L395" s="232" t="n">
        <x:v>14542.29504</x:v>
      </x:c>
      <x:c r="M395" s="232" t="n">
        <x:v>9</x:v>
      </x:c>
      <x:c r="N395" s="187" t="str">
        <x:v>130880.65536000000000</x:v>
      </x:c>
      <x:c r="O395" s="235" t="n">
        <x:v>130880.6554</x:v>
      </x:c>
      <x:c r="P395" s="235"/>
      <x:c r="Q395" s="235"/>
      <x:c r="R395" s="235" t="str">
        <x:v>INVOICE_OR_PLAN</x:v>
      </x:c>
      <x:c r="S395" s="238" t="n">
        <x:f>'Model_Calc'!AF70</x:f>
        <x:v>130880.65536000002</x:v>
      </x:c>
      <x:c r="T395" s="238" t="n">
        <x:f>ROUND(S395-O395,4)</x:f>
        <x:v>0</x:v>
      </x:c>
    </x:row>
    <x:row r="396">
      <x:c r="A396" s="187" t="str">
        <x:v>BUDGET_2026_V1</x:v>
      </x:c>
      <x:c r="B396" s="187" t="str">
        <x:v>BUDGET</x:v>
      </x:c>
      <x:c r="C396" s="187"/>
      <x:c r="D396" s="217" t="n">
        <x:v>46204</x:v>
      </x:c>
      <x:c r="E396" s="187" t="str">
        <x:v>R_GB_DE_A_ROAD</x:v>
      </x:c>
      <x:c r="F396" s="187" t="str">
        <x:v>GB</x:v>
      </x:c>
      <x:c r="G396" s="187" t="str">
        <x:v>DE_FC</x:v>
      </x:c>
      <x:c r="H396" s="187" t="str">
        <x:v>CARRIER_A</x:v>
      </x:c>
      <x:c r="I396" s="187" t="str">
        <x:v>ROAD</x:v>
      </x:c>
      <x:c r="J396" s="187" t="str">
        <x:v>FUEL_SURCHARGE</x:v>
      </x:c>
      <x:c r="K396" s="187" t="str">
        <x:v>GBP</x:v>
      </x:c>
      <x:c r="L396" s="232" t="n">
        <x:v>1454.229504</x:v>
      </x:c>
      <x:c r="M396" s="232" t="n">
        <x:v>9</x:v>
      </x:c>
      <x:c r="N396" s="187" t="str">
        <x:v>13088.06553600000000000</x:v>
      </x:c>
      <x:c r="O396" s="235" t="n">
        <x:v>13088.0655</x:v>
      </x:c>
      <x:c r="P396" s="235"/>
      <x:c r="Q396" s="235"/>
      <x:c r="R396" s="235" t="str">
        <x:v>INVOICE_OR_PLAN</x:v>
      </x:c>
      <x:c r="S396" s="238" t="n">
        <x:f>'Model_Calc'!AG70</x:f>
        <x:v>13088.065536000004</x:v>
      </x:c>
      <x:c r="T396" s="238" t="n">
        <x:f>ROUND(S396-O396,4)</x:f>
        <x:v>0</x:v>
      </x:c>
    </x:row>
    <x:row r="397">
      <x:c r="A397" s="187" t="str">
        <x:v>BUDGET_2026_V1</x:v>
      </x:c>
      <x:c r="B397" s="187" t="str">
        <x:v>BUDGET</x:v>
      </x:c>
      <x:c r="C397" s="187"/>
      <x:c r="D397" s="217" t="n">
        <x:v>46204</x:v>
      </x:c>
      <x:c r="E397" s="187" t="str">
        <x:v>R_GB_DE_A_ROAD</x:v>
      </x:c>
      <x:c r="F397" s="187" t="str">
        <x:v>GB</x:v>
      </x:c>
      <x:c r="G397" s="187" t="str">
        <x:v>DE_FC</x:v>
      </x:c>
      <x:c r="H397" s="187" t="str">
        <x:v>CARRIER_A</x:v>
      </x:c>
      <x:c r="I397" s="187" t="str">
        <x:v>ROAD</x:v>
      </x:c>
      <x:c r="J397" s="187" t="str">
        <x:v>WAREHOUSE_OPERATION</x:v>
      </x:c>
      <x:c r="K397" s="187" t="str">
        <x:v>EUR</x:v>
      </x:c>
      <x:c r="L397" s="232" t="n">
        <x:v>3755.232</x:v>
      </x:c>
      <x:c r="M397" s="232" t="n">
        <x:v>7.8</x:v>
      </x:c>
      <x:c r="N397" s="187" t="str">
        <x:v>29290.8096000000</x:v>
      </x:c>
      <x:c r="O397" s="235" t="n">
        <x:v>29290.8096</x:v>
      </x:c>
      <x:c r="P397" s="235"/>
      <x:c r="Q397" s="235"/>
      <x:c r="R397" s="235" t="str">
        <x:v>INVOICE_OR_PLAN</x:v>
      </x:c>
      <x:c r="S397" s="238" t="n">
        <x:f>'Model_Calc'!AL70</x:f>
        <x:v>29290.8096</x:v>
      </x:c>
      <x:c r="T397" s="238" t="n">
        <x:f>ROUND(S397-O397,4)</x:f>
        <x:v>0</x:v>
      </x:c>
    </x:row>
    <x:row r="398">
      <x:c r="A398" s="187" t="str">
        <x:v>BUDGET_2026_V1</x:v>
      </x:c>
      <x:c r="B398" s="187" t="str">
        <x:v>BUDGET</x:v>
      </x:c>
      <x:c r="C398" s="187"/>
      <x:c r="D398" s="217" t="n">
        <x:v>46204</x:v>
      </x:c>
      <x:c r="E398" s="187" t="str">
        <x:v>R_GB_DE_A_ROAD</x:v>
      </x:c>
      <x:c r="F398" s="187" t="str">
        <x:v>GB</x:v>
      </x:c>
      <x:c r="G398" s="187" t="str">
        <x:v>DE_FC</x:v>
      </x:c>
      <x:c r="H398" s="187" t="str">
        <x:v>CARRIER_A</x:v>
      </x:c>
      <x:c r="I398" s="187" t="str">
        <x:v>ROAD</x:v>
      </x:c>
      <x:c r="J398" s="187" t="str">
        <x:v>PACKAGING</x:v>
      </x:c>
      <x:c r="K398" s="187" t="str">
        <x:v>EUR</x:v>
      </x:c>
      <x:c r="L398" s="232" t="n">
        <x:v>1497.00096</x:v>
      </x:c>
      <x:c r="M398" s="232" t="n">
        <x:v>7.8</x:v>
      </x:c>
      <x:c r="N398" s="187" t="str">
        <x:v>11676.607488000000</x:v>
      </x:c>
      <x:c r="O398" s="235" t="n">
        <x:v>11676.6075</x:v>
      </x:c>
      <x:c r="P398" s="235"/>
      <x:c r="Q398" s="235"/>
      <x:c r="R398" s="235" t="str">
        <x:v>INVOICE_OR_PLAN</x:v>
      </x:c>
      <x:c r="S398" s="238" t="n">
        <x:f>'Model_Calc'!AQ70</x:f>
        <x:v>11676.607488</x:v>
      </x:c>
      <x:c r="T398" s="238" t="n">
        <x:f>ROUND(S398-O398,4)</x:f>
        <x:v>0</x:v>
      </x:c>
    </x:row>
    <x:row r="399">
      <x:c r="A399" s="187" t="str">
        <x:v>BUDGET_2026_V1</x:v>
      </x:c>
      <x:c r="B399" s="187" t="str">
        <x:v>BUDGET</x:v>
      </x:c>
      <x:c r="C399" s="187"/>
      <x:c r="D399" s="217" t="n">
        <x:v>46204</x:v>
      </x:c>
      <x:c r="E399" s="187" t="str">
        <x:v>R_GB_DE_A_ROAD</x:v>
      </x:c>
      <x:c r="F399" s="187" t="str">
        <x:v>GB</x:v>
      </x:c>
      <x:c r="G399" s="187" t="str">
        <x:v>DE_FC</x:v>
      </x:c>
      <x:c r="H399" s="187" t="str">
        <x:v>CARRIER_A</x:v>
      </x:c>
      <x:c r="I399" s="187" t="str">
        <x:v>ROAD</x:v>
      </x:c>
      <x:c r="J399" s="187" t="str">
        <x:v>RETURN_LOGISTICS</x:v>
      </x:c>
      <x:c r="K399" s="187" t="str">
        <x:v>GBP</x:v>
      </x:c>
      <x:c r="L399" s="232" t="n">
        <x:v>1222.0416</x:v>
      </x:c>
      <x:c r="M399" s="232" t="n">
        <x:v>9</x:v>
      </x:c>
      <x:c r="N399" s="187" t="str">
        <x:v>10998.3744000000000</x:v>
      </x:c>
      <x:c r="O399" s="235" t="n">
        <x:v>10998.3744</x:v>
      </x:c>
      <x:c r="P399" s="235"/>
      <x:c r="Q399" s="235"/>
      <x:c r="R399" s="235" t="str">
        <x:v>INVOICE_OR_PLAN</x:v>
      </x:c>
      <x:c r="S399" s="238" t="n">
        <x:f>'Model_Calc'!AV70</x:f>
        <x:v>10998.3744</x:v>
      </x:c>
      <x:c r="T399" s="238" t="n">
        <x:f>ROUND(S399-O399,4)</x:f>
        <x:v>0</x:v>
      </x:c>
    </x:row>
    <x:row r="400">
      <x:c r="A400" s="187" t="str">
        <x:v>BUDGET_2026_V1</x:v>
      </x:c>
      <x:c r="B400" s="187" t="str">
        <x:v>BUDGET</x:v>
      </x:c>
      <x:c r="C400" s="187"/>
      <x:c r="D400" s="217" t="n">
        <x:v>46204</x:v>
      </x:c>
      <x:c r="E400" s="187" t="str">
        <x:v>R_GB_DE_A_ROAD</x:v>
      </x:c>
      <x:c r="F400" s="187" t="str">
        <x:v>GB</x:v>
      </x:c>
      <x:c r="G400" s="187" t="str">
        <x:v>DE_FC</x:v>
      </x:c>
      <x:c r="H400" s="187" t="str">
        <x:v>CARRIER_A</x:v>
      </x:c>
      <x:c r="I400" s="187" t="str">
        <x:v>ROAD</x:v>
      </x:c>
      <x:c r="J400" s="187" t="str">
        <x:v>BILLABLE_EXCEPTION</x:v>
      </x:c>
      <x:c r="K400" s="187" t="str">
        <x:v>GBP</x:v>
      </x:c>
      <x:c r="L400" s="232" t="n">
        <x:v>180.3529728</x:v>
      </x:c>
      <x:c r="M400" s="232" t="n">
        <x:v>9</x:v>
      </x:c>
      <x:c r="N400" s="187" t="str">
        <x:v>1623.176755200000000</x:v>
      </x:c>
      <x:c r="O400" s="235" t="n">
        <x:v>1623.1768</x:v>
      </x:c>
      <x:c r="P400" s="235"/>
      <x:c r="Q400" s="235"/>
      <x:c r="R400" s="235" t="str">
        <x:v>INVOICE_OR_PLAN</x:v>
      </x:c>
      <x:c r="S400" s="238" t="n">
        <x:f>'Model_Calc'!BA70</x:f>
        <x:v>1623.1767552000001</x:v>
      </x:c>
      <x:c r="T400" s="238" t="n">
        <x:f>ROUND(S400-O400,4)</x:f>
        <x:v>0</x:v>
      </x:c>
    </x:row>
    <x:row r="401">
      <x:c r="A401" s="187" t="str">
        <x:v>BUDGET_2026_V1</x:v>
      </x:c>
      <x:c r="B401" s="187" t="str">
        <x:v>BUDGET</x:v>
      </x:c>
      <x:c r="C401" s="187"/>
      <x:c r="D401" s="217" t="n">
        <x:v>46204</x:v>
      </x:c>
      <x:c r="E401" s="187" t="str">
        <x:v>R_GB_DE_B_ROAD</x:v>
      </x:c>
      <x:c r="F401" s="187" t="str">
        <x:v>GB</x:v>
      </x:c>
      <x:c r="G401" s="187" t="str">
        <x:v>DE_FC</x:v>
      </x:c>
      <x:c r="H401" s="187" t="str">
        <x:v>CARRIER_B</x:v>
      </x:c>
      <x:c r="I401" s="187" t="str">
        <x:v>ROAD</x:v>
      </x:c>
      <x:c r="J401" s="187" t="str">
        <x:v>BASE_FREIGHT</x:v>
      </x:c>
      <x:c r="K401" s="187" t="str">
        <x:v>GBP</x:v>
      </x:c>
      <x:c r="L401" s="232" t="n">
        <x:v>6443.136</x:v>
      </x:c>
      <x:c r="M401" s="232" t="n">
        <x:v>9</x:v>
      </x:c>
      <x:c r="N401" s="187" t="str">
        <x:v>57988.22400000000000</x:v>
      </x:c>
      <x:c r="O401" s="235" t="n">
        <x:v>57988.224</x:v>
      </x:c>
      <x:c r="P401" s="235"/>
      <x:c r="Q401" s="235"/>
      <x:c r="R401" s="235" t="str">
        <x:v>INVOICE_OR_PLAN</x:v>
      </x:c>
      <x:c r="S401" s="238" t="n">
        <x:f>'Model_Calc'!AF71</x:f>
        <x:v>57988.224</x:v>
      </x:c>
      <x:c r="T401" s="238" t="n">
        <x:f>ROUND(S401-O401,4)</x:f>
        <x:v>0</x:v>
      </x:c>
    </x:row>
    <x:row r="402">
      <x:c r="A402" s="187" t="str">
        <x:v>BUDGET_2026_V1</x:v>
      </x:c>
      <x:c r="B402" s="187" t="str">
        <x:v>BUDGET</x:v>
      </x:c>
      <x:c r="C402" s="187"/>
      <x:c r="D402" s="217" t="n">
        <x:v>46204</x:v>
      </x:c>
      <x:c r="E402" s="187" t="str">
        <x:v>R_GB_DE_B_ROAD</x:v>
      </x:c>
      <x:c r="F402" s="187" t="str">
        <x:v>GB</x:v>
      </x:c>
      <x:c r="G402" s="187" t="str">
        <x:v>DE_FC</x:v>
      </x:c>
      <x:c r="H402" s="187" t="str">
        <x:v>CARRIER_B</x:v>
      </x:c>
      <x:c r="I402" s="187" t="str">
        <x:v>ROAD</x:v>
      </x:c>
      <x:c r="J402" s="187" t="str">
        <x:v>FUEL_SURCHARGE</x:v>
      </x:c>
      <x:c r="K402" s="187" t="str">
        <x:v>GBP</x:v>
      </x:c>
      <x:c r="L402" s="232" t="n">
        <x:v>452.3904</x:v>
      </x:c>
      <x:c r="M402" s="232" t="n">
        <x:v>9</x:v>
      </x:c>
      <x:c r="N402" s="187" t="str">
        <x:v>4071.51360000000000</x:v>
      </x:c>
      <x:c r="O402" s="235" t="n">
        <x:v>4071.5136</x:v>
      </x:c>
      <x:c r="P402" s="235"/>
      <x:c r="Q402" s="235"/>
      <x:c r="R402" s="235" t="str">
        <x:v>INVOICE_OR_PLAN</x:v>
      </x:c>
      <x:c r="S402" s="238" t="n">
        <x:f>'Model_Calc'!AG71</x:f>
        <x:v>4071.5136000000007</x:v>
      </x:c>
      <x:c r="T402" s="238" t="n">
        <x:f>ROUND(S402-O402,4)</x:f>
        <x:v>0</x:v>
      </x:c>
    </x:row>
    <x:row r="403">
      <x:c r="A403" s="187" t="str">
        <x:v>BUDGET_2026_V1</x:v>
      </x:c>
      <x:c r="B403" s="187" t="str">
        <x:v>BUDGET</x:v>
      </x:c>
      <x:c r="C403" s="187"/>
      <x:c r="D403" s="217" t="n">
        <x:v>46204</x:v>
      </x:c>
      <x:c r="E403" s="187" t="str">
        <x:v>R_GB_DE_B_ROAD</x:v>
      </x:c>
      <x:c r="F403" s="187" t="str">
        <x:v>GB</x:v>
      </x:c>
      <x:c r="G403" s="187" t="str">
        <x:v>DE_FC</x:v>
      </x:c>
      <x:c r="H403" s="187" t="str">
        <x:v>CARRIER_B</x:v>
      </x:c>
      <x:c r="I403" s="187" t="str">
        <x:v>ROAD</x:v>
      </x:c>
      <x:c r="J403" s="187" t="str">
        <x:v>WAREHOUSE_OPERATION</x:v>
      </x:c>
      <x:c r="K403" s="187" t="str">
        <x:v>EUR</x:v>
      </x:c>
      <x:c r="L403" s="232" t="n">
        <x:v>1444.32</x:v>
      </x:c>
      <x:c r="M403" s="232" t="n">
        <x:v>7.8</x:v>
      </x:c>
      <x:c r="N403" s="187" t="str">
        <x:v>11265.6960000000</x:v>
      </x:c>
      <x:c r="O403" s="235" t="n">
        <x:v>11265.696</x:v>
      </x:c>
      <x:c r="P403" s="235"/>
      <x:c r="Q403" s="235"/>
      <x:c r="R403" s="235" t="str">
        <x:v>INVOICE_OR_PLAN</x:v>
      </x:c>
      <x:c r="S403" s="238" t="n">
        <x:f>'Model_Calc'!AL71</x:f>
        <x:v>11265.696</x:v>
      </x:c>
      <x:c r="T403" s="238" t="n">
        <x:f>ROUND(S403-O403,4)</x:f>
        <x:v>0</x:v>
      </x:c>
    </x:row>
    <x:row r="404">
      <x:c r="A404" s="187" t="str">
        <x:v>BUDGET_2026_V1</x:v>
      </x:c>
      <x:c r="B404" s="187" t="str">
        <x:v>BUDGET</x:v>
      </x:c>
      <x:c r="C404" s="187"/>
      <x:c r="D404" s="217" t="n">
        <x:v>46204</x:v>
      </x:c>
      <x:c r="E404" s="187" t="str">
        <x:v>R_GB_DE_B_ROAD</x:v>
      </x:c>
      <x:c r="F404" s="187" t="str">
        <x:v>GB</x:v>
      </x:c>
      <x:c r="G404" s="187" t="str">
        <x:v>DE_FC</x:v>
      </x:c>
      <x:c r="H404" s="187" t="str">
        <x:v>CARRIER_B</x:v>
      </x:c>
      <x:c r="I404" s="187" t="str">
        <x:v>ROAD</x:v>
      </x:c>
      <x:c r="J404" s="187" t="str">
        <x:v>PACKAGING</x:v>
      </x:c>
      <x:c r="K404" s="187" t="str">
        <x:v>EUR</x:v>
      </x:c>
      <x:c r="L404" s="232" t="n">
        <x:v>575.7696</x:v>
      </x:c>
      <x:c r="M404" s="232" t="n">
        <x:v>7.8</x:v>
      </x:c>
      <x:c r="N404" s="187" t="str">
        <x:v>4491.002880000000</x:v>
      </x:c>
      <x:c r="O404" s="235" t="n">
        <x:v>4491.0029</x:v>
      </x:c>
      <x:c r="P404" s="235"/>
      <x:c r="Q404" s="235"/>
      <x:c r="R404" s="235" t="str">
        <x:v>INVOICE_OR_PLAN</x:v>
      </x:c>
      <x:c r="S404" s="238" t="n">
        <x:f>'Model_Calc'!AQ71</x:f>
        <x:v>4491.00288</x:v>
      </x:c>
      <x:c r="T404" s="238" t="n">
        <x:f>ROUND(S404-O404,4)</x:f>
        <x:v>0</x:v>
      </x:c>
    </x:row>
    <x:row r="405">
      <x:c r="A405" s="187" t="str">
        <x:v>BUDGET_2026_V1</x:v>
      </x:c>
      <x:c r="B405" s="187" t="str">
        <x:v>BUDGET</x:v>
      </x:c>
      <x:c r="C405" s="187"/>
      <x:c r="D405" s="217" t="n">
        <x:v>46204</x:v>
      </x:c>
      <x:c r="E405" s="187" t="str">
        <x:v>R_GB_DE_B_ROAD</x:v>
      </x:c>
      <x:c r="F405" s="187" t="str">
        <x:v>GB</x:v>
      </x:c>
      <x:c r="G405" s="187" t="str">
        <x:v>DE_FC</x:v>
      </x:c>
      <x:c r="H405" s="187" t="str">
        <x:v>CARRIER_B</x:v>
      </x:c>
      <x:c r="I405" s="187" t="str">
        <x:v>ROAD</x:v>
      </x:c>
      <x:c r="J405" s="187" t="str">
        <x:v>RETURN_LOGISTICS</x:v>
      </x:c>
      <x:c r="K405" s="187" t="str">
        <x:v>GBP</x:v>
      </x:c>
      <x:c r="L405" s="232" t="n">
        <x:v>470.016</x:v>
      </x:c>
      <x:c r="M405" s="232" t="n">
        <x:v>9</x:v>
      </x:c>
      <x:c r="N405" s="187" t="str">
        <x:v>4230.1440000000000</x:v>
      </x:c>
      <x:c r="O405" s="235" t="n">
        <x:v>4230.144</x:v>
      </x:c>
      <x:c r="P405" s="235"/>
      <x:c r="Q405" s="235"/>
      <x:c r="R405" s="235" t="str">
        <x:v>INVOICE_OR_PLAN</x:v>
      </x:c>
      <x:c r="S405" s="238" t="n">
        <x:f>'Model_Calc'!AV71</x:f>
        <x:v>4230.143999999999</x:v>
      </x:c>
      <x:c r="T405" s="238" t="n">
        <x:f>ROUND(S405-O405,4)</x:f>
        <x:v>0</x:v>
      </x:c>
    </x:row>
    <x:row r="406">
      <x:c r="A406" s="187" t="str">
        <x:v>BUDGET_2026_V1</x:v>
      </x:c>
      <x:c r="B406" s="187" t="str">
        <x:v>BUDGET</x:v>
      </x:c>
      <x:c r="C406" s="187"/>
      <x:c r="D406" s="217" t="n">
        <x:v>46204</x:v>
      </x:c>
      <x:c r="E406" s="187" t="str">
        <x:v>R_GB_DE_B_ROAD</x:v>
      </x:c>
      <x:c r="F406" s="187" t="str">
        <x:v>GB</x:v>
      </x:c>
      <x:c r="G406" s="187" t="str">
        <x:v>DE_FC</x:v>
      </x:c>
      <x:c r="H406" s="187" t="str">
        <x:v>CARRIER_B</x:v>
      </x:c>
      <x:c r="I406" s="187" t="str">
        <x:v>ROAD</x:v>
      </x:c>
      <x:c r="J406" s="187" t="str">
        <x:v>BILLABLE_EXCEPTION</x:v>
      </x:c>
      <x:c r="K406" s="187" t="str">
        <x:v>GBP</x:v>
      </x:c>
      <x:c r="L406" s="232" t="n">
        <x:v>53.601408</x:v>
      </x:c>
      <x:c r="M406" s="232" t="n">
        <x:v>9</x:v>
      </x:c>
      <x:c r="N406" s="187" t="str">
        <x:v>482.412672000000000</x:v>
      </x:c>
      <x:c r="O406" s="235" t="n">
        <x:v>482.4127</x:v>
      </x:c>
      <x:c r="P406" s="235"/>
      <x:c r="Q406" s="235"/>
      <x:c r="R406" s="235" t="str">
        <x:v>INVOICE_OR_PLAN</x:v>
      </x:c>
      <x:c r="S406" s="238" t="n">
        <x:f>'Model_Calc'!BA71</x:f>
        <x:v>482.41267200000004</x:v>
      </x:c>
      <x:c r="T406" s="238" t="n">
        <x:f>ROUND(S406-O406,4)</x:f>
        <x:v>0</x:v>
      </x:c>
    </x:row>
    <x:row r="407">
      <x:c r="A407" s="187" t="str">
        <x:v>BUDGET_2026_V1</x:v>
      </x:c>
      <x:c r="B407" s="187" t="str">
        <x:v>BUDGET</x:v>
      </x:c>
      <x:c r="C407" s="187"/>
      <x:c r="D407" s="217" t="n">
        <x:v>46204</x:v>
      </x:c>
      <x:c r="E407" s="187" t="str">
        <x:v>R_GB_DE_B_AIR</x:v>
      </x:c>
      <x:c r="F407" s="187" t="str">
        <x:v>GB</x:v>
      </x:c>
      <x:c r="G407" s="187" t="str">
        <x:v>DE_FC</x:v>
      </x:c>
      <x:c r="H407" s="187" t="str">
        <x:v>CARRIER_B</x:v>
      </x:c>
      <x:c r="I407" s="187" t="str">
        <x:v>AIR</x:v>
      </x:c>
      <x:c r="J407" s="187" t="str">
        <x:v>BASE_FREIGHT</x:v>
      </x:c>
      <x:c r="K407" s="187" t="str">
        <x:v>GBP</x:v>
      </x:c>
      <x:c r="L407" s="232" t="n">
        <x:v>2237.0568192</x:v>
      </x:c>
      <x:c r="M407" s="232" t="n">
        <x:v>9</x:v>
      </x:c>
      <x:c r="N407" s="187" t="str">
        <x:v>20133.51137280000000</x:v>
      </x:c>
      <x:c r="O407" s="235" t="n">
        <x:v>20133.5114</x:v>
      </x:c>
      <x:c r="P407" s="235"/>
      <x:c r="Q407" s="235"/>
      <x:c r="R407" s="235" t="str">
        <x:v>INVOICE_OR_PLAN</x:v>
      </x:c>
      <x:c r="S407" s="238" t="n">
        <x:f>'Model_Calc'!AF72</x:f>
        <x:v>20133.5113728</x:v>
      </x:c>
      <x:c r="T407" s="238" t="n">
        <x:f>ROUND(S407-O407,4)</x:f>
        <x:v>0</x:v>
      </x:c>
    </x:row>
    <x:row r="408">
      <x:c r="A408" s="187" t="str">
        <x:v>BUDGET_2026_V1</x:v>
      </x:c>
      <x:c r="B408" s="187" t="str">
        <x:v>BUDGET</x:v>
      </x:c>
      <x:c r="C408" s="187"/>
      <x:c r="D408" s="217" t="n">
        <x:v>46204</x:v>
      </x:c>
      <x:c r="E408" s="187" t="str">
        <x:v>R_GB_DE_B_AIR</x:v>
      </x:c>
      <x:c r="F408" s="187" t="str">
        <x:v>GB</x:v>
      </x:c>
      <x:c r="G408" s="187" t="str">
        <x:v>DE_FC</x:v>
      </x:c>
      <x:c r="H408" s="187" t="str">
        <x:v>CARRIER_B</x:v>
      </x:c>
      <x:c r="I408" s="187" t="str">
        <x:v>AIR</x:v>
      </x:c>
      <x:c r="J408" s="187" t="str">
        <x:v>FUEL_SURCHARGE</x:v>
      </x:c>
      <x:c r="K408" s="187" t="str">
        <x:v>GBP</x:v>
      </x:c>
      <x:c r="L408" s="232" t="n">
        <x:v>257.261534208</x:v>
      </x:c>
      <x:c r="M408" s="232" t="n">
        <x:v>9</x:v>
      </x:c>
      <x:c r="N408" s="187" t="str">
        <x:v>2315.35380787200000000</x:v>
      </x:c>
      <x:c r="O408" s="235" t="n">
        <x:v>2315.3538</x:v>
      </x:c>
      <x:c r="P408" s="235"/>
      <x:c r="Q408" s="235"/>
      <x:c r="R408" s="235" t="str">
        <x:v>INVOICE_OR_PLAN</x:v>
      </x:c>
      <x:c r="S408" s="238" t="n">
        <x:f>'Model_Calc'!AG72</x:f>
        <x:v>2315.353807872</x:v>
      </x:c>
      <x:c r="T408" s="238" t="n">
        <x:f>ROUND(S408-O408,4)</x:f>
        <x:v>0</x:v>
      </x:c>
    </x:row>
    <x:row r="409">
      <x:c r="A409" s="187" t="str">
        <x:v>BUDGET_2026_V1</x:v>
      </x:c>
      <x:c r="B409" s="187" t="str">
        <x:v>BUDGET</x:v>
      </x:c>
      <x:c r="C409" s="187"/>
      <x:c r="D409" s="217" t="n">
        <x:v>46204</x:v>
      </x:c>
      <x:c r="E409" s="187" t="str">
        <x:v>R_GB_DE_B_AIR</x:v>
      </x:c>
      <x:c r="F409" s="187" t="str">
        <x:v>GB</x:v>
      </x:c>
      <x:c r="G409" s="187" t="str">
        <x:v>DE_FC</x:v>
      </x:c>
      <x:c r="H409" s="187" t="str">
        <x:v>CARRIER_B</x:v>
      </x:c>
      <x:c r="I409" s="187" t="str">
        <x:v>AIR</x:v>
      </x:c>
      <x:c r="J409" s="187" t="str">
        <x:v>WAREHOUSE_OPERATION</x:v>
      </x:c>
      <x:c r="K409" s="187" t="str">
        <x:v>EUR</x:v>
      </x:c>
      <x:c r="L409" s="232" t="n">
        <x:v>404.4096</x:v>
      </x:c>
      <x:c r="M409" s="232" t="n">
        <x:v>7.8</x:v>
      </x:c>
      <x:c r="N409" s="187" t="str">
        <x:v>3154.3948800000</x:v>
      </x:c>
      <x:c r="O409" s="235" t="n">
        <x:v>3154.3949</x:v>
      </x:c>
      <x:c r="P409" s="235"/>
      <x:c r="Q409" s="235"/>
      <x:c r="R409" s="235" t="str">
        <x:v>INVOICE_OR_PLAN</x:v>
      </x:c>
      <x:c r="S409" s="238" t="n">
        <x:f>'Model_Calc'!AL72</x:f>
        <x:v>3154.39488</x:v>
      </x:c>
      <x:c r="T409" s="238" t="n">
        <x:f>ROUND(S409-O409,4)</x:f>
        <x:v>0</x:v>
      </x:c>
    </x:row>
    <x:row r="410">
      <x:c r="A410" s="187" t="str">
        <x:v>BUDGET_2026_V1</x:v>
      </x:c>
      <x:c r="B410" s="187" t="str">
        <x:v>BUDGET</x:v>
      </x:c>
      <x:c r="C410" s="187"/>
      <x:c r="D410" s="217" t="n">
        <x:v>46204</x:v>
      </x:c>
      <x:c r="E410" s="187" t="str">
        <x:v>R_GB_DE_B_AIR</x:v>
      </x:c>
      <x:c r="F410" s="187" t="str">
        <x:v>GB</x:v>
      </x:c>
      <x:c r="G410" s="187" t="str">
        <x:v>DE_FC</x:v>
      </x:c>
      <x:c r="H410" s="187" t="str">
        <x:v>CARRIER_B</x:v>
      </x:c>
      <x:c r="I410" s="187" t="str">
        <x:v>AIR</x:v>
      </x:c>
      <x:c r="J410" s="187" t="str">
        <x:v>PACKAGING</x:v>
      </x:c>
      <x:c r="K410" s="187" t="str">
        <x:v>EUR</x:v>
      </x:c>
      <x:c r="L410" s="232" t="n">
        <x:v>161.215488</x:v>
      </x:c>
      <x:c r="M410" s="232" t="n">
        <x:v>7.8</x:v>
      </x:c>
      <x:c r="N410" s="187" t="str">
        <x:v>1257.480806400000</x:v>
      </x:c>
      <x:c r="O410" s="235" t="n">
        <x:v>1257.4808</x:v>
      </x:c>
      <x:c r="P410" s="235"/>
      <x:c r="Q410" s="235"/>
      <x:c r="R410" s="235" t="str">
        <x:v>INVOICE_OR_PLAN</x:v>
      </x:c>
      <x:c r="S410" s="238" t="n">
        <x:f>'Model_Calc'!AQ72</x:f>
        <x:v>1257.4808064000001</x:v>
      </x:c>
      <x:c r="T410" s="238" t="n">
        <x:f>ROUND(S410-O410,4)</x:f>
        <x:v>0</x:v>
      </x:c>
    </x:row>
    <x:row r="411">
      <x:c r="A411" s="187" t="str">
        <x:v>BUDGET_2026_V1</x:v>
      </x:c>
      <x:c r="B411" s="187" t="str">
        <x:v>BUDGET</x:v>
      </x:c>
      <x:c r="C411" s="187"/>
      <x:c r="D411" s="217" t="n">
        <x:v>46204</x:v>
      </x:c>
      <x:c r="E411" s="187" t="str">
        <x:v>R_GB_DE_B_AIR</x:v>
      </x:c>
      <x:c r="F411" s="187" t="str">
        <x:v>GB</x:v>
      </x:c>
      <x:c r="G411" s="187" t="str">
        <x:v>DE_FC</x:v>
      </x:c>
      <x:c r="H411" s="187" t="str">
        <x:v>CARRIER_B</x:v>
      </x:c>
      <x:c r="I411" s="187" t="str">
        <x:v>AIR</x:v>
      </x:c>
      <x:c r="J411" s="187" t="str">
        <x:v>RETURN_LOGISTICS</x:v>
      </x:c>
      <x:c r="K411" s="187" t="str">
        <x:v>GBP</x:v>
      </x:c>
      <x:c r="L411" s="232" t="n">
        <x:v>131.60448</x:v>
      </x:c>
      <x:c r="M411" s="232" t="n">
        <x:v>9</x:v>
      </x:c>
      <x:c r="N411" s="187" t="str">
        <x:v>1184.4403200000000</x:v>
      </x:c>
      <x:c r="O411" s="235" t="n">
        <x:v>1184.4403</x:v>
      </x:c>
      <x:c r="P411" s="235"/>
      <x:c r="Q411" s="235"/>
      <x:c r="R411" s="235" t="str">
        <x:v>INVOICE_OR_PLAN</x:v>
      </x:c>
      <x:c r="S411" s="238" t="n">
        <x:f>'Model_Calc'!AV72</x:f>
        <x:v>1184.4403200000002</x:v>
      </x:c>
      <x:c r="T411" s="238" t="n">
        <x:f>ROUND(S411-O411,4)</x:f>
        <x:v>0</x:v>
      </x:c>
    </x:row>
    <x:row r="412">
      <x:c r="A412" s="187" t="str">
        <x:v>BUDGET_2026_V1</x:v>
      </x:c>
      <x:c r="B412" s="187" t="str">
        <x:v>BUDGET</x:v>
      </x:c>
      <x:c r="C412" s="187"/>
      <x:c r="D412" s="217" t="n">
        <x:v>46204</x:v>
      </x:c>
      <x:c r="E412" s="187" t="str">
        <x:v>R_GB_DE_B_AIR</x:v>
      </x:c>
      <x:c r="F412" s="187" t="str">
        <x:v>GB</x:v>
      </x:c>
      <x:c r="G412" s="187" t="str">
        <x:v>DE_FC</x:v>
      </x:c>
      <x:c r="H412" s="187" t="str">
        <x:v>CARRIER_B</x:v>
      </x:c>
      <x:c r="I412" s="187" t="str">
        <x:v>AIR</x:v>
      </x:c>
      <x:c r="J412" s="187" t="str">
        <x:v>BILLABLE_EXCEPTION</x:v>
      </x:c>
      <x:c r="K412" s="187" t="str">
        <x:v>GBP</x:v>
      </x:c>
      <x:c r="L412" s="232" t="n">
        <x:v>13.97200896</x:v>
      </x:c>
      <x:c r="M412" s="232" t="n">
        <x:v>9</x:v>
      </x:c>
      <x:c r="N412" s="187" t="str">
        <x:v>125.748080640000000</x:v>
      </x:c>
      <x:c r="O412" s="235" t="n">
        <x:v>125.7481</x:v>
      </x:c>
      <x:c r="P412" s="235"/>
      <x:c r="Q412" s="235"/>
      <x:c r="R412" s="235" t="str">
        <x:v>INVOICE_OR_PLAN</x:v>
      </x:c>
      <x:c r="S412" s="238" t="n">
        <x:f>'Model_Calc'!BA72</x:f>
        <x:v>125.74808064</x:v>
      </x:c>
      <x:c r="T412" s="238" t="n">
        <x:f>ROUND(S412-O412,4)</x:f>
        <x:v>0</x:v>
      </x:c>
    </x:row>
    <x:row r="413">
      <x:c r="A413" s="187" t="str">
        <x:v>BUDGET_2026_V1</x:v>
      </x:c>
      <x:c r="B413" s="187" t="str">
        <x:v>BUDGET</x:v>
      </x:c>
      <x:c r="C413" s="187"/>
      <x:c r="D413" s="217" t="n">
        <x:v>46204</x:v>
      </x:c>
      <x:c r="E413" s="187" t="str">
        <x:v>R_GB_DE_C_AIR</x:v>
      </x:c>
      <x:c r="F413" s="187" t="str">
        <x:v>GB</x:v>
      </x:c>
      <x:c r="G413" s="187" t="str">
        <x:v>DE_FC</x:v>
      </x:c>
      <x:c r="H413" s="187" t="str">
        <x:v>CARRIER_C</x:v>
      </x:c>
      <x:c r="I413" s="187" t="str">
        <x:v>AIR</x:v>
      </x:c>
      <x:c r="J413" s="187" t="str">
        <x:v>BASE_FREIGHT</x:v>
      </x:c>
      <x:c r="K413" s="187" t="str">
        <x:v>GBP</x:v>
      </x:c>
      <x:c r="L413" s="232" t="n">
        <x:v>1135.08864</x:v>
      </x:c>
      <x:c r="M413" s="232" t="n">
        <x:v>9</x:v>
      </x:c>
      <x:c r="N413" s="187" t="str">
        <x:v>10215.79776000000000</x:v>
      </x:c>
      <x:c r="O413" s="235" t="n">
        <x:v>10215.7978</x:v>
      </x:c>
      <x:c r="P413" s="235"/>
      <x:c r="Q413" s="235"/>
      <x:c r="R413" s="235" t="str">
        <x:v>INVOICE_OR_PLAN</x:v>
      </x:c>
      <x:c r="S413" s="238" t="n">
        <x:f>'Model_Calc'!AF73</x:f>
        <x:v>10215.797760000001</x:v>
      </x:c>
      <x:c r="T413" s="238" t="n">
        <x:f>ROUND(S413-O413,4)</x:f>
        <x:v>0</x:v>
      </x:c>
    </x:row>
    <x:row r="414">
      <x:c r="A414" s="187" t="str">
        <x:v>BUDGET_2026_V1</x:v>
      </x:c>
      <x:c r="B414" s="187" t="str">
        <x:v>BUDGET</x:v>
      </x:c>
      <x:c r="C414" s="187"/>
      <x:c r="D414" s="217" t="n">
        <x:v>46204</x:v>
      </x:c>
      <x:c r="E414" s="187" t="str">
        <x:v>R_GB_DE_C_AIR</x:v>
      </x:c>
      <x:c r="F414" s="187" t="str">
        <x:v>GB</x:v>
      </x:c>
      <x:c r="G414" s="187" t="str">
        <x:v>DE_FC</x:v>
      </x:c>
      <x:c r="H414" s="187" t="str">
        <x:v>CARRIER_C</x:v>
      </x:c>
      <x:c r="I414" s="187" t="str">
        <x:v>AIR</x:v>
      </x:c>
      <x:c r="J414" s="187" t="str">
        <x:v>FUEL_SURCHARGE</x:v>
      </x:c>
      <x:c r="K414" s="187" t="str">
        <x:v>GBP</x:v>
      </x:c>
      <x:c r="L414" s="232" t="n">
        <x:v>87.78018816</x:v>
      </x:c>
      <x:c r="M414" s="232" t="n">
        <x:v>9</x:v>
      </x:c>
      <x:c r="N414" s="187" t="str">
        <x:v>790.02169344000000</x:v>
      </x:c>
      <x:c r="O414" s="235" t="n">
        <x:v>790.0217</x:v>
      </x:c>
      <x:c r="P414" s="235"/>
      <x:c r="Q414" s="235"/>
      <x:c r="R414" s="235" t="str">
        <x:v>INVOICE_OR_PLAN</x:v>
      </x:c>
      <x:c r="S414" s="238" t="n">
        <x:f>'Model_Calc'!AG73</x:f>
        <x:v>790.0216934399999</x:v>
      </x:c>
      <x:c r="T414" s="238" t="n">
        <x:f>ROUND(S414-O414,4)</x:f>
        <x:v>0</x:v>
      </x:c>
    </x:row>
    <x:row r="415">
      <x:c r="A415" s="187" t="str">
        <x:v>BUDGET_2026_V1</x:v>
      </x:c>
      <x:c r="B415" s="187" t="str">
        <x:v>BUDGET</x:v>
      </x:c>
      <x:c r="C415" s="187"/>
      <x:c r="D415" s="217" t="n">
        <x:v>46204</x:v>
      </x:c>
      <x:c r="E415" s="187" t="str">
        <x:v>R_GB_DE_C_AIR</x:v>
      </x:c>
      <x:c r="F415" s="187" t="str">
        <x:v>GB</x:v>
      </x:c>
      <x:c r="G415" s="187" t="str">
        <x:v>DE_FC</x:v>
      </x:c>
      <x:c r="H415" s="187" t="str">
        <x:v>CARRIER_C</x:v>
      </x:c>
      <x:c r="I415" s="187" t="str">
        <x:v>AIR</x:v>
      </x:c>
      <x:c r="J415" s="187" t="str">
        <x:v>WAREHOUSE_OPERATION</x:v>
      </x:c>
      <x:c r="K415" s="187" t="str">
        <x:v>EUR</x:v>
      </x:c>
      <x:c r="L415" s="232" t="n">
        <x:v>173.3184</x:v>
      </x:c>
      <x:c r="M415" s="232" t="n">
        <x:v>7.8</x:v>
      </x:c>
      <x:c r="N415" s="187" t="str">
        <x:v>1351.8835200000</x:v>
      </x:c>
      <x:c r="O415" s="235" t="n">
        <x:v>1351.8835</x:v>
      </x:c>
      <x:c r="P415" s="235"/>
      <x:c r="Q415" s="235"/>
      <x:c r="R415" s="235" t="str">
        <x:v>INVOICE_OR_PLAN</x:v>
      </x:c>
      <x:c r="S415" s="238" t="n">
        <x:f>'Model_Calc'!AL73</x:f>
        <x:v>1351.8835199999999</x:v>
      </x:c>
      <x:c r="T415" s="238" t="n">
        <x:f>ROUND(S415-O415,4)</x:f>
        <x:v>0</x:v>
      </x:c>
    </x:row>
    <x:row r="416">
      <x:c r="A416" s="187" t="str">
        <x:v>BUDGET_2026_V1</x:v>
      </x:c>
      <x:c r="B416" s="187" t="str">
        <x:v>BUDGET</x:v>
      </x:c>
      <x:c r="C416" s="187"/>
      <x:c r="D416" s="217" t="n">
        <x:v>46204</x:v>
      </x:c>
      <x:c r="E416" s="187" t="str">
        <x:v>R_GB_DE_C_AIR</x:v>
      </x:c>
      <x:c r="F416" s="187" t="str">
        <x:v>GB</x:v>
      </x:c>
      <x:c r="G416" s="187" t="str">
        <x:v>DE_FC</x:v>
      </x:c>
      <x:c r="H416" s="187" t="str">
        <x:v>CARRIER_C</x:v>
      </x:c>
      <x:c r="I416" s="187" t="str">
        <x:v>AIR</x:v>
      </x:c>
      <x:c r="J416" s="187" t="str">
        <x:v>PACKAGING</x:v>
      </x:c>
      <x:c r="K416" s="187" t="str">
        <x:v>EUR</x:v>
      </x:c>
      <x:c r="L416" s="232" t="n">
        <x:v>69.092352</x:v>
      </x:c>
      <x:c r="M416" s="232" t="n">
        <x:v>7.8</x:v>
      </x:c>
      <x:c r="N416" s="187" t="str">
        <x:v>538.920345600000</x:v>
      </x:c>
      <x:c r="O416" s="235" t="n">
        <x:v>538.9203</x:v>
      </x:c>
      <x:c r="P416" s="235"/>
      <x:c r="Q416" s="235"/>
      <x:c r="R416" s="235" t="str">
        <x:v>INVOICE_OR_PLAN</x:v>
      </x:c>
      <x:c r="S416" s="238" t="n">
        <x:f>'Model_Calc'!AQ73</x:f>
        <x:v>538.9203456</x:v>
      </x:c>
      <x:c r="T416" s="238" t="n">
        <x:f>ROUND(S416-O416,4)</x:f>
        <x:v>0</x:v>
      </x:c>
    </x:row>
    <x:row r="417">
      <x:c r="A417" s="187" t="str">
        <x:v>BUDGET_2026_V1</x:v>
      </x:c>
      <x:c r="B417" s="187" t="str">
        <x:v>BUDGET</x:v>
      </x:c>
      <x:c r="C417" s="187"/>
      <x:c r="D417" s="217" t="n">
        <x:v>46204</x:v>
      </x:c>
      <x:c r="E417" s="187" t="str">
        <x:v>R_GB_DE_C_AIR</x:v>
      </x:c>
      <x:c r="F417" s="187" t="str">
        <x:v>GB</x:v>
      </x:c>
      <x:c r="G417" s="187" t="str">
        <x:v>DE_FC</x:v>
      </x:c>
      <x:c r="H417" s="187" t="str">
        <x:v>CARRIER_C</x:v>
      </x:c>
      <x:c r="I417" s="187" t="str">
        <x:v>AIR</x:v>
      </x:c>
      <x:c r="J417" s="187" t="str">
        <x:v>RETURN_LOGISTICS</x:v>
      </x:c>
      <x:c r="K417" s="187" t="str">
        <x:v>GBP</x:v>
      </x:c>
      <x:c r="L417" s="232" t="n">
        <x:v>56.40192</x:v>
      </x:c>
      <x:c r="M417" s="232" t="n">
        <x:v>9</x:v>
      </x:c>
      <x:c r="N417" s="187" t="str">
        <x:v>507.6172800000000</x:v>
      </x:c>
      <x:c r="O417" s="235" t="n">
        <x:v>507.6173</x:v>
      </x:c>
      <x:c r="P417" s="235"/>
      <x:c r="Q417" s="235"/>
      <x:c r="R417" s="235" t="str">
        <x:v>INVOICE_OR_PLAN</x:v>
      </x:c>
      <x:c r="S417" s="238" t="n">
        <x:f>'Model_Calc'!AV73</x:f>
        <x:v>507.61728</x:v>
      </x:c>
      <x:c r="T417" s="238" t="n">
        <x:f>ROUND(S417-O417,4)</x:f>
        <x:v>0</x:v>
      </x:c>
    </x:row>
    <x:row r="418">
      <x:c r="A418" s="187" t="str">
        <x:v>BUDGET_2026_V1</x:v>
      </x:c>
      <x:c r="B418" s="187" t="str">
        <x:v>BUDGET</x:v>
      </x:c>
      <x:c r="C418" s="187"/>
      <x:c r="D418" s="217" t="n">
        <x:v>46204</x:v>
      </x:c>
      <x:c r="E418" s="187" t="str">
        <x:v>R_GB_DE_C_AIR</x:v>
      </x:c>
      <x:c r="F418" s="187" t="str">
        <x:v>GB</x:v>
      </x:c>
      <x:c r="G418" s="187" t="str">
        <x:v>DE_FC</x:v>
      </x:c>
      <x:c r="H418" s="187" t="str">
        <x:v>CARRIER_C</x:v>
      </x:c>
      <x:c r="I418" s="187" t="str">
        <x:v>AIR</x:v>
      </x:c>
      <x:c r="J418" s="187" t="str">
        <x:v>BILLABLE_EXCEPTION</x:v>
      </x:c>
      <x:c r="K418" s="187" t="str">
        <x:v>GBP</x:v>
      </x:c>
      <x:c r="L418" s="232" t="n">
        <x:v>5.32998144</x:v>
      </x:c>
      <x:c r="M418" s="232" t="n">
        <x:v>9</x:v>
      </x:c>
      <x:c r="N418" s="187" t="str">
        <x:v>47.969832960000000</x:v>
      </x:c>
      <x:c r="O418" s="235" t="n">
        <x:v>47.9698</x:v>
      </x:c>
      <x:c r="P418" s="235"/>
      <x:c r="Q418" s="235"/>
      <x:c r="R418" s="235" t="str">
        <x:v>INVOICE_OR_PLAN</x:v>
      </x:c>
      <x:c r="S418" s="238" t="n">
        <x:f>'Model_Calc'!BA73</x:f>
        <x:v>47.96983296</x:v>
      </x:c>
      <x:c r="T418" s="238" t="n">
        <x:f>ROUND(S418-O418,4)</x:f>
        <x:v>0</x:v>
      </x:c>
    </x:row>
    <x:row r="419">
      <x:c r="A419" s="187" t="str">
        <x:v>BUDGET_2026_V1</x:v>
      </x:c>
      <x:c r="B419" s="187" t="str">
        <x:v>BUDGET</x:v>
      </x:c>
      <x:c r="C419" s="187"/>
      <x:c r="D419" s="217" t="n">
        <x:v>46204</x:v>
      </x:c>
      <x:c r="E419" s="187" t="str">
        <x:v>R_GB_FR_B_AIR</x:v>
      </x:c>
      <x:c r="F419" s="187" t="str">
        <x:v>GB</x:v>
      </x:c>
      <x:c r="G419" s="187" t="str">
        <x:v>FR_FC</x:v>
      </x:c>
      <x:c r="H419" s="187" t="str">
        <x:v>CARRIER_B</x:v>
      </x:c>
      <x:c r="I419" s="187" t="str">
        <x:v>AIR</x:v>
      </x:c>
      <x:c r="J419" s="187" t="str">
        <x:v>BASE_FREIGHT</x:v>
      </x:c>
      <x:c r="K419" s="187" t="str">
        <x:v>EUR</x:v>
      </x:c>
      <x:c r="L419" s="232" t="n">
        <x:v>1414.638</x:v>
      </x:c>
      <x:c r="M419" s="232" t="n">
        <x:v>7.8</x:v>
      </x:c>
      <x:c r="N419" s="187" t="str">
        <x:v>11034.176400000000</x:v>
      </x:c>
      <x:c r="O419" s="235" t="n">
        <x:v>11034.1764</x:v>
      </x:c>
      <x:c r="P419" s="235"/>
      <x:c r="Q419" s="235"/>
      <x:c r="R419" s="235" t="str">
        <x:v>INVOICE_OR_PLAN</x:v>
      </x:c>
      <x:c r="S419" s="238" t="n">
        <x:f>'Model_Calc'!AF74</x:f>
        <x:v>11034.176399999998</x:v>
      </x:c>
      <x:c r="T419" s="238" t="n">
        <x:f>ROUND(S419-O419,4)</x:f>
        <x:v>0</x:v>
      </x:c>
    </x:row>
    <x:row r="420">
      <x:c r="A420" s="187" t="str">
        <x:v>BUDGET_2026_V1</x:v>
      </x:c>
      <x:c r="B420" s="187" t="str">
        <x:v>BUDGET</x:v>
      </x:c>
      <x:c r="C420" s="187"/>
      <x:c r="D420" s="217" t="n">
        <x:v>46204</x:v>
      </x:c>
      <x:c r="E420" s="187" t="str">
        <x:v>R_GB_FR_B_AIR</x:v>
      </x:c>
      <x:c r="F420" s="187" t="str">
        <x:v>GB</x:v>
      </x:c>
      <x:c r="G420" s="187" t="str">
        <x:v>FR_FC</x:v>
      </x:c>
      <x:c r="H420" s="187" t="str">
        <x:v>CARRIER_B</x:v>
      </x:c>
      <x:c r="I420" s="187" t="str">
        <x:v>AIR</x:v>
      </x:c>
      <x:c r="J420" s="187" t="str">
        <x:v>FUEL_SURCHARGE</x:v>
      </x:c>
      <x:c r="K420" s="187" t="str">
        <x:v>EUR</x:v>
      </x:c>
      <x:c r="L420" s="232" t="n">
        <x:v>148.53699</x:v>
      </x:c>
      <x:c r="M420" s="232" t="n">
        <x:v>7.8</x:v>
      </x:c>
      <x:c r="N420" s="187" t="str">
        <x:v>1158.588522000000000</x:v>
      </x:c>
      <x:c r="O420" s="235" t="n">
        <x:v>1158.5885</x:v>
      </x:c>
      <x:c r="P420" s="235"/>
      <x:c r="Q420" s="235"/>
      <x:c r="R420" s="235" t="str">
        <x:v>INVOICE_OR_PLAN</x:v>
      </x:c>
      <x:c r="S420" s="238" t="n">
        <x:f>'Model_Calc'!AG74</x:f>
        <x:v>1158.5885219999998</x:v>
      </x:c>
      <x:c r="T420" s="238" t="n">
        <x:f>ROUND(S420-O420,4)</x:f>
        <x:v>0</x:v>
      </x:c>
    </x:row>
    <x:row r="421">
      <x:c r="A421" s="187" t="str">
        <x:v>BUDGET_2026_V1</x:v>
      </x:c>
      <x:c r="B421" s="187" t="str">
        <x:v>BUDGET</x:v>
      </x:c>
      <x:c r="C421" s="187"/>
      <x:c r="D421" s="217" t="n">
        <x:v>46204</x:v>
      </x:c>
      <x:c r="E421" s="187" t="str">
        <x:v>R_GB_FR_B_AIR</x:v>
      </x:c>
      <x:c r="F421" s="187" t="str">
        <x:v>GB</x:v>
      </x:c>
      <x:c r="G421" s="187" t="str">
        <x:v>FR_FC</x:v>
      </x:c>
      <x:c r="H421" s="187" t="str">
        <x:v>CARRIER_B</x:v>
      </x:c>
      <x:c r="I421" s="187" t="str">
        <x:v>AIR</x:v>
      </x:c>
      <x:c r="J421" s="187" t="str">
        <x:v>WAREHOUSE_OPERATION</x:v>
      </x:c>
      <x:c r="K421" s="187" t="str">
        <x:v>EUR</x:v>
      </x:c>
      <x:c r="L421" s="232" t="n">
        <x:v>214.2</x:v>
      </x:c>
      <x:c r="M421" s="232" t="n">
        <x:v>7.8</x:v>
      </x:c>
      <x:c r="N421" s="187" t="str">
        <x:v>1670.76000000</x:v>
      </x:c>
      <x:c r="O421" s="235" t="n">
        <x:v>1670.76</x:v>
      </x:c>
      <x:c r="P421" s="235"/>
      <x:c r="Q421" s="235"/>
      <x:c r="R421" s="235" t="str">
        <x:v>INVOICE_OR_PLAN</x:v>
      </x:c>
      <x:c r="S421" s="238" t="n">
        <x:f>'Model_Calc'!AL74</x:f>
        <x:v>1670.76</x:v>
      </x:c>
      <x:c r="T421" s="238" t="n">
        <x:f>ROUND(S421-O421,4)</x:f>
        <x:v>0</x:v>
      </x:c>
    </x:row>
    <x:row r="422">
      <x:c r="A422" s="187" t="str">
        <x:v>BUDGET_2026_V1</x:v>
      </x:c>
      <x:c r="B422" s="187" t="str">
        <x:v>BUDGET</x:v>
      </x:c>
      <x:c r="C422" s="187"/>
      <x:c r="D422" s="217" t="n">
        <x:v>46204</x:v>
      </x:c>
      <x:c r="E422" s="187" t="str">
        <x:v>R_GB_FR_B_AIR</x:v>
      </x:c>
      <x:c r="F422" s="187" t="str">
        <x:v>GB</x:v>
      </x:c>
      <x:c r="G422" s="187" t="str">
        <x:v>FR_FC</x:v>
      </x:c>
      <x:c r="H422" s="187" t="str">
        <x:v>CARRIER_B</x:v>
      </x:c>
      <x:c r="I422" s="187" t="str">
        <x:v>AIR</x:v>
      </x:c>
      <x:c r="J422" s="187" t="str">
        <x:v>PACKAGING</x:v>
      </x:c>
      <x:c r="K422" s="187" t="str">
        <x:v>EUR</x:v>
      </x:c>
      <x:c r="L422" s="232" t="n">
        <x:v>89.148</x:v>
      </x:c>
      <x:c r="M422" s="232" t="n">
        <x:v>7.8</x:v>
      </x:c>
      <x:c r="N422" s="187" t="str">
        <x:v>695.3544000000</x:v>
      </x:c>
      <x:c r="O422" s="235" t="n">
        <x:v>695.3544</x:v>
      </x:c>
      <x:c r="P422" s="235"/>
      <x:c r="Q422" s="235"/>
      <x:c r="R422" s="235" t="str">
        <x:v>INVOICE_OR_PLAN</x:v>
      </x:c>
      <x:c r="S422" s="238" t="n">
        <x:f>'Model_Calc'!AQ74</x:f>
        <x:v>695.3543999999999</x:v>
      </x:c>
      <x:c r="T422" s="238" t="n">
        <x:f>ROUND(S422-O422,4)</x:f>
        <x:v>0</x:v>
      </x:c>
    </x:row>
    <x:row r="423">
      <x:c r="A423" s="187" t="str">
        <x:v>BUDGET_2026_V1</x:v>
      </x:c>
      <x:c r="B423" s="187" t="str">
        <x:v>BUDGET</x:v>
      </x:c>
      <x:c r="C423" s="187"/>
      <x:c r="D423" s="217" t="n">
        <x:v>46204</x:v>
      </x:c>
      <x:c r="E423" s="187" t="str">
        <x:v>R_GB_FR_B_AIR</x:v>
      </x:c>
      <x:c r="F423" s="187" t="str">
        <x:v>GB</x:v>
      </x:c>
      <x:c r="G423" s="187" t="str">
        <x:v>FR_FC</x:v>
      </x:c>
      <x:c r="H423" s="187" t="str">
        <x:v>CARRIER_B</x:v>
      </x:c>
      <x:c r="I423" s="187" t="str">
        <x:v>AIR</x:v>
      </x:c>
      <x:c r="J423" s="187" t="str">
        <x:v>RETURN_LOGISTICS</x:v>
      </x:c>
      <x:c r="K423" s="187" t="str">
        <x:v>EUR</x:v>
      </x:c>
      <x:c r="L423" s="232" t="n">
        <x:v>84.864</x:v>
      </x:c>
      <x:c r="M423" s="232" t="n">
        <x:v>7.8</x:v>
      </x:c>
      <x:c r="N423" s="187" t="str">
        <x:v>661.93920000000</x:v>
      </x:c>
      <x:c r="O423" s="235" t="n">
        <x:v>661.9392</x:v>
      </x:c>
      <x:c r="P423" s="235"/>
      <x:c r="Q423" s="235"/>
      <x:c r="R423" s="235" t="str">
        <x:v>INVOICE_OR_PLAN</x:v>
      </x:c>
      <x:c r="S423" s="238" t="n">
        <x:f>'Model_Calc'!AV74</x:f>
        <x:v>661.9392</x:v>
      </x:c>
      <x:c r="T423" s="238" t="n">
        <x:f>ROUND(S423-O423,4)</x:f>
        <x:v>0</x:v>
      </x:c>
    </x:row>
    <x:row r="424">
      <x:c r="A424" s="187" t="str">
        <x:v>BUDGET_2026_V1</x:v>
      </x:c>
      <x:c r="B424" s="187" t="str">
        <x:v>BUDGET</x:v>
      </x:c>
      <x:c r="C424" s="187"/>
      <x:c r="D424" s="217" t="n">
        <x:v>46204</x:v>
      </x:c>
      <x:c r="E424" s="187" t="str">
        <x:v>R_GB_FR_B_AIR</x:v>
      </x:c>
      <x:c r="F424" s="187" t="str">
        <x:v>GB</x:v>
      </x:c>
      <x:c r="G424" s="187" t="str">
        <x:v>FR_FC</x:v>
      </x:c>
      <x:c r="H424" s="187" t="str">
        <x:v>CARRIER_B</x:v>
      </x:c>
      <x:c r="I424" s="187" t="str">
        <x:v>AIR</x:v>
      </x:c>
      <x:c r="J424" s="187" t="str">
        <x:v>BILLABLE_EXCEPTION</x:v>
      </x:c>
      <x:c r="K424" s="187" t="str">
        <x:v>EUR</x:v>
      </x:c>
      <x:c r="L424" s="232" t="n">
        <x:v>7.88256</x:v>
      </x:c>
      <x:c r="M424" s="232" t="n">
        <x:v>7.8</x:v>
      </x:c>
      <x:c r="N424" s="187" t="str">
        <x:v>61.4839680000000</x:v>
      </x:c>
      <x:c r="O424" s="235" t="n">
        <x:v>61.484</x:v>
      </x:c>
      <x:c r="P424" s="235"/>
      <x:c r="Q424" s="235"/>
      <x:c r="R424" s="235" t="str">
        <x:v>INVOICE_OR_PLAN</x:v>
      </x:c>
      <x:c r="S424" s="238" t="n">
        <x:f>'Model_Calc'!BA74</x:f>
        <x:v>61.48396799999999</x:v>
      </x:c>
      <x:c r="T424" s="238" t="n">
        <x:f>ROUND(S424-O424,4)</x:f>
        <x:v>0</x:v>
      </x:c>
    </x:row>
    <x:row r="425">
      <x:c r="A425" s="187" t="str">
        <x:v>BUDGET_2026_V1</x:v>
      </x:c>
      <x:c r="B425" s="187" t="str">
        <x:v>BUDGET</x:v>
      </x:c>
      <x:c r="C425" s="187"/>
      <x:c r="D425" s="217" t="n">
        <x:v>46235</x:v>
      </x:c>
      <x:c r="E425" s="187" t="str">
        <x:v>R_DE_DE_A_ROAD</x:v>
      </x:c>
      <x:c r="F425" s="187" t="str">
        <x:v>DE</x:v>
      </x:c>
      <x:c r="G425" s="187" t="str">
        <x:v>DE_FC</x:v>
      </x:c>
      <x:c r="H425" s="187" t="str">
        <x:v>CARRIER_A</x:v>
      </x:c>
      <x:c r="I425" s="187" t="str">
        <x:v>ROAD</x:v>
      </x:c>
      <x:c r="J425" s="187" t="str">
        <x:v>BASE_FREIGHT</x:v>
      </x:c>
      <x:c r="K425" s="187" t="str">
        <x:v>EUR</x:v>
      </x:c>
      <x:c r="L425" s="232" t="n">
        <x:v>6375.777408</x:v>
      </x:c>
      <x:c r="M425" s="232" t="n">
        <x:v>7.8</x:v>
      </x:c>
      <x:c r="N425" s="187" t="str">
        <x:v>49731.06378240000000</x:v>
      </x:c>
      <x:c r="O425" s="235" t="n">
        <x:v>49731.0638</x:v>
      </x:c>
      <x:c r="P425" s="235"/>
      <x:c r="Q425" s="235"/>
      <x:c r="R425" s="235" t="str">
        <x:v>INVOICE_OR_PLAN</x:v>
      </x:c>
      <x:c r="S425" s="238" t="n">
        <x:f>'Model_Calc'!AF75</x:f>
        <x:v>49731.06378240001</x:v>
      </x:c>
      <x:c r="T425" s="238" t="n">
        <x:f>ROUND(S425-O425,4)</x:f>
        <x:v>0</x:v>
      </x:c>
    </x:row>
    <x:row r="426">
      <x:c r="A426" s="187" t="str">
        <x:v>BUDGET_2026_V1</x:v>
      </x:c>
      <x:c r="B426" s="187" t="str">
        <x:v>BUDGET</x:v>
      </x:c>
      <x:c r="C426" s="187"/>
      <x:c r="D426" s="217" t="n">
        <x:v>46235</x:v>
      </x:c>
      <x:c r="E426" s="187" t="str">
        <x:v>R_DE_DE_A_ROAD</x:v>
      </x:c>
      <x:c r="F426" s="187" t="str">
        <x:v>DE</x:v>
      </x:c>
      <x:c r="G426" s="187" t="str">
        <x:v>DE_FC</x:v>
      </x:c>
      <x:c r="H426" s="187" t="str">
        <x:v>CARRIER_A</x:v>
      </x:c>
      <x:c r="I426" s="187" t="str">
        <x:v>ROAD</x:v>
      </x:c>
      <x:c r="J426" s="187" t="str">
        <x:v>FUEL_SURCHARGE</x:v>
      </x:c>
      <x:c r="K426" s="187" t="str">
        <x:v>EUR</x:v>
      </x:c>
      <x:c r="L426" s="232" t="n">
        <x:v>605.69885376</x:v>
      </x:c>
      <x:c r="M426" s="232" t="n">
        <x:v>7.8</x:v>
      </x:c>
      <x:c r="N426" s="187" t="str">
        <x:v>4724.45105932800000000</x:v>
      </x:c>
      <x:c r="O426" s="235" t="n">
        <x:v>4724.4511</x:v>
      </x:c>
      <x:c r="P426" s="235"/>
      <x:c r="Q426" s="235"/>
      <x:c r="R426" s="235" t="str">
        <x:v>INVOICE_OR_PLAN</x:v>
      </x:c>
      <x:c r="S426" s="238" t="n">
        <x:f>'Model_Calc'!AG75</x:f>
        <x:v>4724.451059328001</x:v>
      </x:c>
      <x:c r="T426" s="238" t="n">
        <x:f>ROUND(S426-O426,4)</x:f>
        <x:v>0</x:v>
      </x:c>
    </x:row>
    <x:row r="427">
      <x:c r="A427" s="187" t="str">
        <x:v>BUDGET_2026_V1</x:v>
      </x:c>
      <x:c r="B427" s="187" t="str">
        <x:v>BUDGET</x:v>
      </x:c>
      <x:c r="C427" s="187"/>
      <x:c r="D427" s="217" t="n">
        <x:v>46235</x:v>
      </x:c>
      <x:c r="E427" s="187" t="str">
        <x:v>R_DE_DE_A_ROAD</x:v>
      </x:c>
      <x:c r="F427" s="187" t="str">
        <x:v>DE</x:v>
      </x:c>
      <x:c r="G427" s="187" t="str">
        <x:v>DE_FC</x:v>
      </x:c>
      <x:c r="H427" s="187" t="str">
        <x:v>CARRIER_A</x:v>
      </x:c>
      <x:c r="I427" s="187" t="str">
        <x:v>ROAD</x:v>
      </x:c>
      <x:c r="J427" s="187" t="str">
        <x:v>WAREHOUSE_OPERATION</x:v>
      </x:c>
      <x:c r="K427" s="187" t="str">
        <x:v>EUR</x:v>
      </x:c>
      <x:c r="L427" s="232" t="n">
        <x:v>4175.5008</x:v>
      </x:c>
      <x:c r="M427" s="232" t="n">
        <x:v>7.8</x:v>
      </x:c>
      <x:c r="N427" s="187" t="str">
        <x:v>32568.9062400000</x:v>
      </x:c>
      <x:c r="O427" s="235" t="n">
        <x:v>32568.9062</x:v>
      </x:c>
      <x:c r="P427" s="235"/>
      <x:c r="Q427" s="235"/>
      <x:c r="R427" s="235" t="str">
        <x:v>INVOICE_OR_PLAN</x:v>
      </x:c>
      <x:c r="S427" s="238" t="n">
        <x:f>'Model_Calc'!AL75</x:f>
        <x:v>32568.90623999999</x:v>
      </x:c>
      <x:c r="T427" s="238" t="n">
        <x:f>ROUND(S427-O427,4)</x:f>
        <x:v>0</x:v>
      </x:c>
    </x:row>
    <x:row r="428">
      <x:c r="A428" s="187" t="str">
        <x:v>BUDGET_2026_V1</x:v>
      </x:c>
      <x:c r="B428" s="187" t="str">
        <x:v>BUDGET</x:v>
      </x:c>
      <x:c r="C428" s="187"/>
      <x:c r="D428" s="217" t="n">
        <x:v>46235</x:v>
      </x:c>
      <x:c r="E428" s="187" t="str">
        <x:v>R_DE_DE_A_ROAD</x:v>
      </x:c>
      <x:c r="F428" s="187" t="str">
        <x:v>DE</x:v>
      </x:c>
      <x:c r="G428" s="187" t="str">
        <x:v>DE_FC</x:v>
      </x:c>
      <x:c r="H428" s="187" t="str">
        <x:v>CARRIER_A</x:v>
      </x:c>
      <x:c r="I428" s="187" t="str">
        <x:v>ROAD</x:v>
      </x:c>
      <x:c r="J428" s="187" t="str">
        <x:v>PACKAGING</x:v>
      </x:c>
      <x:c r="K428" s="187" t="str">
        <x:v>EUR</x:v>
      </x:c>
      <x:c r="L428" s="232" t="n">
        <x:v>1560.50496</x:v>
      </x:c>
      <x:c r="M428" s="232" t="n">
        <x:v>7.8</x:v>
      </x:c>
      <x:c r="N428" s="187" t="str">
        <x:v>12171.938688000000</x:v>
      </x:c>
      <x:c r="O428" s="235" t="n">
        <x:v>12171.9387</x:v>
      </x:c>
      <x:c r="P428" s="235"/>
      <x:c r="Q428" s="235"/>
      <x:c r="R428" s="235" t="str">
        <x:v>INVOICE_OR_PLAN</x:v>
      </x:c>
      <x:c r="S428" s="238" t="n">
        <x:f>'Model_Calc'!AQ75</x:f>
        <x:v>12171.938688</x:v>
      </x:c>
      <x:c r="T428" s="238" t="n">
        <x:f>ROUND(S428-O428,4)</x:f>
        <x:v>0</x:v>
      </x:c>
    </x:row>
    <x:row r="429">
      <x:c r="A429" s="187" t="str">
        <x:v>BUDGET_2026_V1</x:v>
      </x:c>
      <x:c r="B429" s="187" t="str">
        <x:v>BUDGET</x:v>
      </x:c>
      <x:c r="C429" s="187"/>
      <x:c r="D429" s="217" t="n">
        <x:v>46235</x:v>
      </x:c>
      <x:c r="E429" s="187" t="str">
        <x:v>R_DE_DE_A_ROAD</x:v>
      </x:c>
      <x:c r="F429" s="187" t="str">
        <x:v>DE</x:v>
      </x:c>
      <x:c r="G429" s="187" t="str">
        <x:v>DE_FC</x:v>
      </x:c>
      <x:c r="H429" s="187" t="str">
        <x:v>CARRIER_A</x:v>
      </x:c>
      <x:c r="I429" s="187" t="str">
        <x:v>ROAD</x:v>
      </x:c>
      <x:c r="J429" s="187" t="str">
        <x:v>RETURN_LOGISTICS</x:v>
      </x:c>
      <x:c r="K429" s="187" t="str">
        <x:v>EUR</x:v>
      </x:c>
      <x:c r="L429" s="232" t="n">
        <x:v>566.1696</x:v>
      </x:c>
      <x:c r="M429" s="232" t="n">
        <x:v>7.8</x:v>
      </x:c>
      <x:c r="N429" s="187" t="str">
        <x:v>4416.1228800000000</x:v>
      </x:c>
      <x:c r="O429" s="235" t="n">
        <x:v>4416.1229</x:v>
      </x:c>
      <x:c r="P429" s="235"/>
      <x:c r="Q429" s="235"/>
      <x:c r="R429" s="235" t="str">
        <x:v>INVOICE_OR_PLAN</x:v>
      </x:c>
      <x:c r="S429" s="238" t="n">
        <x:f>'Model_Calc'!AV75</x:f>
        <x:v>4416.122880000001</x:v>
      </x:c>
      <x:c r="T429" s="238" t="n">
        <x:f>ROUND(S429-O429,4)</x:f>
        <x:v>0</x:v>
      </x:c>
    </x:row>
    <x:row r="430">
      <x:c r="A430" s="187" t="str">
        <x:v>BUDGET_2026_V1</x:v>
      </x:c>
      <x:c r="B430" s="187" t="str">
        <x:v>BUDGET</x:v>
      </x:c>
      <x:c r="C430" s="187"/>
      <x:c r="D430" s="217" t="n">
        <x:v>46235</x:v>
      </x:c>
      <x:c r="E430" s="187" t="str">
        <x:v>R_DE_DE_A_ROAD</x:v>
      </x:c>
      <x:c r="F430" s="187" t="str">
        <x:v>DE</x:v>
      </x:c>
      <x:c r="G430" s="187" t="str">
        <x:v>DE_FC</x:v>
      </x:c>
      <x:c r="H430" s="187" t="str">
        <x:v>CARRIER_A</x:v>
      </x:c>
      <x:c r="I430" s="187" t="str">
        <x:v>ROAD</x:v>
      </x:c>
      <x:c r="J430" s="187" t="str">
        <x:v>BILLABLE_EXCEPTION</x:v>
      </x:c>
      <x:c r="K430" s="187" t="str">
        <x:v>EUR</x:v>
      </x:c>
      <x:c r="L430" s="232" t="n">
        <x:v>136.7299584</x:v>
      </x:c>
      <x:c r="M430" s="232" t="n">
        <x:v>7.8</x:v>
      </x:c>
      <x:c r="N430" s="187" t="str">
        <x:v>1066.493675520000000</x:v>
      </x:c>
      <x:c r="O430" s="235" t="n">
        <x:v>1066.4937</x:v>
      </x:c>
      <x:c r="P430" s="235"/>
      <x:c r="Q430" s="235"/>
      <x:c r="R430" s="235" t="str">
        <x:v>INVOICE_OR_PLAN</x:v>
      </x:c>
      <x:c r="S430" s="238" t="n">
        <x:f>'Model_Calc'!BA75</x:f>
        <x:v>1066.49367552</x:v>
      </x:c>
      <x:c r="T430" s="238" t="n">
        <x:f>ROUND(S430-O430,4)</x:f>
        <x:v>0</x:v>
      </x:c>
    </x:row>
    <x:row r="431">
      <x:c r="A431" s="187" t="str">
        <x:v>BUDGET_2026_V1</x:v>
      </x:c>
      <x:c r="B431" s="187" t="str">
        <x:v>BUDGET</x:v>
      </x:c>
      <x:c r="C431" s="187"/>
      <x:c r="D431" s="217" t="n">
        <x:v>46235</x:v>
      </x:c>
      <x:c r="E431" s="187" t="str">
        <x:v>R_DE_DE_B_ROAD</x:v>
      </x:c>
      <x:c r="F431" s="187" t="str">
        <x:v>DE</x:v>
      </x:c>
      <x:c r="G431" s="187" t="str">
        <x:v>DE_FC</x:v>
      </x:c>
      <x:c r="H431" s="187" t="str">
        <x:v>CARRIER_B</x:v>
      </x:c>
      <x:c r="I431" s="187" t="str">
        <x:v>ROAD</x:v>
      </x:c>
      <x:c r="J431" s="187" t="str">
        <x:v>BASE_FREIGHT</x:v>
      </x:c>
      <x:c r="K431" s="187" t="str">
        <x:v>EUR</x:v>
      </x:c>
      <x:c r="L431" s="232" t="n">
        <x:v>5449.3824</x:v>
      </x:c>
      <x:c r="M431" s="232" t="n">
        <x:v>7.8</x:v>
      </x:c>
      <x:c r="N431" s="187" t="str">
        <x:v>42505.18272000000000</x:v>
      </x:c>
      <x:c r="O431" s="235" t="n">
        <x:v>42505.1827</x:v>
      </x:c>
      <x:c r="P431" s="235"/>
      <x:c r="Q431" s="235"/>
      <x:c r="R431" s="235" t="str">
        <x:v>INVOICE_OR_PLAN</x:v>
      </x:c>
      <x:c r="S431" s="238" t="n">
        <x:f>'Model_Calc'!AF76</x:f>
        <x:v>42505.182720000004</x:v>
      </x:c>
      <x:c r="T431" s="238" t="n">
        <x:f>ROUND(S431-O431,4)</x:f>
        <x:v>0</x:v>
      </x:c>
    </x:row>
    <x:row r="432">
      <x:c r="A432" s="187" t="str">
        <x:v>BUDGET_2026_V1</x:v>
      </x:c>
      <x:c r="B432" s="187" t="str">
        <x:v>BUDGET</x:v>
      </x:c>
      <x:c r="C432" s="187"/>
      <x:c r="D432" s="217" t="n">
        <x:v>46235</x:v>
      </x:c>
      <x:c r="E432" s="187" t="str">
        <x:v>R_DE_DE_B_ROAD</x:v>
      </x:c>
      <x:c r="F432" s="187" t="str">
        <x:v>DE</x:v>
      </x:c>
      <x:c r="G432" s="187" t="str">
        <x:v>DE_FC</x:v>
      </x:c>
      <x:c r="H432" s="187" t="str">
        <x:v>CARRIER_B</x:v>
      </x:c>
      <x:c r="I432" s="187" t="str">
        <x:v>ROAD</x:v>
      </x:c>
      <x:c r="J432" s="187" t="str">
        <x:v>FUEL_SURCHARGE</x:v>
      </x:c>
      <x:c r="K432" s="187" t="str">
        <x:v>EUR</x:v>
      </x:c>
      <x:c r="L432" s="232" t="n">
        <x:v>416.134656</x:v>
      </x:c>
      <x:c r="M432" s="232" t="n">
        <x:v>7.8</x:v>
      </x:c>
      <x:c r="N432" s="187" t="str">
        <x:v>3245.85031680000000</x:v>
      </x:c>
      <x:c r="O432" s="235" t="n">
        <x:v>3245.8503</x:v>
      </x:c>
      <x:c r="P432" s="235"/>
      <x:c r="Q432" s="235"/>
      <x:c r="R432" s="235" t="str">
        <x:v>INVOICE_OR_PLAN</x:v>
      </x:c>
      <x:c r="S432" s="238" t="n">
        <x:f>'Model_Calc'!AG76</x:f>
        <x:v>3245.8503168</x:v>
      </x:c>
      <x:c r="T432" s="238" t="n">
        <x:f>ROUND(S432-O432,4)</x:f>
        <x:v>0</x:v>
      </x:c>
    </x:row>
    <x:row r="433">
      <x:c r="A433" s="187" t="str">
        <x:v>BUDGET_2026_V1</x:v>
      </x:c>
      <x:c r="B433" s="187" t="str">
        <x:v>BUDGET</x:v>
      </x:c>
      <x:c r="C433" s="187"/>
      <x:c r="D433" s="217" t="n">
        <x:v>46235</x:v>
      </x:c>
      <x:c r="E433" s="187" t="str">
        <x:v>R_DE_DE_B_ROAD</x:v>
      </x:c>
      <x:c r="F433" s="187" t="str">
        <x:v>DE</x:v>
      </x:c>
      <x:c r="G433" s="187" t="str">
        <x:v>DE_FC</x:v>
      </x:c>
      <x:c r="H433" s="187" t="str">
        <x:v>CARRIER_B</x:v>
      </x:c>
      <x:c r="I433" s="187" t="str">
        <x:v>ROAD</x:v>
      </x:c>
      <x:c r="J433" s="187" t="str">
        <x:v>WAREHOUSE_OPERATION</x:v>
      </x:c>
      <x:c r="K433" s="187" t="str">
        <x:v>EUR</x:v>
      </x:c>
      <x:c r="L433" s="232" t="n">
        <x:v>2783.6672</x:v>
      </x:c>
      <x:c r="M433" s="232" t="n">
        <x:v>7.8</x:v>
      </x:c>
      <x:c r="N433" s="187" t="str">
        <x:v>21712.6041600000</x:v>
      </x:c>
      <x:c r="O433" s="235" t="n">
        <x:v>21712.6042</x:v>
      </x:c>
      <x:c r="P433" s="235"/>
      <x:c r="Q433" s="235"/>
      <x:c r="R433" s="235" t="str">
        <x:v>INVOICE_OR_PLAN</x:v>
      </x:c>
      <x:c r="S433" s="238" t="n">
        <x:f>'Model_Calc'!AL76</x:f>
        <x:v>21712.60416</x:v>
      </x:c>
      <x:c r="T433" s="238" t="n">
        <x:f>ROUND(S433-O433,4)</x:f>
        <x:v>0</x:v>
      </x:c>
    </x:row>
    <x:row r="434">
      <x:c r="A434" s="187" t="str">
        <x:v>BUDGET_2026_V1</x:v>
      </x:c>
      <x:c r="B434" s="187" t="str">
        <x:v>BUDGET</x:v>
      </x:c>
      <x:c r="C434" s="187"/>
      <x:c r="D434" s="217" t="n">
        <x:v>46235</x:v>
      </x:c>
      <x:c r="E434" s="187" t="str">
        <x:v>R_DE_DE_B_ROAD</x:v>
      </x:c>
      <x:c r="F434" s="187" t="str">
        <x:v>DE</x:v>
      </x:c>
      <x:c r="G434" s="187" t="str">
        <x:v>DE_FC</x:v>
      </x:c>
      <x:c r="H434" s="187" t="str">
        <x:v>CARRIER_B</x:v>
      </x:c>
      <x:c r="I434" s="187" t="str">
        <x:v>ROAD</x:v>
      </x:c>
      <x:c r="J434" s="187" t="str">
        <x:v>PACKAGING</x:v>
      </x:c>
      <x:c r="K434" s="187" t="str">
        <x:v>EUR</x:v>
      </x:c>
      <x:c r="L434" s="232" t="n">
        <x:v>1040.33664</x:v>
      </x:c>
      <x:c r="M434" s="232" t="n">
        <x:v>7.8</x:v>
      </x:c>
      <x:c r="N434" s="187" t="str">
        <x:v>8114.625792000000</x:v>
      </x:c>
      <x:c r="O434" s="235" t="n">
        <x:v>8114.6258</x:v>
      </x:c>
      <x:c r="P434" s="235"/>
      <x:c r="Q434" s="235"/>
      <x:c r="R434" s="235" t="str">
        <x:v>INVOICE_OR_PLAN</x:v>
      </x:c>
      <x:c r="S434" s="238" t="n">
        <x:f>'Model_Calc'!AQ76</x:f>
        <x:v>8114.625792</x:v>
      </x:c>
      <x:c r="T434" s="238" t="n">
        <x:f>ROUND(S434-O434,4)</x:f>
        <x:v>0</x:v>
      </x:c>
    </x:row>
    <x:row r="435">
      <x:c r="A435" s="187" t="str">
        <x:v>BUDGET_2026_V1</x:v>
      </x:c>
      <x:c r="B435" s="187" t="str">
        <x:v>BUDGET</x:v>
      </x:c>
      <x:c r="C435" s="187"/>
      <x:c r="D435" s="217" t="n">
        <x:v>46235</x:v>
      </x:c>
      <x:c r="E435" s="187" t="str">
        <x:v>R_DE_DE_B_ROAD</x:v>
      </x:c>
      <x:c r="F435" s="187" t="str">
        <x:v>DE</x:v>
      </x:c>
      <x:c r="G435" s="187" t="str">
        <x:v>DE_FC</x:v>
      </x:c>
      <x:c r="H435" s="187" t="str">
        <x:v>CARRIER_B</x:v>
      </x:c>
      <x:c r="I435" s="187" t="str">
        <x:v>ROAD</x:v>
      </x:c>
      <x:c r="J435" s="187" t="str">
        <x:v>RETURN_LOGISTICS</x:v>
      </x:c>
      <x:c r="K435" s="187" t="str">
        <x:v>EUR</x:v>
      </x:c>
      <x:c r="L435" s="232" t="n">
        <x:v>377.4464</x:v>
      </x:c>
      <x:c r="M435" s="232" t="n">
        <x:v>7.8</x:v>
      </x:c>
      <x:c r="N435" s="187" t="str">
        <x:v>2944.0819200000000</x:v>
      </x:c>
      <x:c r="O435" s="235" t="n">
        <x:v>2944.0819</x:v>
      </x:c>
      <x:c r="P435" s="235"/>
      <x:c r="Q435" s="235"/>
      <x:c r="R435" s="235" t="str">
        <x:v>INVOICE_OR_PLAN</x:v>
      </x:c>
      <x:c r="S435" s="238" t="n">
        <x:f>'Model_Calc'!AV76</x:f>
        <x:v>2944.08192</x:v>
      </x:c>
      <x:c r="T435" s="238" t="n">
        <x:f>ROUND(S435-O435,4)</x:f>
        <x:v>0</x:v>
      </x:c>
    </x:row>
    <x:row r="436">
      <x:c r="A436" s="187" t="str">
        <x:v>BUDGET_2026_V1</x:v>
      </x:c>
      <x:c r="B436" s="187" t="str">
        <x:v>BUDGET</x:v>
      </x:c>
      <x:c r="C436" s="187"/>
      <x:c r="D436" s="217" t="n">
        <x:v>46235</x:v>
      </x:c>
      <x:c r="E436" s="187" t="str">
        <x:v>R_DE_DE_B_ROAD</x:v>
      </x:c>
      <x:c r="F436" s="187" t="str">
        <x:v>DE</x:v>
      </x:c>
      <x:c r="G436" s="187" t="str">
        <x:v>DE_FC</x:v>
      </x:c>
      <x:c r="H436" s="187" t="str">
        <x:v>CARRIER_B</x:v>
      </x:c>
      <x:c r="I436" s="187" t="str">
        <x:v>ROAD</x:v>
      </x:c>
      <x:c r="J436" s="187" t="str">
        <x:v>BILLABLE_EXCEPTION</x:v>
      </x:c>
      <x:c r="K436" s="187" t="str">
        <x:v>EUR</x:v>
      </x:c>
      <x:c r="L436" s="232" t="n">
        <x:v>74.0620608</x:v>
      </x:c>
      <x:c r="M436" s="232" t="n">
        <x:v>7.8</x:v>
      </x:c>
      <x:c r="N436" s="187" t="str">
        <x:v>577.684074240000000</x:v>
      </x:c>
      <x:c r="O436" s="235" t="n">
        <x:v>577.6841</x:v>
      </x:c>
      <x:c r="P436" s="235"/>
      <x:c r="Q436" s="235"/>
      <x:c r="R436" s="235" t="str">
        <x:v>INVOICE_OR_PLAN</x:v>
      </x:c>
      <x:c r="S436" s="238" t="n">
        <x:f>'Model_Calc'!BA76</x:f>
        <x:v>577.68407424</x:v>
      </x:c>
      <x:c r="T436" s="238" t="n">
        <x:f>ROUND(S436-O436,4)</x:f>
        <x:v>0</x:v>
      </x:c>
    </x:row>
    <x:row r="437">
      <x:c r="A437" s="187" t="str">
        <x:v>BUDGET_2026_V1</x:v>
      </x:c>
      <x:c r="B437" s="187" t="str">
        <x:v>BUDGET</x:v>
      </x:c>
      <x:c r="C437" s="187"/>
      <x:c r="D437" s="217" t="n">
        <x:v>46235</x:v>
      </x:c>
      <x:c r="E437" s="187" t="str">
        <x:v>R_DE_FR_B_ROAD</x:v>
      </x:c>
      <x:c r="F437" s="187" t="str">
        <x:v>DE</x:v>
      </x:c>
      <x:c r="G437" s="187" t="str">
        <x:v>FR_FC</x:v>
      </x:c>
      <x:c r="H437" s="187" t="str">
        <x:v>CARRIER_B</x:v>
      </x:c>
      <x:c r="I437" s="187" t="str">
        <x:v>ROAD</x:v>
      </x:c>
      <x:c r="J437" s="187" t="str">
        <x:v>BASE_FREIGHT</x:v>
      </x:c>
      <x:c r="K437" s="187" t="str">
        <x:v>EUR</x:v>
      </x:c>
      <x:c r="L437" s="232" t="n">
        <x:v>559.063296</x:v>
      </x:c>
      <x:c r="M437" s="232" t="n">
        <x:v>7.8</x:v>
      </x:c>
      <x:c r="N437" s="187" t="str">
        <x:v>4360.693708800000</x:v>
      </x:c>
      <x:c r="O437" s="235" t="n">
        <x:v>4360.6937</x:v>
      </x:c>
      <x:c r="P437" s="235"/>
      <x:c r="Q437" s="235"/>
      <x:c r="R437" s="235" t="str">
        <x:v>INVOICE_OR_PLAN</x:v>
      </x:c>
      <x:c r="S437" s="238" t="n">
        <x:f>'Model_Calc'!AF77</x:f>
        <x:v>4360.6937088</x:v>
      </x:c>
      <x:c r="T437" s="238" t="n">
        <x:f>ROUND(S437-O437,4)</x:f>
        <x:v>0</x:v>
      </x:c>
    </x:row>
    <x:row r="438">
      <x:c r="A438" s="187" t="str">
        <x:v>BUDGET_2026_V1</x:v>
      </x:c>
      <x:c r="B438" s="187" t="str">
        <x:v>BUDGET</x:v>
      </x:c>
      <x:c r="C438" s="187"/>
      <x:c r="D438" s="217" t="n">
        <x:v>46235</x:v>
      </x:c>
      <x:c r="E438" s="187" t="str">
        <x:v>R_DE_FR_B_ROAD</x:v>
      </x:c>
      <x:c r="F438" s="187" t="str">
        <x:v>DE</x:v>
      </x:c>
      <x:c r="G438" s="187" t="str">
        <x:v>FR_FC</x:v>
      </x:c>
      <x:c r="H438" s="187" t="str">
        <x:v>CARRIER_B</x:v>
      </x:c>
      <x:c r="I438" s="187" t="str">
        <x:v>ROAD</x:v>
      </x:c>
      <x:c r="J438" s="187" t="str">
        <x:v>FUEL_SURCHARGE</x:v>
      </x:c>
      <x:c r="K438" s="187" t="str">
        <x:v>EUR</x:v>
      </x:c>
      <x:c r="L438" s="232" t="n">
        <x:v>40.6591488</x:v>
      </x:c>
      <x:c r="M438" s="232" t="n">
        <x:v>7.8</x:v>
      </x:c>
      <x:c r="N438" s="187" t="str">
        <x:v>317.141360640000</x:v>
      </x:c>
      <x:c r="O438" s="235" t="n">
        <x:v>317.1414</x:v>
      </x:c>
      <x:c r="P438" s="235"/>
      <x:c r="Q438" s="235"/>
      <x:c r="R438" s="235" t="str">
        <x:v>INVOICE_OR_PLAN</x:v>
      </x:c>
      <x:c r="S438" s="238" t="n">
        <x:f>'Model_Calc'!AG77</x:f>
        <x:v>317.14136064</x:v>
      </x:c>
      <x:c r="T438" s="238" t="n">
        <x:f>ROUND(S438-O438,4)</x:f>
        <x:v>0</x:v>
      </x:c>
    </x:row>
    <x:row r="439">
      <x:c r="A439" s="187" t="str">
        <x:v>BUDGET_2026_V1</x:v>
      </x:c>
      <x:c r="B439" s="187" t="str">
        <x:v>BUDGET</x:v>
      </x:c>
      <x:c r="C439" s="187"/>
      <x:c r="D439" s="217" t="n">
        <x:v>46235</x:v>
      </x:c>
      <x:c r="E439" s="187" t="str">
        <x:v>R_DE_FR_B_ROAD</x:v>
      </x:c>
      <x:c r="F439" s="187" t="str">
        <x:v>DE</x:v>
      </x:c>
      <x:c r="G439" s="187" t="str">
        <x:v>FR_FC</x:v>
      </x:c>
      <x:c r="H439" s="187" t="str">
        <x:v>CARRIER_B</x:v>
      </x:c>
      <x:c r="I439" s="187" t="str">
        <x:v>ROAD</x:v>
      </x:c>
      <x:c r="J439" s="187" t="str">
        <x:v>WAREHOUSE_OPERATION</x:v>
      </x:c>
      <x:c r="K439" s="187" t="str">
        <x:v>EUR</x:v>
      </x:c>
      <x:c r="L439" s="232" t="n">
        <x:v>191.52</x:v>
      </x:c>
      <x:c r="M439" s="232" t="n">
        <x:v>7.8</x:v>
      </x:c>
      <x:c r="N439" s="187" t="str">
        <x:v>1493.85600000</x:v>
      </x:c>
      <x:c r="O439" s="235" t="n">
        <x:v>1493.856</x:v>
      </x:c>
      <x:c r="P439" s="235"/>
      <x:c r="Q439" s="235"/>
      <x:c r="R439" s="235" t="str">
        <x:v>INVOICE_OR_PLAN</x:v>
      </x:c>
      <x:c r="S439" s="238" t="n">
        <x:f>'Model_Calc'!AL77</x:f>
        <x:v>1493.856</x:v>
      </x:c>
      <x:c r="T439" s="238" t="n">
        <x:f>ROUND(S439-O439,4)</x:f>
        <x:v>0</x:v>
      </x:c>
    </x:row>
    <x:row r="440">
      <x:c r="A440" s="187" t="str">
        <x:v>BUDGET_2026_V1</x:v>
      </x:c>
      <x:c r="B440" s="187" t="str">
        <x:v>BUDGET</x:v>
      </x:c>
      <x:c r="C440" s="187"/>
      <x:c r="D440" s="217" t="n">
        <x:v>46235</x:v>
      </x:c>
      <x:c r="E440" s="187" t="str">
        <x:v>R_DE_FR_B_ROAD</x:v>
      </x:c>
      <x:c r="F440" s="187" t="str">
        <x:v>DE</x:v>
      </x:c>
      <x:c r="G440" s="187" t="str">
        <x:v>FR_FC</x:v>
      </x:c>
      <x:c r="H440" s="187" t="str">
        <x:v>CARRIER_B</x:v>
      </x:c>
      <x:c r="I440" s="187" t="str">
        <x:v>ROAD</x:v>
      </x:c>
      <x:c r="J440" s="187" t="str">
        <x:v>PACKAGING</x:v>
      </x:c>
      <x:c r="K440" s="187" t="str">
        <x:v>EUR</x:v>
      </x:c>
      <x:c r="L440" s="232" t="n">
        <x:v>74.85696</x:v>
      </x:c>
      <x:c r="M440" s="232" t="n">
        <x:v>7.8</x:v>
      </x:c>
      <x:c r="N440" s="187" t="str">
        <x:v>583.8842880000</x:v>
      </x:c>
      <x:c r="O440" s="235" t="n">
        <x:v>583.8843</x:v>
      </x:c>
      <x:c r="P440" s="235"/>
      <x:c r="Q440" s="235"/>
      <x:c r="R440" s="235" t="str">
        <x:v>INVOICE_OR_PLAN</x:v>
      </x:c>
      <x:c r="S440" s="238" t="n">
        <x:f>'Model_Calc'!AQ77</x:f>
        <x:v>583.8842880000001</x:v>
      </x:c>
      <x:c r="T440" s="238" t="n">
        <x:f>ROUND(S440-O440,4)</x:f>
        <x:v>0</x:v>
      </x:c>
    </x:row>
    <x:row r="441">
      <x:c r="A441" s="187" t="str">
        <x:v>BUDGET_2026_V1</x:v>
      </x:c>
      <x:c r="B441" s="187" t="str">
        <x:v>BUDGET</x:v>
      </x:c>
      <x:c r="C441" s="187"/>
      <x:c r="D441" s="217" t="n">
        <x:v>46235</x:v>
      </x:c>
      <x:c r="E441" s="187" t="str">
        <x:v>R_DE_FR_B_ROAD</x:v>
      </x:c>
      <x:c r="F441" s="187" t="str">
        <x:v>DE</x:v>
      </x:c>
      <x:c r="G441" s="187" t="str">
        <x:v>FR_FC</x:v>
      </x:c>
      <x:c r="H441" s="187" t="str">
        <x:v>CARRIER_B</x:v>
      </x:c>
      <x:c r="I441" s="187" t="str">
        <x:v>ROAD</x:v>
      </x:c>
      <x:c r="J441" s="187" t="str">
        <x:v>RETURN_LOGISTICS</x:v>
      </x:c>
      <x:c r="K441" s="187" t="str">
        <x:v>EUR</x:v>
      </x:c>
      <x:c r="L441" s="232" t="n">
        <x:v>34.656</x:v>
      </x:c>
      <x:c r="M441" s="232" t="n">
        <x:v>7.8</x:v>
      </x:c>
      <x:c r="N441" s="187" t="str">
        <x:v>270.31680000000</x:v>
      </x:c>
      <x:c r="O441" s="235" t="n">
        <x:v>270.3168</x:v>
      </x:c>
      <x:c r="P441" s="235"/>
      <x:c r="Q441" s="235"/>
      <x:c r="R441" s="235" t="str">
        <x:v>INVOICE_OR_PLAN</x:v>
      </x:c>
      <x:c r="S441" s="238" t="n">
        <x:f>'Model_Calc'!AV77</x:f>
        <x:v>270.3168</x:v>
      </x:c>
      <x:c r="T441" s="238" t="n">
        <x:f>ROUND(S441-O441,4)</x:f>
        <x:v>0</x:v>
      </x:c>
    </x:row>
    <x:row r="442">
      <x:c r="A442" s="187" t="str">
        <x:v>BUDGET_2026_V1</x:v>
      </x:c>
      <x:c r="B442" s="187" t="str">
        <x:v>BUDGET</x:v>
      </x:c>
      <x:c r="C442" s="187"/>
      <x:c r="D442" s="217" t="n">
        <x:v>46235</x:v>
      </x:c>
      <x:c r="E442" s="187" t="str">
        <x:v>R_DE_FR_B_ROAD</x:v>
      </x:c>
      <x:c r="F442" s="187" t="str">
        <x:v>DE</x:v>
      </x:c>
      <x:c r="G442" s="187" t="str">
        <x:v>FR_FC</x:v>
      </x:c>
      <x:c r="H442" s="187" t="str">
        <x:v>CARRIER_B</x:v>
      </x:c>
      <x:c r="I442" s="187" t="str">
        <x:v>ROAD</x:v>
      </x:c>
      <x:c r="J442" s="187" t="str">
        <x:v>BILLABLE_EXCEPTION</x:v>
      </x:c>
      <x:c r="K442" s="187" t="str">
        <x:v>EUR</x:v>
      </x:c>
      <x:c r="L442" s="232" t="n">
        <x:v>6.3431424</x:v>
      </x:c>
      <x:c r="M442" s="232" t="n">
        <x:v>7.8</x:v>
      </x:c>
      <x:c r="N442" s="187" t="str">
        <x:v>49.4765107200000</x:v>
      </x:c>
      <x:c r="O442" s="235" t="n">
        <x:v>49.4765</x:v>
      </x:c>
      <x:c r="P442" s="235"/>
      <x:c r="Q442" s="235"/>
      <x:c r="R442" s="235" t="str">
        <x:v>INVOICE_OR_PLAN</x:v>
      </x:c>
      <x:c r="S442" s="238" t="n">
        <x:f>'Model_Calc'!BA77</x:f>
        <x:v>49.47651072</x:v>
      </x:c>
      <x:c r="T442" s="238" t="n">
        <x:f>ROUND(S442-O442,4)</x:f>
        <x:v>0</x:v>
      </x:c>
    </x:row>
    <x:row r="443">
      <x:c r="A443" s="187" t="str">
        <x:v>BUDGET_2026_V1</x:v>
      </x:c>
      <x:c r="B443" s="187" t="str">
        <x:v>BUDGET</x:v>
      </x:c>
      <x:c r="C443" s="187"/>
      <x:c r="D443" s="217" t="n">
        <x:v>46235</x:v>
      </x:c>
      <x:c r="E443" s="187" t="str">
        <x:v>R_FR_FR_A_ROAD</x:v>
      </x:c>
      <x:c r="F443" s="187" t="str">
        <x:v>FR</x:v>
      </x:c>
      <x:c r="G443" s="187" t="str">
        <x:v>FR_FC</x:v>
      </x:c>
      <x:c r="H443" s="187" t="str">
        <x:v>CARRIER_A</x:v>
      </x:c>
      <x:c r="I443" s="187" t="str">
        <x:v>ROAD</x:v>
      </x:c>
      <x:c r="J443" s="187" t="str">
        <x:v>BASE_FREIGHT</x:v>
      </x:c>
      <x:c r="K443" s="187" t="str">
        <x:v>EUR</x:v>
      </x:c>
      <x:c r="L443" s="232" t="n">
        <x:v>3031.63392</x:v>
      </x:c>
      <x:c r="M443" s="232" t="n">
        <x:v>7.8</x:v>
      </x:c>
      <x:c r="N443" s="187" t="str">
        <x:v>23646.744576000000</x:v>
      </x:c>
      <x:c r="O443" s="235" t="n">
        <x:v>23646.7446</x:v>
      </x:c>
      <x:c r="P443" s="235"/>
      <x:c r="Q443" s="235"/>
      <x:c r="R443" s="235" t="str">
        <x:v>INVOICE_OR_PLAN</x:v>
      </x:c>
      <x:c r="S443" s="238" t="n">
        <x:f>'Model_Calc'!AF78</x:f>
        <x:v>23646.744576</x:v>
      </x:c>
      <x:c r="T443" s="238" t="n">
        <x:f>ROUND(S443-O443,4)</x:f>
        <x:v>0</x:v>
      </x:c>
    </x:row>
    <x:row r="444">
      <x:c r="A444" s="187" t="str">
        <x:v>BUDGET_2026_V1</x:v>
      </x:c>
      <x:c r="B444" s="187" t="str">
        <x:v>BUDGET</x:v>
      </x:c>
      <x:c r="C444" s="187"/>
      <x:c r="D444" s="217" t="n">
        <x:v>46235</x:v>
      </x:c>
      <x:c r="E444" s="187" t="str">
        <x:v>R_FR_FR_A_ROAD</x:v>
      </x:c>
      <x:c r="F444" s="187" t="str">
        <x:v>FR</x:v>
      </x:c>
      <x:c r="G444" s="187" t="str">
        <x:v>FR_FC</x:v>
      </x:c>
      <x:c r="H444" s="187" t="str">
        <x:v>CARRIER_A</x:v>
      </x:c>
      <x:c r="I444" s="187" t="str">
        <x:v>ROAD</x:v>
      </x:c>
      <x:c r="J444" s="187" t="str">
        <x:v>FUEL_SURCHARGE</x:v>
      </x:c>
      <x:c r="K444" s="187" t="str">
        <x:v>EUR</x:v>
      </x:c>
      <x:c r="L444" s="232" t="n">
        <x:v>272.8470528</x:v>
      </x:c>
      <x:c r="M444" s="232" t="n">
        <x:v>7.8</x:v>
      </x:c>
      <x:c r="N444" s="187" t="str">
        <x:v>2128.207011840000000</x:v>
      </x:c>
      <x:c r="O444" s="235" t="n">
        <x:v>2128.207</x:v>
      </x:c>
      <x:c r="P444" s="235"/>
      <x:c r="Q444" s="235"/>
      <x:c r="R444" s="235" t="str">
        <x:v>INVOICE_OR_PLAN</x:v>
      </x:c>
      <x:c r="S444" s="238" t="n">
        <x:f>'Model_Calc'!AG78</x:f>
        <x:v>2128.20701184</x:v>
      </x:c>
      <x:c r="T444" s="238" t="n">
        <x:f>ROUND(S444-O444,4)</x:f>
        <x:v>0</x:v>
      </x:c>
    </x:row>
    <x:row r="445">
      <x:c r="A445" s="187" t="str">
        <x:v>BUDGET_2026_V1</x:v>
      </x:c>
      <x:c r="B445" s="187" t="str">
        <x:v>BUDGET</x:v>
      </x:c>
      <x:c r="C445" s="187"/>
      <x:c r="D445" s="217" t="n">
        <x:v>46235</x:v>
      </x:c>
      <x:c r="E445" s="187" t="str">
        <x:v>R_FR_FR_A_ROAD</x:v>
      </x:c>
      <x:c r="F445" s="187" t="str">
        <x:v>FR</x:v>
      </x:c>
      <x:c r="G445" s="187" t="str">
        <x:v>FR_FC</x:v>
      </x:c>
      <x:c r="H445" s="187" t="str">
        <x:v>CARRIER_A</x:v>
      </x:c>
      <x:c r="I445" s="187" t="str">
        <x:v>ROAD</x:v>
      </x:c>
      <x:c r="J445" s="187" t="str">
        <x:v>WAREHOUSE_OPERATION</x:v>
      </x:c>
      <x:c r="K445" s="187" t="str">
        <x:v>EUR</x:v>
      </x:c>
      <x:c r="L445" s="232" t="n">
        <x:v>1881.6</x:v>
      </x:c>
      <x:c r="M445" s="232" t="n">
        <x:v>7.8</x:v>
      </x:c>
      <x:c r="N445" s="187" t="str">
        <x:v>14676.48000000</x:v>
      </x:c>
      <x:c r="O445" s="235" t="n">
        <x:v>14676.48</x:v>
      </x:c>
      <x:c r="P445" s="235"/>
      <x:c r="Q445" s="235"/>
      <x:c r="R445" s="235" t="str">
        <x:v>INVOICE_OR_PLAN</x:v>
      </x:c>
      <x:c r="S445" s="238" t="n">
        <x:f>'Model_Calc'!AL78</x:f>
        <x:v>14676.480000000001</x:v>
      </x:c>
      <x:c r="T445" s="238" t="n">
        <x:f>ROUND(S445-O445,4)</x:f>
        <x:v>0</x:v>
      </x:c>
    </x:row>
    <x:row r="446">
      <x:c r="A446" s="187" t="str">
        <x:v>BUDGET_2026_V1</x:v>
      </x:c>
      <x:c r="B446" s="187" t="str">
        <x:v>BUDGET</x:v>
      </x:c>
      <x:c r="C446" s="187"/>
      <x:c r="D446" s="217" t="n">
        <x:v>46235</x:v>
      </x:c>
      <x:c r="E446" s="187" t="str">
        <x:v>R_FR_FR_A_ROAD</x:v>
      </x:c>
      <x:c r="F446" s="187" t="str">
        <x:v>FR</x:v>
      </x:c>
      <x:c r="G446" s="187" t="str">
        <x:v>FR_FC</x:v>
      </x:c>
      <x:c r="H446" s="187" t="str">
        <x:v>CARRIER_A</x:v>
      </x:c>
      <x:c r="I446" s="187" t="str">
        <x:v>ROAD</x:v>
      </x:c>
      <x:c r="J446" s="187" t="str">
        <x:v>PACKAGING</x:v>
      </x:c>
      <x:c r="K446" s="187" t="str">
        <x:v>EUR</x:v>
      </x:c>
      <x:c r="L446" s="232" t="n">
        <x:v>721.8176</x:v>
      </x:c>
      <x:c r="M446" s="232" t="n">
        <x:v>7.8</x:v>
      </x:c>
      <x:c r="N446" s="187" t="str">
        <x:v>5630.1772800000</x:v>
      </x:c>
      <x:c r="O446" s="235" t="n">
        <x:v>5630.1773</x:v>
      </x:c>
      <x:c r="P446" s="235"/>
      <x:c r="Q446" s="235"/>
      <x:c r="R446" s="235" t="str">
        <x:v>INVOICE_OR_PLAN</x:v>
      </x:c>
      <x:c r="S446" s="238" t="n">
        <x:f>'Model_Calc'!AQ78</x:f>
        <x:v>5630.17728</x:v>
      </x:c>
      <x:c r="T446" s="238" t="n">
        <x:f>ROUND(S446-O446,4)</x:f>
        <x:v>0</x:v>
      </x:c>
    </x:row>
    <x:row r="447">
      <x:c r="A447" s="187" t="str">
        <x:v>BUDGET_2026_V1</x:v>
      </x:c>
      <x:c r="B447" s="187" t="str">
        <x:v>BUDGET</x:v>
      </x:c>
      <x:c r="C447" s="187"/>
      <x:c r="D447" s="217" t="n">
        <x:v>46235</x:v>
      </x:c>
      <x:c r="E447" s="187" t="str">
        <x:v>R_FR_FR_A_ROAD</x:v>
      </x:c>
      <x:c r="F447" s="187" t="str">
        <x:v>FR</x:v>
      </x:c>
      <x:c r="G447" s="187" t="str">
        <x:v>FR_FC</x:v>
      </x:c>
      <x:c r="H447" s="187" t="str">
        <x:v>CARRIER_A</x:v>
      </x:c>
      <x:c r="I447" s="187" t="str">
        <x:v>ROAD</x:v>
      </x:c>
      <x:c r="J447" s="187" t="str">
        <x:v>RETURN_LOGISTICS</x:v>
      </x:c>
      <x:c r="K447" s="187" t="str">
        <x:v>EUR</x:v>
      </x:c>
      <x:c r="L447" s="232" t="n">
        <x:v>322.56</x:v>
      </x:c>
      <x:c r="M447" s="232" t="n">
        <x:v>7.8</x:v>
      </x:c>
      <x:c r="N447" s="187" t="str">
        <x:v>2515.96800000000</x:v>
      </x:c>
      <x:c r="O447" s="235" t="n">
        <x:v>2515.968</x:v>
      </x:c>
      <x:c r="P447" s="235"/>
      <x:c r="Q447" s="235"/>
      <x:c r="R447" s="235" t="str">
        <x:v>INVOICE_OR_PLAN</x:v>
      </x:c>
      <x:c r="S447" s="238" t="n">
        <x:f>'Model_Calc'!AV78</x:f>
        <x:v>2515.968</x:v>
      </x:c>
      <x:c r="T447" s="238" t="n">
        <x:f>ROUND(S447-O447,4)</x:f>
        <x:v>0</x:v>
      </x:c>
    </x:row>
    <x:row r="448">
      <x:c r="A448" s="187" t="str">
        <x:v>BUDGET_2026_V1</x:v>
      </x:c>
      <x:c r="B448" s="187" t="str">
        <x:v>BUDGET</x:v>
      </x:c>
      <x:c r="C448" s="187"/>
      <x:c r="D448" s="217" t="n">
        <x:v>46235</x:v>
      </x:c>
      <x:c r="E448" s="187" t="str">
        <x:v>R_FR_FR_A_ROAD</x:v>
      </x:c>
      <x:c r="F448" s="187" t="str">
        <x:v>FR</x:v>
      </x:c>
      <x:c r="G448" s="187" t="str">
        <x:v>FR_FC</x:v>
      </x:c>
      <x:c r="H448" s="187" t="str">
        <x:v>CARRIER_A</x:v>
      </x:c>
      <x:c r="I448" s="187" t="str">
        <x:v>ROAD</x:v>
      </x:c>
      <x:c r="J448" s="187" t="str">
        <x:v>BILLABLE_EXCEPTION</x:v>
      </x:c>
      <x:c r="K448" s="187" t="str">
        <x:v>EUR</x:v>
      </x:c>
      <x:c r="L448" s="232" t="n">
        <x:v>74.271232</x:v>
      </x:c>
      <x:c r="M448" s="232" t="n">
        <x:v>7.8</x:v>
      </x:c>
      <x:c r="N448" s="187" t="str">
        <x:v>579.3156096000000</x:v>
      </x:c>
      <x:c r="O448" s="235" t="n">
        <x:v>579.3156</x:v>
      </x:c>
      <x:c r="P448" s="235"/>
      <x:c r="Q448" s="235"/>
      <x:c r="R448" s="235" t="str">
        <x:v>INVOICE_OR_PLAN</x:v>
      </x:c>
      <x:c r="S448" s="238" t="n">
        <x:f>'Model_Calc'!BA78</x:f>
        <x:v>579.3156096</x:v>
      </x:c>
      <x:c r="T448" s="238" t="n">
        <x:f>ROUND(S448-O448,4)</x:f>
        <x:v>0</x:v>
      </x:c>
    </x:row>
    <x:row r="449">
      <x:c r="A449" s="187" t="str">
        <x:v>BUDGET_2026_V1</x:v>
      </x:c>
      <x:c r="B449" s="187" t="str">
        <x:v>BUDGET</x:v>
      </x:c>
      <x:c r="C449" s="187"/>
      <x:c r="D449" s="217" t="n">
        <x:v>46235</x:v>
      </x:c>
      <x:c r="E449" s="187" t="str">
        <x:v>R_FR_FR_B_ROAD</x:v>
      </x:c>
      <x:c r="F449" s="187" t="str">
        <x:v>FR</x:v>
      </x:c>
      <x:c r="G449" s="187" t="str">
        <x:v>FR_FC</x:v>
      </x:c>
      <x:c r="H449" s="187" t="str">
        <x:v>CARRIER_B</x:v>
      </x:c>
      <x:c r="I449" s="187" t="str">
        <x:v>ROAD</x:v>
      </x:c>
      <x:c r="J449" s="187" t="str">
        <x:v>BASE_FREIGHT</x:v>
      </x:c>
      <x:c r="K449" s="187" t="str">
        <x:v>EUR</x:v>
      </x:c>
      <x:c r="L449" s="232" t="n">
        <x:v>7245.85472</x:v>
      </x:c>
      <x:c r="M449" s="232" t="n">
        <x:v>7.8</x:v>
      </x:c>
      <x:c r="N449" s="187" t="str">
        <x:v>56517.666816000000</x:v>
      </x:c>
      <x:c r="O449" s="235" t="n">
        <x:v>56517.6668</x:v>
      </x:c>
      <x:c r="P449" s="235"/>
      <x:c r="Q449" s="235"/>
      <x:c r="R449" s="235" t="str">
        <x:v>INVOICE_OR_PLAN</x:v>
      </x:c>
      <x:c r="S449" s="238" t="n">
        <x:f>'Model_Calc'!AF79</x:f>
        <x:v>56517.666816</x:v>
      </x:c>
      <x:c r="T449" s="238" t="n">
        <x:f>ROUND(S449-O449,4)</x:f>
        <x:v>0</x:v>
      </x:c>
    </x:row>
    <x:row r="450">
      <x:c r="A450" s="187" t="str">
        <x:v>BUDGET_2026_V1</x:v>
      </x:c>
      <x:c r="B450" s="187" t="str">
        <x:v>BUDGET</x:v>
      </x:c>
      <x:c r="C450" s="187"/>
      <x:c r="D450" s="217" t="n">
        <x:v>46235</x:v>
      </x:c>
      <x:c r="E450" s="187" t="str">
        <x:v>R_FR_FR_B_ROAD</x:v>
      </x:c>
      <x:c r="F450" s="187" t="str">
        <x:v>FR</x:v>
      </x:c>
      <x:c r="G450" s="187" t="str">
        <x:v>FR_FC</x:v>
      </x:c>
      <x:c r="H450" s="187" t="str">
        <x:v>CARRIER_B</x:v>
      </x:c>
      <x:c r="I450" s="187" t="str">
        <x:v>ROAD</x:v>
      </x:c>
      <x:c r="J450" s="187" t="str">
        <x:v>FUEL_SURCHARGE</x:v>
      </x:c>
      <x:c r="K450" s="187" t="str">
        <x:v>EUR</x:v>
      </x:c>
      <x:c r="L450" s="232" t="n">
        <x:v>557.37344</x:v>
      </x:c>
      <x:c r="M450" s="232" t="n">
        <x:v>7.8</x:v>
      </x:c>
      <x:c r="N450" s="187" t="str">
        <x:v>4347.512832000000</x:v>
      </x:c>
      <x:c r="O450" s="235" t="n">
        <x:v>4347.5128</x:v>
      </x:c>
      <x:c r="P450" s="235"/>
      <x:c r="Q450" s="235"/>
      <x:c r="R450" s="235" t="str">
        <x:v>INVOICE_OR_PLAN</x:v>
      </x:c>
      <x:c r="S450" s="238" t="n">
        <x:f>'Model_Calc'!AG79</x:f>
        <x:v>4347.512832</x:v>
      </x:c>
      <x:c r="T450" s="238" t="n">
        <x:f>ROUND(S450-O450,4)</x:f>
        <x:v>0</x:v>
      </x:c>
    </x:row>
    <x:row r="451">
      <x:c r="A451" s="187" t="str">
        <x:v>BUDGET_2026_V1</x:v>
      </x:c>
      <x:c r="B451" s="187" t="str">
        <x:v>BUDGET</x:v>
      </x:c>
      <x:c r="C451" s="187"/>
      <x:c r="D451" s="217" t="n">
        <x:v>46235</x:v>
      </x:c>
      <x:c r="E451" s="187" t="str">
        <x:v>R_FR_FR_B_ROAD</x:v>
      </x:c>
      <x:c r="F451" s="187" t="str">
        <x:v>FR</x:v>
      </x:c>
      <x:c r="G451" s="187" t="str">
        <x:v>FR_FC</x:v>
      </x:c>
      <x:c r="H451" s="187" t="str">
        <x:v>CARRIER_B</x:v>
      </x:c>
      <x:c r="I451" s="187" t="str">
        <x:v>ROAD</x:v>
      </x:c>
      <x:c r="J451" s="187" t="str">
        <x:v>WAREHOUSE_OPERATION</x:v>
      </x:c>
      <x:c r="K451" s="187" t="str">
        <x:v>EUR</x:v>
      </x:c>
      <x:c r="L451" s="232" t="n">
        <x:v>3494.4</x:v>
      </x:c>
      <x:c r="M451" s="232" t="n">
        <x:v>7.8</x:v>
      </x:c>
      <x:c r="N451" s="187" t="str">
        <x:v>27256.32000000</x:v>
      </x:c>
      <x:c r="O451" s="235" t="n">
        <x:v>27256.32</x:v>
      </x:c>
      <x:c r="P451" s="235"/>
      <x:c r="Q451" s="235"/>
      <x:c r="R451" s="235" t="str">
        <x:v>INVOICE_OR_PLAN</x:v>
      </x:c>
      <x:c r="S451" s="238" t="n">
        <x:f>'Model_Calc'!AL79</x:f>
        <x:v>27256.32</x:v>
      </x:c>
      <x:c r="T451" s="238" t="n">
        <x:f>ROUND(S451-O451,4)</x:f>
        <x:v>0</x:v>
      </x:c>
    </x:row>
    <x:row r="452">
      <x:c r="A452" s="187" t="str">
        <x:v>BUDGET_2026_V1</x:v>
      </x:c>
      <x:c r="B452" s="187" t="str">
        <x:v>BUDGET</x:v>
      </x:c>
      <x:c r="C452" s="187"/>
      <x:c r="D452" s="217" t="n">
        <x:v>46235</x:v>
      </x:c>
      <x:c r="E452" s="187" t="str">
        <x:v>R_FR_FR_B_ROAD</x:v>
      </x:c>
      <x:c r="F452" s="187" t="str">
        <x:v>FR</x:v>
      </x:c>
      <x:c r="G452" s="187" t="str">
        <x:v>FR_FC</x:v>
      </x:c>
      <x:c r="H452" s="187" t="str">
        <x:v>CARRIER_B</x:v>
      </x:c>
      <x:c r="I452" s="187" t="str">
        <x:v>ROAD</x:v>
      </x:c>
      <x:c r="J452" s="187" t="str">
        <x:v>PACKAGING</x:v>
      </x:c>
      <x:c r="K452" s="187" t="str">
        <x:v>EUR</x:v>
      </x:c>
      <x:c r="L452" s="232" t="n">
        <x:v>1340.5184</x:v>
      </x:c>
      <x:c r="M452" s="232" t="n">
        <x:v>7.8</x:v>
      </x:c>
      <x:c r="N452" s="187" t="str">
        <x:v>10456.0435200000</x:v>
      </x:c>
      <x:c r="O452" s="235" t="n">
        <x:v>10456.0435</x:v>
      </x:c>
      <x:c r="P452" s="235"/>
      <x:c r="Q452" s="235"/>
      <x:c r="R452" s="235" t="str">
        <x:v>INVOICE_OR_PLAN</x:v>
      </x:c>
      <x:c r="S452" s="238" t="n">
        <x:f>'Model_Calc'!AQ79</x:f>
        <x:v>10456.043520000001</x:v>
      </x:c>
      <x:c r="T452" s="238" t="n">
        <x:f>ROUND(S452-O452,4)</x:f>
        <x:v>0</x:v>
      </x:c>
    </x:row>
    <x:row r="453">
      <x:c r="A453" s="187" t="str">
        <x:v>BUDGET_2026_V1</x:v>
      </x:c>
      <x:c r="B453" s="187" t="str">
        <x:v>BUDGET</x:v>
      </x:c>
      <x:c r="C453" s="187"/>
      <x:c r="D453" s="217" t="n">
        <x:v>46235</x:v>
      </x:c>
      <x:c r="E453" s="187" t="str">
        <x:v>R_FR_FR_B_ROAD</x:v>
      </x:c>
      <x:c r="F453" s="187" t="str">
        <x:v>FR</x:v>
      </x:c>
      <x:c r="G453" s="187" t="str">
        <x:v>FR_FC</x:v>
      </x:c>
      <x:c r="H453" s="187" t="str">
        <x:v>CARRIER_B</x:v>
      </x:c>
      <x:c r="I453" s="187" t="str">
        <x:v>ROAD</x:v>
      </x:c>
      <x:c r="J453" s="187" t="str">
        <x:v>RETURN_LOGISTICS</x:v>
      </x:c>
      <x:c r="K453" s="187" t="str">
        <x:v>EUR</x:v>
      </x:c>
      <x:c r="L453" s="232" t="n">
        <x:v>599.04</x:v>
      </x:c>
      <x:c r="M453" s="232" t="n">
        <x:v>7.8</x:v>
      </x:c>
      <x:c r="N453" s="187" t="str">
        <x:v>4672.51200000000</x:v>
      </x:c>
      <x:c r="O453" s="235" t="n">
        <x:v>4672.512</x:v>
      </x:c>
      <x:c r="P453" s="235"/>
      <x:c r="Q453" s="235"/>
      <x:c r="R453" s="235" t="str">
        <x:v>INVOICE_OR_PLAN</x:v>
      </x:c>
      <x:c r="S453" s="238" t="n">
        <x:f>'Model_Calc'!AV79</x:f>
        <x:v>4672.512</x:v>
      </x:c>
      <x:c r="T453" s="238" t="n">
        <x:f>ROUND(S453-O453,4)</x:f>
        <x:v>0</x:v>
      </x:c>
    </x:row>
    <x:row r="454">
      <x:c r="A454" s="187" t="str">
        <x:v>BUDGET_2026_V1</x:v>
      </x:c>
      <x:c r="B454" s="187" t="str">
        <x:v>BUDGET</x:v>
      </x:c>
      <x:c r="C454" s="187"/>
      <x:c r="D454" s="217" t="n">
        <x:v>46235</x:v>
      </x:c>
      <x:c r="E454" s="187" t="str">
        <x:v>R_FR_FR_B_ROAD</x:v>
      </x:c>
      <x:c r="F454" s="187" t="str">
        <x:v>FR</x:v>
      </x:c>
      <x:c r="G454" s="187" t="str">
        <x:v>FR_FC</x:v>
      </x:c>
      <x:c r="H454" s="187" t="str">
        <x:v>CARRIER_B</x:v>
      </x:c>
      <x:c r="I454" s="187" t="str">
        <x:v>ROAD</x:v>
      </x:c>
      <x:c r="J454" s="187" t="str">
        <x:v>BILLABLE_EXCEPTION</x:v>
      </x:c>
      <x:c r="K454" s="187" t="str">
        <x:v>EUR</x:v>
      </x:c>
      <x:c r="L454" s="232" t="n">
        <x:v>113.591296</x:v>
      </x:c>
      <x:c r="M454" s="232" t="n">
        <x:v>7.8</x:v>
      </x:c>
      <x:c r="N454" s="187" t="str">
        <x:v>886.0121088000000</x:v>
      </x:c>
      <x:c r="O454" s="235" t="n">
        <x:v>886.0121</x:v>
      </x:c>
      <x:c r="P454" s="235"/>
      <x:c r="Q454" s="235"/>
      <x:c r="R454" s="235" t="str">
        <x:v>INVOICE_OR_PLAN</x:v>
      </x:c>
      <x:c r="S454" s="238" t="n">
        <x:f>'Model_Calc'!BA79</x:f>
        <x:v>886.0121088</x:v>
      </x:c>
      <x:c r="T454" s="238" t="n">
        <x:f>ROUND(S454-O454,4)</x:f>
        <x:v>0</x:v>
      </x:c>
    </x:row>
    <x:row r="455">
      <x:c r="A455" s="187" t="str">
        <x:v>BUDGET_2026_V1</x:v>
      </x:c>
      <x:c r="B455" s="187" t="str">
        <x:v>BUDGET</x:v>
      </x:c>
      <x:c r="C455" s="187"/>
      <x:c r="D455" s="217" t="n">
        <x:v>46235</x:v>
      </x:c>
      <x:c r="E455" s="187" t="str">
        <x:v>R_GB_DE_A_ROAD</x:v>
      </x:c>
      <x:c r="F455" s="187" t="str">
        <x:v>GB</x:v>
      </x:c>
      <x:c r="G455" s="187" t="str">
        <x:v>DE_FC</x:v>
      </x:c>
      <x:c r="H455" s="187" t="str">
        <x:v>CARRIER_A</x:v>
      </x:c>
      <x:c r="I455" s="187" t="str">
        <x:v>ROAD</x:v>
      </x:c>
      <x:c r="J455" s="187" t="str">
        <x:v>BASE_FREIGHT</x:v>
      </x:c>
      <x:c r="K455" s="187" t="str">
        <x:v>GBP</x:v>
      </x:c>
      <x:c r="L455" s="232" t="n">
        <x:v>13686.86592</x:v>
      </x:c>
      <x:c r="M455" s="232" t="n">
        <x:v>9</x:v>
      </x:c>
      <x:c r="N455" s="187" t="str">
        <x:v>123181.79328000000000</x:v>
      </x:c>
      <x:c r="O455" s="235" t="n">
        <x:v>123181.7933</x:v>
      </x:c>
      <x:c r="P455" s="235"/>
      <x:c r="Q455" s="235"/>
      <x:c r="R455" s="235" t="str">
        <x:v>INVOICE_OR_PLAN</x:v>
      </x:c>
      <x:c r="S455" s="238" t="n">
        <x:f>'Model_Calc'!AF80</x:f>
        <x:v>123181.79328000004</x:v>
      </x:c>
      <x:c r="T455" s="238" t="n">
        <x:f>ROUND(S455-O455,4)</x:f>
        <x:v>0</x:v>
      </x:c>
    </x:row>
    <x:row r="456">
      <x:c r="A456" s="187" t="str">
        <x:v>BUDGET_2026_V1</x:v>
      </x:c>
      <x:c r="B456" s="187" t="str">
        <x:v>BUDGET</x:v>
      </x:c>
      <x:c r="C456" s="187"/>
      <x:c r="D456" s="217" t="n">
        <x:v>46235</x:v>
      </x:c>
      <x:c r="E456" s="187" t="str">
        <x:v>R_GB_DE_A_ROAD</x:v>
      </x:c>
      <x:c r="F456" s="187" t="str">
        <x:v>GB</x:v>
      </x:c>
      <x:c r="G456" s="187" t="str">
        <x:v>DE_FC</x:v>
      </x:c>
      <x:c r="H456" s="187" t="str">
        <x:v>CARRIER_A</x:v>
      </x:c>
      <x:c r="I456" s="187" t="str">
        <x:v>ROAD</x:v>
      </x:c>
      <x:c r="J456" s="187" t="str">
        <x:v>FUEL_SURCHARGE</x:v>
      </x:c>
      <x:c r="K456" s="187" t="str">
        <x:v>GBP</x:v>
      </x:c>
      <x:c r="L456" s="232" t="n">
        <x:v>1368.686592</x:v>
      </x:c>
      <x:c r="M456" s="232" t="n">
        <x:v>9</x:v>
      </x:c>
      <x:c r="N456" s="187" t="str">
        <x:v>12318.17932800000000000</x:v>
      </x:c>
      <x:c r="O456" s="235" t="n">
        <x:v>12318.1793</x:v>
      </x:c>
      <x:c r="P456" s="235"/>
      <x:c r="Q456" s="235"/>
      <x:c r="R456" s="235" t="str">
        <x:v>INVOICE_OR_PLAN</x:v>
      </x:c>
      <x:c r="S456" s="238" t="n">
        <x:f>'Model_Calc'!AG80</x:f>
        <x:v>12318.179328000004</x:v>
      </x:c>
      <x:c r="T456" s="238" t="n">
        <x:f>ROUND(S456-O456,4)</x:f>
        <x:v>0</x:v>
      </x:c>
    </x:row>
    <x:row r="457">
      <x:c r="A457" s="187" t="str">
        <x:v>BUDGET_2026_V1</x:v>
      </x:c>
      <x:c r="B457" s="187" t="str">
        <x:v>BUDGET</x:v>
      </x:c>
      <x:c r="C457" s="187"/>
      <x:c r="D457" s="217" t="n">
        <x:v>46235</x:v>
      </x:c>
      <x:c r="E457" s="187" t="str">
        <x:v>R_GB_DE_A_ROAD</x:v>
      </x:c>
      <x:c r="F457" s="187" t="str">
        <x:v>GB</x:v>
      </x:c>
      <x:c r="G457" s="187" t="str">
        <x:v>DE_FC</x:v>
      </x:c>
      <x:c r="H457" s="187" t="str">
        <x:v>CARRIER_A</x:v>
      </x:c>
      <x:c r="I457" s="187" t="str">
        <x:v>ROAD</x:v>
      </x:c>
      <x:c r="J457" s="187" t="str">
        <x:v>WAREHOUSE_OPERATION</x:v>
      </x:c>
      <x:c r="K457" s="187" t="str">
        <x:v>EUR</x:v>
      </x:c>
      <x:c r="L457" s="232" t="n">
        <x:v>3534.336</x:v>
      </x:c>
      <x:c r="M457" s="232" t="n">
        <x:v>7.8</x:v>
      </x:c>
      <x:c r="N457" s="187" t="str">
        <x:v>27567.8208000000</x:v>
      </x:c>
      <x:c r="O457" s="235" t="n">
        <x:v>27567.8208</x:v>
      </x:c>
      <x:c r="P457" s="235"/>
      <x:c r="Q457" s="235"/>
      <x:c r="R457" s="235" t="str">
        <x:v>INVOICE_OR_PLAN</x:v>
      </x:c>
      <x:c r="S457" s="238" t="n">
        <x:f>'Model_Calc'!AL80</x:f>
        <x:v>27567.8208</x:v>
      </x:c>
      <x:c r="T457" s="238" t="n">
        <x:f>ROUND(S457-O457,4)</x:f>
        <x:v>0</x:v>
      </x:c>
    </x:row>
    <x:row r="458">
      <x:c r="A458" s="187" t="str">
        <x:v>BUDGET_2026_V1</x:v>
      </x:c>
      <x:c r="B458" s="187" t="str">
        <x:v>BUDGET</x:v>
      </x:c>
      <x:c r="C458" s="187"/>
      <x:c r="D458" s="217" t="n">
        <x:v>46235</x:v>
      </x:c>
      <x:c r="E458" s="187" t="str">
        <x:v>R_GB_DE_A_ROAD</x:v>
      </x:c>
      <x:c r="F458" s="187" t="str">
        <x:v>GB</x:v>
      </x:c>
      <x:c r="G458" s="187" t="str">
        <x:v>DE_FC</x:v>
      </x:c>
      <x:c r="H458" s="187" t="str">
        <x:v>CARRIER_A</x:v>
      </x:c>
      <x:c r="I458" s="187" t="str">
        <x:v>ROAD</x:v>
      </x:c>
      <x:c r="J458" s="187" t="str">
        <x:v>PACKAGING</x:v>
      </x:c>
      <x:c r="K458" s="187" t="str">
        <x:v>EUR</x:v>
      </x:c>
      <x:c r="L458" s="232" t="n">
        <x:v>1408.94208</x:v>
      </x:c>
      <x:c r="M458" s="232" t="n">
        <x:v>7.8</x:v>
      </x:c>
      <x:c r="N458" s="187" t="str">
        <x:v>10989.748224000000</x:v>
      </x:c>
      <x:c r="O458" s="235" t="n">
        <x:v>10989.7482</x:v>
      </x:c>
      <x:c r="P458" s="235"/>
      <x:c r="Q458" s="235"/>
      <x:c r="R458" s="235" t="str">
        <x:v>INVOICE_OR_PLAN</x:v>
      </x:c>
      <x:c r="S458" s="238" t="n">
        <x:f>'Model_Calc'!AQ80</x:f>
        <x:v>10989.748224000003</x:v>
      </x:c>
      <x:c r="T458" s="238" t="n">
        <x:f>ROUND(S458-O458,4)</x:f>
        <x:v>0</x:v>
      </x:c>
    </x:row>
    <x:row r="459">
      <x:c r="A459" s="187" t="str">
        <x:v>BUDGET_2026_V1</x:v>
      </x:c>
      <x:c r="B459" s="187" t="str">
        <x:v>BUDGET</x:v>
      </x:c>
      <x:c r="C459" s="187"/>
      <x:c r="D459" s="217" t="n">
        <x:v>46235</x:v>
      </x:c>
      <x:c r="E459" s="187" t="str">
        <x:v>R_GB_DE_A_ROAD</x:v>
      </x:c>
      <x:c r="F459" s="187" t="str">
        <x:v>GB</x:v>
      </x:c>
      <x:c r="G459" s="187" t="str">
        <x:v>DE_FC</x:v>
      </x:c>
      <x:c r="H459" s="187" t="str">
        <x:v>CARRIER_A</x:v>
      </x:c>
      <x:c r="I459" s="187" t="str">
        <x:v>ROAD</x:v>
      </x:c>
      <x:c r="J459" s="187" t="str">
        <x:v>RETURN_LOGISTICS</x:v>
      </x:c>
      <x:c r="K459" s="187" t="str">
        <x:v>GBP</x:v>
      </x:c>
      <x:c r="L459" s="232" t="n">
        <x:v>1150.1568</x:v>
      </x:c>
      <x:c r="M459" s="232" t="n">
        <x:v>9</x:v>
      </x:c>
      <x:c r="N459" s="187" t="str">
        <x:v>10351.4112000000000</x:v>
      </x:c>
      <x:c r="O459" s="235" t="n">
        <x:v>10351.4112</x:v>
      </x:c>
      <x:c r="P459" s="235"/>
      <x:c r="Q459" s="235"/>
      <x:c r="R459" s="235" t="str">
        <x:v>INVOICE_OR_PLAN</x:v>
      </x:c>
      <x:c r="S459" s="238" t="n">
        <x:f>'Model_Calc'!AV80</x:f>
        <x:v>10351.4112</x:v>
      </x:c>
      <x:c r="T459" s="238" t="n">
        <x:f>ROUND(S459-O459,4)</x:f>
        <x:v>0</x:v>
      </x:c>
    </x:row>
    <x:row r="460">
      <x:c r="A460" s="187" t="str">
        <x:v>BUDGET_2026_V1</x:v>
      </x:c>
      <x:c r="B460" s="187" t="str">
        <x:v>BUDGET</x:v>
      </x:c>
      <x:c r="C460" s="187"/>
      <x:c r="D460" s="217" t="n">
        <x:v>46235</x:v>
      </x:c>
      <x:c r="E460" s="187" t="str">
        <x:v>R_GB_DE_A_ROAD</x:v>
      </x:c>
      <x:c r="F460" s="187" t="str">
        <x:v>GB</x:v>
      </x:c>
      <x:c r="G460" s="187" t="str">
        <x:v>DE_FC</x:v>
      </x:c>
      <x:c r="H460" s="187" t="str">
        <x:v>CARRIER_A</x:v>
      </x:c>
      <x:c r="I460" s="187" t="str">
        <x:v>ROAD</x:v>
      </x:c>
      <x:c r="J460" s="187" t="str">
        <x:v>BILLABLE_EXCEPTION</x:v>
      </x:c>
      <x:c r="K460" s="187" t="str">
        <x:v>GBP</x:v>
      </x:c>
      <x:c r="L460" s="232" t="n">
        <x:v>169.7439744</x:v>
      </x:c>
      <x:c r="M460" s="232" t="n">
        <x:v>9</x:v>
      </x:c>
      <x:c r="N460" s="187" t="str">
        <x:v>1527.695769600000000</x:v>
      </x:c>
      <x:c r="O460" s="235" t="n">
        <x:v>1527.6958</x:v>
      </x:c>
      <x:c r="P460" s="235"/>
      <x:c r="Q460" s="235"/>
      <x:c r="R460" s="235" t="str">
        <x:v>INVOICE_OR_PLAN</x:v>
      </x:c>
      <x:c r="S460" s="238" t="n">
        <x:f>'Model_Calc'!BA80</x:f>
        <x:v>1527.6957696000002</x:v>
      </x:c>
      <x:c r="T460" s="238" t="n">
        <x:f>ROUND(S460-O460,4)</x:f>
        <x:v>0</x:v>
      </x:c>
    </x:row>
    <x:row r="461">
      <x:c r="A461" s="187" t="str">
        <x:v>BUDGET_2026_V1</x:v>
      </x:c>
      <x:c r="B461" s="187" t="str">
        <x:v>BUDGET</x:v>
      </x:c>
      <x:c r="C461" s="187"/>
      <x:c r="D461" s="217" t="n">
        <x:v>46235</x:v>
      </x:c>
      <x:c r="E461" s="187" t="str">
        <x:v>R_GB_DE_B_ROAD</x:v>
      </x:c>
      <x:c r="F461" s="187" t="str">
        <x:v>GB</x:v>
      </x:c>
      <x:c r="G461" s="187" t="str">
        <x:v>DE_FC</x:v>
      </x:c>
      <x:c r="H461" s="187" t="str">
        <x:v>CARRIER_B</x:v>
      </x:c>
      <x:c r="I461" s="187" t="str">
        <x:v>ROAD</x:v>
      </x:c>
      <x:c r="J461" s="187" t="str">
        <x:v>BASE_FREIGHT</x:v>
      </x:c>
      <x:c r="K461" s="187" t="str">
        <x:v>GBP</x:v>
      </x:c>
      <x:c r="L461" s="232" t="n">
        <x:v>6064.128</x:v>
      </x:c>
      <x:c r="M461" s="232" t="n">
        <x:v>9</x:v>
      </x:c>
      <x:c r="N461" s="187" t="str">
        <x:v>54577.15200000000000</x:v>
      </x:c>
      <x:c r="O461" s="235" t="n">
        <x:v>54577.152</x:v>
      </x:c>
      <x:c r="P461" s="235"/>
      <x:c r="Q461" s="235"/>
      <x:c r="R461" s="235" t="str">
        <x:v>INVOICE_OR_PLAN</x:v>
      </x:c>
      <x:c r="S461" s="238" t="n">
        <x:f>'Model_Calc'!AF81</x:f>
        <x:v>54577.15200000002</x:v>
      </x:c>
      <x:c r="T461" s="238" t="n">
        <x:f>ROUND(S461-O461,4)</x:f>
        <x:v>0</x:v>
      </x:c>
    </x:row>
    <x:row r="462">
      <x:c r="A462" s="187" t="str">
        <x:v>BUDGET_2026_V1</x:v>
      </x:c>
      <x:c r="B462" s="187" t="str">
        <x:v>BUDGET</x:v>
      </x:c>
      <x:c r="C462" s="187"/>
      <x:c r="D462" s="217" t="n">
        <x:v>46235</x:v>
      </x:c>
      <x:c r="E462" s="187" t="str">
        <x:v>R_GB_DE_B_ROAD</x:v>
      </x:c>
      <x:c r="F462" s="187" t="str">
        <x:v>GB</x:v>
      </x:c>
      <x:c r="G462" s="187" t="str">
        <x:v>DE_FC</x:v>
      </x:c>
      <x:c r="H462" s="187" t="str">
        <x:v>CARRIER_B</x:v>
      </x:c>
      <x:c r="I462" s="187" t="str">
        <x:v>ROAD</x:v>
      </x:c>
      <x:c r="J462" s="187" t="str">
        <x:v>FUEL_SURCHARGE</x:v>
      </x:c>
      <x:c r="K462" s="187" t="str">
        <x:v>GBP</x:v>
      </x:c>
      <x:c r="L462" s="232" t="n">
        <x:v>425.7792</x:v>
      </x:c>
      <x:c r="M462" s="232" t="n">
        <x:v>9</x:v>
      </x:c>
      <x:c r="N462" s="187" t="str">
        <x:v>3832.01280000000000</x:v>
      </x:c>
      <x:c r="O462" s="235" t="n">
        <x:v>3832.0128</x:v>
      </x:c>
      <x:c r="P462" s="235"/>
      <x:c r="Q462" s="235"/>
      <x:c r="R462" s="235" t="str">
        <x:v>INVOICE_OR_PLAN</x:v>
      </x:c>
      <x:c r="S462" s="238" t="n">
        <x:f>'Model_Calc'!AG81</x:f>
        <x:v>3832.012800000001</x:v>
      </x:c>
      <x:c r="T462" s="238" t="n">
        <x:f>ROUND(S462-O462,4)</x:f>
        <x:v>0</x:v>
      </x:c>
    </x:row>
    <x:row r="463">
      <x:c r="A463" s="187" t="str">
        <x:v>BUDGET_2026_V1</x:v>
      </x:c>
      <x:c r="B463" s="187" t="str">
        <x:v>BUDGET</x:v>
      </x:c>
      <x:c r="C463" s="187"/>
      <x:c r="D463" s="217" t="n">
        <x:v>46235</x:v>
      </x:c>
      <x:c r="E463" s="187" t="str">
        <x:v>R_GB_DE_B_ROAD</x:v>
      </x:c>
      <x:c r="F463" s="187" t="str">
        <x:v>GB</x:v>
      </x:c>
      <x:c r="G463" s="187" t="str">
        <x:v>DE_FC</x:v>
      </x:c>
      <x:c r="H463" s="187" t="str">
        <x:v>CARRIER_B</x:v>
      </x:c>
      <x:c r="I463" s="187" t="str">
        <x:v>ROAD</x:v>
      </x:c>
      <x:c r="J463" s="187" t="str">
        <x:v>WAREHOUSE_OPERATION</x:v>
      </x:c>
      <x:c r="K463" s="187" t="str">
        <x:v>EUR</x:v>
      </x:c>
      <x:c r="L463" s="232" t="n">
        <x:v>1359.36</x:v>
      </x:c>
      <x:c r="M463" s="232" t="n">
        <x:v>7.8</x:v>
      </x:c>
      <x:c r="N463" s="187" t="str">
        <x:v>10603.0080000000</x:v>
      </x:c>
      <x:c r="O463" s="235" t="n">
        <x:v>10603.008</x:v>
      </x:c>
      <x:c r="P463" s="235"/>
      <x:c r="Q463" s="235"/>
      <x:c r="R463" s="235" t="str">
        <x:v>INVOICE_OR_PLAN</x:v>
      </x:c>
      <x:c r="S463" s="238" t="n">
        <x:f>'Model_Calc'!AL81</x:f>
        <x:v>10603.008</x:v>
      </x:c>
      <x:c r="T463" s="238" t="n">
        <x:f>ROUND(S463-O463,4)</x:f>
        <x:v>0</x:v>
      </x:c>
    </x:row>
    <x:row r="464">
      <x:c r="A464" s="187" t="str">
        <x:v>BUDGET_2026_V1</x:v>
      </x:c>
      <x:c r="B464" s="187" t="str">
        <x:v>BUDGET</x:v>
      </x:c>
      <x:c r="C464" s="187"/>
      <x:c r="D464" s="217" t="n">
        <x:v>46235</x:v>
      </x:c>
      <x:c r="E464" s="187" t="str">
        <x:v>R_GB_DE_B_ROAD</x:v>
      </x:c>
      <x:c r="F464" s="187" t="str">
        <x:v>GB</x:v>
      </x:c>
      <x:c r="G464" s="187" t="str">
        <x:v>DE_FC</x:v>
      </x:c>
      <x:c r="H464" s="187" t="str">
        <x:v>CARRIER_B</x:v>
      </x:c>
      <x:c r="I464" s="187" t="str">
        <x:v>ROAD</x:v>
      </x:c>
      <x:c r="J464" s="187" t="str">
        <x:v>PACKAGING</x:v>
      </x:c>
      <x:c r="K464" s="187" t="str">
        <x:v>EUR</x:v>
      </x:c>
      <x:c r="L464" s="232" t="n">
        <x:v>541.9008</x:v>
      </x:c>
      <x:c r="M464" s="232" t="n">
        <x:v>7.8</x:v>
      </x:c>
      <x:c r="N464" s="187" t="str">
        <x:v>4226.826240000000</x:v>
      </x:c>
      <x:c r="O464" s="235" t="n">
        <x:v>4226.8262</x:v>
      </x:c>
      <x:c r="P464" s="235"/>
      <x:c r="Q464" s="235"/>
      <x:c r="R464" s="235" t="str">
        <x:v>INVOICE_OR_PLAN</x:v>
      </x:c>
      <x:c r="S464" s="238" t="n">
        <x:f>'Model_Calc'!AQ81</x:f>
        <x:v>4226.826240000001</x:v>
      </x:c>
      <x:c r="T464" s="238" t="n">
        <x:f>ROUND(S464-O464,4)</x:f>
        <x:v>0</x:v>
      </x:c>
    </x:row>
    <x:row r="465">
      <x:c r="A465" s="187" t="str">
        <x:v>BUDGET_2026_V1</x:v>
      </x:c>
      <x:c r="B465" s="187" t="str">
        <x:v>BUDGET</x:v>
      </x:c>
      <x:c r="C465" s="187"/>
      <x:c r="D465" s="217" t="n">
        <x:v>46235</x:v>
      </x:c>
      <x:c r="E465" s="187" t="str">
        <x:v>R_GB_DE_B_ROAD</x:v>
      </x:c>
      <x:c r="F465" s="187" t="str">
        <x:v>GB</x:v>
      </x:c>
      <x:c r="G465" s="187" t="str">
        <x:v>DE_FC</x:v>
      </x:c>
      <x:c r="H465" s="187" t="str">
        <x:v>CARRIER_B</x:v>
      </x:c>
      <x:c r="I465" s="187" t="str">
        <x:v>ROAD</x:v>
      </x:c>
      <x:c r="J465" s="187" t="str">
        <x:v>RETURN_LOGISTICS</x:v>
      </x:c>
      <x:c r="K465" s="187" t="str">
        <x:v>GBP</x:v>
      </x:c>
      <x:c r="L465" s="232" t="n">
        <x:v>442.368</x:v>
      </x:c>
      <x:c r="M465" s="232" t="n">
        <x:v>9</x:v>
      </x:c>
      <x:c r="N465" s="187" t="str">
        <x:v>3981.3120000000000</x:v>
      </x:c>
      <x:c r="O465" s="235" t="n">
        <x:v>3981.312</x:v>
      </x:c>
      <x:c r="P465" s="235"/>
      <x:c r="Q465" s="235"/>
      <x:c r="R465" s="235" t="str">
        <x:v>INVOICE_OR_PLAN</x:v>
      </x:c>
      <x:c r="S465" s="238" t="n">
        <x:f>'Model_Calc'!AV81</x:f>
        <x:v>3981.312</x:v>
      </x:c>
      <x:c r="T465" s="238" t="n">
        <x:f>ROUND(S465-O465,4)</x:f>
        <x:v>0</x:v>
      </x:c>
    </x:row>
    <x:row r="466">
      <x:c r="A466" s="187" t="str">
        <x:v>BUDGET_2026_V1</x:v>
      </x:c>
      <x:c r="B466" s="187" t="str">
        <x:v>BUDGET</x:v>
      </x:c>
      <x:c r="C466" s="187"/>
      <x:c r="D466" s="217" t="n">
        <x:v>46235</x:v>
      </x:c>
      <x:c r="E466" s="187" t="str">
        <x:v>R_GB_DE_B_ROAD</x:v>
      </x:c>
      <x:c r="F466" s="187" t="str">
        <x:v>GB</x:v>
      </x:c>
      <x:c r="G466" s="187" t="str">
        <x:v>DE_FC</x:v>
      </x:c>
      <x:c r="H466" s="187" t="str">
        <x:v>CARRIER_B</x:v>
      </x:c>
      <x:c r="I466" s="187" t="str">
        <x:v>ROAD</x:v>
      </x:c>
      <x:c r="J466" s="187" t="str">
        <x:v>BILLABLE_EXCEPTION</x:v>
      </x:c>
      <x:c r="K466" s="187" t="str">
        <x:v>GBP</x:v>
      </x:c>
      <x:c r="L466" s="232" t="n">
        <x:v>50.448384</x:v>
      </x:c>
      <x:c r="M466" s="232" t="n">
        <x:v>9</x:v>
      </x:c>
      <x:c r="N466" s="187" t="str">
        <x:v>454.035456000000000</x:v>
      </x:c>
      <x:c r="O466" s="235" t="n">
        <x:v>454.0355</x:v>
      </x:c>
      <x:c r="P466" s="235"/>
      <x:c r="Q466" s="235"/>
      <x:c r="R466" s="235" t="str">
        <x:v>INVOICE_OR_PLAN</x:v>
      </x:c>
      <x:c r="S466" s="238" t="n">
        <x:f>'Model_Calc'!BA81</x:f>
        <x:v>454.0354560000001</x:v>
      </x:c>
      <x:c r="T466" s="238" t="n">
        <x:f>ROUND(S466-O466,4)</x:f>
        <x:v>0</x:v>
      </x:c>
    </x:row>
    <x:row r="467">
      <x:c r="A467" s="187" t="str">
        <x:v>BUDGET_2026_V1</x:v>
      </x:c>
      <x:c r="B467" s="187" t="str">
        <x:v>BUDGET</x:v>
      </x:c>
      <x:c r="C467" s="187"/>
      <x:c r="D467" s="217" t="n">
        <x:v>46235</x:v>
      </x:c>
      <x:c r="E467" s="187" t="str">
        <x:v>R_GB_DE_B_AIR</x:v>
      </x:c>
      <x:c r="F467" s="187" t="str">
        <x:v>GB</x:v>
      </x:c>
      <x:c r="G467" s="187" t="str">
        <x:v>DE_FC</x:v>
      </x:c>
      <x:c r="H467" s="187" t="str">
        <x:v>CARRIER_B</x:v>
      </x:c>
      <x:c r="I467" s="187" t="str">
        <x:v>AIR</x:v>
      </x:c>
      <x:c r="J467" s="187" t="str">
        <x:v>BASE_FREIGHT</x:v>
      </x:c>
      <x:c r="K467" s="187" t="str">
        <x:v>GBP</x:v>
      </x:c>
      <x:c r="L467" s="232" t="n">
        <x:v>2105.4652416</x:v>
      </x:c>
      <x:c r="M467" s="232" t="n">
        <x:v>9</x:v>
      </x:c>
      <x:c r="N467" s="187" t="str">
        <x:v>18949.18717440000000</x:v>
      </x:c>
      <x:c r="O467" s="235" t="n">
        <x:v>18949.1872</x:v>
      </x:c>
      <x:c r="P467" s="235"/>
      <x:c r="Q467" s="235"/>
      <x:c r="R467" s="235" t="str">
        <x:v>INVOICE_OR_PLAN</x:v>
      </x:c>
      <x:c r="S467" s="238" t="n">
        <x:f>'Model_Calc'!AF82</x:f>
        <x:v>18949.18717440001</x:v>
      </x:c>
      <x:c r="T467" s="238" t="n">
        <x:f>ROUND(S467-O467,4)</x:f>
        <x:v>0</x:v>
      </x:c>
    </x:row>
    <x:row r="468">
      <x:c r="A468" s="187" t="str">
        <x:v>BUDGET_2026_V1</x:v>
      </x:c>
      <x:c r="B468" s="187" t="str">
        <x:v>BUDGET</x:v>
      </x:c>
      <x:c r="C468" s="187"/>
      <x:c r="D468" s="217" t="n">
        <x:v>46235</x:v>
      </x:c>
      <x:c r="E468" s="187" t="str">
        <x:v>R_GB_DE_B_AIR</x:v>
      </x:c>
      <x:c r="F468" s="187" t="str">
        <x:v>GB</x:v>
      </x:c>
      <x:c r="G468" s="187" t="str">
        <x:v>DE_FC</x:v>
      </x:c>
      <x:c r="H468" s="187" t="str">
        <x:v>CARRIER_B</x:v>
      </x:c>
      <x:c r="I468" s="187" t="str">
        <x:v>AIR</x:v>
      </x:c>
      <x:c r="J468" s="187" t="str">
        <x:v>FUEL_SURCHARGE</x:v>
      </x:c>
      <x:c r="K468" s="187" t="str">
        <x:v>GBP</x:v>
      </x:c>
      <x:c r="L468" s="232" t="n">
        <x:v>242.128502784</x:v>
      </x:c>
      <x:c r="M468" s="232" t="n">
        <x:v>9</x:v>
      </x:c>
      <x:c r="N468" s="187" t="str">
        <x:v>2179.15652505600000000</x:v>
      </x:c>
      <x:c r="O468" s="235" t="n">
        <x:v>2179.1565</x:v>
      </x:c>
      <x:c r="P468" s="235"/>
      <x:c r="Q468" s="235"/>
      <x:c r="R468" s="235" t="str">
        <x:v>INVOICE_OR_PLAN</x:v>
      </x:c>
      <x:c r="S468" s="238" t="n">
        <x:f>'Model_Calc'!AG82</x:f>
        <x:v>2179.1565250560006</x:v>
      </x:c>
      <x:c r="T468" s="238" t="n">
        <x:f>ROUND(S468-O468,4)</x:f>
        <x:v>0</x:v>
      </x:c>
    </x:row>
    <x:row r="469">
      <x:c r="A469" s="187" t="str">
        <x:v>BUDGET_2026_V1</x:v>
      </x:c>
      <x:c r="B469" s="187" t="str">
        <x:v>BUDGET</x:v>
      </x:c>
      <x:c r="C469" s="187"/>
      <x:c r="D469" s="217" t="n">
        <x:v>46235</x:v>
      </x:c>
      <x:c r="E469" s="187" t="str">
        <x:v>R_GB_DE_B_AIR</x:v>
      </x:c>
      <x:c r="F469" s="187" t="str">
        <x:v>GB</x:v>
      </x:c>
      <x:c r="G469" s="187" t="str">
        <x:v>DE_FC</x:v>
      </x:c>
      <x:c r="H469" s="187" t="str">
        <x:v>CARRIER_B</x:v>
      </x:c>
      <x:c r="I469" s="187" t="str">
        <x:v>AIR</x:v>
      </x:c>
      <x:c r="J469" s="187" t="str">
        <x:v>WAREHOUSE_OPERATION</x:v>
      </x:c>
      <x:c r="K469" s="187" t="str">
        <x:v>EUR</x:v>
      </x:c>
      <x:c r="L469" s="232" t="n">
        <x:v>380.6208</x:v>
      </x:c>
      <x:c r="M469" s="232" t="n">
        <x:v>7.8</x:v>
      </x:c>
      <x:c r="N469" s="187" t="str">
        <x:v>2968.8422400000</x:v>
      </x:c>
      <x:c r="O469" s="235" t="n">
        <x:v>2968.8422</x:v>
      </x:c>
      <x:c r="P469" s="235"/>
      <x:c r="Q469" s="235"/>
      <x:c r="R469" s="235" t="str">
        <x:v>INVOICE_OR_PLAN</x:v>
      </x:c>
      <x:c r="S469" s="238" t="n">
        <x:f>'Model_Calc'!AL82</x:f>
        <x:v>2968.8422400000004</x:v>
      </x:c>
      <x:c r="T469" s="238" t="n">
        <x:f>ROUND(S469-O469,4)</x:f>
        <x:v>0</x:v>
      </x:c>
    </x:row>
    <x:row r="470">
      <x:c r="A470" s="187" t="str">
        <x:v>BUDGET_2026_V1</x:v>
      </x:c>
      <x:c r="B470" s="187" t="str">
        <x:v>BUDGET</x:v>
      </x:c>
      <x:c r="C470" s="187"/>
      <x:c r="D470" s="217" t="n">
        <x:v>46235</x:v>
      </x:c>
      <x:c r="E470" s="187" t="str">
        <x:v>R_GB_DE_B_AIR</x:v>
      </x:c>
      <x:c r="F470" s="187" t="str">
        <x:v>GB</x:v>
      </x:c>
      <x:c r="G470" s="187" t="str">
        <x:v>DE_FC</x:v>
      </x:c>
      <x:c r="H470" s="187" t="str">
        <x:v>CARRIER_B</x:v>
      </x:c>
      <x:c r="I470" s="187" t="str">
        <x:v>AIR</x:v>
      </x:c>
      <x:c r="J470" s="187" t="str">
        <x:v>PACKAGING</x:v>
      </x:c>
      <x:c r="K470" s="187" t="str">
        <x:v>EUR</x:v>
      </x:c>
      <x:c r="L470" s="232" t="n">
        <x:v>151.732224</x:v>
      </x:c>
      <x:c r="M470" s="232" t="n">
        <x:v>7.8</x:v>
      </x:c>
      <x:c r="N470" s="187" t="str">
        <x:v>1183.511347200000</x:v>
      </x:c>
      <x:c r="O470" s="235" t="n">
        <x:v>1183.5113</x:v>
      </x:c>
      <x:c r="P470" s="235"/>
      <x:c r="Q470" s="235"/>
      <x:c r="R470" s="235" t="str">
        <x:v>INVOICE_OR_PLAN</x:v>
      </x:c>
      <x:c r="S470" s="238" t="n">
        <x:f>'Model_Calc'!AQ82</x:f>
        <x:v>1183.5113472000003</x:v>
      </x:c>
      <x:c r="T470" s="238" t="n">
        <x:f>ROUND(S470-O470,4)</x:f>
        <x:v>0</x:v>
      </x:c>
    </x:row>
    <x:row r="471">
      <x:c r="A471" s="187" t="str">
        <x:v>BUDGET_2026_V1</x:v>
      </x:c>
      <x:c r="B471" s="187" t="str">
        <x:v>BUDGET</x:v>
      </x:c>
      <x:c r="C471" s="187"/>
      <x:c r="D471" s="217" t="n">
        <x:v>46235</x:v>
      </x:c>
      <x:c r="E471" s="187" t="str">
        <x:v>R_GB_DE_B_AIR</x:v>
      </x:c>
      <x:c r="F471" s="187" t="str">
        <x:v>GB</x:v>
      </x:c>
      <x:c r="G471" s="187" t="str">
        <x:v>DE_FC</x:v>
      </x:c>
      <x:c r="H471" s="187" t="str">
        <x:v>CARRIER_B</x:v>
      </x:c>
      <x:c r="I471" s="187" t="str">
        <x:v>AIR</x:v>
      </x:c>
      <x:c r="J471" s="187" t="str">
        <x:v>RETURN_LOGISTICS</x:v>
      </x:c>
      <x:c r="K471" s="187" t="str">
        <x:v>GBP</x:v>
      </x:c>
      <x:c r="L471" s="232" t="n">
        <x:v>123.86304</x:v>
      </x:c>
      <x:c r="M471" s="232" t="n">
        <x:v>9</x:v>
      </x:c>
      <x:c r="N471" s="187" t="str">
        <x:v>1114.7673600000000</x:v>
      </x:c>
      <x:c r="O471" s="235" t="n">
        <x:v>1114.7674</x:v>
      </x:c>
      <x:c r="P471" s="235"/>
      <x:c r="Q471" s="235"/>
      <x:c r="R471" s="235" t="str">
        <x:v>INVOICE_OR_PLAN</x:v>
      </x:c>
      <x:c r="S471" s="238" t="n">
        <x:f>'Model_Calc'!AV82</x:f>
        <x:v>1114.76736</x:v>
      </x:c>
      <x:c r="T471" s="238" t="n">
        <x:f>ROUND(S471-O471,4)</x:f>
        <x:v>0</x:v>
      </x:c>
    </x:row>
    <x:row r="472">
      <x:c r="A472" s="187" t="str">
        <x:v>BUDGET_2026_V1</x:v>
      </x:c>
      <x:c r="B472" s="187" t="str">
        <x:v>BUDGET</x:v>
      </x:c>
      <x:c r="C472" s="187"/>
      <x:c r="D472" s="217" t="n">
        <x:v>46235</x:v>
      </x:c>
      <x:c r="E472" s="187" t="str">
        <x:v>R_GB_DE_B_AIR</x:v>
      </x:c>
      <x:c r="F472" s="187" t="str">
        <x:v>GB</x:v>
      </x:c>
      <x:c r="G472" s="187" t="str">
        <x:v>DE_FC</x:v>
      </x:c>
      <x:c r="H472" s="187" t="str">
        <x:v>CARRIER_B</x:v>
      </x:c>
      <x:c r="I472" s="187" t="str">
        <x:v>AIR</x:v>
      </x:c>
      <x:c r="J472" s="187" t="str">
        <x:v>BILLABLE_EXCEPTION</x:v>
      </x:c>
      <x:c r="K472" s="187" t="str">
        <x:v>GBP</x:v>
      </x:c>
      <x:c r="L472" s="232" t="n">
        <x:v>13.15012608</x:v>
      </x:c>
      <x:c r="M472" s="232" t="n">
        <x:v>9</x:v>
      </x:c>
      <x:c r="N472" s="187" t="str">
        <x:v>118.351134720000000</x:v>
      </x:c>
      <x:c r="O472" s="235" t="n">
        <x:v>118.3511</x:v>
      </x:c>
      <x:c r="P472" s="235"/>
      <x:c r="Q472" s="235"/>
      <x:c r="R472" s="235" t="str">
        <x:v>INVOICE_OR_PLAN</x:v>
      </x:c>
      <x:c r="S472" s="238" t="n">
        <x:f>'Model_Calc'!BA82</x:f>
        <x:v>118.35113472000002</x:v>
      </x:c>
      <x:c r="T472" s="238" t="n">
        <x:f>ROUND(S472-O472,4)</x:f>
        <x:v>0</x:v>
      </x:c>
    </x:row>
    <x:row r="473">
      <x:c r="A473" s="187" t="str">
        <x:v>BUDGET_2026_V1</x:v>
      </x:c>
      <x:c r="B473" s="187" t="str">
        <x:v>BUDGET</x:v>
      </x:c>
      <x:c r="C473" s="187"/>
      <x:c r="D473" s="217" t="n">
        <x:v>46235</x:v>
      </x:c>
      <x:c r="E473" s="187" t="str">
        <x:v>R_GB_DE_C_AIR</x:v>
      </x:c>
      <x:c r="F473" s="187" t="str">
        <x:v>GB</x:v>
      </x:c>
      <x:c r="G473" s="187" t="str">
        <x:v>DE_FC</x:v>
      </x:c>
      <x:c r="H473" s="187" t="str">
        <x:v>CARRIER_C</x:v>
      </x:c>
      <x:c r="I473" s="187" t="str">
        <x:v>AIR</x:v>
      </x:c>
      <x:c r="J473" s="187" t="str">
        <x:v>BASE_FREIGHT</x:v>
      </x:c>
      <x:c r="K473" s="187" t="str">
        <x:v>GBP</x:v>
      </x:c>
      <x:c r="L473" s="232" t="n">
        <x:v>1068.31872</x:v>
      </x:c>
      <x:c r="M473" s="232" t="n">
        <x:v>9</x:v>
      </x:c>
      <x:c r="N473" s="187" t="str">
        <x:v>9614.86848000000000</x:v>
      </x:c>
      <x:c r="O473" s="235" t="n">
        <x:v>9614.8685</x:v>
      </x:c>
      <x:c r="P473" s="235"/>
      <x:c r="Q473" s="235"/>
      <x:c r="R473" s="235" t="str">
        <x:v>INVOICE_OR_PLAN</x:v>
      </x:c>
      <x:c r="S473" s="238" t="n">
        <x:f>'Model_Calc'!AF83</x:f>
        <x:v>9614.868480000001</x:v>
      </x:c>
      <x:c r="T473" s="238" t="n">
        <x:f>ROUND(S473-O473,4)</x:f>
        <x:v>0</x:v>
      </x:c>
    </x:row>
    <x:row r="474">
      <x:c r="A474" s="187" t="str">
        <x:v>BUDGET_2026_V1</x:v>
      </x:c>
      <x:c r="B474" s="187" t="str">
        <x:v>BUDGET</x:v>
      </x:c>
      <x:c r="C474" s="187"/>
      <x:c r="D474" s="217" t="n">
        <x:v>46235</x:v>
      </x:c>
      <x:c r="E474" s="187" t="str">
        <x:v>R_GB_DE_C_AIR</x:v>
      </x:c>
      <x:c r="F474" s="187" t="str">
        <x:v>GB</x:v>
      </x:c>
      <x:c r="G474" s="187" t="str">
        <x:v>DE_FC</x:v>
      </x:c>
      <x:c r="H474" s="187" t="str">
        <x:v>CARRIER_C</x:v>
      </x:c>
      <x:c r="I474" s="187" t="str">
        <x:v>AIR</x:v>
      </x:c>
      <x:c r="J474" s="187" t="str">
        <x:v>FUEL_SURCHARGE</x:v>
      </x:c>
      <x:c r="K474" s="187" t="str">
        <x:v>GBP</x:v>
      </x:c>
      <x:c r="L474" s="232" t="n">
        <x:v>82.61664768</x:v>
      </x:c>
      <x:c r="M474" s="232" t="n">
        <x:v>9</x:v>
      </x:c>
      <x:c r="N474" s="187" t="str">
        <x:v>743.54982912000000</x:v>
      </x:c>
      <x:c r="O474" s="235" t="n">
        <x:v>743.5498</x:v>
      </x:c>
      <x:c r="P474" s="235"/>
      <x:c r="Q474" s="235"/>
      <x:c r="R474" s="235" t="str">
        <x:v>INVOICE_OR_PLAN</x:v>
      </x:c>
      <x:c r="S474" s="238" t="n">
        <x:f>'Model_Calc'!AG83</x:f>
        <x:v>743.5498291200001</x:v>
      </x:c>
      <x:c r="T474" s="238" t="n">
        <x:f>ROUND(S474-O474,4)</x:f>
        <x:v>0</x:v>
      </x:c>
    </x:row>
    <x:row r="475">
      <x:c r="A475" s="187" t="str">
        <x:v>BUDGET_2026_V1</x:v>
      </x:c>
      <x:c r="B475" s="187" t="str">
        <x:v>BUDGET</x:v>
      </x:c>
      <x:c r="C475" s="187"/>
      <x:c r="D475" s="217" t="n">
        <x:v>46235</x:v>
      </x:c>
      <x:c r="E475" s="187" t="str">
        <x:v>R_GB_DE_C_AIR</x:v>
      </x:c>
      <x:c r="F475" s="187" t="str">
        <x:v>GB</x:v>
      </x:c>
      <x:c r="G475" s="187" t="str">
        <x:v>DE_FC</x:v>
      </x:c>
      <x:c r="H475" s="187" t="str">
        <x:v>CARRIER_C</x:v>
      </x:c>
      <x:c r="I475" s="187" t="str">
        <x:v>AIR</x:v>
      </x:c>
      <x:c r="J475" s="187" t="str">
        <x:v>WAREHOUSE_OPERATION</x:v>
      </x:c>
      <x:c r="K475" s="187" t="str">
        <x:v>EUR</x:v>
      </x:c>
      <x:c r="L475" s="232" t="n">
        <x:v>163.1232</x:v>
      </x:c>
      <x:c r="M475" s="232" t="n">
        <x:v>7.8</x:v>
      </x:c>
      <x:c r="N475" s="187" t="str">
        <x:v>1272.3609600000</x:v>
      </x:c>
      <x:c r="O475" s="235" t="n">
        <x:v>1272.361</x:v>
      </x:c>
      <x:c r="P475" s="235"/>
      <x:c r="Q475" s="235"/>
      <x:c r="R475" s="235" t="str">
        <x:v>INVOICE_OR_PLAN</x:v>
      </x:c>
      <x:c r="S475" s="238" t="n">
        <x:f>'Model_Calc'!AL83</x:f>
        <x:v>1272.36096</x:v>
      </x:c>
      <x:c r="T475" s="238" t="n">
        <x:f>ROUND(S475-O475,4)</x:f>
        <x:v>0</x:v>
      </x:c>
    </x:row>
    <x:row r="476">
      <x:c r="A476" s="187" t="str">
        <x:v>BUDGET_2026_V1</x:v>
      </x:c>
      <x:c r="B476" s="187" t="str">
        <x:v>BUDGET</x:v>
      </x:c>
      <x:c r="C476" s="187"/>
      <x:c r="D476" s="217" t="n">
        <x:v>46235</x:v>
      </x:c>
      <x:c r="E476" s="187" t="str">
        <x:v>R_GB_DE_C_AIR</x:v>
      </x:c>
      <x:c r="F476" s="187" t="str">
        <x:v>GB</x:v>
      </x:c>
      <x:c r="G476" s="187" t="str">
        <x:v>DE_FC</x:v>
      </x:c>
      <x:c r="H476" s="187" t="str">
        <x:v>CARRIER_C</x:v>
      </x:c>
      <x:c r="I476" s="187" t="str">
        <x:v>AIR</x:v>
      </x:c>
      <x:c r="J476" s="187" t="str">
        <x:v>PACKAGING</x:v>
      </x:c>
      <x:c r="K476" s="187" t="str">
        <x:v>EUR</x:v>
      </x:c>
      <x:c r="L476" s="232" t="n">
        <x:v>65.028096</x:v>
      </x:c>
      <x:c r="M476" s="232" t="n">
        <x:v>7.8</x:v>
      </x:c>
      <x:c r="N476" s="187" t="str">
        <x:v>507.219148800000</x:v>
      </x:c>
      <x:c r="O476" s="235" t="n">
        <x:v>507.2191</x:v>
      </x:c>
      <x:c r="P476" s="235"/>
      <x:c r="Q476" s="235"/>
      <x:c r="R476" s="235" t="str">
        <x:v>INVOICE_OR_PLAN</x:v>
      </x:c>
      <x:c r="S476" s="238" t="n">
        <x:f>'Model_Calc'!AQ83</x:f>
        <x:v>507.2191488</x:v>
      </x:c>
      <x:c r="T476" s="238" t="n">
        <x:f>ROUND(S476-O476,4)</x:f>
        <x:v>0</x:v>
      </x:c>
    </x:row>
    <x:row r="477">
      <x:c r="A477" s="187" t="str">
        <x:v>BUDGET_2026_V1</x:v>
      </x:c>
      <x:c r="B477" s="187" t="str">
        <x:v>BUDGET</x:v>
      </x:c>
      <x:c r="C477" s="187"/>
      <x:c r="D477" s="217" t="n">
        <x:v>46235</x:v>
      </x:c>
      <x:c r="E477" s="187" t="str">
        <x:v>R_GB_DE_C_AIR</x:v>
      </x:c>
      <x:c r="F477" s="187" t="str">
        <x:v>GB</x:v>
      </x:c>
      <x:c r="G477" s="187" t="str">
        <x:v>DE_FC</x:v>
      </x:c>
      <x:c r="H477" s="187" t="str">
        <x:v>CARRIER_C</x:v>
      </x:c>
      <x:c r="I477" s="187" t="str">
        <x:v>AIR</x:v>
      </x:c>
      <x:c r="J477" s="187" t="str">
        <x:v>RETURN_LOGISTICS</x:v>
      </x:c>
      <x:c r="K477" s="187" t="str">
        <x:v>GBP</x:v>
      </x:c>
      <x:c r="L477" s="232" t="n">
        <x:v>53.08416</x:v>
      </x:c>
      <x:c r="M477" s="232" t="n">
        <x:v>9</x:v>
      </x:c>
      <x:c r="N477" s="187" t="str">
        <x:v>477.7574400000000</x:v>
      </x:c>
      <x:c r="O477" s="235" t="n">
        <x:v>477.7574</x:v>
      </x:c>
      <x:c r="P477" s="235"/>
      <x:c r="Q477" s="235"/>
      <x:c r="R477" s="235" t="str">
        <x:v>INVOICE_OR_PLAN</x:v>
      </x:c>
      <x:c r="S477" s="238" t="n">
        <x:f>'Model_Calc'!AV83</x:f>
        <x:v>477.75744000000003</x:v>
      </x:c>
      <x:c r="T477" s="238" t="n">
        <x:f>ROUND(S477-O477,4)</x:f>
        <x:v>0</x:v>
      </x:c>
    </x:row>
    <x:row r="478">
      <x:c r="A478" s="187" t="str">
        <x:v>BUDGET_2026_V1</x:v>
      </x:c>
      <x:c r="B478" s="187" t="str">
        <x:v>BUDGET</x:v>
      </x:c>
      <x:c r="C478" s="187"/>
      <x:c r="D478" s="217" t="n">
        <x:v>46235</x:v>
      </x:c>
      <x:c r="E478" s="187" t="str">
        <x:v>R_GB_DE_C_AIR</x:v>
      </x:c>
      <x:c r="F478" s="187" t="str">
        <x:v>GB</x:v>
      </x:c>
      <x:c r="G478" s="187" t="str">
        <x:v>DE_FC</x:v>
      </x:c>
      <x:c r="H478" s="187" t="str">
        <x:v>CARRIER_C</x:v>
      </x:c>
      <x:c r="I478" s="187" t="str">
        <x:v>AIR</x:v>
      </x:c>
      <x:c r="J478" s="187" t="str">
        <x:v>BILLABLE_EXCEPTION</x:v>
      </x:c>
      <x:c r="K478" s="187" t="str">
        <x:v>GBP</x:v>
      </x:c>
      <x:c r="L478" s="232" t="n">
        <x:v>5.01645312</x:v>
      </x:c>
      <x:c r="M478" s="232" t="n">
        <x:v>9</x:v>
      </x:c>
      <x:c r="N478" s="187" t="str">
        <x:v>45.148078080000000</x:v>
      </x:c>
      <x:c r="O478" s="235" t="n">
        <x:v>45.1481</x:v>
      </x:c>
      <x:c r="P478" s="235"/>
      <x:c r="Q478" s="235"/>
      <x:c r="R478" s="235" t="str">
        <x:v>INVOICE_OR_PLAN</x:v>
      </x:c>
      <x:c r="S478" s="238" t="n">
        <x:f>'Model_Calc'!BA83</x:f>
        <x:v>45.148078080000005</x:v>
      </x:c>
      <x:c r="T478" s="238" t="n">
        <x:f>ROUND(S478-O478,4)</x:f>
        <x:v>0</x:v>
      </x:c>
    </x:row>
    <x:row r="479">
      <x:c r="A479" s="187" t="str">
        <x:v>BUDGET_2026_V1</x:v>
      </x:c>
      <x:c r="B479" s="187" t="str">
        <x:v>BUDGET</x:v>
      </x:c>
      <x:c r="C479" s="187"/>
      <x:c r="D479" s="217" t="n">
        <x:v>46235</x:v>
      </x:c>
      <x:c r="E479" s="187" t="str">
        <x:v>R_GB_FR_B_AIR</x:v>
      </x:c>
      <x:c r="F479" s="187" t="str">
        <x:v>GB</x:v>
      </x:c>
      <x:c r="G479" s="187" t="str">
        <x:v>FR_FC</x:v>
      </x:c>
      <x:c r="H479" s="187" t="str">
        <x:v>CARRIER_B</x:v>
      </x:c>
      <x:c r="I479" s="187" t="str">
        <x:v>AIR</x:v>
      </x:c>
      <x:c r="J479" s="187" t="str">
        <x:v>BASE_FREIGHT</x:v>
      </x:c>
      <x:c r="K479" s="187" t="str">
        <x:v>EUR</x:v>
      </x:c>
      <x:c r="L479" s="232" t="n">
        <x:v>1331.424</x:v>
      </x:c>
      <x:c r="M479" s="232" t="n">
        <x:v>7.8</x:v>
      </x:c>
      <x:c r="N479" s="187" t="str">
        <x:v>10385.107200000000</x:v>
      </x:c>
      <x:c r="O479" s="235" t="n">
        <x:v>10385.1072</x:v>
      </x:c>
      <x:c r="P479" s="235"/>
      <x:c r="Q479" s="235"/>
      <x:c r="R479" s="235" t="str">
        <x:v>INVOICE_OR_PLAN</x:v>
      </x:c>
      <x:c r="S479" s="238" t="n">
        <x:f>'Model_Calc'!AF84</x:f>
        <x:v>10385.1072</x:v>
      </x:c>
      <x:c r="T479" s="238" t="n">
        <x:f>ROUND(S479-O479,4)</x:f>
        <x:v>0</x:v>
      </x:c>
    </x:row>
    <x:row r="480">
      <x:c r="A480" s="187" t="str">
        <x:v>BUDGET_2026_V1</x:v>
      </x:c>
      <x:c r="B480" s="187" t="str">
        <x:v>BUDGET</x:v>
      </x:c>
      <x:c r="C480" s="187"/>
      <x:c r="D480" s="217" t="n">
        <x:v>46235</x:v>
      </x:c>
      <x:c r="E480" s="187" t="str">
        <x:v>R_GB_FR_B_AIR</x:v>
      </x:c>
      <x:c r="F480" s="187" t="str">
        <x:v>GB</x:v>
      </x:c>
      <x:c r="G480" s="187" t="str">
        <x:v>FR_FC</x:v>
      </x:c>
      <x:c r="H480" s="187" t="str">
        <x:v>CARRIER_B</x:v>
      </x:c>
      <x:c r="I480" s="187" t="str">
        <x:v>AIR</x:v>
      </x:c>
      <x:c r="J480" s="187" t="str">
        <x:v>FUEL_SURCHARGE</x:v>
      </x:c>
      <x:c r="K480" s="187" t="str">
        <x:v>EUR</x:v>
      </x:c>
      <x:c r="L480" s="232" t="n">
        <x:v>139.79952</x:v>
      </x:c>
      <x:c r="M480" s="232" t="n">
        <x:v>7.8</x:v>
      </x:c>
      <x:c r="N480" s="187" t="str">
        <x:v>1090.436256000000000</x:v>
      </x:c>
      <x:c r="O480" s="235" t="n">
        <x:v>1090.4363</x:v>
      </x:c>
      <x:c r="P480" s="235"/>
      <x:c r="Q480" s="235"/>
      <x:c r="R480" s="235" t="str">
        <x:v>INVOICE_OR_PLAN</x:v>
      </x:c>
      <x:c r="S480" s="238" t="n">
        <x:f>'Model_Calc'!AG84</x:f>
        <x:v>1090.436256</x:v>
      </x:c>
      <x:c r="T480" s="238" t="n">
        <x:f>ROUND(S480-O480,4)</x:f>
        <x:v>0</x:v>
      </x:c>
    </x:row>
    <x:row r="481">
      <x:c r="A481" s="187" t="str">
        <x:v>BUDGET_2026_V1</x:v>
      </x:c>
      <x:c r="B481" s="187" t="str">
        <x:v>BUDGET</x:v>
      </x:c>
      <x:c r="C481" s="187"/>
      <x:c r="D481" s="217" t="n">
        <x:v>46235</x:v>
      </x:c>
      <x:c r="E481" s="187" t="str">
        <x:v>R_GB_FR_B_AIR</x:v>
      </x:c>
      <x:c r="F481" s="187" t="str">
        <x:v>GB</x:v>
      </x:c>
      <x:c r="G481" s="187" t="str">
        <x:v>FR_FC</x:v>
      </x:c>
      <x:c r="H481" s="187" t="str">
        <x:v>CARRIER_B</x:v>
      </x:c>
      <x:c r="I481" s="187" t="str">
        <x:v>AIR</x:v>
      </x:c>
      <x:c r="J481" s="187" t="str">
        <x:v>WAREHOUSE_OPERATION</x:v>
      </x:c>
      <x:c r="K481" s="187" t="str">
        <x:v>EUR</x:v>
      </x:c>
      <x:c r="L481" s="232" t="n">
        <x:v>201.6</x:v>
      </x:c>
      <x:c r="M481" s="232" t="n">
        <x:v>7.8</x:v>
      </x:c>
      <x:c r="N481" s="187" t="str">
        <x:v>1572.48000000</x:v>
      </x:c>
      <x:c r="O481" s="235" t="n">
        <x:v>1572.48</x:v>
      </x:c>
      <x:c r="P481" s="235"/>
      <x:c r="Q481" s="235"/>
      <x:c r="R481" s="235" t="str">
        <x:v>INVOICE_OR_PLAN</x:v>
      </x:c>
      <x:c r="S481" s="238" t="n">
        <x:f>'Model_Calc'!AL84</x:f>
        <x:v>1572.4800000000002</x:v>
      </x:c>
      <x:c r="T481" s="238" t="n">
        <x:f>ROUND(S481-O481,4)</x:f>
        <x:v>0</x:v>
      </x:c>
    </x:row>
    <x:row r="482">
      <x:c r="A482" s="187" t="str">
        <x:v>BUDGET_2026_V1</x:v>
      </x:c>
      <x:c r="B482" s="187" t="str">
        <x:v>BUDGET</x:v>
      </x:c>
      <x:c r="C482" s="187"/>
      <x:c r="D482" s="217" t="n">
        <x:v>46235</x:v>
      </x:c>
      <x:c r="E482" s="187" t="str">
        <x:v>R_GB_FR_B_AIR</x:v>
      </x:c>
      <x:c r="F482" s="187" t="str">
        <x:v>GB</x:v>
      </x:c>
      <x:c r="G482" s="187" t="str">
        <x:v>FR_FC</x:v>
      </x:c>
      <x:c r="H482" s="187" t="str">
        <x:v>CARRIER_B</x:v>
      </x:c>
      <x:c r="I482" s="187" t="str">
        <x:v>AIR</x:v>
      </x:c>
      <x:c r="J482" s="187" t="str">
        <x:v>PACKAGING</x:v>
      </x:c>
      <x:c r="K482" s="187" t="str">
        <x:v>EUR</x:v>
      </x:c>
      <x:c r="L482" s="232" t="n">
        <x:v>83.904</x:v>
      </x:c>
      <x:c r="M482" s="232" t="n">
        <x:v>7.8</x:v>
      </x:c>
      <x:c r="N482" s="187" t="str">
        <x:v>654.4512000000</x:v>
      </x:c>
      <x:c r="O482" s="235" t="n">
        <x:v>654.4512</x:v>
      </x:c>
      <x:c r="P482" s="235"/>
      <x:c r="Q482" s="235"/>
      <x:c r="R482" s="235" t="str">
        <x:v>INVOICE_OR_PLAN</x:v>
      </x:c>
      <x:c r="S482" s="238" t="n">
        <x:f>'Model_Calc'!AQ84</x:f>
        <x:v>654.4512</x:v>
      </x:c>
      <x:c r="T482" s="238" t="n">
        <x:f>ROUND(S482-O482,4)</x:f>
        <x:v>0</x:v>
      </x:c>
    </x:row>
    <x:row r="483">
      <x:c r="A483" s="187" t="str">
        <x:v>BUDGET_2026_V1</x:v>
      </x:c>
      <x:c r="B483" s="187" t="str">
        <x:v>BUDGET</x:v>
      </x:c>
      <x:c r="C483" s="187"/>
      <x:c r="D483" s="217" t="n">
        <x:v>46235</x:v>
      </x:c>
      <x:c r="E483" s="187" t="str">
        <x:v>R_GB_FR_B_AIR</x:v>
      </x:c>
      <x:c r="F483" s="187" t="str">
        <x:v>GB</x:v>
      </x:c>
      <x:c r="G483" s="187" t="str">
        <x:v>FR_FC</x:v>
      </x:c>
      <x:c r="H483" s="187" t="str">
        <x:v>CARRIER_B</x:v>
      </x:c>
      <x:c r="I483" s="187" t="str">
        <x:v>AIR</x:v>
      </x:c>
      <x:c r="J483" s="187" t="str">
        <x:v>RETURN_LOGISTICS</x:v>
      </x:c>
      <x:c r="K483" s="187" t="str">
        <x:v>EUR</x:v>
      </x:c>
      <x:c r="L483" s="232" t="n">
        <x:v>79.872</x:v>
      </x:c>
      <x:c r="M483" s="232" t="n">
        <x:v>7.8</x:v>
      </x:c>
      <x:c r="N483" s="187" t="str">
        <x:v>623.00160000000</x:v>
      </x:c>
      <x:c r="O483" s="235" t="n">
        <x:v>623.0016</x:v>
      </x:c>
      <x:c r="P483" s="235"/>
      <x:c r="Q483" s="235"/>
      <x:c r="R483" s="235" t="str">
        <x:v>INVOICE_OR_PLAN</x:v>
      </x:c>
      <x:c r="S483" s="238" t="n">
        <x:f>'Model_Calc'!AV84</x:f>
        <x:v>623.0015999999999</x:v>
      </x:c>
      <x:c r="T483" s="238" t="n">
        <x:f>ROUND(S483-O483,4)</x:f>
        <x:v>0</x:v>
      </x:c>
    </x:row>
    <x:row r="484">
      <x:c r="A484" s="187" t="str">
        <x:v>BUDGET_2026_V1</x:v>
      </x:c>
      <x:c r="B484" s="187" t="str">
        <x:v>BUDGET</x:v>
      </x:c>
      <x:c r="C484" s="187"/>
      <x:c r="D484" s="217" t="n">
        <x:v>46235</x:v>
      </x:c>
      <x:c r="E484" s="187" t="str">
        <x:v>R_GB_FR_B_AIR</x:v>
      </x:c>
      <x:c r="F484" s="187" t="str">
        <x:v>GB</x:v>
      </x:c>
      <x:c r="G484" s="187" t="str">
        <x:v>FR_FC</x:v>
      </x:c>
      <x:c r="H484" s="187" t="str">
        <x:v>CARRIER_B</x:v>
      </x:c>
      <x:c r="I484" s="187" t="str">
        <x:v>AIR</x:v>
      </x:c>
      <x:c r="J484" s="187" t="str">
        <x:v>BILLABLE_EXCEPTION</x:v>
      </x:c>
      <x:c r="K484" s="187" t="str">
        <x:v>EUR</x:v>
      </x:c>
      <x:c r="L484" s="232" t="n">
        <x:v>7.41888</x:v>
      </x:c>
      <x:c r="M484" s="232" t="n">
        <x:v>7.8</x:v>
      </x:c>
      <x:c r="N484" s="187" t="str">
        <x:v>57.8672640000000</x:v>
      </x:c>
      <x:c r="O484" s="235" t="n">
        <x:v>57.8673</x:v>
      </x:c>
      <x:c r="P484" s="235"/>
      <x:c r="Q484" s="235"/>
      <x:c r="R484" s="235" t="str">
        <x:v>INVOICE_OR_PLAN</x:v>
      </x:c>
      <x:c r="S484" s="238" t="n">
        <x:f>'Model_Calc'!BA84</x:f>
        <x:v>57.867264</x:v>
      </x:c>
      <x:c r="T484" s="238" t="n">
        <x:f>ROUND(S484-O484,4)</x:f>
        <x:v>0</x:v>
      </x:c>
    </x:row>
    <x:row r="485">
      <x:c r="A485" s="187" t="str">
        <x:v>BUDGET_2026_V1</x:v>
      </x:c>
      <x:c r="B485" s="187" t="str">
        <x:v>BUDGET</x:v>
      </x:c>
      <x:c r="C485" s="187"/>
      <x:c r="D485" s="217" t="n">
        <x:v>46266</x:v>
      </x:c>
      <x:c r="E485" s="187" t="str">
        <x:v>R_DE_DE_A_ROAD</x:v>
      </x:c>
      <x:c r="F485" s="187" t="str">
        <x:v>DE</x:v>
      </x:c>
      <x:c r="G485" s="187" t="str">
        <x:v>DE_FC</x:v>
      </x:c>
      <x:c r="H485" s="187" t="str">
        <x:v>CARRIER_A</x:v>
      </x:c>
      <x:c r="I485" s="187" t="str">
        <x:v>ROAD</x:v>
      </x:c>
      <x:c r="J485" s="187" t="str">
        <x:v>BASE_FREIGHT</x:v>
      </x:c>
      <x:c r="K485" s="187" t="str">
        <x:v>EUR</x:v>
      </x:c>
      <x:c r="L485" s="232" t="n">
        <x:v>6375.777408</x:v>
      </x:c>
      <x:c r="M485" s="232" t="n">
        <x:v>7.8</x:v>
      </x:c>
      <x:c r="N485" s="187" t="str">
        <x:v>49731.06378240000000</x:v>
      </x:c>
      <x:c r="O485" s="235" t="n">
        <x:v>49731.0638</x:v>
      </x:c>
      <x:c r="P485" s="235"/>
      <x:c r="Q485" s="235"/>
      <x:c r="R485" s="235" t="str">
        <x:v>INVOICE_OR_PLAN</x:v>
      </x:c>
      <x:c r="S485" s="238" t="n">
        <x:f>'Model_Calc'!AF85</x:f>
        <x:v>49731.06378240001</x:v>
      </x:c>
      <x:c r="T485" s="238" t="n">
        <x:f>ROUND(S485-O485,4)</x:f>
        <x:v>0</x:v>
      </x:c>
    </x:row>
    <x:row r="486">
      <x:c r="A486" s="187" t="str">
        <x:v>BUDGET_2026_V1</x:v>
      </x:c>
      <x:c r="B486" s="187" t="str">
        <x:v>BUDGET</x:v>
      </x:c>
      <x:c r="C486" s="187"/>
      <x:c r="D486" s="217" t="n">
        <x:v>46266</x:v>
      </x:c>
      <x:c r="E486" s="187" t="str">
        <x:v>R_DE_DE_A_ROAD</x:v>
      </x:c>
      <x:c r="F486" s="187" t="str">
        <x:v>DE</x:v>
      </x:c>
      <x:c r="G486" s="187" t="str">
        <x:v>DE_FC</x:v>
      </x:c>
      <x:c r="H486" s="187" t="str">
        <x:v>CARRIER_A</x:v>
      </x:c>
      <x:c r="I486" s="187" t="str">
        <x:v>ROAD</x:v>
      </x:c>
      <x:c r="J486" s="187" t="str">
        <x:v>FUEL_SURCHARGE</x:v>
      </x:c>
      <x:c r="K486" s="187" t="str">
        <x:v>EUR</x:v>
      </x:c>
      <x:c r="L486" s="232" t="n">
        <x:v>605.69885376</x:v>
      </x:c>
      <x:c r="M486" s="232" t="n">
        <x:v>7.8</x:v>
      </x:c>
      <x:c r="N486" s="187" t="str">
        <x:v>4724.45105932800000000</x:v>
      </x:c>
      <x:c r="O486" s="235" t="n">
        <x:v>4724.4511</x:v>
      </x:c>
      <x:c r="P486" s="235"/>
      <x:c r="Q486" s="235"/>
      <x:c r="R486" s="235" t="str">
        <x:v>INVOICE_OR_PLAN</x:v>
      </x:c>
      <x:c r="S486" s="238" t="n">
        <x:f>'Model_Calc'!AG85</x:f>
        <x:v>4724.451059328001</x:v>
      </x:c>
      <x:c r="T486" s="238" t="n">
        <x:f>ROUND(S486-O486,4)</x:f>
        <x:v>0</x:v>
      </x:c>
    </x:row>
    <x:row r="487">
      <x:c r="A487" s="187" t="str">
        <x:v>BUDGET_2026_V1</x:v>
      </x:c>
      <x:c r="B487" s="187" t="str">
        <x:v>BUDGET</x:v>
      </x:c>
      <x:c r="C487" s="187"/>
      <x:c r="D487" s="217" t="n">
        <x:v>46266</x:v>
      </x:c>
      <x:c r="E487" s="187" t="str">
        <x:v>R_DE_DE_A_ROAD</x:v>
      </x:c>
      <x:c r="F487" s="187" t="str">
        <x:v>DE</x:v>
      </x:c>
      <x:c r="G487" s="187" t="str">
        <x:v>DE_FC</x:v>
      </x:c>
      <x:c r="H487" s="187" t="str">
        <x:v>CARRIER_A</x:v>
      </x:c>
      <x:c r="I487" s="187" t="str">
        <x:v>ROAD</x:v>
      </x:c>
      <x:c r="J487" s="187" t="str">
        <x:v>WAREHOUSE_OPERATION</x:v>
      </x:c>
      <x:c r="K487" s="187" t="str">
        <x:v>EUR</x:v>
      </x:c>
      <x:c r="L487" s="232" t="n">
        <x:v>4175.5008</x:v>
      </x:c>
      <x:c r="M487" s="232" t="n">
        <x:v>7.8</x:v>
      </x:c>
      <x:c r="N487" s="187" t="str">
        <x:v>32568.9062400000</x:v>
      </x:c>
      <x:c r="O487" s="235" t="n">
        <x:v>32568.9062</x:v>
      </x:c>
      <x:c r="P487" s="235"/>
      <x:c r="Q487" s="235"/>
      <x:c r="R487" s="235" t="str">
        <x:v>INVOICE_OR_PLAN</x:v>
      </x:c>
      <x:c r="S487" s="238" t="n">
        <x:f>'Model_Calc'!AL85</x:f>
        <x:v>32568.90623999999</x:v>
      </x:c>
      <x:c r="T487" s="238" t="n">
        <x:f>ROUND(S487-O487,4)</x:f>
        <x:v>0</x:v>
      </x:c>
    </x:row>
    <x:row r="488">
      <x:c r="A488" s="187" t="str">
        <x:v>BUDGET_2026_V1</x:v>
      </x:c>
      <x:c r="B488" s="187" t="str">
        <x:v>BUDGET</x:v>
      </x:c>
      <x:c r="C488" s="187"/>
      <x:c r="D488" s="217" t="n">
        <x:v>46266</x:v>
      </x:c>
      <x:c r="E488" s="187" t="str">
        <x:v>R_DE_DE_A_ROAD</x:v>
      </x:c>
      <x:c r="F488" s="187" t="str">
        <x:v>DE</x:v>
      </x:c>
      <x:c r="G488" s="187" t="str">
        <x:v>DE_FC</x:v>
      </x:c>
      <x:c r="H488" s="187" t="str">
        <x:v>CARRIER_A</x:v>
      </x:c>
      <x:c r="I488" s="187" t="str">
        <x:v>ROAD</x:v>
      </x:c>
      <x:c r="J488" s="187" t="str">
        <x:v>PACKAGING</x:v>
      </x:c>
      <x:c r="K488" s="187" t="str">
        <x:v>EUR</x:v>
      </x:c>
      <x:c r="L488" s="232" t="n">
        <x:v>1560.50496</x:v>
      </x:c>
      <x:c r="M488" s="232" t="n">
        <x:v>7.8</x:v>
      </x:c>
      <x:c r="N488" s="187" t="str">
        <x:v>12171.938688000000</x:v>
      </x:c>
      <x:c r="O488" s="235" t="n">
        <x:v>12171.9387</x:v>
      </x:c>
      <x:c r="P488" s="235"/>
      <x:c r="Q488" s="235"/>
      <x:c r="R488" s="235" t="str">
        <x:v>INVOICE_OR_PLAN</x:v>
      </x:c>
      <x:c r="S488" s="238" t="n">
        <x:f>'Model_Calc'!AQ85</x:f>
        <x:v>12171.938688</x:v>
      </x:c>
      <x:c r="T488" s="238" t="n">
        <x:f>ROUND(S488-O488,4)</x:f>
        <x:v>0</x:v>
      </x:c>
    </x:row>
    <x:row r="489">
      <x:c r="A489" s="187" t="str">
        <x:v>BUDGET_2026_V1</x:v>
      </x:c>
      <x:c r="B489" s="187" t="str">
        <x:v>BUDGET</x:v>
      </x:c>
      <x:c r="C489" s="187"/>
      <x:c r="D489" s="217" t="n">
        <x:v>46266</x:v>
      </x:c>
      <x:c r="E489" s="187" t="str">
        <x:v>R_DE_DE_A_ROAD</x:v>
      </x:c>
      <x:c r="F489" s="187" t="str">
        <x:v>DE</x:v>
      </x:c>
      <x:c r="G489" s="187" t="str">
        <x:v>DE_FC</x:v>
      </x:c>
      <x:c r="H489" s="187" t="str">
        <x:v>CARRIER_A</x:v>
      </x:c>
      <x:c r="I489" s="187" t="str">
        <x:v>ROAD</x:v>
      </x:c>
      <x:c r="J489" s="187" t="str">
        <x:v>RETURN_LOGISTICS</x:v>
      </x:c>
      <x:c r="K489" s="187" t="str">
        <x:v>EUR</x:v>
      </x:c>
      <x:c r="L489" s="232" t="n">
        <x:v>566.1696</x:v>
      </x:c>
      <x:c r="M489" s="232" t="n">
        <x:v>7.8</x:v>
      </x:c>
      <x:c r="N489" s="187" t="str">
        <x:v>4416.1228800000000</x:v>
      </x:c>
      <x:c r="O489" s="235" t="n">
        <x:v>4416.1229</x:v>
      </x:c>
      <x:c r="P489" s="235"/>
      <x:c r="Q489" s="235"/>
      <x:c r="R489" s="235" t="str">
        <x:v>INVOICE_OR_PLAN</x:v>
      </x:c>
      <x:c r="S489" s="238" t="n">
        <x:f>'Model_Calc'!AV85</x:f>
        <x:v>4416.122880000001</x:v>
      </x:c>
      <x:c r="T489" s="238" t="n">
        <x:f>ROUND(S489-O489,4)</x:f>
        <x:v>0</x:v>
      </x:c>
    </x:row>
    <x:row r="490">
      <x:c r="A490" s="187" t="str">
        <x:v>BUDGET_2026_V1</x:v>
      </x:c>
      <x:c r="B490" s="187" t="str">
        <x:v>BUDGET</x:v>
      </x:c>
      <x:c r="C490" s="187"/>
      <x:c r="D490" s="217" t="n">
        <x:v>46266</x:v>
      </x:c>
      <x:c r="E490" s="187" t="str">
        <x:v>R_DE_DE_A_ROAD</x:v>
      </x:c>
      <x:c r="F490" s="187" t="str">
        <x:v>DE</x:v>
      </x:c>
      <x:c r="G490" s="187" t="str">
        <x:v>DE_FC</x:v>
      </x:c>
      <x:c r="H490" s="187" t="str">
        <x:v>CARRIER_A</x:v>
      </x:c>
      <x:c r="I490" s="187" t="str">
        <x:v>ROAD</x:v>
      </x:c>
      <x:c r="J490" s="187" t="str">
        <x:v>BILLABLE_EXCEPTION</x:v>
      </x:c>
      <x:c r="K490" s="187" t="str">
        <x:v>EUR</x:v>
      </x:c>
      <x:c r="L490" s="232" t="n">
        <x:v>136.7299584</x:v>
      </x:c>
      <x:c r="M490" s="232" t="n">
        <x:v>7.8</x:v>
      </x:c>
      <x:c r="N490" s="187" t="str">
        <x:v>1066.493675520000000</x:v>
      </x:c>
      <x:c r="O490" s="235" t="n">
        <x:v>1066.4937</x:v>
      </x:c>
      <x:c r="P490" s="235"/>
      <x:c r="Q490" s="235"/>
      <x:c r="R490" s="235" t="str">
        <x:v>INVOICE_OR_PLAN</x:v>
      </x:c>
      <x:c r="S490" s="238" t="n">
        <x:f>'Model_Calc'!BA85</x:f>
        <x:v>1066.49367552</x:v>
      </x:c>
      <x:c r="T490" s="238" t="n">
        <x:f>ROUND(S490-O490,4)</x:f>
        <x:v>0</x:v>
      </x:c>
    </x:row>
    <x:row r="491">
      <x:c r="A491" s="187" t="str">
        <x:v>BUDGET_2026_V1</x:v>
      </x:c>
      <x:c r="B491" s="187" t="str">
        <x:v>BUDGET</x:v>
      </x:c>
      <x:c r="C491" s="187"/>
      <x:c r="D491" s="217" t="n">
        <x:v>46266</x:v>
      </x:c>
      <x:c r="E491" s="187" t="str">
        <x:v>R_DE_DE_B_ROAD</x:v>
      </x:c>
      <x:c r="F491" s="187" t="str">
        <x:v>DE</x:v>
      </x:c>
      <x:c r="G491" s="187" t="str">
        <x:v>DE_FC</x:v>
      </x:c>
      <x:c r="H491" s="187" t="str">
        <x:v>CARRIER_B</x:v>
      </x:c>
      <x:c r="I491" s="187" t="str">
        <x:v>ROAD</x:v>
      </x:c>
      <x:c r="J491" s="187" t="str">
        <x:v>BASE_FREIGHT</x:v>
      </x:c>
      <x:c r="K491" s="187" t="str">
        <x:v>EUR</x:v>
      </x:c>
      <x:c r="L491" s="232" t="n">
        <x:v>5449.3824</x:v>
      </x:c>
      <x:c r="M491" s="232" t="n">
        <x:v>7.8</x:v>
      </x:c>
      <x:c r="N491" s="187" t="str">
        <x:v>42505.18272000000000</x:v>
      </x:c>
      <x:c r="O491" s="235" t="n">
        <x:v>42505.1827</x:v>
      </x:c>
      <x:c r="P491" s="235"/>
      <x:c r="Q491" s="235"/>
      <x:c r="R491" s="235" t="str">
        <x:v>INVOICE_OR_PLAN</x:v>
      </x:c>
      <x:c r="S491" s="238" t="n">
        <x:f>'Model_Calc'!AF86</x:f>
        <x:v>42505.182720000004</x:v>
      </x:c>
      <x:c r="T491" s="238" t="n">
        <x:f>ROUND(S491-O491,4)</x:f>
        <x:v>0</x:v>
      </x:c>
    </x:row>
    <x:row r="492">
      <x:c r="A492" s="187" t="str">
        <x:v>BUDGET_2026_V1</x:v>
      </x:c>
      <x:c r="B492" s="187" t="str">
        <x:v>BUDGET</x:v>
      </x:c>
      <x:c r="C492" s="187"/>
      <x:c r="D492" s="217" t="n">
        <x:v>46266</x:v>
      </x:c>
      <x:c r="E492" s="187" t="str">
        <x:v>R_DE_DE_B_ROAD</x:v>
      </x:c>
      <x:c r="F492" s="187" t="str">
        <x:v>DE</x:v>
      </x:c>
      <x:c r="G492" s="187" t="str">
        <x:v>DE_FC</x:v>
      </x:c>
      <x:c r="H492" s="187" t="str">
        <x:v>CARRIER_B</x:v>
      </x:c>
      <x:c r="I492" s="187" t="str">
        <x:v>ROAD</x:v>
      </x:c>
      <x:c r="J492" s="187" t="str">
        <x:v>FUEL_SURCHARGE</x:v>
      </x:c>
      <x:c r="K492" s="187" t="str">
        <x:v>EUR</x:v>
      </x:c>
      <x:c r="L492" s="232" t="n">
        <x:v>416.134656</x:v>
      </x:c>
      <x:c r="M492" s="232" t="n">
        <x:v>7.8</x:v>
      </x:c>
      <x:c r="N492" s="187" t="str">
        <x:v>3245.85031680000000</x:v>
      </x:c>
      <x:c r="O492" s="235" t="n">
        <x:v>3245.8503</x:v>
      </x:c>
      <x:c r="P492" s="235"/>
      <x:c r="Q492" s="235"/>
      <x:c r="R492" s="235" t="str">
        <x:v>INVOICE_OR_PLAN</x:v>
      </x:c>
      <x:c r="S492" s="238" t="n">
        <x:f>'Model_Calc'!AG86</x:f>
        <x:v>3245.8503168</x:v>
      </x:c>
      <x:c r="T492" s="238" t="n">
        <x:f>ROUND(S492-O492,4)</x:f>
        <x:v>0</x:v>
      </x:c>
    </x:row>
    <x:row r="493">
      <x:c r="A493" s="187" t="str">
        <x:v>BUDGET_2026_V1</x:v>
      </x:c>
      <x:c r="B493" s="187" t="str">
        <x:v>BUDGET</x:v>
      </x:c>
      <x:c r="C493" s="187"/>
      <x:c r="D493" s="217" t="n">
        <x:v>46266</x:v>
      </x:c>
      <x:c r="E493" s="187" t="str">
        <x:v>R_DE_DE_B_ROAD</x:v>
      </x:c>
      <x:c r="F493" s="187" t="str">
        <x:v>DE</x:v>
      </x:c>
      <x:c r="G493" s="187" t="str">
        <x:v>DE_FC</x:v>
      </x:c>
      <x:c r="H493" s="187" t="str">
        <x:v>CARRIER_B</x:v>
      </x:c>
      <x:c r="I493" s="187" t="str">
        <x:v>ROAD</x:v>
      </x:c>
      <x:c r="J493" s="187" t="str">
        <x:v>WAREHOUSE_OPERATION</x:v>
      </x:c>
      <x:c r="K493" s="187" t="str">
        <x:v>EUR</x:v>
      </x:c>
      <x:c r="L493" s="232" t="n">
        <x:v>2783.6672</x:v>
      </x:c>
      <x:c r="M493" s="232" t="n">
        <x:v>7.8</x:v>
      </x:c>
      <x:c r="N493" s="187" t="str">
        <x:v>21712.6041600000</x:v>
      </x:c>
      <x:c r="O493" s="235" t="n">
        <x:v>21712.6042</x:v>
      </x:c>
      <x:c r="P493" s="235"/>
      <x:c r="Q493" s="235"/>
      <x:c r="R493" s="235" t="str">
        <x:v>INVOICE_OR_PLAN</x:v>
      </x:c>
      <x:c r="S493" s="238" t="n">
        <x:f>'Model_Calc'!AL86</x:f>
        <x:v>21712.60416</x:v>
      </x:c>
      <x:c r="T493" s="238" t="n">
        <x:f>ROUND(S493-O493,4)</x:f>
        <x:v>0</x:v>
      </x:c>
    </x:row>
    <x:row r="494">
      <x:c r="A494" s="187" t="str">
        <x:v>BUDGET_2026_V1</x:v>
      </x:c>
      <x:c r="B494" s="187" t="str">
        <x:v>BUDGET</x:v>
      </x:c>
      <x:c r="C494" s="187"/>
      <x:c r="D494" s="217" t="n">
        <x:v>46266</x:v>
      </x:c>
      <x:c r="E494" s="187" t="str">
        <x:v>R_DE_DE_B_ROAD</x:v>
      </x:c>
      <x:c r="F494" s="187" t="str">
        <x:v>DE</x:v>
      </x:c>
      <x:c r="G494" s="187" t="str">
        <x:v>DE_FC</x:v>
      </x:c>
      <x:c r="H494" s="187" t="str">
        <x:v>CARRIER_B</x:v>
      </x:c>
      <x:c r="I494" s="187" t="str">
        <x:v>ROAD</x:v>
      </x:c>
      <x:c r="J494" s="187" t="str">
        <x:v>PACKAGING</x:v>
      </x:c>
      <x:c r="K494" s="187" t="str">
        <x:v>EUR</x:v>
      </x:c>
      <x:c r="L494" s="232" t="n">
        <x:v>1040.33664</x:v>
      </x:c>
      <x:c r="M494" s="232" t="n">
        <x:v>7.8</x:v>
      </x:c>
      <x:c r="N494" s="187" t="str">
        <x:v>8114.625792000000</x:v>
      </x:c>
      <x:c r="O494" s="235" t="n">
        <x:v>8114.6258</x:v>
      </x:c>
      <x:c r="P494" s="235"/>
      <x:c r="Q494" s="235"/>
      <x:c r="R494" s="235" t="str">
        <x:v>INVOICE_OR_PLAN</x:v>
      </x:c>
      <x:c r="S494" s="238" t="n">
        <x:f>'Model_Calc'!AQ86</x:f>
        <x:v>8114.625792</x:v>
      </x:c>
      <x:c r="T494" s="238" t="n">
        <x:f>ROUND(S494-O494,4)</x:f>
        <x:v>0</x:v>
      </x:c>
    </x:row>
    <x:row r="495">
      <x:c r="A495" s="187" t="str">
        <x:v>BUDGET_2026_V1</x:v>
      </x:c>
      <x:c r="B495" s="187" t="str">
        <x:v>BUDGET</x:v>
      </x:c>
      <x:c r="C495" s="187"/>
      <x:c r="D495" s="217" t="n">
        <x:v>46266</x:v>
      </x:c>
      <x:c r="E495" s="187" t="str">
        <x:v>R_DE_DE_B_ROAD</x:v>
      </x:c>
      <x:c r="F495" s="187" t="str">
        <x:v>DE</x:v>
      </x:c>
      <x:c r="G495" s="187" t="str">
        <x:v>DE_FC</x:v>
      </x:c>
      <x:c r="H495" s="187" t="str">
        <x:v>CARRIER_B</x:v>
      </x:c>
      <x:c r="I495" s="187" t="str">
        <x:v>ROAD</x:v>
      </x:c>
      <x:c r="J495" s="187" t="str">
        <x:v>RETURN_LOGISTICS</x:v>
      </x:c>
      <x:c r="K495" s="187" t="str">
        <x:v>EUR</x:v>
      </x:c>
      <x:c r="L495" s="232" t="n">
        <x:v>377.4464</x:v>
      </x:c>
      <x:c r="M495" s="232" t="n">
        <x:v>7.8</x:v>
      </x:c>
      <x:c r="N495" s="187" t="str">
        <x:v>2944.0819200000000</x:v>
      </x:c>
      <x:c r="O495" s="235" t="n">
        <x:v>2944.0819</x:v>
      </x:c>
      <x:c r="P495" s="235"/>
      <x:c r="Q495" s="235"/>
      <x:c r="R495" s="235" t="str">
        <x:v>INVOICE_OR_PLAN</x:v>
      </x:c>
      <x:c r="S495" s="238" t="n">
        <x:f>'Model_Calc'!AV86</x:f>
        <x:v>2944.08192</x:v>
      </x:c>
      <x:c r="T495" s="238" t="n">
        <x:f>ROUND(S495-O495,4)</x:f>
        <x:v>0</x:v>
      </x:c>
    </x:row>
    <x:row r="496">
      <x:c r="A496" s="187" t="str">
        <x:v>BUDGET_2026_V1</x:v>
      </x:c>
      <x:c r="B496" s="187" t="str">
        <x:v>BUDGET</x:v>
      </x:c>
      <x:c r="C496" s="187"/>
      <x:c r="D496" s="217" t="n">
        <x:v>46266</x:v>
      </x:c>
      <x:c r="E496" s="187" t="str">
        <x:v>R_DE_DE_B_ROAD</x:v>
      </x:c>
      <x:c r="F496" s="187" t="str">
        <x:v>DE</x:v>
      </x:c>
      <x:c r="G496" s="187" t="str">
        <x:v>DE_FC</x:v>
      </x:c>
      <x:c r="H496" s="187" t="str">
        <x:v>CARRIER_B</x:v>
      </x:c>
      <x:c r="I496" s="187" t="str">
        <x:v>ROAD</x:v>
      </x:c>
      <x:c r="J496" s="187" t="str">
        <x:v>BILLABLE_EXCEPTION</x:v>
      </x:c>
      <x:c r="K496" s="187" t="str">
        <x:v>EUR</x:v>
      </x:c>
      <x:c r="L496" s="232" t="n">
        <x:v>74.0620608</x:v>
      </x:c>
      <x:c r="M496" s="232" t="n">
        <x:v>7.8</x:v>
      </x:c>
      <x:c r="N496" s="187" t="str">
        <x:v>577.684074240000000</x:v>
      </x:c>
      <x:c r="O496" s="235" t="n">
        <x:v>577.6841</x:v>
      </x:c>
      <x:c r="P496" s="235"/>
      <x:c r="Q496" s="235"/>
      <x:c r="R496" s="235" t="str">
        <x:v>INVOICE_OR_PLAN</x:v>
      </x:c>
      <x:c r="S496" s="238" t="n">
        <x:f>'Model_Calc'!BA86</x:f>
        <x:v>577.68407424</x:v>
      </x:c>
      <x:c r="T496" s="238" t="n">
        <x:f>ROUND(S496-O496,4)</x:f>
        <x:v>0</x:v>
      </x:c>
    </x:row>
    <x:row r="497">
      <x:c r="A497" s="187" t="str">
        <x:v>BUDGET_2026_V1</x:v>
      </x:c>
      <x:c r="B497" s="187" t="str">
        <x:v>BUDGET</x:v>
      </x:c>
      <x:c r="C497" s="187"/>
      <x:c r="D497" s="217" t="n">
        <x:v>46266</x:v>
      </x:c>
      <x:c r="E497" s="187" t="str">
        <x:v>R_DE_FR_B_ROAD</x:v>
      </x:c>
      <x:c r="F497" s="187" t="str">
        <x:v>DE</x:v>
      </x:c>
      <x:c r="G497" s="187" t="str">
        <x:v>FR_FC</x:v>
      </x:c>
      <x:c r="H497" s="187" t="str">
        <x:v>CARRIER_B</x:v>
      </x:c>
      <x:c r="I497" s="187" t="str">
        <x:v>ROAD</x:v>
      </x:c>
      <x:c r="J497" s="187" t="str">
        <x:v>BASE_FREIGHT</x:v>
      </x:c>
      <x:c r="K497" s="187" t="str">
        <x:v>EUR</x:v>
      </x:c>
      <x:c r="L497" s="232" t="n">
        <x:v>559.063296</x:v>
      </x:c>
      <x:c r="M497" s="232" t="n">
        <x:v>7.8</x:v>
      </x:c>
      <x:c r="N497" s="187" t="str">
        <x:v>4360.693708800000</x:v>
      </x:c>
      <x:c r="O497" s="235" t="n">
        <x:v>4360.6937</x:v>
      </x:c>
      <x:c r="P497" s="235"/>
      <x:c r="Q497" s="235"/>
      <x:c r="R497" s="235" t="str">
        <x:v>INVOICE_OR_PLAN</x:v>
      </x:c>
      <x:c r="S497" s="238" t="n">
        <x:f>'Model_Calc'!AF87</x:f>
        <x:v>4360.6937088</x:v>
      </x:c>
      <x:c r="T497" s="238" t="n">
        <x:f>ROUND(S497-O497,4)</x:f>
        <x:v>0</x:v>
      </x:c>
    </x:row>
    <x:row r="498">
      <x:c r="A498" s="187" t="str">
        <x:v>BUDGET_2026_V1</x:v>
      </x:c>
      <x:c r="B498" s="187" t="str">
        <x:v>BUDGET</x:v>
      </x:c>
      <x:c r="C498" s="187"/>
      <x:c r="D498" s="217" t="n">
        <x:v>46266</x:v>
      </x:c>
      <x:c r="E498" s="187" t="str">
        <x:v>R_DE_FR_B_ROAD</x:v>
      </x:c>
      <x:c r="F498" s="187" t="str">
        <x:v>DE</x:v>
      </x:c>
      <x:c r="G498" s="187" t="str">
        <x:v>FR_FC</x:v>
      </x:c>
      <x:c r="H498" s="187" t="str">
        <x:v>CARRIER_B</x:v>
      </x:c>
      <x:c r="I498" s="187" t="str">
        <x:v>ROAD</x:v>
      </x:c>
      <x:c r="J498" s="187" t="str">
        <x:v>FUEL_SURCHARGE</x:v>
      </x:c>
      <x:c r="K498" s="187" t="str">
        <x:v>EUR</x:v>
      </x:c>
      <x:c r="L498" s="232" t="n">
        <x:v>40.6591488</x:v>
      </x:c>
      <x:c r="M498" s="232" t="n">
        <x:v>7.8</x:v>
      </x:c>
      <x:c r="N498" s="187" t="str">
        <x:v>317.141360640000</x:v>
      </x:c>
      <x:c r="O498" s="235" t="n">
        <x:v>317.1414</x:v>
      </x:c>
      <x:c r="P498" s="235"/>
      <x:c r="Q498" s="235"/>
      <x:c r="R498" s="235" t="str">
        <x:v>INVOICE_OR_PLAN</x:v>
      </x:c>
      <x:c r="S498" s="238" t="n">
        <x:f>'Model_Calc'!AG87</x:f>
        <x:v>317.14136064</x:v>
      </x:c>
      <x:c r="T498" s="238" t="n">
        <x:f>ROUND(S498-O498,4)</x:f>
        <x:v>0</x:v>
      </x:c>
    </x:row>
    <x:row r="499">
      <x:c r="A499" s="187" t="str">
        <x:v>BUDGET_2026_V1</x:v>
      </x:c>
      <x:c r="B499" s="187" t="str">
        <x:v>BUDGET</x:v>
      </x:c>
      <x:c r="C499" s="187"/>
      <x:c r="D499" s="217" t="n">
        <x:v>46266</x:v>
      </x:c>
      <x:c r="E499" s="187" t="str">
        <x:v>R_DE_FR_B_ROAD</x:v>
      </x:c>
      <x:c r="F499" s="187" t="str">
        <x:v>DE</x:v>
      </x:c>
      <x:c r="G499" s="187" t="str">
        <x:v>FR_FC</x:v>
      </x:c>
      <x:c r="H499" s="187" t="str">
        <x:v>CARRIER_B</x:v>
      </x:c>
      <x:c r="I499" s="187" t="str">
        <x:v>ROAD</x:v>
      </x:c>
      <x:c r="J499" s="187" t="str">
        <x:v>WAREHOUSE_OPERATION</x:v>
      </x:c>
      <x:c r="K499" s="187" t="str">
        <x:v>EUR</x:v>
      </x:c>
      <x:c r="L499" s="232" t="n">
        <x:v>191.52</x:v>
      </x:c>
      <x:c r="M499" s="232" t="n">
        <x:v>7.8</x:v>
      </x:c>
      <x:c r="N499" s="187" t="str">
        <x:v>1493.85600000</x:v>
      </x:c>
      <x:c r="O499" s="235" t="n">
        <x:v>1493.856</x:v>
      </x:c>
      <x:c r="P499" s="235"/>
      <x:c r="Q499" s="235"/>
      <x:c r="R499" s="235" t="str">
        <x:v>INVOICE_OR_PLAN</x:v>
      </x:c>
      <x:c r="S499" s="238" t="n">
        <x:f>'Model_Calc'!AL87</x:f>
        <x:v>1493.856</x:v>
      </x:c>
      <x:c r="T499" s="238" t="n">
        <x:f>ROUND(S499-O499,4)</x:f>
        <x:v>0</x:v>
      </x:c>
    </x:row>
    <x:row r="500">
      <x:c r="A500" s="187" t="str">
        <x:v>BUDGET_2026_V1</x:v>
      </x:c>
      <x:c r="B500" s="187" t="str">
        <x:v>BUDGET</x:v>
      </x:c>
      <x:c r="C500" s="187"/>
      <x:c r="D500" s="217" t="n">
        <x:v>46266</x:v>
      </x:c>
      <x:c r="E500" s="187" t="str">
        <x:v>R_DE_FR_B_ROAD</x:v>
      </x:c>
      <x:c r="F500" s="187" t="str">
        <x:v>DE</x:v>
      </x:c>
      <x:c r="G500" s="187" t="str">
        <x:v>FR_FC</x:v>
      </x:c>
      <x:c r="H500" s="187" t="str">
        <x:v>CARRIER_B</x:v>
      </x:c>
      <x:c r="I500" s="187" t="str">
        <x:v>ROAD</x:v>
      </x:c>
      <x:c r="J500" s="187" t="str">
        <x:v>PACKAGING</x:v>
      </x:c>
      <x:c r="K500" s="187" t="str">
        <x:v>EUR</x:v>
      </x:c>
      <x:c r="L500" s="232" t="n">
        <x:v>74.85696</x:v>
      </x:c>
      <x:c r="M500" s="232" t="n">
        <x:v>7.8</x:v>
      </x:c>
      <x:c r="N500" s="187" t="str">
        <x:v>583.8842880000</x:v>
      </x:c>
      <x:c r="O500" s="235" t="n">
        <x:v>583.8843</x:v>
      </x:c>
      <x:c r="P500" s="235"/>
      <x:c r="Q500" s="235"/>
      <x:c r="R500" s="235" t="str">
        <x:v>INVOICE_OR_PLAN</x:v>
      </x:c>
      <x:c r="S500" s="238" t="n">
        <x:f>'Model_Calc'!AQ87</x:f>
        <x:v>583.8842880000001</x:v>
      </x:c>
      <x:c r="T500" s="238" t="n">
        <x:f>ROUND(S500-O500,4)</x:f>
        <x:v>0</x:v>
      </x:c>
    </x:row>
    <x:row r="501">
      <x:c r="A501" s="187" t="str">
        <x:v>BUDGET_2026_V1</x:v>
      </x:c>
      <x:c r="B501" s="187" t="str">
        <x:v>BUDGET</x:v>
      </x:c>
      <x:c r="C501" s="187"/>
      <x:c r="D501" s="217" t="n">
        <x:v>46266</x:v>
      </x:c>
      <x:c r="E501" s="187" t="str">
        <x:v>R_DE_FR_B_ROAD</x:v>
      </x:c>
      <x:c r="F501" s="187" t="str">
        <x:v>DE</x:v>
      </x:c>
      <x:c r="G501" s="187" t="str">
        <x:v>FR_FC</x:v>
      </x:c>
      <x:c r="H501" s="187" t="str">
        <x:v>CARRIER_B</x:v>
      </x:c>
      <x:c r="I501" s="187" t="str">
        <x:v>ROAD</x:v>
      </x:c>
      <x:c r="J501" s="187" t="str">
        <x:v>RETURN_LOGISTICS</x:v>
      </x:c>
      <x:c r="K501" s="187" t="str">
        <x:v>EUR</x:v>
      </x:c>
      <x:c r="L501" s="232" t="n">
        <x:v>34.656</x:v>
      </x:c>
      <x:c r="M501" s="232" t="n">
        <x:v>7.8</x:v>
      </x:c>
      <x:c r="N501" s="187" t="str">
        <x:v>270.31680000000</x:v>
      </x:c>
      <x:c r="O501" s="235" t="n">
        <x:v>270.3168</x:v>
      </x:c>
      <x:c r="P501" s="235"/>
      <x:c r="Q501" s="235"/>
      <x:c r="R501" s="235" t="str">
        <x:v>INVOICE_OR_PLAN</x:v>
      </x:c>
      <x:c r="S501" s="238" t="n">
        <x:f>'Model_Calc'!AV87</x:f>
        <x:v>270.3168</x:v>
      </x:c>
      <x:c r="T501" s="238" t="n">
        <x:f>ROUND(S501-O501,4)</x:f>
        <x:v>0</x:v>
      </x:c>
    </x:row>
    <x:row r="502">
      <x:c r="A502" s="187" t="str">
        <x:v>BUDGET_2026_V1</x:v>
      </x:c>
      <x:c r="B502" s="187" t="str">
        <x:v>BUDGET</x:v>
      </x:c>
      <x:c r="C502" s="187"/>
      <x:c r="D502" s="217" t="n">
        <x:v>46266</x:v>
      </x:c>
      <x:c r="E502" s="187" t="str">
        <x:v>R_DE_FR_B_ROAD</x:v>
      </x:c>
      <x:c r="F502" s="187" t="str">
        <x:v>DE</x:v>
      </x:c>
      <x:c r="G502" s="187" t="str">
        <x:v>FR_FC</x:v>
      </x:c>
      <x:c r="H502" s="187" t="str">
        <x:v>CARRIER_B</x:v>
      </x:c>
      <x:c r="I502" s="187" t="str">
        <x:v>ROAD</x:v>
      </x:c>
      <x:c r="J502" s="187" t="str">
        <x:v>BILLABLE_EXCEPTION</x:v>
      </x:c>
      <x:c r="K502" s="187" t="str">
        <x:v>EUR</x:v>
      </x:c>
      <x:c r="L502" s="232" t="n">
        <x:v>6.3431424</x:v>
      </x:c>
      <x:c r="M502" s="232" t="n">
        <x:v>7.8</x:v>
      </x:c>
      <x:c r="N502" s="187" t="str">
        <x:v>49.4765107200000</x:v>
      </x:c>
      <x:c r="O502" s="235" t="n">
        <x:v>49.4765</x:v>
      </x:c>
      <x:c r="P502" s="235"/>
      <x:c r="Q502" s="235"/>
      <x:c r="R502" s="235" t="str">
        <x:v>INVOICE_OR_PLAN</x:v>
      </x:c>
      <x:c r="S502" s="238" t="n">
        <x:f>'Model_Calc'!BA87</x:f>
        <x:v>49.47651072</x:v>
      </x:c>
      <x:c r="T502" s="238" t="n">
        <x:f>ROUND(S502-O502,4)</x:f>
        <x:v>0</x:v>
      </x:c>
    </x:row>
    <x:row r="503">
      <x:c r="A503" s="187" t="str">
        <x:v>BUDGET_2026_V1</x:v>
      </x:c>
      <x:c r="B503" s="187" t="str">
        <x:v>BUDGET</x:v>
      </x:c>
      <x:c r="C503" s="187"/>
      <x:c r="D503" s="217" t="n">
        <x:v>46266</x:v>
      </x:c>
      <x:c r="E503" s="187" t="str">
        <x:v>R_FR_FR_A_ROAD</x:v>
      </x:c>
      <x:c r="F503" s="187" t="str">
        <x:v>FR</x:v>
      </x:c>
      <x:c r="G503" s="187" t="str">
        <x:v>FR_FC</x:v>
      </x:c>
      <x:c r="H503" s="187" t="str">
        <x:v>CARRIER_A</x:v>
      </x:c>
      <x:c r="I503" s="187" t="str">
        <x:v>ROAD</x:v>
      </x:c>
      <x:c r="J503" s="187" t="str">
        <x:v>BASE_FREIGHT</x:v>
      </x:c>
      <x:c r="K503" s="187" t="str">
        <x:v>EUR</x:v>
      </x:c>
      <x:c r="L503" s="232" t="n">
        <x:v>2936.89536</x:v>
      </x:c>
      <x:c r="M503" s="232" t="n">
        <x:v>7.8</x:v>
      </x:c>
      <x:c r="N503" s="187" t="str">
        <x:v>22907.783808000000</x:v>
      </x:c>
      <x:c r="O503" s="235" t="n">
        <x:v>22907.7838</x:v>
      </x:c>
      <x:c r="P503" s="235"/>
      <x:c r="Q503" s="235"/>
      <x:c r="R503" s="235" t="str">
        <x:v>INVOICE_OR_PLAN</x:v>
      </x:c>
      <x:c r="S503" s="238" t="n">
        <x:f>'Model_Calc'!AF88</x:f>
        <x:v>22907.783808</x:v>
      </x:c>
      <x:c r="T503" s="238" t="n">
        <x:f>ROUND(S503-O503,4)</x:f>
        <x:v>0</x:v>
      </x:c>
    </x:row>
    <x:row r="504">
      <x:c r="A504" s="187" t="str">
        <x:v>BUDGET_2026_V1</x:v>
      </x:c>
      <x:c r="B504" s="187" t="str">
        <x:v>BUDGET</x:v>
      </x:c>
      <x:c r="C504" s="187"/>
      <x:c r="D504" s="217" t="n">
        <x:v>46266</x:v>
      </x:c>
      <x:c r="E504" s="187" t="str">
        <x:v>R_FR_FR_A_ROAD</x:v>
      </x:c>
      <x:c r="F504" s="187" t="str">
        <x:v>FR</x:v>
      </x:c>
      <x:c r="G504" s="187" t="str">
        <x:v>FR_FC</x:v>
      </x:c>
      <x:c r="H504" s="187" t="str">
        <x:v>CARRIER_A</x:v>
      </x:c>
      <x:c r="I504" s="187" t="str">
        <x:v>ROAD</x:v>
      </x:c>
      <x:c r="J504" s="187" t="str">
        <x:v>FUEL_SURCHARGE</x:v>
      </x:c>
      <x:c r="K504" s="187" t="str">
        <x:v>EUR</x:v>
      </x:c>
      <x:c r="L504" s="232" t="n">
        <x:v>264.3205824</x:v>
      </x:c>
      <x:c r="M504" s="232" t="n">
        <x:v>7.8</x:v>
      </x:c>
      <x:c r="N504" s="187" t="str">
        <x:v>2061.700542720000000</x:v>
      </x:c>
      <x:c r="O504" s="235" t="n">
        <x:v>2061.7005</x:v>
      </x:c>
      <x:c r="P504" s="235"/>
      <x:c r="Q504" s="235"/>
      <x:c r="R504" s="235" t="str">
        <x:v>INVOICE_OR_PLAN</x:v>
      </x:c>
      <x:c r="S504" s="238" t="n">
        <x:f>'Model_Calc'!AG88</x:f>
        <x:v>2061.7005427199997</x:v>
      </x:c>
      <x:c r="T504" s="238" t="n">
        <x:f>ROUND(S504-O504,4)</x:f>
        <x:v>0</x:v>
      </x:c>
    </x:row>
    <x:row r="505">
      <x:c r="A505" s="187" t="str">
        <x:v>BUDGET_2026_V1</x:v>
      </x:c>
      <x:c r="B505" s="187" t="str">
        <x:v>BUDGET</x:v>
      </x:c>
      <x:c r="C505" s="187"/>
      <x:c r="D505" s="217" t="n">
        <x:v>46266</x:v>
      </x:c>
      <x:c r="E505" s="187" t="str">
        <x:v>R_FR_FR_A_ROAD</x:v>
      </x:c>
      <x:c r="F505" s="187" t="str">
        <x:v>FR</x:v>
      </x:c>
      <x:c r="G505" s="187" t="str">
        <x:v>FR_FC</x:v>
      </x:c>
      <x:c r="H505" s="187" t="str">
        <x:v>CARRIER_A</x:v>
      </x:c>
      <x:c r="I505" s="187" t="str">
        <x:v>ROAD</x:v>
      </x:c>
      <x:c r="J505" s="187" t="str">
        <x:v>WAREHOUSE_OPERATION</x:v>
      </x:c>
      <x:c r="K505" s="187" t="str">
        <x:v>EUR</x:v>
      </x:c>
      <x:c r="L505" s="232" t="n">
        <x:v>1822.8</x:v>
      </x:c>
      <x:c r="M505" s="232" t="n">
        <x:v>7.8</x:v>
      </x:c>
      <x:c r="N505" s="187" t="str">
        <x:v>14217.84000000</x:v>
      </x:c>
      <x:c r="O505" s="235" t="n">
        <x:v>14217.84</x:v>
      </x:c>
      <x:c r="P505" s="235"/>
      <x:c r="Q505" s="235"/>
      <x:c r="R505" s="235" t="str">
        <x:v>INVOICE_OR_PLAN</x:v>
      </x:c>
      <x:c r="S505" s="238" t="n">
        <x:f>'Model_Calc'!AL88</x:f>
        <x:v>14217.840000000002</x:v>
      </x:c>
      <x:c r="T505" s="238" t="n">
        <x:f>ROUND(S505-O505,4)</x:f>
        <x:v>0</x:v>
      </x:c>
    </x:row>
    <x:row r="506">
      <x:c r="A506" s="187" t="str">
        <x:v>BUDGET_2026_V1</x:v>
      </x:c>
      <x:c r="B506" s="187" t="str">
        <x:v>BUDGET</x:v>
      </x:c>
      <x:c r="C506" s="187"/>
      <x:c r="D506" s="217" t="n">
        <x:v>46266</x:v>
      </x:c>
      <x:c r="E506" s="187" t="str">
        <x:v>R_FR_FR_A_ROAD</x:v>
      </x:c>
      <x:c r="F506" s="187" t="str">
        <x:v>FR</x:v>
      </x:c>
      <x:c r="G506" s="187" t="str">
        <x:v>FR_FC</x:v>
      </x:c>
      <x:c r="H506" s="187" t="str">
        <x:v>CARRIER_A</x:v>
      </x:c>
      <x:c r="I506" s="187" t="str">
        <x:v>ROAD</x:v>
      </x:c>
      <x:c r="J506" s="187" t="str">
        <x:v>PACKAGING</x:v>
      </x:c>
      <x:c r="K506" s="187" t="str">
        <x:v>EUR</x:v>
      </x:c>
      <x:c r="L506" s="232" t="n">
        <x:v>699.2608</x:v>
      </x:c>
      <x:c r="M506" s="232" t="n">
        <x:v>7.8</x:v>
      </x:c>
      <x:c r="N506" s="187" t="str">
        <x:v>5454.2342400000</x:v>
      </x:c>
      <x:c r="O506" s="235" t="n">
        <x:v>5454.2342</x:v>
      </x:c>
      <x:c r="P506" s="235"/>
      <x:c r="Q506" s="235"/>
      <x:c r="R506" s="235" t="str">
        <x:v>INVOICE_OR_PLAN</x:v>
      </x:c>
      <x:c r="S506" s="238" t="n">
        <x:f>'Model_Calc'!AQ88</x:f>
        <x:v>5454.23424</x:v>
      </x:c>
      <x:c r="T506" s="238" t="n">
        <x:f>ROUND(S506-O506,4)</x:f>
        <x:v>0</x:v>
      </x:c>
    </x:row>
    <x:row r="507">
      <x:c r="A507" s="187" t="str">
        <x:v>BUDGET_2026_V1</x:v>
      </x:c>
      <x:c r="B507" s="187" t="str">
        <x:v>BUDGET</x:v>
      </x:c>
      <x:c r="C507" s="187"/>
      <x:c r="D507" s="217" t="n">
        <x:v>46266</x:v>
      </x:c>
      <x:c r="E507" s="187" t="str">
        <x:v>R_FR_FR_A_ROAD</x:v>
      </x:c>
      <x:c r="F507" s="187" t="str">
        <x:v>FR</x:v>
      </x:c>
      <x:c r="G507" s="187" t="str">
        <x:v>FR_FC</x:v>
      </x:c>
      <x:c r="H507" s="187" t="str">
        <x:v>CARRIER_A</x:v>
      </x:c>
      <x:c r="I507" s="187" t="str">
        <x:v>ROAD</x:v>
      </x:c>
      <x:c r="J507" s="187" t="str">
        <x:v>RETURN_LOGISTICS</x:v>
      </x:c>
      <x:c r="K507" s="187" t="str">
        <x:v>EUR</x:v>
      </x:c>
      <x:c r="L507" s="232" t="n">
        <x:v>312.48</x:v>
      </x:c>
      <x:c r="M507" s="232" t="n">
        <x:v>7.8</x:v>
      </x:c>
      <x:c r="N507" s="187" t="str">
        <x:v>2437.34400000000</x:v>
      </x:c>
      <x:c r="O507" s="235" t="n">
        <x:v>2437.344</x:v>
      </x:c>
      <x:c r="P507" s="235"/>
      <x:c r="Q507" s="235"/>
      <x:c r="R507" s="235" t="str">
        <x:v>INVOICE_OR_PLAN</x:v>
      </x:c>
      <x:c r="S507" s="238" t="n">
        <x:f>'Model_Calc'!AV88</x:f>
        <x:v>2437.344</x:v>
      </x:c>
      <x:c r="T507" s="238" t="n">
        <x:f>ROUND(S507-O507,4)</x:f>
        <x:v>0</x:v>
      </x:c>
    </x:row>
    <x:row r="508">
      <x:c r="A508" s="187" t="str">
        <x:v>BUDGET_2026_V1</x:v>
      </x:c>
      <x:c r="B508" s="187" t="str">
        <x:v>BUDGET</x:v>
      </x:c>
      <x:c r="C508" s="187"/>
      <x:c r="D508" s="217" t="n">
        <x:v>46266</x:v>
      </x:c>
      <x:c r="E508" s="187" t="str">
        <x:v>R_FR_FR_A_ROAD</x:v>
      </x:c>
      <x:c r="F508" s="187" t="str">
        <x:v>FR</x:v>
      </x:c>
      <x:c r="G508" s="187" t="str">
        <x:v>FR_FC</x:v>
      </x:c>
      <x:c r="H508" s="187" t="str">
        <x:v>CARRIER_A</x:v>
      </x:c>
      <x:c r="I508" s="187" t="str">
        <x:v>ROAD</x:v>
      </x:c>
      <x:c r="J508" s="187" t="str">
        <x:v>BILLABLE_EXCEPTION</x:v>
      </x:c>
      <x:c r="K508" s="187" t="str">
        <x:v>EUR</x:v>
      </x:c>
      <x:c r="L508" s="232" t="n">
        <x:v>71.950256</x:v>
      </x:c>
      <x:c r="M508" s="232" t="n">
        <x:v>7.8</x:v>
      </x:c>
      <x:c r="N508" s="187" t="str">
        <x:v>561.2119968000000</x:v>
      </x:c>
      <x:c r="O508" s="235" t="n">
        <x:v>561.212</x:v>
      </x:c>
      <x:c r="P508" s="235"/>
      <x:c r="Q508" s="235"/>
      <x:c r="R508" s="235" t="str">
        <x:v>INVOICE_OR_PLAN</x:v>
      </x:c>
      <x:c r="S508" s="238" t="n">
        <x:f>'Model_Calc'!BA88</x:f>
        <x:v>561.2119968000001</x:v>
      </x:c>
      <x:c r="T508" s="238" t="n">
        <x:f>ROUND(S508-O508,4)</x:f>
        <x:v>0</x:v>
      </x:c>
    </x:row>
    <x:row r="509">
      <x:c r="A509" s="187" t="str">
        <x:v>BUDGET_2026_V1</x:v>
      </x:c>
      <x:c r="B509" s="187" t="str">
        <x:v>BUDGET</x:v>
      </x:c>
      <x:c r="C509" s="187"/>
      <x:c r="D509" s="217" t="n">
        <x:v>46266</x:v>
      </x:c>
      <x:c r="E509" s="187" t="str">
        <x:v>R_FR_FR_B_ROAD</x:v>
      </x:c>
      <x:c r="F509" s="187" t="str">
        <x:v>FR</x:v>
      </x:c>
      <x:c r="G509" s="187" t="str">
        <x:v>FR_FC</x:v>
      </x:c>
      <x:c r="H509" s="187" t="str">
        <x:v>CARRIER_B</x:v>
      </x:c>
      <x:c r="I509" s="187" t="str">
        <x:v>ROAD</x:v>
      </x:c>
      <x:c r="J509" s="187" t="str">
        <x:v>BASE_FREIGHT</x:v>
      </x:c>
      <x:c r="K509" s="187" t="str">
        <x:v>EUR</x:v>
      </x:c>
      <x:c r="L509" s="232" t="n">
        <x:v>7019.42176</x:v>
      </x:c>
      <x:c r="M509" s="232" t="n">
        <x:v>7.8</x:v>
      </x:c>
      <x:c r="N509" s="187" t="str">
        <x:v>54751.489728000000</x:v>
      </x:c>
      <x:c r="O509" s="235" t="n">
        <x:v>54751.4897</x:v>
      </x:c>
      <x:c r="P509" s="235"/>
      <x:c r="Q509" s="235"/>
      <x:c r="R509" s="235" t="str">
        <x:v>INVOICE_OR_PLAN</x:v>
      </x:c>
      <x:c r="S509" s="238" t="n">
        <x:f>'Model_Calc'!AF89</x:f>
        <x:v>54751.48972800001</x:v>
      </x:c>
      <x:c r="T509" s="238" t="n">
        <x:f>ROUND(S509-O509,4)</x:f>
        <x:v>0</x:v>
      </x:c>
    </x:row>
    <x:row r="510">
      <x:c r="A510" s="187" t="str">
        <x:v>BUDGET_2026_V1</x:v>
      </x:c>
      <x:c r="B510" s="187" t="str">
        <x:v>BUDGET</x:v>
      </x:c>
      <x:c r="C510" s="187"/>
      <x:c r="D510" s="217" t="n">
        <x:v>46266</x:v>
      </x:c>
      <x:c r="E510" s="187" t="str">
        <x:v>R_FR_FR_B_ROAD</x:v>
      </x:c>
      <x:c r="F510" s="187" t="str">
        <x:v>FR</x:v>
      </x:c>
      <x:c r="G510" s="187" t="str">
        <x:v>FR_FC</x:v>
      </x:c>
      <x:c r="H510" s="187" t="str">
        <x:v>CARRIER_B</x:v>
      </x:c>
      <x:c r="I510" s="187" t="str">
        <x:v>ROAD</x:v>
      </x:c>
      <x:c r="J510" s="187" t="str">
        <x:v>FUEL_SURCHARGE</x:v>
      </x:c>
      <x:c r="K510" s="187" t="str">
        <x:v>EUR</x:v>
      </x:c>
      <x:c r="L510" s="232" t="n">
        <x:v>539.95552</x:v>
      </x:c>
      <x:c r="M510" s="232" t="n">
        <x:v>7.8</x:v>
      </x:c>
      <x:c r="N510" s="187" t="str">
        <x:v>4211.653056000000</x:v>
      </x:c>
      <x:c r="O510" s="235" t="n">
        <x:v>4211.6531</x:v>
      </x:c>
      <x:c r="P510" s="235"/>
      <x:c r="Q510" s="235"/>
      <x:c r="R510" s="235" t="str">
        <x:v>INVOICE_OR_PLAN</x:v>
      </x:c>
      <x:c r="S510" s="238" t="n">
        <x:f>'Model_Calc'!AG89</x:f>
        <x:v>4211.653056000001</x:v>
      </x:c>
      <x:c r="T510" s="238" t="n">
        <x:f>ROUND(S510-O510,4)</x:f>
        <x:v>0</x:v>
      </x:c>
    </x:row>
    <x:row r="511">
      <x:c r="A511" s="187" t="str">
        <x:v>BUDGET_2026_V1</x:v>
      </x:c>
      <x:c r="B511" s="187" t="str">
        <x:v>BUDGET</x:v>
      </x:c>
      <x:c r="C511" s="187"/>
      <x:c r="D511" s="217" t="n">
        <x:v>46266</x:v>
      </x:c>
      <x:c r="E511" s="187" t="str">
        <x:v>R_FR_FR_B_ROAD</x:v>
      </x:c>
      <x:c r="F511" s="187" t="str">
        <x:v>FR</x:v>
      </x:c>
      <x:c r="G511" s="187" t="str">
        <x:v>FR_FC</x:v>
      </x:c>
      <x:c r="H511" s="187" t="str">
        <x:v>CARRIER_B</x:v>
      </x:c>
      <x:c r="I511" s="187" t="str">
        <x:v>ROAD</x:v>
      </x:c>
      <x:c r="J511" s="187" t="str">
        <x:v>WAREHOUSE_OPERATION</x:v>
      </x:c>
      <x:c r="K511" s="187" t="str">
        <x:v>EUR</x:v>
      </x:c>
      <x:c r="L511" s="232" t="n">
        <x:v>3385.2</x:v>
      </x:c>
      <x:c r="M511" s="232" t="n">
        <x:v>7.8</x:v>
      </x:c>
      <x:c r="N511" s="187" t="str">
        <x:v>26404.56000000</x:v>
      </x:c>
      <x:c r="O511" s="235" t="n">
        <x:v>26404.56</x:v>
      </x:c>
      <x:c r="P511" s="235"/>
      <x:c r="Q511" s="235"/>
      <x:c r="R511" s="235" t="str">
        <x:v>INVOICE_OR_PLAN</x:v>
      </x:c>
      <x:c r="S511" s="238" t="n">
        <x:f>'Model_Calc'!AL89</x:f>
        <x:v>26404.56</x:v>
      </x:c>
      <x:c r="T511" s="238" t="n">
        <x:f>ROUND(S511-O511,4)</x:f>
        <x:v>0</x:v>
      </x:c>
    </x:row>
    <x:row r="512">
      <x:c r="A512" s="187" t="str">
        <x:v>BUDGET_2026_V1</x:v>
      </x:c>
      <x:c r="B512" s="187" t="str">
        <x:v>BUDGET</x:v>
      </x:c>
      <x:c r="C512" s="187"/>
      <x:c r="D512" s="217" t="n">
        <x:v>46266</x:v>
      </x:c>
      <x:c r="E512" s="187" t="str">
        <x:v>R_FR_FR_B_ROAD</x:v>
      </x:c>
      <x:c r="F512" s="187" t="str">
        <x:v>FR</x:v>
      </x:c>
      <x:c r="G512" s="187" t="str">
        <x:v>FR_FC</x:v>
      </x:c>
      <x:c r="H512" s="187" t="str">
        <x:v>CARRIER_B</x:v>
      </x:c>
      <x:c r="I512" s="187" t="str">
        <x:v>ROAD</x:v>
      </x:c>
      <x:c r="J512" s="187" t="str">
        <x:v>PACKAGING</x:v>
      </x:c>
      <x:c r="K512" s="187" t="str">
        <x:v>EUR</x:v>
      </x:c>
      <x:c r="L512" s="232" t="n">
        <x:v>1298.6272</x:v>
      </x:c>
      <x:c r="M512" s="232" t="n">
        <x:v>7.8</x:v>
      </x:c>
      <x:c r="N512" s="187" t="str">
        <x:v>10129.2921600000</x:v>
      </x:c>
      <x:c r="O512" s="235" t="n">
        <x:v>10129.2922</x:v>
      </x:c>
      <x:c r="P512" s="235"/>
      <x:c r="Q512" s="235"/>
      <x:c r="R512" s="235" t="str">
        <x:v>INVOICE_OR_PLAN</x:v>
      </x:c>
      <x:c r="S512" s="238" t="n">
        <x:f>'Model_Calc'!AQ89</x:f>
        <x:v>10129.29216</x:v>
      </x:c>
      <x:c r="T512" s="238" t="n">
        <x:f>ROUND(S512-O512,4)</x:f>
        <x:v>0</x:v>
      </x:c>
    </x:row>
    <x:row r="513">
      <x:c r="A513" s="187" t="str">
        <x:v>BUDGET_2026_V1</x:v>
      </x:c>
      <x:c r="B513" s="187" t="str">
        <x:v>BUDGET</x:v>
      </x:c>
      <x:c r="C513" s="187"/>
      <x:c r="D513" s="217" t="n">
        <x:v>46266</x:v>
      </x:c>
      <x:c r="E513" s="187" t="str">
        <x:v>R_FR_FR_B_ROAD</x:v>
      </x:c>
      <x:c r="F513" s="187" t="str">
        <x:v>FR</x:v>
      </x:c>
      <x:c r="G513" s="187" t="str">
        <x:v>FR_FC</x:v>
      </x:c>
      <x:c r="H513" s="187" t="str">
        <x:v>CARRIER_B</x:v>
      </x:c>
      <x:c r="I513" s="187" t="str">
        <x:v>ROAD</x:v>
      </x:c>
      <x:c r="J513" s="187" t="str">
        <x:v>RETURN_LOGISTICS</x:v>
      </x:c>
      <x:c r="K513" s="187" t="str">
        <x:v>EUR</x:v>
      </x:c>
      <x:c r="L513" s="232" t="n">
        <x:v>580.32</x:v>
      </x:c>
      <x:c r="M513" s="232" t="n">
        <x:v>7.8</x:v>
      </x:c>
      <x:c r="N513" s="187" t="str">
        <x:v>4526.49600000000</x:v>
      </x:c>
      <x:c r="O513" s="235" t="n">
        <x:v>4526.496</x:v>
      </x:c>
      <x:c r="P513" s="235"/>
      <x:c r="Q513" s="235"/>
      <x:c r="R513" s="235" t="str">
        <x:v>INVOICE_OR_PLAN</x:v>
      </x:c>
      <x:c r="S513" s="238" t="n">
        <x:f>'Model_Calc'!AV89</x:f>
        <x:v>4526.495999999999</x:v>
      </x:c>
      <x:c r="T513" s="238" t="n">
        <x:f>ROUND(S513-O513,4)</x:f>
        <x:v>0</x:v>
      </x:c>
    </x:row>
    <x:row r="514">
      <x:c r="A514" s="187" t="str">
        <x:v>BUDGET_2026_V1</x:v>
      </x:c>
      <x:c r="B514" s="187" t="str">
        <x:v>BUDGET</x:v>
      </x:c>
      <x:c r="C514" s="187"/>
      <x:c r="D514" s="217" t="n">
        <x:v>46266</x:v>
      </x:c>
      <x:c r="E514" s="187" t="str">
        <x:v>R_FR_FR_B_ROAD</x:v>
      </x:c>
      <x:c r="F514" s="187" t="str">
        <x:v>FR</x:v>
      </x:c>
      <x:c r="G514" s="187" t="str">
        <x:v>FR_FC</x:v>
      </x:c>
      <x:c r="H514" s="187" t="str">
        <x:v>CARRIER_B</x:v>
      </x:c>
      <x:c r="I514" s="187" t="str">
        <x:v>ROAD</x:v>
      </x:c>
      <x:c r="J514" s="187" t="str">
        <x:v>BILLABLE_EXCEPTION</x:v>
      </x:c>
      <x:c r="K514" s="187" t="str">
        <x:v>EUR</x:v>
      </x:c>
      <x:c r="L514" s="232" t="n">
        <x:v>110.041568</x:v>
      </x:c>
      <x:c r="M514" s="232" t="n">
        <x:v>7.8</x:v>
      </x:c>
      <x:c r="N514" s="187" t="str">
        <x:v>858.3242304000000</x:v>
      </x:c>
      <x:c r="O514" s="235" t="n">
        <x:v>858.3242</x:v>
      </x:c>
      <x:c r="P514" s="235"/>
      <x:c r="Q514" s="235"/>
      <x:c r="R514" s="235" t="str">
        <x:v>INVOICE_OR_PLAN</x:v>
      </x:c>
      <x:c r="S514" s="238" t="n">
        <x:f>'Model_Calc'!BA89</x:f>
        <x:v>858.3242303999999</x:v>
      </x:c>
      <x:c r="T514" s="238" t="n">
        <x:f>ROUND(S514-O514,4)</x:f>
        <x:v>0</x:v>
      </x:c>
    </x:row>
    <x:row r="515">
      <x:c r="A515" s="187" t="str">
        <x:v>BUDGET_2026_V1</x:v>
      </x:c>
      <x:c r="B515" s="187" t="str">
        <x:v>BUDGET</x:v>
      </x:c>
      <x:c r="C515" s="187"/>
      <x:c r="D515" s="217" t="n">
        <x:v>46266</x:v>
      </x:c>
      <x:c r="E515" s="187" t="str">
        <x:v>R_GB_DE_A_ROAD</x:v>
      </x:c>
      <x:c r="F515" s="187" t="str">
        <x:v>GB</x:v>
      </x:c>
      <x:c r="G515" s="187" t="str">
        <x:v>DE_FC</x:v>
      </x:c>
      <x:c r="H515" s="187" t="str">
        <x:v>CARRIER_A</x:v>
      </x:c>
      <x:c r="I515" s="187" t="str">
        <x:v>ROAD</x:v>
      </x:c>
      <x:c r="J515" s="187" t="str">
        <x:v>BASE_FREIGHT</x:v>
      </x:c>
      <x:c r="K515" s="187" t="str">
        <x:v>GBP</x:v>
      </x:c>
      <x:c r="L515" s="232" t="n">
        <x:v>14143.094784</x:v>
      </x:c>
      <x:c r="M515" s="232" t="n">
        <x:v>9</x:v>
      </x:c>
      <x:c r="N515" s="187" t="str">
        <x:v>127287.85305600000000</x:v>
      </x:c>
      <x:c r="O515" s="235" t="n">
        <x:v>127287.8531</x:v>
      </x:c>
      <x:c r="P515" s="235"/>
      <x:c r="Q515" s="235"/>
      <x:c r="R515" s="235" t="str">
        <x:v>INVOICE_OR_PLAN</x:v>
      </x:c>
      <x:c r="S515" s="238" t="n">
        <x:f>'Model_Calc'!AF90</x:f>
        <x:v>127287.853056</x:v>
      </x:c>
      <x:c r="T515" s="238" t="n">
        <x:f>ROUND(S515-O515,4)</x:f>
        <x:v>0</x:v>
      </x:c>
    </x:row>
    <x:row r="516">
      <x:c r="A516" s="187" t="str">
        <x:v>BUDGET_2026_V1</x:v>
      </x:c>
      <x:c r="B516" s="187" t="str">
        <x:v>BUDGET</x:v>
      </x:c>
      <x:c r="C516" s="187"/>
      <x:c r="D516" s="217" t="n">
        <x:v>46266</x:v>
      </x:c>
      <x:c r="E516" s="187" t="str">
        <x:v>R_GB_DE_A_ROAD</x:v>
      </x:c>
      <x:c r="F516" s="187" t="str">
        <x:v>GB</x:v>
      </x:c>
      <x:c r="G516" s="187" t="str">
        <x:v>DE_FC</x:v>
      </x:c>
      <x:c r="H516" s="187" t="str">
        <x:v>CARRIER_A</x:v>
      </x:c>
      <x:c r="I516" s="187" t="str">
        <x:v>ROAD</x:v>
      </x:c>
      <x:c r="J516" s="187" t="str">
        <x:v>FUEL_SURCHARGE</x:v>
      </x:c>
      <x:c r="K516" s="187" t="str">
        <x:v>GBP</x:v>
      </x:c>
      <x:c r="L516" s="232" t="n">
        <x:v>1414.3094784</x:v>
      </x:c>
      <x:c r="M516" s="232" t="n">
        <x:v>9</x:v>
      </x:c>
      <x:c r="N516" s="187" t="str">
        <x:v>12728.78530560000000000</x:v>
      </x:c>
      <x:c r="O516" s="235" t="n">
        <x:v>12728.7853</x:v>
      </x:c>
      <x:c r="P516" s="235"/>
      <x:c r="Q516" s="235"/>
      <x:c r="R516" s="235" t="str">
        <x:v>INVOICE_OR_PLAN</x:v>
      </x:c>
      <x:c r="S516" s="238" t="n">
        <x:f>'Model_Calc'!AG90</x:f>
        <x:v>12728.785305600002</x:v>
      </x:c>
      <x:c r="T516" s="238" t="n">
        <x:f>ROUND(S516-O516,4)</x:f>
        <x:v>0</x:v>
      </x:c>
    </x:row>
    <x:row r="517">
      <x:c r="A517" s="187" t="str">
        <x:v>BUDGET_2026_V1</x:v>
      </x:c>
      <x:c r="B517" s="187" t="str">
        <x:v>BUDGET</x:v>
      </x:c>
      <x:c r="C517" s="187"/>
      <x:c r="D517" s="217" t="n">
        <x:v>46266</x:v>
      </x:c>
      <x:c r="E517" s="187" t="str">
        <x:v>R_GB_DE_A_ROAD</x:v>
      </x:c>
      <x:c r="F517" s="187" t="str">
        <x:v>GB</x:v>
      </x:c>
      <x:c r="G517" s="187" t="str">
        <x:v>DE_FC</x:v>
      </x:c>
      <x:c r="H517" s="187" t="str">
        <x:v>CARRIER_A</x:v>
      </x:c>
      <x:c r="I517" s="187" t="str">
        <x:v>ROAD</x:v>
      </x:c>
      <x:c r="J517" s="187" t="str">
        <x:v>WAREHOUSE_OPERATION</x:v>
      </x:c>
      <x:c r="K517" s="187" t="str">
        <x:v>EUR</x:v>
      </x:c>
      <x:c r="L517" s="232" t="n">
        <x:v>3652.1472</x:v>
      </x:c>
      <x:c r="M517" s="232" t="n">
        <x:v>7.8</x:v>
      </x:c>
      <x:c r="N517" s="187" t="str">
        <x:v>28486.7481600000</x:v>
      </x:c>
      <x:c r="O517" s="235" t="n">
        <x:v>28486.7482</x:v>
      </x:c>
      <x:c r="P517" s="235"/>
      <x:c r="Q517" s="235"/>
      <x:c r="R517" s="235" t="str">
        <x:v>INVOICE_OR_PLAN</x:v>
      </x:c>
      <x:c r="S517" s="238" t="n">
        <x:f>'Model_Calc'!AL90</x:f>
        <x:v>28486.74816</x:v>
      </x:c>
      <x:c r="T517" s="238" t="n">
        <x:f>ROUND(S517-O517,4)</x:f>
        <x:v>0</x:v>
      </x:c>
    </x:row>
    <x:row r="518">
      <x:c r="A518" s="187" t="str">
        <x:v>BUDGET_2026_V1</x:v>
      </x:c>
      <x:c r="B518" s="187" t="str">
        <x:v>BUDGET</x:v>
      </x:c>
      <x:c r="C518" s="187"/>
      <x:c r="D518" s="217" t="n">
        <x:v>46266</x:v>
      </x:c>
      <x:c r="E518" s="187" t="str">
        <x:v>R_GB_DE_A_ROAD</x:v>
      </x:c>
      <x:c r="F518" s="187" t="str">
        <x:v>GB</x:v>
      </x:c>
      <x:c r="G518" s="187" t="str">
        <x:v>DE_FC</x:v>
      </x:c>
      <x:c r="H518" s="187" t="str">
        <x:v>CARRIER_A</x:v>
      </x:c>
      <x:c r="I518" s="187" t="str">
        <x:v>ROAD</x:v>
      </x:c>
      <x:c r="J518" s="187" t="str">
        <x:v>PACKAGING</x:v>
      </x:c>
      <x:c r="K518" s="187" t="str">
        <x:v>EUR</x:v>
      </x:c>
      <x:c r="L518" s="232" t="n">
        <x:v>1455.906816</x:v>
      </x:c>
      <x:c r="M518" s="232" t="n">
        <x:v>7.8</x:v>
      </x:c>
      <x:c r="N518" s="187" t="str">
        <x:v>11356.073164800000</x:v>
      </x:c>
      <x:c r="O518" s="235" t="n">
        <x:v>11356.0732</x:v>
      </x:c>
      <x:c r="P518" s="235"/>
      <x:c r="Q518" s="235"/>
      <x:c r="R518" s="235" t="str">
        <x:v>INVOICE_OR_PLAN</x:v>
      </x:c>
      <x:c r="S518" s="238" t="n">
        <x:f>'Model_Calc'!AQ90</x:f>
        <x:v>11356.0731648</x:v>
      </x:c>
      <x:c r="T518" s="238" t="n">
        <x:f>ROUND(S518-O518,4)</x:f>
        <x:v>0</x:v>
      </x:c>
    </x:row>
    <x:row r="519">
      <x:c r="A519" s="187" t="str">
        <x:v>BUDGET_2026_V1</x:v>
      </x:c>
      <x:c r="B519" s="187" t="str">
        <x:v>BUDGET</x:v>
      </x:c>
      <x:c r="C519" s="187"/>
      <x:c r="D519" s="217" t="n">
        <x:v>46266</x:v>
      </x:c>
      <x:c r="E519" s="187" t="str">
        <x:v>R_GB_DE_A_ROAD</x:v>
      </x:c>
      <x:c r="F519" s="187" t="str">
        <x:v>GB</x:v>
      </x:c>
      <x:c r="G519" s="187" t="str">
        <x:v>DE_FC</x:v>
      </x:c>
      <x:c r="H519" s="187" t="str">
        <x:v>CARRIER_A</x:v>
      </x:c>
      <x:c r="I519" s="187" t="str">
        <x:v>ROAD</x:v>
      </x:c>
      <x:c r="J519" s="187" t="str">
        <x:v>RETURN_LOGISTICS</x:v>
      </x:c>
      <x:c r="K519" s="187" t="str">
        <x:v>GBP</x:v>
      </x:c>
      <x:c r="L519" s="232" t="n">
        <x:v>1188.49536</x:v>
      </x:c>
      <x:c r="M519" s="232" t="n">
        <x:v>9</x:v>
      </x:c>
      <x:c r="N519" s="187" t="str">
        <x:v>10696.4582400000000</x:v>
      </x:c>
      <x:c r="O519" s="235" t="n">
        <x:v>10696.4582</x:v>
      </x:c>
      <x:c r="P519" s="235"/>
      <x:c r="Q519" s="235"/>
      <x:c r="R519" s="235" t="str">
        <x:v>INVOICE_OR_PLAN</x:v>
      </x:c>
      <x:c r="S519" s="238" t="n">
        <x:f>'Model_Calc'!AV90</x:f>
        <x:v>10696.458240000002</x:v>
      </x:c>
      <x:c r="T519" s="238" t="n">
        <x:f>ROUND(S519-O519,4)</x:f>
        <x:v>0</x:v>
      </x:c>
    </x:row>
    <x:row r="520">
      <x:c r="A520" s="187" t="str">
        <x:v>BUDGET_2026_V1</x:v>
      </x:c>
      <x:c r="B520" s="187" t="str">
        <x:v>BUDGET</x:v>
      </x:c>
      <x:c r="C520" s="187"/>
      <x:c r="D520" s="217" t="n">
        <x:v>46266</x:v>
      </x:c>
      <x:c r="E520" s="187" t="str">
        <x:v>R_GB_DE_A_ROAD</x:v>
      </x:c>
      <x:c r="F520" s="187" t="str">
        <x:v>GB</x:v>
      </x:c>
      <x:c r="G520" s="187" t="str">
        <x:v>DE_FC</x:v>
      </x:c>
      <x:c r="H520" s="187" t="str">
        <x:v>CARRIER_A</x:v>
      </x:c>
      <x:c r="I520" s="187" t="str">
        <x:v>ROAD</x:v>
      </x:c>
      <x:c r="J520" s="187" t="str">
        <x:v>BILLABLE_EXCEPTION</x:v>
      </x:c>
      <x:c r="K520" s="187" t="str">
        <x:v>GBP</x:v>
      </x:c>
      <x:c r="L520" s="232" t="n">
        <x:v>175.40210688</x:v>
      </x:c>
      <x:c r="M520" s="232" t="n">
        <x:v>9</x:v>
      </x:c>
      <x:c r="N520" s="187" t="str">
        <x:v>1578.618961920000000</x:v>
      </x:c>
      <x:c r="O520" s="235" t="n">
        <x:v>1578.619</x:v>
      </x:c>
      <x:c r="P520" s="235"/>
      <x:c r="Q520" s="235"/>
      <x:c r="R520" s="235" t="str">
        <x:v>INVOICE_OR_PLAN</x:v>
      </x:c>
      <x:c r="S520" s="238" t="n">
        <x:f>'Model_Calc'!BA90</x:f>
        <x:v>1578.61896192</x:v>
      </x:c>
      <x:c r="T520" s="238" t="n">
        <x:f>ROUND(S520-O520,4)</x:f>
        <x:v>0</x:v>
      </x:c>
    </x:row>
    <x:row r="521">
      <x:c r="A521" s="187" t="str">
        <x:v>BUDGET_2026_V1</x:v>
      </x:c>
      <x:c r="B521" s="187" t="str">
        <x:v>BUDGET</x:v>
      </x:c>
      <x:c r="C521" s="187"/>
      <x:c r="D521" s="217" t="n">
        <x:v>46266</x:v>
      </x:c>
      <x:c r="E521" s="187" t="str">
        <x:v>R_GB_DE_B_ROAD</x:v>
      </x:c>
      <x:c r="F521" s="187" t="str">
        <x:v>GB</x:v>
      </x:c>
      <x:c r="G521" s="187" t="str">
        <x:v>DE_FC</x:v>
      </x:c>
      <x:c r="H521" s="187" t="str">
        <x:v>CARRIER_B</x:v>
      </x:c>
      <x:c r="I521" s="187" t="str">
        <x:v>ROAD</x:v>
      </x:c>
      <x:c r="J521" s="187" t="str">
        <x:v>BASE_FREIGHT</x:v>
      </x:c>
      <x:c r="K521" s="187" t="str">
        <x:v>GBP</x:v>
      </x:c>
      <x:c r="L521" s="232" t="n">
        <x:v>6266.2656</x:v>
      </x:c>
      <x:c r="M521" s="232" t="n">
        <x:v>9</x:v>
      </x:c>
      <x:c r="N521" s="187" t="str">
        <x:v>56396.39040000000000</x:v>
      </x:c>
      <x:c r="O521" s="235" t="n">
        <x:v>56396.3904</x:v>
      </x:c>
      <x:c r="P521" s="235"/>
      <x:c r="Q521" s="235"/>
      <x:c r="R521" s="235" t="str">
        <x:v>INVOICE_OR_PLAN</x:v>
      </x:c>
      <x:c r="S521" s="238" t="n">
        <x:f>'Model_Calc'!AF91</x:f>
        <x:v>56396.390400000004</x:v>
      </x:c>
      <x:c r="T521" s="238" t="n">
        <x:f>ROUND(S521-O521,4)</x:f>
        <x:v>0</x:v>
      </x:c>
    </x:row>
    <x:row r="522">
      <x:c r="A522" s="187" t="str">
        <x:v>BUDGET_2026_V1</x:v>
      </x:c>
      <x:c r="B522" s="187" t="str">
        <x:v>BUDGET</x:v>
      </x:c>
      <x:c r="C522" s="187"/>
      <x:c r="D522" s="217" t="n">
        <x:v>46266</x:v>
      </x:c>
      <x:c r="E522" s="187" t="str">
        <x:v>R_GB_DE_B_ROAD</x:v>
      </x:c>
      <x:c r="F522" s="187" t="str">
        <x:v>GB</x:v>
      </x:c>
      <x:c r="G522" s="187" t="str">
        <x:v>DE_FC</x:v>
      </x:c>
      <x:c r="H522" s="187" t="str">
        <x:v>CARRIER_B</x:v>
      </x:c>
      <x:c r="I522" s="187" t="str">
        <x:v>ROAD</x:v>
      </x:c>
      <x:c r="J522" s="187" t="str">
        <x:v>FUEL_SURCHARGE</x:v>
      </x:c>
      <x:c r="K522" s="187" t="str">
        <x:v>GBP</x:v>
      </x:c>
      <x:c r="L522" s="232" t="n">
        <x:v>439.97184</x:v>
      </x:c>
      <x:c r="M522" s="232" t="n">
        <x:v>9</x:v>
      </x:c>
      <x:c r="N522" s="187" t="str">
        <x:v>3959.74656000000000</x:v>
      </x:c>
      <x:c r="O522" s="235" t="n">
        <x:v>3959.7466</x:v>
      </x:c>
      <x:c r="P522" s="235"/>
      <x:c r="Q522" s="235"/>
      <x:c r="R522" s="235" t="str">
        <x:v>INVOICE_OR_PLAN</x:v>
      </x:c>
      <x:c r="S522" s="238" t="n">
        <x:f>'Model_Calc'!AG91</x:f>
        <x:v>3959.7465600000005</x:v>
      </x:c>
      <x:c r="T522" s="238" t="n">
        <x:f>ROUND(S522-O522,4)</x:f>
        <x:v>0</x:v>
      </x:c>
    </x:row>
    <x:row r="523">
      <x:c r="A523" s="187" t="str">
        <x:v>BUDGET_2026_V1</x:v>
      </x:c>
      <x:c r="B523" s="187" t="str">
        <x:v>BUDGET</x:v>
      </x:c>
      <x:c r="C523" s="187"/>
      <x:c r="D523" s="217" t="n">
        <x:v>46266</x:v>
      </x:c>
      <x:c r="E523" s="187" t="str">
        <x:v>R_GB_DE_B_ROAD</x:v>
      </x:c>
      <x:c r="F523" s="187" t="str">
        <x:v>GB</x:v>
      </x:c>
      <x:c r="G523" s="187" t="str">
        <x:v>DE_FC</x:v>
      </x:c>
      <x:c r="H523" s="187" t="str">
        <x:v>CARRIER_B</x:v>
      </x:c>
      <x:c r="I523" s="187" t="str">
        <x:v>ROAD</x:v>
      </x:c>
      <x:c r="J523" s="187" t="str">
        <x:v>WAREHOUSE_OPERATION</x:v>
      </x:c>
      <x:c r="K523" s="187" t="str">
        <x:v>EUR</x:v>
      </x:c>
      <x:c r="L523" s="232" t="n">
        <x:v>1404.672</x:v>
      </x:c>
      <x:c r="M523" s="232" t="n">
        <x:v>7.8</x:v>
      </x:c>
      <x:c r="N523" s="187" t="str">
        <x:v>10956.4416000000</x:v>
      </x:c>
      <x:c r="O523" s="235" t="n">
        <x:v>10956.4416</x:v>
      </x:c>
      <x:c r="P523" s="235"/>
      <x:c r="Q523" s="235"/>
      <x:c r="R523" s="235" t="str">
        <x:v>INVOICE_OR_PLAN</x:v>
      </x:c>
      <x:c r="S523" s="238" t="n">
        <x:f>'Model_Calc'!AL91</x:f>
        <x:v>10956.441599999998</x:v>
      </x:c>
      <x:c r="T523" s="238" t="n">
        <x:f>ROUND(S523-O523,4)</x:f>
        <x:v>0</x:v>
      </x:c>
    </x:row>
    <x:row r="524">
      <x:c r="A524" s="187" t="str">
        <x:v>BUDGET_2026_V1</x:v>
      </x:c>
      <x:c r="B524" s="187" t="str">
        <x:v>BUDGET</x:v>
      </x:c>
      <x:c r="C524" s="187"/>
      <x:c r="D524" s="217" t="n">
        <x:v>46266</x:v>
      </x:c>
      <x:c r="E524" s="187" t="str">
        <x:v>R_GB_DE_B_ROAD</x:v>
      </x:c>
      <x:c r="F524" s="187" t="str">
        <x:v>GB</x:v>
      </x:c>
      <x:c r="G524" s="187" t="str">
        <x:v>DE_FC</x:v>
      </x:c>
      <x:c r="H524" s="187" t="str">
        <x:v>CARRIER_B</x:v>
      </x:c>
      <x:c r="I524" s="187" t="str">
        <x:v>ROAD</x:v>
      </x:c>
      <x:c r="J524" s="187" t="str">
        <x:v>PACKAGING</x:v>
      </x:c>
      <x:c r="K524" s="187" t="str">
        <x:v>EUR</x:v>
      </x:c>
      <x:c r="L524" s="232" t="n">
        <x:v>559.96416</x:v>
      </x:c>
      <x:c r="M524" s="232" t="n">
        <x:v>7.8</x:v>
      </x:c>
      <x:c r="N524" s="187" t="str">
        <x:v>4367.720448000000</x:v>
      </x:c>
      <x:c r="O524" s="235" t="n">
        <x:v>4367.7204</x:v>
      </x:c>
      <x:c r="P524" s="235"/>
      <x:c r="Q524" s="235"/>
      <x:c r="R524" s="235" t="str">
        <x:v>INVOICE_OR_PLAN</x:v>
      </x:c>
      <x:c r="S524" s="238" t="n">
        <x:f>'Model_Calc'!AQ91</x:f>
        <x:v>4367.720448</x:v>
      </x:c>
      <x:c r="T524" s="238" t="n">
        <x:f>ROUND(S524-O524,4)</x:f>
        <x:v>0</x:v>
      </x:c>
    </x:row>
    <x:row r="525">
      <x:c r="A525" s="187" t="str">
        <x:v>BUDGET_2026_V1</x:v>
      </x:c>
      <x:c r="B525" s="187" t="str">
        <x:v>BUDGET</x:v>
      </x:c>
      <x:c r="C525" s="187"/>
      <x:c r="D525" s="217" t="n">
        <x:v>46266</x:v>
      </x:c>
      <x:c r="E525" s="187" t="str">
        <x:v>R_GB_DE_B_ROAD</x:v>
      </x:c>
      <x:c r="F525" s="187" t="str">
        <x:v>GB</x:v>
      </x:c>
      <x:c r="G525" s="187" t="str">
        <x:v>DE_FC</x:v>
      </x:c>
      <x:c r="H525" s="187" t="str">
        <x:v>CARRIER_B</x:v>
      </x:c>
      <x:c r="I525" s="187" t="str">
        <x:v>ROAD</x:v>
      </x:c>
      <x:c r="J525" s="187" t="str">
        <x:v>RETURN_LOGISTICS</x:v>
      </x:c>
      <x:c r="K525" s="187" t="str">
        <x:v>GBP</x:v>
      </x:c>
      <x:c r="L525" s="232" t="n">
        <x:v>457.1136</x:v>
      </x:c>
      <x:c r="M525" s="232" t="n">
        <x:v>9</x:v>
      </x:c>
      <x:c r="N525" s="187" t="str">
        <x:v>4114.0224000000000</x:v>
      </x:c>
      <x:c r="O525" s="235" t="n">
        <x:v>4114.0224</x:v>
      </x:c>
      <x:c r="P525" s="235"/>
      <x:c r="Q525" s="235"/>
      <x:c r="R525" s="235" t="str">
        <x:v>INVOICE_OR_PLAN</x:v>
      </x:c>
      <x:c r="S525" s="238" t="n">
        <x:f>'Model_Calc'!AV91</x:f>
        <x:v>4114.022399999999</x:v>
      </x:c>
      <x:c r="T525" s="238" t="n">
        <x:f>ROUND(S525-O525,4)</x:f>
        <x:v>0</x:v>
      </x:c>
    </x:row>
    <x:row r="526">
      <x:c r="A526" s="187" t="str">
        <x:v>BUDGET_2026_V1</x:v>
      </x:c>
      <x:c r="B526" s="187" t="str">
        <x:v>BUDGET</x:v>
      </x:c>
      <x:c r="C526" s="187"/>
      <x:c r="D526" s="217" t="n">
        <x:v>46266</x:v>
      </x:c>
      <x:c r="E526" s="187" t="str">
        <x:v>R_GB_DE_B_ROAD</x:v>
      </x:c>
      <x:c r="F526" s="187" t="str">
        <x:v>GB</x:v>
      </x:c>
      <x:c r="G526" s="187" t="str">
        <x:v>DE_FC</x:v>
      </x:c>
      <x:c r="H526" s="187" t="str">
        <x:v>CARRIER_B</x:v>
      </x:c>
      <x:c r="I526" s="187" t="str">
        <x:v>ROAD</x:v>
      </x:c>
      <x:c r="J526" s="187" t="str">
        <x:v>BILLABLE_EXCEPTION</x:v>
      </x:c>
      <x:c r="K526" s="187" t="str">
        <x:v>GBP</x:v>
      </x:c>
      <x:c r="L526" s="232" t="n">
        <x:v>52.1299968</x:v>
      </x:c>
      <x:c r="M526" s="232" t="n">
        <x:v>9</x:v>
      </x:c>
      <x:c r="N526" s="187" t="str">
        <x:v>469.169971200000000</x:v>
      </x:c>
      <x:c r="O526" s="235" t="n">
        <x:v>469.17</x:v>
      </x:c>
      <x:c r="P526" s="235"/>
      <x:c r="Q526" s="235"/>
      <x:c r="R526" s="235" t="str">
        <x:v>INVOICE_OR_PLAN</x:v>
      </x:c>
      <x:c r="S526" s="238" t="n">
        <x:f>'Model_Calc'!BA91</x:f>
        <x:v>469.1699712</x:v>
      </x:c>
      <x:c r="T526" s="238" t="n">
        <x:f>ROUND(S526-O526,4)</x:f>
        <x:v>0</x:v>
      </x:c>
    </x:row>
    <x:row r="527">
      <x:c r="A527" s="187" t="str">
        <x:v>BUDGET_2026_V1</x:v>
      </x:c>
      <x:c r="B527" s="187" t="str">
        <x:v>BUDGET</x:v>
      </x:c>
      <x:c r="C527" s="187"/>
      <x:c r="D527" s="217" t="n">
        <x:v>46266</x:v>
      </x:c>
      <x:c r="E527" s="187" t="str">
        <x:v>R_GB_DE_B_AIR</x:v>
      </x:c>
      <x:c r="F527" s="187" t="str">
        <x:v>GB</x:v>
      </x:c>
      <x:c r="G527" s="187" t="str">
        <x:v>DE_FC</x:v>
      </x:c>
      <x:c r="H527" s="187" t="str">
        <x:v>CARRIER_B</x:v>
      </x:c>
      <x:c r="I527" s="187" t="str">
        <x:v>AIR</x:v>
      </x:c>
      <x:c r="J527" s="187" t="str">
        <x:v>BASE_FREIGHT</x:v>
      </x:c>
      <x:c r="K527" s="187" t="str">
        <x:v>GBP</x:v>
      </x:c>
      <x:c r="L527" s="232" t="n">
        <x:v>2175.64741632</x:v>
      </x:c>
      <x:c r="M527" s="232" t="n">
        <x:v>9</x:v>
      </x:c>
      <x:c r="N527" s="187" t="str">
        <x:v>19580.82674688000000</x:v>
      </x:c>
      <x:c r="O527" s="235" t="n">
        <x:v>19580.8267</x:v>
      </x:c>
      <x:c r="P527" s="235"/>
      <x:c r="Q527" s="235"/>
      <x:c r="R527" s="235" t="str">
        <x:v>INVOICE_OR_PLAN</x:v>
      </x:c>
      <x:c r="S527" s="238" t="n">
        <x:f>'Model_Calc'!AF92</x:f>
        <x:v>19580.82674688</x:v>
      </x:c>
      <x:c r="T527" s="238" t="n">
        <x:f>ROUND(S527-O527,4)</x:f>
        <x:v>0</x:v>
      </x:c>
    </x:row>
    <x:row r="528">
      <x:c r="A528" s="187" t="str">
        <x:v>BUDGET_2026_V1</x:v>
      </x:c>
      <x:c r="B528" s="187" t="str">
        <x:v>BUDGET</x:v>
      </x:c>
      <x:c r="C528" s="187"/>
      <x:c r="D528" s="217" t="n">
        <x:v>46266</x:v>
      </x:c>
      <x:c r="E528" s="187" t="str">
        <x:v>R_GB_DE_B_AIR</x:v>
      </x:c>
      <x:c r="F528" s="187" t="str">
        <x:v>GB</x:v>
      </x:c>
      <x:c r="G528" s="187" t="str">
        <x:v>DE_FC</x:v>
      </x:c>
      <x:c r="H528" s="187" t="str">
        <x:v>CARRIER_B</x:v>
      </x:c>
      <x:c r="I528" s="187" t="str">
        <x:v>AIR</x:v>
      </x:c>
      <x:c r="J528" s="187" t="str">
        <x:v>FUEL_SURCHARGE</x:v>
      </x:c>
      <x:c r="K528" s="187" t="str">
        <x:v>GBP</x:v>
      </x:c>
      <x:c r="L528" s="232" t="n">
        <x:v>250.1994528768</x:v>
      </x:c>
      <x:c r="M528" s="232" t="n">
        <x:v>9</x:v>
      </x:c>
      <x:c r="N528" s="187" t="str">
        <x:v>2251.79507589120000000</x:v>
      </x:c>
      <x:c r="O528" s="235" t="n">
        <x:v>2251.7951</x:v>
      </x:c>
      <x:c r="P528" s="235"/>
      <x:c r="Q528" s="235"/>
      <x:c r="R528" s="235" t="str">
        <x:v>INVOICE_OR_PLAN</x:v>
      </x:c>
      <x:c r="S528" s="238" t="n">
        <x:f>'Model_Calc'!AG92</x:f>
        <x:v>2251.7950758912</x:v>
      </x:c>
      <x:c r="T528" s="238" t="n">
        <x:f>ROUND(S528-O528,4)</x:f>
        <x:v>0</x:v>
      </x:c>
    </x:row>
    <x:row r="529">
      <x:c r="A529" s="187" t="str">
        <x:v>BUDGET_2026_V1</x:v>
      </x:c>
      <x:c r="B529" s="187" t="str">
        <x:v>BUDGET</x:v>
      </x:c>
      <x:c r="C529" s="187"/>
      <x:c r="D529" s="217" t="n">
        <x:v>46266</x:v>
      </x:c>
      <x:c r="E529" s="187" t="str">
        <x:v>R_GB_DE_B_AIR</x:v>
      </x:c>
      <x:c r="F529" s="187" t="str">
        <x:v>GB</x:v>
      </x:c>
      <x:c r="G529" s="187" t="str">
        <x:v>DE_FC</x:v>
      </x:c>
      <x:c r="H529" s="187" t="str">
        <x:v>CARRIER_B</x:v>
      </x:c>
      <x:c r="I529" s="187" t="str">
        <x:v>AIR</x:v>
      </x:c>
      <x:c r="J529" s="187" t="str">
        <x:v>WAREHOUSE_OPERATION</x:v>
      </x:c>
      <x:c r="K529" s="187" t="str">
        <x:v>EUR</x:v>
      </x:c>
      <x:c r="L529" s="232" t="n">
        <x:v>393.30816</x:v>
      </x:c>
      <x:c r="M529" s="232" t="n">
        <x:v>7.8</x:v>
      </x:c>
      <x:c r="N529" s="187" t="str">
        <x:v>3067.8036480000</x:v>
      </x:c>
      <x:c r="O529" s="235" t="n">
        <x:v>3067.8036</x:v>
      </x:c>
      <x:c r="P529" s="235"/>
      <x:c r="Q529" s="235"/>
      <x:c r="R529" s="235" t="str">
        <x:v>INVOICE_OR_PLAN</x:v>
      </x:c>
      <x:c r="S529" s="238" t="n">
        <x:f>'Model_Calc'!AL92</x:f>
        <x:v>3067.8036479999996</x:v>
      </x:c>
      <x:c r="T529" s="238" t="n">
        <x:f>ROUND(S529-O529,4)</x:f>
        <x:v>0</x:v>
      </x:c>
    </x:row>
    <x:row r="530">
      <x:c r="A530" s="187" t="str">
        <x:v>BUDGET_2026_V1</x:v>
      </x:c>
      <x:c r="B530" s="187" t="str">
        <x:v>BUDGET</x:v>
      </x:c>
      <x:c r="C530" s="187"/>
      <x:c r="D530" s="217" t="n">
        <x:v>46266</x:v>
      </x:c>
      <x:c r="E530" s="187" t="str">
        <x:v>R_GB_DE_B_AIR</x:v>
      </x:c>
      <x:c r="F530" s="187" t="str">
        <x:v>GB</x:v>
      </x:c>
      <x:c r="G530" s="187" t="str">
        <x:v>DE_FC</x:v>
      </x:c>
      <x:c r="H530" s="187" t="str">
        <x:v>CARRIER_B</x:v>
      </x:c>
      <x:c r="I530" s="187" t="str">
        <x:v>AIR</x:v>
      </x:c>
      <x:c r="J530" s="187" t="str">
        <x:v>PACKAGING</x:v>
      </x:c>
      <x:c r="K530" s="187" t="str">
        <x:v>EUR</x:v>
      </x:c>
      <x:c r="L530" s="232" t="n">
        <x:v>156.7899648</x:v>
      </x:c>
      <x:c r="M530" s="232" t="n">
        <x:v>7.8</x:v>
      </x:c>
      <x:c r="N530" s="187" t="str">
        <x:v>1222.961725440000</x:v>
      </x:c>
      <x:c r="O530" s="235" t="n">
        <x:v>1222.9617</x:v>
      </x:c>
      <x:c r="P530" s="235"/>
      <x:c r="Q530" s="235"/>
      <x:c r="R530" s="235" t="str">
        <x:v>INVOICE_OR_PLAN</x:v>
      </x:c>
      <x:c r="S530" s="238" t="n">
        <x:f>'Model_Calc'!AQ92</x:f>
        <x:v>1222.96172544</x:v>
      </x:c>
      <x:c r="T530" s="238" t="n">
        <x:f>ROUND(S530-O530,4)</x:f>
        <x:v>0</x:v>
      </x:c>
    </x:row>
    <x:row r="531">
      <x:c r="A531" s="187" t="str">
        <x:v>BUDGET_2026_V1</x:v>
      </x:c>
      <x:c r="B531" s="187" t="str">
        <x:v>BUDGET</x:v>
      </x:c>
      <x:c r="C531" s="187"/>
      <x:c r="D531" s="217" t="n">
        <x:v>46266</x:v>
      </x:c>
      <x:c r="E531" s="187" t="str">
        <x:v>R_GB_DE_B_AIR</x:v>
      </x:c>
      <x:c r="F531" s="187" t="str">
        <x:v>GB</x:v>
      </x:c>
      <x:c r="G531" s="187" t="str">
        <x:v>DE_FC</x:v>
      </x:c>
      <x:c r="H531" s="187" t="str">
        <x:v>CARRIER_B</x:v>
      </x:c>
      <x:c r="I531" s="187" t="str">
        <x:v>AIR</x:v>
      </x:c>
      <x:c r="J531" s="187" t="str">
        <x:v>RETURN_LOGISTICS</x:v>
      </x:c>
      <x:c r="K531" s="187" t="str">
        <x:v>GBP</x:v>
      </x:c>
      <x:c r="L531" s="232" t="n">
        <x:v>127.991808</x:v>
      </x:c>
      <x:c r="M531" s="232" t="n">
        <x:v>9</x:v>
      </x:c>
      <x:c r="N531" s="187" t="str">
        <x:v>1151.9262720000000</x:v>
      </x:c>
      <x:c r="O531" s="235" t="n">
        <x:v>1151.9263</x:v>
      </x:c>
      <x:c r="P531" s="235"/>
      <x:c r="Q531" s="235"/>
      <x:c r="R531" s="235" t="str">
        <x:v>INVOICE_OR_PLAN</x:v>
      </x:c>
      <x:c r="S531" s="238" t="n">
        <x:f>'Model_Calc'!AV92</x:f>
        <x:v>1151.926272</x:v>
      </x:c>
      <x:c r="T531" s="238" t="n">
        <x:f>ROUND(S531-O531,4)</x:f>
        <x:v>0</x:v>
      </x:c>
    </x:row>
    <x:row r="532">
      <x:c r="A532" s="187" t="str">
        <x:v>BUDGET_2026_V1</x:v>
      </x:c>
      <x:c r="B532" s="187" t="str">
        <x:v>BUDGET</x:v>
      </x:c>
      <x:c r="C532" s="187"/>
      <x:c r="D532" s="217" t="n">
        <x:v>46266</x:v>
      </x:c>
      <x:c r="E532" s="187" t="str">
        <x:v>R_GB_DE_B_AIR</x:v>
      </x:c>
      <x:c r="F532" s="187" t="str">
        <x:v>GB</x:v>
      </x:c>
      <x:c r="G532" s="187" t="str">
        <x:v>DE_FC</x:v>
      </x:c>
      <x:c r="H532" s="187" t="str">
        <x:v>CARRIER_B</x:v>
      </x:c>
      <x:c r="I532" s="187" t="str">
        <x:v>AIR</x:v>
      </x:c>
      <x:c r="J532" s="187" t="str">
        <x:v>BILLABLE_EXCEPTION</x:v>
      </x:c>
      <x:c r="K532" s="187" t="str">
        <x:v>GBP</x:v>
      </x:c>
      <x:c r="L532" s="232" t="n">
        <x:v>13.588463616</x:v>
      </x:c>
      <x:c r="M532" s="232" t="n">
        <x:v>9</x:v>
      </x:c>
      <x:c r="N532" s="187" t="str">
        <x:v>122.296172544000000</x:v>
      </x:c>
      <x:c r="O532" s="235" t="n">
        <x:v>122.2962</x:v>
      </x:c>
      <x:c r="P532" s="235"/>
      <x:c r="Q532" s="235"/>
      <x:c r="R532" s="235" t="str">
        <x:v>INVOICE_OR_PLAN</x:v>
      </x:c>
      <x:c r="S532" s="238" t="n">
        <x:f>'Model_Calc'!BA92</x:f>
        <x:v>122.296172544</x:v>
      </x:c>
      <x:c r="T532" s="238" t="n">
        <x:f>ROUND(S532-O532,4)</x:f>
        <x:v>0</x:v>
      </x:c>
    </x:row>
    <x:row r="533">
      <x:c r="A533" s="187" t="str">
        <x:v>BUDGET_2026_V1</x:v>
      </x:c>
      <x:c r="B533" s="187" t="str">
        <x:v>BUDGET</x:v>
      </x:c>
      <x:c r="C533" s="187"/>
      <x:c r="D533" s="217" t="n">
        <x:v>46266</x:v>
      </x:c>
      <x:c r="E533" s="187" t="str">
        <x:v>R_GB_DE_C_AIR</x:v>
      </x:c>
      <x:c r="F533" s="187" t="str">
        <x:v>GB</x:v>
      </x:c>
      <x:c r="G533" s="187" t="str">
        <x:v>DE_FC</x:v>
      </x:c>
      <x:c r="H533" s="187" t="str">
        <x:v>CARRIER_C</x:v>
      </x:c>
      <x:c r="I533" s="187" t="str">
        <x:v>AIR</x:v>
      </x:c>
      <x:c r="J533" s="187" t="str">
        <x:v>BASE_FREIGHT</x:v>
      </x:c>
      <x:c r="K533" s="187" t="str">
        <x:v>GBP</x:v>
      </x:c>
      <x:c r="L533" s="232" t="n">
        <x:v>1103.929344</x:v>
      </x:c>
      <x:c r="M533" s="232" t="n">
        <x:v>9</x:v>
      </x:c>
      <x:c r="N533" s="187" t="str">
        <x:v>9935.36409600000000</x:v>
      </x:c>
      <x:c r="O533" s="235" t="n">
        <x:v>9935.3641</x:v>
      </x:c>
      <x:c r="P533" s="235"/>
      <x:c r="Q533" s="235"/>
      <x:c r="R533" s="235" t="str">
        <x:v>INVOICE_OR_PLAN</x:v>
      </x:c>
      <x:c r="S533" s="238" t="n">
        <x:f>'Model_Calc'!AF93</x:f>
        <x:v>9935.364096000001</x:v>
      </x:c>
      <x:c r="T533" s="238" t="n">
        <x:f>ROUND(S533-O533,4)</x:f>
        <x:v>0</x:v>
      </x:c>
    </x:row>
    <x:row r="534">
      <x:c r="A534" s="187" t="str">
        <x:v>BUDGET_2026_V1</x:v>
      </x:c>
      <x:c r="B534" s="187" t="str">
        <x:v>BUDGET</x:v>
      </x:c>
      <x:c r="C534" s="187"/>
      <x:c r="D534" s="217" t="n">
        <x:v>46266</x:v>
      </x:c>
      <x:c r="E534" s="187" t="str">
        <x:v>R_GB_DE_C_AIR</x:v>
      </x:c>
      <x:c r="F534" s="187" t="str">
        <x:v>GB</x:v>
      </x:c>
      <x:c r="G534" s="187" t="str">
        <x:v>DE_FC</x:v>
      </x:c>
      <x:c r="H534" s="187" t="str">
        <x:v>CARRIER_C</x:v>
      </x:c>
      <x:c r="I534" s="187" t="str">
        <x:v>AIR</x:v>
      </x:c>
      <x:c r="J534" s="187" t="str">
        <x:v>FUEL_SURCHARGE</x:v>
      </x:c>
      <x:c r="K534" s="187" t="str">
        <x:v>GBP</x:v>
      </x:c>
      <x:c r="L534" s="232" t="n">
        <x:v>85.370535936</x:v>
      </x:c>
      <x:c r="M534" s="232" t="n">
        <x:v>9</x:v>
      </x:c>
      <x:c r="N534" s="187" t="str">
        <x:v>768.33482342400000</x:v>
      </x:c>
      <x:c r="O534" s="235" t="n">
        <x:v>768.3348</x:v>
      </x:c>
      <x:c r="P534" s="235"/>
      <x:c r="Q534" s="235"/>
      <x:c r="R534" s="235" t="str">
        <x:v>INVOICE_OR_PLAN</x:v>
      </x:c>
      <x:c r="S534" s="238" t="n">
        <x:f>'Model_Calc'!AG93</x:f>
        <x:v>768.334823424</x:v>
      </x:c>
      <x:c r="T534" s="238" t="n">
        <x:f>ROUND(S534-O534,4)</x:f>
        <x:v>0</x:v>
      </x:c>
    </x:row>
    <x:row r="535">
      <x:c r="A535" s="187" t="str">
        <x:v>BUDGET_2026_V1</x:v>
      </x:c>
      <x:c r="B535" s="187" t="str">
        <x:v>BUDGET</x:v>
      </x:c>
      <x:c r="C535" s="187"/>
      <x:c r="D535" s="217" t="n">
        <x:v>46266</x:v>
      </x:c>
      <x:c r="E535" s="187" t="str">
        <x:v>R_GB_DE_C_AIR</x:v>
      </x:c>
      <x:c r="F535" s="187" t="str">
        <x:v>GB</x:v>
      </x:c>
      <x:c r="G535" s="187" t="str">
        <x:v>DE_FC</x:v>
      </x:c>
      <x:c r="H535" s="187" t="str">
        <x:v>CARRIER_C</x:v>
      </x:c>
      <x:c r="I535" s="187" t="str">
        <x:v>AIR</x:v>
      </x:c>
      <x:c r="J535" s="187" t="str">
        <x:v>WAREHOUSE_OPERATION</x:v>
      </x:c>
      <x:c r="K535" s="187" t="str">
        <x:v>EUR</x:v>
      </x:c>
      <x:c r="L535" s="232" t="n">
        <x:v>168.56064</x:v>
      </x:c>
      <x:c r="M535" s="232" t="n">
        <x:v>7.8</x:v>
      </x:c>
      <x:c r="N535" s="187" t="str">
        <x:v>1314.7729920000</x:v>
      </x:c>
      <x:c r="O535" s="235" t="n">
        <x:v>1314.773</x:v>
      </x:c>
      <x:c r="P535" s="235"/>
      <x:c r="Q535" s="235"/>
      <x:c r="R535" s="235" t="str">
        <x:v>INVOICE_OR_PLAN</x:v>
      </x:c>
      <x:c r="S535" s="238" t="n">
        <x:f>'Model_Calc'!AL93</x:f>
        <x:v>1314.7729919999997</x:v>
      </x:c>
      <x:c r="T535" s="238" t="n">
        <x:f>ROUND(S535-O535,4)</x:f>
        <x:v>0</x:v>
      </x:c>
    </x:row>
    <x:row r="536">
      <x:c r="A536" s="187" t="str">
        <x:v>BUDGET_2026_V1</x:v>
      </x:c>
      <x:c r="B536" s="187" t="str">
        <x:v>BUDGET</x:v>
      </x:c>
      <x:c r="C536" s="187"/>
      <x:c r="D536" s="217" t="n">
        <x:v>46266</x:v>
      </x:c>
      <x:c r="E536" s="187" t="str">
        <x:v>R_GB_DE_C_AIR</x:v>
      </x:c>
      <x:c r="F536" s="187" t="str">
        <x:v>GB</x:v>
      </x:c>
      <x:c r="G536" s="187" t="str">
        <x:v>DE_FC</x:v>
      </x:c>
      <x:c r="H536" s="187" t="str">
        <x:v>CARRIER_C</x:v>
      </x:c>
      <x:c r="I536" s="187" t="str">
        <x:v>AIR</x:v>
      </x:c>
      <x:c r="J536" s="187" t="str">
        <x:v>PACKAGING</x:v>
      </x:c>
      <x:c r="K536" s="187" t="str">
        <x:v>EUR</x:v>
      </x:c>
      <x:c r="L536" s="232" t="n">
        <x:v>67.1956992</x:v>
      </x:c>
      <x:c r="M536" s="232" t="n">
        <x:v>7.8</x:v>
      </x:c>
      <x:c r="N536" s="187" t="str">
        <x:v>524.126453760000</x:v>
      </x:c>
      <x:c r="O536" s="235" t="n">
        <x:v>524.1265</x:v>
      </x:c>
      <x:c r="P536" s="235"/>
      <x:c r="Q536" s="235"/>
      <x:c r="R536" s="235" t="str">
        <x:v>INVOICE_OR_PLAN</x:v>
      </x:c>
      <x:c r="S536" s="238" t="n">
        <x:f>'Model_Calc'!AQ93</x:f>
        <x:v>524.1264537599999</x:v>
      </x:c>
      <x:c r="T536" s="238" t="n">
        <x:f>ROUND(S536-O536,4)</x:f>
        <x:v>0</x:v>
      </x:c>
    </x:row>
    <x:row r="537">
      <x:c r="A537" s="187" t="str">
        <x:v>BUDGET_2026_V1</x:v>
      </x:c>
      <x:c r="B537" s="187" t="str">
        <x:v>BUDGET</x:v>
      </x:c>
      <x:c r="C537" s="187"/>
      <x:c r="D537" s="217" t="n">
        <x:v>46266</x:v>
      </x:c>
      <x:c r="E537" s="187" t="str">
        <x:v>R_GB_DE_C_AIR</x:v>
      </x:c>
      <x:c r="F537" s="187" t="str">
        <x:v>GB</x:v>
      </x:c>
      <x:c r="G537" s="187" t="str">
        <x:v>DE_FC</x:v>
      </x:c>
      <x:c r="H537" s="187" t="str">
        <x:v>CARRIER_C</x:v>
      </x:c>
      <x:c r="I537" s="187" t="str">
        <x:v>AIR</x:v>
      </x:c>
      <x:c r="J537" s="187" t="str">
        <x:v>RETURN_LOGISTICS</x:v>
      </x:c>
      <x:c r="K537" s="187" t="str">
        <x:v>GBP</x:v>
      </x:c>
      <x:c r="L537" s="232" t="n">
        <x:v>54.853632</x:v>
      </x:c>
      <x:c r="M537" s="232" t="n">
        <x:v>9</x:v>
      </x:c>
      <x:c r="N537" s="187" t="str">
        <x:v>493.6826880000000</x:v>
      </x:c>
      <x:c r="O537" s="235" t="n">
        <x:v>493.6827</x:v>
      </x:c>
      <x:c r="P537" s="235"/>
      <x:c r="Q537" s="235"/>
      <x:c r="R537" s="235" t="str">
        <x:v>INVOICE_OR_PLAN</x:v>
      </x:c>
      <x:c r="S537" s="238" t="n">
        <x:f>'Model_Calc'!AV93</x:f>
        <x:v>493.682688</x:v>
      </x:c>
      <x:c r="T537" s="238" t="n">
        <x:f>ROUND(S537-O537,4)</x:f>
        <x:v>0</x:v>
      </x:c>
    </x:row>
    <x:row r="538">
      <x:c r="A538" s="187" t="str">
        <x:v>BUDGET_2026_V1</x:v>
      </x:c>
      <x:c r="B538" s="187" t="str">
        <x:v>BUDGET</x:v>
      </x:c>
      <x:c r="C538" s="187"/>
      <x:c r="D538" s="217" t="n">
        <x:v>46266</x:v>
      </x:c>
      <x:c r="E538" s="187" t="str">
        <x:v>R_GB_DE_C_AIR</x:v>
      </x:c>
      <x:c r="F538" s="187" t="str">
        <x:v>GB</x:v>
      </x:c>
      <x:c r="G538" s="187" t="str">
        <x:v>DE_FC</x:v>
      </x:c>
      <x:c r="H538" s="187" t="str">
        <x:v>CARRIER_C</x:v>
      </x:c>
      <x:c r="I538" s="187" t="str">
        <x:v>AIR</x:v>
      </x:c>
      <x:c r="J538" s="187" t="str">
        <x:v>BILLABLE_EXCEPTION</x:v>
      </x:c>
      <x:c r="K538" s="187" t="str">
        <x:v>GBP</x:v>
      </x:c>
      <x:c r="L538" s="232" t="n">
        <x:v>5.183668224</x:v>
      </x:c>
      <x:c r="M538" s="232" t="n">
        <x:v>9</x:v>
      </x:c>
      <x:c r="N538" s="187" t="str">
        <x:v>46.653014016000000</x:v>
      </x:c>
      <x:c r="O538" s="235" t="n">
        <x:v>46.653</x:v>
      </x:c>
      <x:c r="P538" s="235"/>
      <x:c r="Q538" s="235"/>
      <x:c r="R538" s="235" t="str">
        <x:v>INVOICE_OR_PLAN</x:v>
      </x:c>
      <x:c r="S538" s="238" t="n">
        <x:f>'Model_Calc'!BA93</x:f>
        <x:v>46.653014016</x:v>
      </x:c>
      <x:c r="T538" s="238" t="n">
        <x:f>ROUND(S538-O538,4)</x:f>
        <x:v>0</x:v>
      </x:c>
    </x:row>
    <x:row r="539">
      <x:c r="A539" s="187" t="str">
        <x:v>BUDGET_2026_V1</x:v>
      </x:c>
      <x:c r="B539" s="187" t="str">
        <x:v>BUDGET</x:v>
      </x:c>
      <x:c r="C539" s="187"/>
      <x:c r="D539" s="217" t="n">
        <x:v>46266</x:v>
      </x:c>
      <x:c r="E539" s="187" t="str">
        <x:v>R_GB_FR_B_AIR</x:v>
      </x:c>
      <x:c r="F539" s="187" t="str">
        <x:v>GB</x:v>
      </x:c>
      <x:c r="G539" s="187" t="str">
        <x:v>FR_FC</x:v>
      </x:c>
      <x:c r="H539" s="187" t="str">
        <x:v>CARRIER_B</x:v>
      </x:c>
      <x:c r="I539" s="187" t="str">
        <x:v>AIR</x:v>
      </x:c>
      <x:c r="J539" s="187" t="str">
        <x:v>BASE_FREIGHT</x:v>
      </x:c>
      <x:c r="K539" s="187" t="str">
        <x:v>EUR</x:v>
      </x:c>
      <x:c r="L539" s="232" t="n">
        <x:v>1375.8048</x:v>
      </x:c>
      <x:c r="M539" s="232" t="n">
        <x:v>7.8</x:v>
      </x:c>
      <x:c r="N539" s="187" t="str">
        <x:v>10731.277440000000</x:v>
      </x:c>
      <x:c r="O539" s="235" t="n">
        <x:v>10731.2774</x:v>
      </x:c>
      <x:c r="P539" s="235"/>
      <x:c r="Q539" s="235"/>
      <x:c r="R539" s="235" t="str">
        <x:v>INVOICE_OR_PLAN</x:v>
      </x:c>
      <x:c r="S539" s="238" t="n">
        <x:f>'Model_Calc'!AF94</x:f>
        <x:v>10731.277439999998</x:v>
      </x:c>
      <x:c r="T539" s="238" t="n">
        <x:f>ROUND(S539-O539,4)</x:f>
        <x:v>0</x:v>
      </x:c>
    </x:row>
    <x:row r="540">
      <x:c r="A540" s="187" t="str">
        <x:v>BUDGET_2026_V1</x:v>
      </x:c>
      <x:c r="B540" s="187" t="str">
        <x:v>BUDGET</x:v>
      </x:c>
      <x:c r="C540" s="187"/>
      <x:c r="D540" s="217" t="n">
        <x:v>46266</x:v>
      </x:c>
      <x:c r="E540" s="187" t="str">
        <x:v>R_GB_FR_B_AIR</x:v>
      </x:c>
      <x:c r="F540" s="187" t="str">
        <x:v>GB</x:v>
      </x:c>
      <x:c r="G540" s="187" t="str">
        <x:v>FR_FC</x:v>
      </x:c>
      <x:c r="H540" s="187" t="str">
        <x:v>CARRIER_B</x:v>
      </x:c>
      <x:c r="I540" s="187" t="str">
        <x:v>AIR</x:v>
      </x:c>
      <x:c r="J540" s="187" t="str">
        <x:v>FUEL_SURCHARGE</x:v>
      </x:c>
      <x:c r="K540" s="187" t="str">
        <x:v>EUR</x:v>
      </x:c>
      <x:c r="L540" s="232" t="n">
        <x:v>144.459504</x:v>
      </x:c>
      <x:c r="M540" s="232" t="n">
        <x:v>7.8</x:v>
      </x:c>
      <x:c r="N540" s="187" t="str">
        <x:v>1126.784131200000000</x:v>
      </x:c>
      <x:c r="O540" s="235" t="n">
        <x:v>1126.7841</x:v>
      </x:c>
      <x:c r="P540" s="235"/>
      <x:c r="Q540" s="235"/>
      <x:c r="R540" s="235" t="str">
        <x:v>INVOICE_OR_PLAN</x:v>
      </x:c>
      <x:c r="S540" s="238" t="n">
        <x:f>'Model_Calc'!AG94</x:f>
        <x:v>1126.7841311999998</x:v>
      </x:c>
      <x:c r="T540" s="238" t="n">
        <x:f>ROUND(S540-O540,4)</x:f>
        <x:v>0</x:v>
      </x:c>
    </x:row>
    <x:row r="541">
      <x:c r="A541" s="187" t="str">
        <x:v>BUDGET_2026_V1</x:v>
      </x:c>
      <x:c r="B541" s="187" t="str">
        <x:v>BUDGET</x:v>
      </x:c>
      <x:c r="C541" s="187"/>
      <x:c r="D541" s="217" t="n">
        <x:v>46266</x:v>
      </x:c>
      <x:c r="E541" s="187" t="str">
        <x:v>R_GB_FR_B_AIR</x:v>
      </x:c>
      <x:c r="F541" s="187" t="str">
        <x:v>GB</x:v>
      </x:c>
      <x:c r="G541" s="187" t="str">
        <x:v>FR_FC</x:v>
      </x:c>
      <x:c r="H541" s="187" t="str">
        <x:v>CARRIER_B</x:v>
      </x:c>
      <x:c r="I541" s="187" t="str">
        <x:v>AIR</x:v>
      </x:c>
      <x:c r="J541" s="187" t="str">
        <x:v>WAREHOUSE_OPERATION</x:v>
      </x:c>
      <x:c r="K541" s="187" t="str">
        <x:v>EUR</x:v>
      </x:c>
      <x:c r="L541" s="232" t="n">
        <x:v>208.32</x:v>
      </x:c>
      <x:c r="M541" s="232" t="n">
        <x:v>7.8</x:v>
      </x:c>
      <x:c r="N541" s="187" t="str">
        <x:v>1624.89600000</x:v>
      </x:c>
      <x:c r="O541" s="235" t="n">
        <x:v>1624.896</x:v>
      </x:c>
      <x:c r="P541" s="235"/>
      <x:c r="Q541" s="235"/>
      <x:c r="R541" s="235" t="str">
        <x:v>INVOICE_OR_PLAN</x:v>
      </x:c>
      <x:c r="S541" s="238" t="n">
        <x:f>'Model_Calc'!AL94</x:f>
        <x:v>1624.8960000000002</x:v>
      </x:c>
      <x:c r="T541" s="238" t="n">
        <x:f>ROUND(S541-O541,4)</x:f>
        <x:v>0</x:v>
      </x:c>
    </x:row>
    <x:row r="542">
      <x:c r="A542" s="187" t="str">
        <x:v>BUDGET_2026_V1</x:v>
      </x:c>
      <x:c r="B542" s="187" t="str">
        <x:v>BUDGET</x:v>
      </x:c>
      <x:c r="C542" s="187"/>
      <x:c r="D542" s="217" t="n">
        <x:v>46266</x:v>
      </x:c>
      <x:c r="E542" s="187" t="str">
        <x:v>R_GB_FR_B_AIR</x:v>
      </x:c>
      <x:c r="F542" s="187" t="str">
        <x:v>GB</x:v>
      </x:c>
      <x:c r="G542" s="187" t="str">
        <x:v>FR_FC</x:v>
      </x:c>
      <x:c r="H542" s="187" t="str">
        <x:v>CARRIER_B</x:v>
      </x:c>
      <x:c r="I542" s="187" t="str">
        <x:v>AIR</x:v>
      </x:c>
      <x:c r="J542" s="187" t="str">
        <x:v>PACKAGING</x:v>
      </x:c>
      <x:c r="K542" s="187" t="str">
        <x:v>EUR</x:v>
      </x:c>
      <x:c r="L542" s="232" t="n">
        <x:v>86.7008</x:v>
      </x:c>
      <x:c r="M542" s="232" t="n">
        <x:v>7.8</x:v>
      </x:c>
      <x:c r="N542" s="187" t="str">
        <x:v>676.2662400000</x:v>
      </x:c>
      <x:c r="O542" s="235" t="n">
        <x:v>676.2662</x:v>
      </x:c>
      <x:c r="P542" s="235"/>
      <x:c r="Q542" s="235"/>
      <x:c r="R542" s="235" t="str">
        <x:v>INVOICE_OR_PLAN</x:v>
      </x:c>
      <x:c r="S542" s="238" t="n">
        <x:f>'Model_Calc'!AQ94</x:f>
        <x:v>676.26624</x:v>
      </x:c>
      <x:c r="T542" s="238" t="n">
        <x:f>ROUND(S542-O542,4)</x:f>
        <x:v>0</x:v>
      </x:c>
    </x:row>
    <x:row r="543">
      <x:c r="A543" s="187" t="str">
        <x:v>BUDGET_2026_V1</x:v>
      </x:c>
      <x:c r="B543" s="187" t="str">
        <x:v>BUDGET</x:v>
      </x:c>
      <x:c r="C543" s="187"/>
      <x:c r="D543" s="217" t="n">
        <x:v>46266</x:v>
      </x:c>
      <x:c r="E543" s="187" t="str">
        <x:v>R_GB_FR_B_AIR</x:v>
      </x:c>
      <x:c r="F543" s="187" t="str">
        <x:v>GB</x:v>
      </x:c>
      <x:c r="G543" s="187" t="str">
        <x:v>FR_FC</x:v>
      </x:c>
      <x:c r="H543" s="187" t="str">
        <x:v>CARRIER_B</x:v>
      </x:c>
      <x:c r="I543" s="187" t="str">
        <x:v>AIR</x:v>
      </x:c>
      <x:c r="J543" s="187" t="str">
        <x:v>RETURN_LOGISTICS</x:v>
      </x:c>
      <x:c r="K543" s="187" t="str">
        <x:v>EUR</x:v>
      </x:c>
      <x:c r="L543" s="232" t="n">
        <x:v>82.5344</x:v>
      </x:c>
      <x:c r="M543" s="232" t="n">
        <x:v>7.8</x:v>
      </x:c>
      <x:c r="N543" s="187" t="str">
        <x:v>643.76832000000</x:v>
      </x:c>
      <x:c r="O543" s="235" t="n">
        <x:v>643.7683</x:v>
      </x:c>
      <x:c r="P543" s="235"/>
      <x:c r="Q543" s="235"/>
      <x:c r="R543" s="235" t="str">
        <x:v>INVOICE_OR_PLAN</x:v>
      </x:c>
      <x:c r="S543" s="238" t="n">
        <x:f>'Model_Calc'!AV94</x:f>
        <x:v>643.76832</x:v>
      </x:c>
      <x:c r="T543" s="238" t="n">
        <x:f>ROUND(S543-O543,4)</x:f>
        <x:v>0</x:v>
      </x:c>
    </x:row>
    <x:row r="544">
      <x:c r="A544" s="187" t="str">
        <x:v>BUDGET_2026_V1</x:v>
      </x:c>
      <x:c r="B544" s="187" t="str">
        <x:v>BUDGET</x:v>
      </x:c>
      <x:c r="C544" s="187"/>
      <x:c r="D544" s="217" t="n">
        <x:v>46266</x:v>
      </x:c>
      <x:c r="E544" s="187" t="str">
        <x:v>R_GB_FR_B_AIR</x:v>
      </x:c>
      <x:c r="F544" s="187" t="str">
        <x:v>GB</x:v>
      </x:c>
      <x:c r="G544" s="187" t="str">
        <x:v>FR_FC</x:v>
      </x:c>
      <x:c r="H544" s="187" t="str">
        <x:v>CARRIER_B</x:v>
      </x:c>
      <x:c r="I544" s="187" t="str">
        <x:v>AIR</x:v>
      </x:c>
      <x:c r="J544" s="187" t="str">
        <x:v>BILLABLE_EXCEPTION</x:v>
      </x:c>
      <x:c r="K544" s="187" t="str">
        <x:v>EUR</x:v>
      </x:c>
      <x:c r="L544" s="232" t="n">
        <x:v>7.666176</x:v>
      </x:c>
      <x:c r="M544" s="232" t="n">
        <x:v>7.8</x:v>
      </x:c>
      <x:c r="N544" s="187" t="str">
        <x:v>59.7961728000000</x:v>
      </x:c>
      <x:c r="O544" s="235" t="n">
        <x:v>59.7962</x:v>
      </x:c>
      <x:c r="P544" s="235"/>
      <x:c r="Q544" s="235"/>
      <x:c r="R544" s="235" t="str">
        <x:v>INVOICE_OR_PLAN</x:v>
      </x:c>
      <x:c r="S544" s="238" t="n">
        <x:f>'Model_Calc'!BA94</x:f>
        <x:v>59.796172799999994</x:v>
      </x:c>
      <x:c r="T544" s="238" t="n">
        <x:f>ROUND(S544-O544,4)</x:f>
        <x:v>0</x:v>
      </x:c>
    </x:row>
    <x:row r="545">
      <x:c r="A545" s="187" t="str">
        <x:v>BUDGET_2026_V1</x:v>
      </x:c>
      <x:c r="B545" s="187" t="str">
        <x:v>BUDGET</x:v>
      </x:c>
      <x:c r="C545" s="187"/>
      <x:c r="D545" s="217" t="n">
        <x:v>46296</x:v>
      </x:c>
      <x:c r="E545" s="187" t="str">
        <x:v>R_DE_DE_A_ROAD</x:v>
      </x:c>
      <x:c r="F545" s="187" t="str">
        <x:v>DE</x:v>
      </x:c>
      <x:c r="G545" s="187" t="str">
        <x:v>DE_FC</x:v>
      </x:c>
      <x:c r="H545" s="187" t="str">
        <x:v>CARRIER_A</x:v>
      </x:c>
      <x:c r="I545" s="187" t="str">
        <x:v>ROAD</x:v>
      </x:c>
      <x:c r="J545" s="187" t="str">
        <x:v>BASE_FREIGHT</x:v>
      </x:c>
      <x:c r="K545" s="187" t="str">
        <x:v>EUR</x:v>
      </x:c>
      <x:c r="L545" s="232" t="n">
        <x:v>6863.18881248</x:v>
      </x:c>
      <x:c r="M545" s="232" t="n">
        <x:v>7.8</x:v>
      </x:c>
      <x:c r="N545" s="187" t="str">
        <x:v>53532.8727373440000000</x:v>
      </x:c>
      <x:c r="O545" s="235" t="n">
        <x:v>53532.8727</x:v>
      </x:c>
      <x:c r="P545" s="235"/>
      <x:c r="Q545" s="235"/>
      <x:c r="R545" s="235" t="str">
        <x:v>INVOICE_OR_PLAN</x:v>
      </x:c>
      <x:c r="S545" s="238" t="n">
        <x:f>'Model_Calc'!AF95</x:f>
        <x:v>53532.872737344</x:v>
      </x:c>
      <x:c r="T545" s="238" t="n">
        <x:f>ROUND(S545-O545,4)</x:f>
        <x:v>0</x:v>
      </x:c>
    </x:row>
    <x:row r="546">
      <x:c r="A546" s="187" t="str">
        <x:v>BUDGET_2026_V1</x:v>
      </x:c>
      <x:c r="B546" s="187" t="str">
        <x:v>BUDGET</x:v>
      </x:c>
      <x:c r="C546" s="187"/>
      <x:c r="D546" s="217" t="n">
        <x:v>46296</x:v>
      </x:c>
      <x:c r="E546" s="187" t="str">
        <x:v>R_DE_DE_A_ROAD</x:v>
      </x:c>
      <x:c r="F546" s="187" t="str">
        <x:v>DE</x:v>
      </x:c>
      <x:c r="G546" s="187" t="str">
        <x:v>DE_FC</x:v>
      </x:c>
      <x:c r="H546" s="187" t="str">
        <x:v>CARRIER_A</x:v>
      </x:c>
      <x:c r="I546" s="187" t="str">
        <x:v>ROAD</x:v>
      </x:c>
      <x:c r="J546" s="187" t="str">
        <x:v>FUEL_SURCHARGE</x:v>
      </x:c>
      <x:c r="K546" s="187" t="str">
        <x:v>EUR</x:v>
      </x:c>
      <x:c r="L546" s="232" t="n">
        <x:v>652.0029371856</x:v>
      </x:c>
      <x:c r="M546" s="232" t="n">
        <x:v>7.8</x:v>
      </x:c>
      <x:c r="N546" s="187" t="str">
        <x:v>5085.6229100476800000000</x:v>
      </x:c>
      <x:c r="O546" s="235" t="n">
        <x:v>5085.6229</x:v>
      </x:c>
      <x:c r="P546" s="235"/>
      <x:c r="Q546" s="235"/>
      <x:c r="R546" s="235" t="str">
        <x:v>INVOICE_OR_PLAN</x:v>
      </x:c>
      <x:c r="S546" s="238" t="n">
        <x:f>'Model_Calc'!AG95</x:f>
        <x:v>5085.622910047679</x:v>
      </x:c>
      <x:c r="T546" s="238" t="n">
        <x:f>ROUND(S546-O546,4)</x:f>
        <x:v>0</x:v>
      </x:c>
    </x:row>
    <x:row r="547">
      <x:c r="A547" s="187" t="str">
        <x:v>BUDGET_2026_V1</x:v>
      </x:c>
      <x:c r="B547" s="187" t="str">
        <x:v>BUDGET</x:v>
      </x:c>
      <x:c r="C547" s="187"/>
      <x:c r="D547" s="217" t="n">
        <x:v>46296</x:v>
      </x:c>
      <x:c r="E547" s="187" t="str">
        <x:v>R_DE_DE_A_ROAD</x:v>
      </x:c>
      <x:c r="F547" s="187" t="str">
        <x:v>DE</x:v>
      </x:c>
      <x:c r="G547" s="187" t="str">
        <x:v>DE_FC</x:v>
      </x:c>
      <x:c r="H547" s="187" t="str">
        <x:v>CARRIER_A</x:v>
      </x:c>
      <x:c r="I547" s="187" t="str">
        <x:v>ROAD</x:v>
      </x:c>
      <x:c r="J547" s="187" t="str">
        <x:v>WAREHOUSE_OPERATION</x:v>
      </x:c>
      <x:c r="K547" s="187" t="str">
        <x:v>EUR</x:v>
      </x:c>
      <x:c r="L547" s="232" t="n">
        <x:v>4450.2048</x:v>
      </x:c>
      <x:c r="M547" s="232" t="n">
        <x:v>7.8</x:v>
      </x:c>
      <x:c r="N547" s="187" t="str">
        <x:v>34711.5974400000</x:v>
      </x:c>
      <x:c r="O547" s="235" t="n">
        <x:v>34711.5974</x:v>
      </x:c>
      <x:c r="P547" s="235"/>
      <x:c r="Q547" s="235"/>
      <x:c r="R547" s="235" t="str">
        <x:v>INVOICE_OR_PLAN</x:v>
      </x:c>
      <x:c r="S547" s="238" t="n">
        <x:f>'Model_Calc'!AL95</x:f>
        <x:v>34711.59744</x:v>
      </x:c>
      <x:c r="T547" s="238" t="n">
        <x:f>ROUND(S547-O547,4)</x:f>
        <x:v>0</x:v>
      </x:c>
    </x:row>
    <x:row r="548">
      <x:c r="A548" s="187" t="str">
        <x:v>BUDGET_2026_V1</x:v>
      </x:c>
      <x:c r="B548" s="187" t="str">
        <x:v>BUDGET</x:v>
      </x:c>
      <x:c r="C548" s="187"/>
      <x:c r="D548" s="217" t="n">
        <x:v>46296</x:v>
      </x:c>
      <x:c r="E548" s="187" t="str">
        <x:v>R_DE_DE_A_ROAD</x:v>
      </x:c>
      <x:c r="F548" s="187" t="str">
        <x:v>DE</x:v>
      </x:c>
      <x:c r="G548" s="187" t="str">
        <x:v>DE_FC</x:v>
      </x:c>
      <x:c r="H548" s="187" t="str">
        <x:v>CARRIER_A</x:v>
      </x:c>
      <x:c r="I548" s="187" t="str">
        <x:v>ROAD</x:v>
      </x:c>
      <x:c r="J548" s="187" t="str">
        <x:v>PACKAGING</x:v>
      </x:c>
      <x:c r="K548" s="187" t="str">
        <x:v>EUR</x:v>
      </x:c>
      <x:c r="L548" s="232" t="n">
        <x:v>1663.16976</x:v>
      </x:c>
      <x:c r="M548" s="232" t="n">
        <x:v>7.8</x:v>
      </x:c>
      <x:c r="N548" s="187" t="str">
        <x:v>12972.724128000000</x:v>
      </x:c>
      <x:c r="O548" s="235" t="n">
        <x:v>12972.7241</x:v>
      </x:c>
      <x:c r="P548" s="235"/>
      <x:c r="Q548" s="235"/>
      <x:c r="R548" s="235" t="str">
        <x:v>INVOICE_OR_PLAN</x:v>
      </x:c>
      <x:c r="S548" s="238" t="n">
        <x:f>'Model_Calc'!AQ95</x:f>
        <x:v>12972.724128</x:v>
      </x:c>
      <x:c r="T548" s="238" t="n">
        <x:f>ROUND(S548-O548,4)</x:f>
        <x:v>0</x:v>
      </x:c>
    </x:row>
    <x:row r="549">
      <x:c r="A549" s="187" t="str">
        <x:v>BUDGET_2026_V1</x:v>
      </x:c>
      <x:c r="B549" s="187" t="str">
        <x:v>BUDGET</x:v>
      </x:c>
      <x:c r="C549" s="187"/>
      <x:c r="D549" s="217" t="n">
        <x:v>46296</x:v>
      </x:c>
      <x:c r="E549" s="187" t="str">
        <x:v>R_DE_DE_A_ROAD</x:v>
      </x:c>
      <x:c r="F549" s="187" t="str">
        <x:v>DE</x:v>
      </x:c>
      <x:c r="G549" s="187" t="str">
        <x:v>DE_FC</x:v>
      </x:c>
      <x:c r="H549" s="187" t="str">
        <x:v>CARRIER_A</x:v>
      </x:c>
      <x:c r="I549" s="187" t="str">
        <x:v>ROAD</x:v>
      </x:c>
      <x:c r="J549" s="187" t="str">
        <x:v>RETURN_LOGISTICS</x:v>
      </x:c>
      <x:c r="K549" s="187" t="str">
        <x:v>EUR</x:v>
      </x:c>
      <x:c r="L549" s="232" t="n">
        <x:v>603.4176</x:v>
      </x:c>
      <x:c r="M549" s="232" t="n">
        <x:v>7.8</x:v>
      </x:c>
      <x:c r="N549" s="187" t="str">
        <x:v>4706.6572800000000</x:v>
      </x:c>
      <x:c r="O549" s="235" t="n">
        <x:v>4706.6573</x:v>
      </x:c>
      <x:c r="P549" s="235"/>
      <x:c r="Q549" s="235"/>
      <x:c r="R549" s="235" t="str">
        <x:v>INVOICE_OR_PLAN</x:v>
      </x:c>
      <x:c r="S549" s="238" t="n">
        <x:f>'Model_Calc'!AV95</x:f>
        <x:v>4706.657279999999</x:v>
      </x:c>
      <x:c r="T549" s="238" t="n">
        <x:f>ROUND(S549-O549,4)</x:f>
        <x:v>0</x:v>
      </x:c>
    </x:row>
    <x:row r="550">
      <x:c r="A550" s="187" t="str">
        <x:v>BUDGET_2026_V1</x:v>
      </x:c>
      <x:c r="B550" s="187" t="str">
        <x:v>BUDGET</x:v>
      </x:c>
      <x:c r="C550" s="187"/>
      <x:c r="D550" s="217" t="n">
        <x:v>46296</x:v>
      </x:c>
      <x:c r="E550" s="187" t="str">
        <x:v>R_DE_DE_A_ROAD</x:v>
      </x:c>
      <x:c r="F550" s="187" t="str">
        <x:v>DE</x:v>
      </x:c>
      <x:c r="G550" s="187" t="str">
        <x:v>DE_FC</x:v>
      </x:c>
      <x:c r="H550" s="187" t="str">
        <x:v>CARRIER_A</x:v>
      </x:c>
      <x:c r="I550" s="187" t="str">
        <x:v>ROAD</x:v>
      </x:c>
      <x:c r="J550" s="187" t="str">
        <x:v>BILLABLE_EXCEPTION</x:v>
      </x:c>
      <x:c r="K550" s="187" t="str">
        <x:v>EUR</x:v>
      </x:c>
      <x:c r="L550" s="232" t="n">
        <x:v>145.7253504</x:v>
      </x:c>
      <x:c r="M550" s="232" t="n">
        <x:v>7.8</x:v>
      </x:c>
      <x:c r="N550" s="187" t="str">
        <x:v>1136.657733120000000</x:v>
      </x:c>
      <x:c r="O550" s="235" t="n">
        <x:v>1136.6577</x:v>
      </x:c>
      <x:c r="P550" s="235"/>
      <x:c r="Q550" s="235"/>
      <x:c r="R550" s="235" t="str">
        <x:v>INVOICE_OR_PLAN</x:v>
      </x:c>
      <x:c r="S550" s="238" t="n">
        <x:f>'Model_Calc'!BA95</x:f>
        <x:v>1136.6577331199999</x:v>
      </x:c>
      <x:c r="T550" s="238" t="n">
        <x:f>ROUND(S550-O550,4)</x:f>
        <x:v>0</x:v>
      </x:c>
    </x:row>
    <x:row r="551">
      <x:c r="A551" s="187" t="str">
        <x:v>BUDGET_2026_V1</x:v>
      </x:c>
      <x:c r="B551" s="187" t="str">
        <x:v>BUDGET</x:v>
      </x:c>
      <x:c r="C551" s="187"/>
      <x:c r="D551" s="217" t="n">
        <x:v>46296</x:v>
      </x:c>
      <x:c r="E551" s="187" t="str">
        <x:v>R_DE_DE_B_ROAD</x:v>
      </x:c>
      <x:c r="F551" s="187" t="str">
        <x:v>DE</x:v>
      </x:c>
      <x:c r="G551" s="187" t="str">
        <x:v>DE_FC</x:v>
      </x:c>
      <x:c r="H551" s="187" t="str">
        <x:v>CARRIER_B</x:v>
      </x:c>
      <x:c r="I551" s="187" t="str">
        <x:v>ROAD</x:v>
      </x:c>
      <x:c r="J551" s="187" t="str">
        <x:v>BASE_FREIGHT</x:v>
      </x:c>
      <x:c r="K551" s="187" t="str">
        <x:v>EUR</x:v>
      </x:c>
      <x:c r="L551" s="232" t="n">
        <x:v>5865.973344</x:v>
      </x:c>
      <x:c r="M551" s="232" t="n">
        <x:v>7.8</x:v>
      </x:c>
      <x:c r="N551" s="187" t="str">
        <x:v>45754.5920832000000000</x:v>
      </x:c>
      <x:c r="O551" s="235" t="n">
        <x:v>45754.5921</x:v>
      </x:c>
      <x:c r="P551" s="235"/>
      <x:c r="Q551" s="235"/>
      <x:c r="R551" s="235" t="str">
        <x:v>INVOICE_OR_PLAN</x:v>
      </x:c>
      <x:c r="S551" s="238" t="n">
        <x:f>'Model_Calc'!AF96</x:f>
        <x:v>45754.5920832</x:v>
      </x:c>
      <x:c r="T551" s="238" t="n">
        <x:f>ROUND(S551-O551,4)</x:f>
        <x:v>0</x:v>
      </x:c>
    </x:row>
    <x:row r="552">
      <x:c r="A552" s="187" t="str">
        <x:v>BUDGET_2026_V1</x:v>
      </x:c>
      <x:c r="B552" s="187" t="str">
        <x:v>BUDGET</x:v>
      </x:c>
      <x:c r="C552" s="187"/>
      <x:c r="D552" s="217" t="n">
        <x:v>46296</x:v>
      </x:c>
      <x:c r="E552" s="187" t="str">
        <x:v>R_DE_DE_B_ROAD</x:v>
      </x:c>
      <x:c r="F552" s="187" t="str">
        <x:v>DE</x:v>
      </x:c>
      <x:c r="G552" s="187" t="str">
        <x:v>DE_FC</x:v>
      </x:c>
      <x:c r="H552" s="187" t="str">
        <x:v>CARRIER_B</x:v>
      </x:c>
      <x:c r="I552" s="187" t="str">
        <x:v>ROAD</x:v>
      </x:c>
      <x:c r="J552" s="187" t="str">
        <x:v>FUEL_SURCHARGE</x:v>
      </x:c>
      <x:c r="K552" s="187" t="str">
        <x:v>EUR</x:v>
      </x:c>
      <x:c r="L552" s="232" t="n">
        <x:v>447.94705536</x:v>
      </x:c>
      <x:c r="M552" s="232" t="n">
        <x:v>7.8</x:v>
      </x:c>
      <x:c r="N552" s="187" t="str">
        <x:v>3493.9870318080000000</x:v>
      </x:c>
      <x:c r="O552" s="235" t="n">
        <x:v>3493.987</x:v>
      </x:c>
      <x:c r="P552" s="235"/>
      <x:c r="Q552" s="235"/>
      <x:c r="R552" s="235" t="str">
        <x:v>INVOICE_OR_PLAN</x:v>
      </x:c>
      <x:c r="S552" s="238" t="n">
        <x:f>'Model_Calc'!AG96</x:f>
        <x:v>3493.9870318079998</x:v>
      </x:c>
      <x:c r="T552" s="238" t="n">
        <x:f>ROUND(S552-O552,4)</x:f>
        <x:v>0</x:v>
      </x:c>
    </x:row>
    <x:row r="553">
      <x:c r="A553" s="187" t="str">
        <x:v>BUDGET_2026_V1</x:v>
      </x:c>
      <x:c r="B553" s="187" t="str">
        <x:v>BUDGET</x:v>
      </x:c>
      <x:c r="C553" s="187"/>
      <x:c r="D553" s="217" t="n">
        <x:v>46296</x:v>
      </x:c>
      <x:c r="E553" s="187" t="str">
        <x:v>R_DE_DE_B_ROAD</x:v>
      </x:c>
      <x:c r="F553" s="187" t="str">
        <x:v>DE</x:v>
      </x:c>
      <x:c r="G553" s="187" t="str">
        <x:v>DE_FC</x:v>
      </x:c>
      <x:c r="H553" s="187" t="str">
        <x:v>CARRIER_B</x:v>
      </x:c>
      <x:c r="I553" s="187" t="str">
        <x:v>ROAD</x:v>
      </x:c>
      <x:c r="J553" s="187" t="str">
        <x:v>WAREHOUSE_OPERATION</x:v>
      </x:c>
      <x:c r="K553" s="187" t="str">
        <x:v>EUR</x:v>
      </x:c>
      <x:c r="L553" s="232" t="n">
        <x:v>2966.8032</x:v>
      </x:c>
      <x:c r="M553" s="232" t="n">
        <x:v>7.8</x:v>
      </x:c>
      <x:c r="N553" s="187" t="str">
        <x:v>23141.0649600000</x:v>
      </x:c>
      <x:c r="O553" s="235" t="n">
        <x:v>23141.065</x:v>
      </x:c>
      <x:c r="P553" s="235"/>
      <x:c r="Q553" s="235"/>
      <x:c r="R553" s="235" t="str">
        <x:v>INVOICE_OR_PLAN</x:v>
      </x:c>
      <x:c r="S553" s="238" t="n">
        <x:f>'Model_Calc'!AL96</x:f>
        <x:v>23141.064959999996</x:v>
      </x:c>
      <x:c r="T553" s="238" t="n">
        <x:f>ROUND(S553-O553,4)</x:f>
        <x:v>0</x:v>
      </x:c>
    </x:row>
    <x:row r="554">
      <x:c r="A554" s="187" t="str">
        <x:v>BUDGET_2026_V1</x:v>
      </x:c>
      <x:c r="B554" s="187" t="str">
        <x:v>BUDGET</x:v>
      </x:c>
      <x:c r="C554" s="187"/>
      <x:c r="D554" s="217" t="n">
        <x:v>46296</x:v>
      </x:c>
      <x:c r="E554" s="187" t="str">
        <x:v>R_DE_DE_B_ROAD</x:v>
      </x:c>
      <x:c r="F554" s="187" t="str">
        <x:v>DE</x:v>
      </x:c>
      <x:c r="G554" s="187" t="str">
        <x:v>DE_FC</x:v>
      </x:c>
      <x:c r="H554" s="187" t="str">
        <x:v>CARRIER_B</x:v>
      </x:c>
      <x:c r="I554" s="187" t="str">
        <x:v>ROAD</x:v>
      </x:c>
      <x:c r="J554" s="187" t="str">
        <x:v>PACKAGING</x:v>
      </x:c>
      <x:c r="K554" s="187" t="str">
        <x:v>EUR</x:v>
      </x:c>
      <x:c r="L554" s="232" t="n">
        <x:v>1108.77984</x:v>
      </x:c>
      <x:c r="M554" s="232" t="n">
        <x:v>7.8</x:v>
      </x:c>
      <x:c r="N554" s="187" t="str">
        <x:v>8648.482752000000</x:v>
      </x:c>
      <x:c r="O554" s="235" t="n">
        <x:v>8648.4828</x:v>
      </x:c>
      <x:c r="P554" s="235"/>
      <x:c r="Q554" s="235"/>
      <x:c r="R554" s="235" t="str">
        <x:v>INVOICE_OR_PLAN</x:v>
      </x:c>
      <x:c r="S554" s="238" t="n">
        <x:f>'Model_Calc'!AQ96</x:f>
        <x:v>8648.482752</x:v>
      </x:c>
      <x:c r="T554" s="238" t="n">
        <x:f>ROUND(S554-O554,4)</x:f>
        <x:v>0</x:v>
      </x:c>
    </x:row>
    <x:row r="555">
      <x:c r="A555" s="187" t="str">
        <x:v>BUDGET_2026_V1</x:v>
      </x:c>
      <x:c r="B555" s="187" t="str">
        <x:v>BUDGET</x:v>
      </x:c>
      <x:c r="C555" s="187"/>
      <x:c r="D555" s="217" t="n">
        <x:v>46296</x:v>
      </x:c>
      <x:c r="E555" s="187" t="str">
        <x:v>R_DE_DE_B_ROAD</x:v>
      </x:c>
      <x:c r="F555" s="187" t="str">
        <x:v>DE</x:v>
      </x:c>
      <x:c r="G555" s="187" t="str">
        <x:v>DE_FC</x:v>
      </x:c>
      <x:c r="H555" s="187" t="str">
        <x:v>CARRIER_B</x:v>
      </x:c>
      <x:c r="I555" s="187" t="str">
        <x:v>ROAD</x:v>
      </x:c>
      <x:c r="J555" s="187" t="str">
        <x:v>RETURN_LOGISTICS</x:v>
      </x:c>
      <x:c r="K555" s="187" t="str">
        <x:v>EUR</x:v>
      </x:c>
      <x:c r="L555" s="232" t="n">
        <x:v>402.2784</x:v>
      </x:c>
      <x:c r="M555" s="232" t="n">
        <x:v>7.8</x:v>
      </x:c>
      <x:c r="N555" s="187" t="str">
        <x:v>3137.7715200000000</x:v>
      </x:c>
      <x:c r="O555" s="235" t="n">
        <x:v>3137.7715</x:v>
      </x:c>
      <x:c r="P555" s="235"/>
      <x:c r="Q555" s="235"/>
      <x:c r="R555" s="235" t="str">
        <x:v>INVOICE_OR_PLAN</x:v>
      </x:c>
      <x:c r="S555" s="238" t="n">
        <x:f>'Model_Calc'!AV96</x:f>
        <x:v>3137.77152</x:v>
      </x:c>
      <x:c r="T555" s="238" t="n">
        <x:f>ROUND(S555-O555,4)</x:f>
        <x:v>0</x:v>
      </x:c>
    </x:row>
    <x:row r="556">
      <x:c r="A556" s="187" t="str">
        <x:v>BUDGET_2026_V1</x:v>
      </x:c>
      <x:c r="B556" s="187" t="str">
        <x:v>BUDGET</x:v>
      </x:c>
      <x:c r="C556" s="187"/>
      <x:c r="D556" s="217" t="n">
        <x:v>46296</x:v>
      </x:c>
      <x:c r="E556" s="187" t="str">
        <x:v>R_DE_DE_B_ROAD</x:v>
      </x:c>
      <x:c r="F556" s="187" t="str">
        <x:v>DE</x:v>
      </x:c>
      <x:c r="G556" s="187" t="str">
        <x:v>DE_FC</x:v>
      </x:c>
      <x:c r="H556" s="187" t="str">
        <x:v>CARRIER_B</x:v>
      </x:c>
      <x:c r="I556" s="187" t="str">
        <x:v>ROAD</x:v>
      </x:c>
      <x:c r="J556" s="187" t="str">
        <x:v>BILLABLE_EXCEPTION</x:v>
      </x:c>
      <x:c r="K556" s="187" t="str">
        <x:v>EUR</x:v>
      </x:c>
      <x:c r="L556" s="232" t="n">
        <x:v>78.9345648</x:v>
      </x:c>
      <x:c r="M556" s="232" t="n">
        <x:v>7.8</x:v>
      </x:c>
      <x:c r="N556" s="187" t="str">
        <x:v>615.689605440000000</x:v>
      </x:c>
      <x:c r="O556" s="235" t="n">
        <x:v>615.6896</x:v>
      </x:c>
      <x:c r="P556" s="235"/>
      <x:c r="Q556" s="235"/>
      <x:c r="R556" s="235" t="str">
        <x:v>INVOICE_OR_PLAN</x:v>
      </x:c>
      <x:c r="S556" s="238" t="n">
        <x:f>'Model_Calc'!BA96</x:f>
        <x:v>615.6896054399999</x:v>
      </x:c>
      <x:c r="T556" s="238" t="n">
        <x:f>ROUND(S556-O556,4)</x:f>
        <x:v>0</x:v>
      </x:c>
    </x:row>
    <x:row r="557">
      <x:c r="A557" s="187" t="str">
        <x:v>BUDGET_2026_V1</x:v>
      </x:c>
      <x:c r="B557" s="187" t="str">
        <x:v>BUDGET</x:v>
      </x:c>
      <x:c r="C557" s="187"/>
      <x:c r="D557" s="217" t="n">
        <x:v>46296</x:v>
      </x:c>
      <x:c r="E557" s="187" t="str">
        <x:v>R_DE_FR_B_ROAD</x:v>
      </x:c>
      <x:c r="F557" s="187" t="str">
        <x:v>DE</x:v>
      </x:c>
      <x:c r="G557" s="187" t="str">
        <x:v>FR_FC</x:v>
      </x:c>
      <x:c r="H557" s="187" t="str">
        <x:v>CARRIER_B</x:v>
      </x:c>
      <x:c r="I557" s="187" t="str">
        <x:v>ROAD</x:v>
      </x:c>
      <x:c r="J557" s="187" t="str">
        <x:v>BASE_FREIGHT</x:v>
      </x:c>
      <x:c r="K557" s="187" t="str">
        <x:v>EUR</x:v>
      </x:c>
      <x:c r="L557" s="232" t="n">
        <x:v>601.80221376</x:v>
      </x:c>
      <x:c r="M557" s="232" t="n">
        <x:v>7.8</x:v>
      </x:c>
      <x:c r="N557" s="187" t="str">
        <x:v>4694.05726732800000</x:v>
      </x:c>
      <x:c r="O557" s="235" t="n">
        <x:v>4694.0573</x:v>
      </x:c>
      <x:c r="P557" s="235"/>
      <x:c r="Q557" s="235"/>
      <x:c r="R557" s="235" t="str">
        <x:v>INVOICE_OR_PLAN</x:v>
      </x:c>
      <x:c r="S557" s="238" t="n">
        <x:f>'Model_Calc'!AF97</x:f>
        <x:v>4694.057267328</x:v>
      </x:c>
      <x:c r="T557" s="238" t="n">
        <x:f>ROUND(S557-O557,4)</x:f>
        <x:v>0</x:v>
      </x:c>
    </x:row>
    <x:row r="558">
      <x:c r="A558" s="187" t="str">
        <x:v>BUDGET_2026_V1</x:v>
      </x:c>
      <x:c r="B558" s="187" t="str">
        <x:v>BUDGET</x:v>
      </x:c>
      <x:c r="C558" s="187"/>
      <x:c r="D558" s="217" t="n">
        <x:v>46296</x:v>
      </x:c>
      <x:c r="E558" s="187" t="str">
        <x:v>R_DE_FR_B_ROAD</x:v>
      </x:c>
      <x:c r="F558" s="187" t="str">
        <x:v>DE</x:v>
      </x:c>
      <x:c r="G558" s="187" t="str">
        <x:v>FR_FC</x:v>
      </x:c>
      <x:c r="H558" s="187" t="str">
        <x:v>CARRIER_B</x:v>
      </x:c>
      <x:c r="I558" s="187" t="str">
        <x:v>ROAD</x:v>
      </x:c>
      <x:c r="J558" s="187" t="str">
        <x:v>FUEL_SURCHARGE</x:v>
      </x:c>
      <x:c r="K558" s="187" t="str">
        <x:v>EUR</x:v>
      </x:c>
      <x:c r="L558" s="232" t="n">
        <x:v>43.767433728</x:v>
      </x:c>
      <x:c r="M558" s="232" t="n">
        <x:v>7.8</x:v>
      </x:c>
      <x:c r="N558" s="187" t="str">
        <x:v>341.38598307840000</x:v>
      </x:c>
      <x:c r="O558" s="235" t="n">
        <x:v>341.386</x:v>
      </x:c>
      <x:c r="P558" s="235"/>
      <x:c r="Q558" s="235"/>
      <x:c r="R558" s="235" t="str">
        <x:v>INVOICE_OR_PLAN</x:v>
      </x:c>
      <x:c r="S558" s="238" t="n">
        <x:f>'Model_Calc'!AG97</x:f>
        <x:v>341.38598307840005</x:v>
      </x:c>
      <x:c r="T558" s="238" t="n">
        <x:f>ROUND(S558-O558,4)</x:f>
        <x:v>0</x:v>
      </x:c>
    </x:row>
    <x:row r="559">
      <x:c r="A559" s="187" t="str">
        <x:v>BUDGET_2026_V1</x:v>
      </x:c>
      <x:c r="B559" s="187" t="str">
        <x:v>BUDGET</x:v>
      </x:c>
      <x:c r="C559" s="187"/>
      <x:c r="D559" s="217" t="n">
        <x:v>46296</x:v>
      </x:c>
      <x:c r="E559" s="187" t="str">
        <x:v>R_DE_FR_B_ROAD</x:v>
      </x:c>
      <x:c r="F559" s="187" t="str">
        <x:v>DE</x:v>
      </x:c>
      <x:c r="G559" s="187" t="str">
        <x:v>FR_FC</x:v>
      </x:c>
      <x:c r="H559" s="187" t="str">
        <x:v>CARRIER_B</x:v>
      </x:c>
      <x:c r="I559" s="187" t="str">
        <x:v>ROAD</x:v>
      </x:c>
      <x:c r="J559" s="187" t="str">
        <x:v>WAREHOUSE_OPERATION</x:v>
      </x:c>
      <x:c r="K559" s="187" t="str">
        <x:v>EUR</x:v>
      </x:c>
      <x:c r="L559" s="232" t="n">
        <x:v>204.12</x:v>
      </x:c>
      <x:c r="M559" s="232" t="n">
        <x:v>7.8</x:v>
      </x:c>
      <x:c r="N559" s="187" t="str">
        <x:v>1592.13600000</x:v>
      </x:c>
      <x:c r="O559" s="235" t="n">
        <x:v>1592.136</x:v>
      </x:c>
      <x:c r="P559" s="235"/>
      <x:c r="Q559" s="235"/>
      <x:c r="R559" s="235" t="str">
        <x:v>INVOICE_OR_PLAN</x:v>
      </x:c>
      <x:c r="S559" s="238" t="n">
        <x:f>'Model_Calc'!AL97</x:f>
        <x:v>1592.136</x:v>
      </x:c>
      <x:c r="T559" s="238" t="n">
        <x:f>ROUND(S559-O559,4)</x:f>
        <x:v>0</x:v>
      </x:c>
    </x:row>
    <x:row r="560">
      <x:c r="A560" s="187" t="str">
        <x:v>BUDGET_2026_V1</x:v>
      </x:c>
      <x:c r="B560" s="187" t="str">
        <x:v>BUDGET</x:v>
      </x:c>
      <x:c r="C560" s="187"/>
      <x:c r="D560" s="217" t="n">
        <x:v>46296</x:v>
      </x:c>
      <x:c r="E560" s="187" t="str">
        <x:v>R_DE_FR_B_ROAD</x:v>
      </x:c>
      <x:c r="F560" s="187" t="str">
        <x:v>DE</x:v>
      </x:c>
      <x:c r="G560" s="187" t="str">
        <x:v>FR_FC</x:v>
      </x:c>
      <x:c r="H560" s="187" t="str">
        <x:v>CARRIER_B</x:v>
      </x:c>
      <x:c r="I560" s="187" t="str">
        <x:v>ROAD</x:v>
      </x:c>
      <x:c r="J560" s="187" t="str">
        <x:v>PACKAGING</x:v>
      </x:c>
      <x:c r="K560" s="187" t="str">
        <x:v>EUR</x:v>
      </x:c>
      <x:c r="L560" s="232" t="n">
        <x:v>79.78176</x:v>
      </x:c>
      <x:c r="M560" s="232" t="n">
        <x:v>7.8</x:v>
      </x:c>
      <x:c r="N560" s="187" t="str">
        <x:v>622.2977280000</x:v>
      </x:c>
      <x:c r="O560" s="235" t="n">
        <x:v>622.2977</x:v>
      </x:c>
      <x:c r="P560" s="235"/>
      <x:c r="Q560" s="235"/>
      <x:c r="R560" s="235" t="str">
        <x:v>INVOICE_OR_PLAN</x:v>
      </x:c>
      <x:c r="S560" s="238" t="n">
        <x:f>'Model_Calc'!AQ97</x:f>
        <x:v>622.297728</x:v>
      </x:c>
      <x:c r="T560" s="238" t="n">
        <x:f>ROUND(S560-O560,4)</x:f>
        <x:v>0</x:v>
      </x:c>
    </x:row>
    <x:row r="561">
      <x:c r="A561" s="187" t="str">
        <x:v>BUDGET_2026_V1</x:v>
      </x:c>
      <x:c r="B561" s="187" t="str">
        <x:v>BUDGET</x:v>
      </x:c>
      <x:c r="C561" s="187"/>
      <x:c r="D561" s="217" t="n">
        <x:v>46296</x:v>
      </x:c>
      <x:c r="E561" s="187" t="str">
        <x:v>R_DE_FR_B_ROAD</x:v>
      </x:c>
      <x:c r="F561" s="187" t="str">
        <x:v>DE</x:v>
      </x:c>
      <x:c r="G561" s="187" t="str">
        <x:v>FR_FC</x:v>
      </x:c>
      <x:c r="H561" s="187" t="str">
        <x:v>CARRIER_B</x:v>
      </x:c>
      <x:c r="I561" s="187" t="str">
        <x:v>ROAD</x:v>
      </x:c>
      <x:c r="J561" s="187" t="str">
        <x:v>RETURN_LOGISTICS</x:v>
      </x:c>
      <x:c r="K561" s="187" t="str">
        <x:v>EUR</x:v>
      </x:c>
      <x:c r="L561" s="232" t="n">
        <x:v>36.936</x:v>
      </x:c>
      <x:c r="M561" s="232" t="n">
        <x:v>7.8</x:v>
      </x:c>
      <x:c r="N561" s="187" t="str">
        <x:v>288.10080000000</x:v>
      </x:c>
      <x:c r="O561" s="235" t="n">
        <x:v>288.1008</x:v>
      </x:c>
      <x:c r="P561" s="235"/>
      <x:c r="Q561" s="235"/>
      <x:c r="R561" s="235" t="str">
        <x:v>INVOICE_OR_PLAN</x:v>
      </x:c>
      <x:c r="S561" s="238" t="n">
        <x:f>'Model_Calc'!AV97</x:f>
        <x:v>288.1008</x:v>
      </x:c>
      <x:c r="T561" s="238" t="n">
        <x:f>ROUND(S561-O561,4)</x:f>
        <x:v>0</x:v>
      </x:c>
    </x:row>
    <x:row r="562">
      <x:c r="A562" s="187" t="str">
        <x:v>BUDGET_2026_V1</x:v>
      </x:c>
      <x:c r="B562" s="187" t="str">
        <x:v>BUDGET</x:v>
      </x:c>
      <x:c r="C562" s="187"/>
      <x:c r="D562" s="217" t="n">
        <x:v>46296</x:v>
      </x:c>
      <x:c r="E562" s="187" t="str">
        <x:v>R_DE_FR_B_ROAD</x:v>
      </x:c>
      <x:c r="F562" s="187" t="str">
        <x:v>DE</x:v>
      </x:c>
      <x:c r="G562" s="187" t="str">
        <x:v>FR_FC</x:v>
      </x:c>
      <x:c r="H562" s="187" t="str">
        <x:v>CARRIER_B</x:v>
      </x:c>
      <x:c r="I562" s="187" t="str">
        <x:v>ROAD</x:v>
      </x:c>
      <x:c r="J562" s="187" t="str">
        <x:v>BILLABLE_EXCEPTION</x:v>
      </x:c>
      <x:c r="K562" s="187" t="str">
        <x:v>EUR</x:v>
      </x:c>
      <x:c r="L562" s="232" t="n">
        <x:v>6.7604544</x:v>
      </x:c>
      <x:c r="M562" s="232" t="n">
        <x:v>7.8</x:v>
      </x:c>
      <x:c r="N562" s="187" t="str">
        <x:v>52.7315443200000</x:v>
      </x:c>
      <x:c r="O562" s="235" t="n">
        <x:v>52.7315</x:v>
      </x:c>
      <x:c r="P562" s="235"/>
      <x:c r="Q562" s="235"/>
      <x:c r="R562" s="235" t="str">
        <x:v>INVOICE_OR_PLAN</x:v>
      </x:c>
      <x:c r="S562" s="238" t="n">
        <x:f>'Model_Calc'!BA97</x:f>
        <x:v>52.73154432000001</x:v>
      </x:c>
      <x:c r="T562" s="238" t="n">
        <x:f>ROUND(S562-O562,4)</x:f>
        <x:v>0</x:v>
      </x:c>
    </x:row>
    <x:row r="563">
      <x:c r="A563" s="187" t="str">
        <x:v>BUDGET_2026_V1</x:v>
      </x:c>
      <x:c r="B563" s="187" t="str">
        <x:v>BUDGET</x:v>
      </x:c>
      <x:c r="C563" s="187"/>
      <x:c r="D563" s="217" t="n">
        <x:v>46296</x:v>
      </x:c>
      <x:c r="E563" s="187" t="str">
        <x:v>R_FR_FR_A_ROAD</x:v>
      </x:c>
      <x:c r="F563" s="187" t="str">
        <x:v>FR</x:v>
      </x:c>
      <x:c r="G563" s="187" t="str">
        <x:v>FR_FC</x:v>
      </x:c>
      <x:c r="H563" s="187" t="str">
        <x:v>CARRIER_A</x:v>
      </x:c>
      <x:c r="I563" s="187" t="str">
        <x:v>ROAD</x:v>
      </x:c>
      <x:c r="J563" s="187" t="str">
        <x:v>BASE_FREIGHT</x:v>
      </x:c>
      <x:c r="K563" s="187" t="str">
        <x:v>EUR</x:v>
      </x:c>
      <x:c r="L563" s="232" t="n">
        <x:v>3337.0473528</x:v>
      </x:c>
      <x:c r="M563" s="232" t="n">
        <x:v>7.8</x:v>
      </x:c>
      <x:c r="N563" s="187" t="str">
        <x:v>26028.96935184000000</x:v>
      </x:c>
      <x:c r="O563" s="235" t="n">
        <x:v>26028.9694</x:v>
      </x:c>
      <x:c r="P563" s="235"/>
      <x:c r="Q563" s="235"/>
      <x:c r="R563" s="235" t="str">
        <x:v>INVOICE_OR_PLAN</x:v>
      </x:c>
      <x:c r="S563" s="238" t="n">
        <x:f>'Model_Calc'!AF98</x:f>
        <x:v>26028.969351839998</x:v>
      </x:c>
      <x:c r="T563" s="238" t="n">
        <x:f>ROUND(S563-O563,4)</x:f>
        <x:v>0</x:v>
      </x:c>
    </x:row>
    <x:row r="564">
      <x:c r="A564" s="187" t="str">
        <x:v>BUDGET_2026_V1</x:v>
      </x:c>
      <x:c r="B564" s="187" t="str">
        <x:v>BUDGET</x:v>
      </x:c>
      <x:c r="C564" s="187"/>
      <x:c r="D564" s="217" t="n">
        <x:v>46296</x:v>
      </x:c>
      <x:c r="E564" s="187" t="str">
        <x:v>R_FR_FR_A_ROAD</x:v>
      </x:c>
      <x:c r="F564" s="187" t="str">
        <x:v>FR</x:v>
      </x:c>
      <x:c r="G564" s="187" t="str">
        <x:v>FR_FC</x:v>
      </x:c>
      <x:c r="H564" s="187" t="str">
        <x:v>CARRIER_A</x:v>
      </x:c>
      <x:c r="I564" s="187" t="str">
        <x:v>ROAD</x:v>
      </x:c>
      <x:c r="J564" s="187" t="str">
        <x:v>FUEL_SURCHARGE</x:v>
      </x:c>
      <x:c r="K564" s="187" t="str">
        <x:v>EUR</x:v>
      </x:c>
      <x:c r="L564" s="232" t="n">
        <x:v>300.334261752</x:v>
      </x:c>
      <x:c r="M564" s="232" t="n">
        <x:v>7.8</x:v>
      </x:c>
      <x:c r="N564" s="187" t="str">
        <x:v>2342.60724166560000000</x:v>
      </x:c>
      <x:c r="O564" s="235" t="n">
        <x:v>2342.6072</x:v>
      </x:c>
      <x:c r="P564" s="235"/>
      <x:c r="Q564" s="235"/>
      <x:c r="R564" s="235" t="str">
        <x:v>INVOICE_OR_PLAN</x:v>
      </x:c>
      <x:c r="S564" s="238" t="n">
        <x:f>'Model_Calc'!AG98</x:f>
        <x:v>2342.6072416655998</x:v>
      </x:c>
      <x:c r="T564" s="238" t="n">
        <x:f>ROUND(S564-O564,4)</x:f>
        <x:v>0</x:v>
      </x:c>
    </x:row>
    <x:row r="565">
      <x:c r="A565" s="187" t="str">
        <x:v>BUDGET_2026_V1</x:v>
      </x:c>
      <x:c r="B565" s="187" t="str">
        <x:v>BUDGET</x:v>
      </x:c>
      <x:c r="C565" s="187"/>
      <x:c r="D565" s="217" t="n">
        <x:v>46296</x:v>
      </x:c>
      <x:c r="E565" s="187" t="str">
        <x:v>R_FR_FR_A_ROAD</x:v>
      </x:c>
      <x:c r="F565" s="187" t="str">
        <x:v>FR</x:v>
      </x:c>
      <x:c r="G565" s="187" t="str">
        <x:v>FR_FC</x:v>
      </x:c>
      <x:c r="H565" s="187" t="str">
        <x:v>CARRIER_A</x:v>
      </x:c>
      <x:c r="I565" s="187" t="str">
        <x:v>ROAD</x:v>
      </x:c>
      <x:c r="J565" s="187" t="str">
        <x:v>WAREHOUSE_OPERATION</x:v>
      </x:c>
      <x:c r="K565" s="187" t="str">
        <x:v>EUR</x:v>
      </x:c>
      <x:c r="L565" s="232" t="n">
        <x:v>2050.65</x:v>
      </x:c>
      <x:c r="M565" s="232" t="n">
        <x:v>7.8</x:v>
      </x:c>
      <x:c r="N565" s="187" t="str">
        <x:v>15995.07000000</x:v>
      </x:c>
      <x:c r="O565" s="235" t="n">
        <x:v>15995.07</x:v>
      </x:c>
      <x:c r="P565" s="235"/>
      <x:c r="Q565" s="235"/>
      <x:c r="R565" s="235" t="str">
        <x:v>INVOICE_OR_PLAN</x:v>
      </x:c>
      <x:c r="S565" s="238" t="n">
        <x:f>'Model_Calc'!AL98</x:f>
        <x:v>15995.069999999996</x:v>
      </x:c>
      <x:c r="T565" s="238" t="n">
        <x:f>ROUND(S565-O565,4)</x:f>
        <x:v>0</x:v>
      </x:c>
    </x:row>
    <x:row r="566">
      <x:c r="A566" s="187" t="str">
        <x:v>BUDGET_2026_V1</x:v>
      </x:c>
      <x:c r="B566" s="187" t="str">
        <x:v>BUDGET</x:v>
      </x:c>
      <x:c r="C566" s="187"/>
      <x:c r="D566" s="217" t="n">
        <x:v>46296</x:v>
      </x:c>
      <x:c r="E566" s="187" t="str">
        <x:v>R_FR_FR_A_ROAD</x:v>
      </x:c>
      <x:c r="F566" s="187" t="str">
        <x:v>FR</x:v>
      </x:c>
      <x:c r="G566" s="187" t="str">
        <x:v>FR_FC</x:v>
      </x:c>
      <x:c r="H566" s="187" t="str">
        <x:v>CARRIER_A</x:v>
      </x:c>
      <x:c r="I566" s="187" t="str">
        <x:v>ROAD</x:v>
      </x:c>
      <x:c r="J566" s="187" t="str">
        <x:v>PACKAGING</x:v>
      </x:c>
      <x:c r="K566" s="187" t="str">
        <x:v>EUR</x:v>
      </x:c>
      <x:c r="L566" s="232" t="n">
        <x:v>786.6684</x:v>
      </x:c>
      <x:c r="M566" s="232" t="n">
        <x:v>7.8</x:v>
      </x:c>
      <x:c r="N566" s="187" t="str">
        <x:v>6136.0135200000</x:v>
      </x:c>
      <x:c r="O566" s="235" t="n">
        <x:v>6136.0135</x:v>
      </x:c>
      <x:c r="P566" s="235"/>
      <x:c r="Q566" s="235"/>
      <x:c r="R566" s="235" t="str">
        <x:v>INVOICE_OR_PLAN</x:v>
      </x:c>
      <x:c r="S566" s="238" t="n">
        <x:f>'Model_Calc'!AQ98</x:f>
        <x:v>6136.0135199999995</x:v>
      </x:c>
      <x:c r="T566" s="238" t="n">
        <x:f>ROUND(S566-O566,4)</x:f>
        <x:v>0</x:v>
      </x:c>
    </x:row>
    <x:row r="567">
      <x:c r="A567" s="187" t="str">
        <x:v>BUDGET_2026_V1</x:v>
      </x:c>
      <x:c r="B567" s="187" t="str">
        <x:v>BUDGET</x:v>
      </x:c>
      <x:c r="C567" s="187"/>
      <x:c r="D567" s="217" t="n">
        <x:v>46296</x:v>
      </x:c>
      <x:c r="E567" s="187" t="str">
        <x:v>R_FR_FR_A_ROAD</x:v>
      </x:c>
      <x:c r="F567" s="187" t="str">
        <x:v>FR</x:v>
      </x:c>
      <x:c r="G567" s="187" t="str">
        <x:v>FR_FC</x:v>
      </x:c>
      <x:c r="H567" s="187" t="str">
        <x:v>CARRIER_A</x:v>
      </x:c>
      <x:c r="I567" s="187" t="str">
        <x:v>ROAD</x:v>
      </x:c>
      <x:c r="J567" s="187" t="str">
        <x:v>RETURN_LOGISTICS</x:v>
      </x:c>
      <x:c r="K567" s="187" t="str">
        <x:v>EUR</x:v>
      </x:c>
      <x:c r="L567" s="232" t="n">
        <x:v>351.54</x:v>
      </x:c>
      <x:c r="M567" s="232" t="n">
        <x:v>7.8</x:v>
      </x:c>
      <x:c r="N567" s="187" t="str">
        <x:v>2742.01200000000</x:v>
      </x:c>
      <x:c r="O567" s="235" t="n">
        <x:v>2742.012</x:v>
      </x:c>
      <x:c r="P567" s="235"/>
      <x:c r="Q567" s="235"/>
      <x:c r="R567" s="235" t="str">
        <x:v>INVOICE_OR_PLAN</x:v>
      </x:c>
      <x:c r="S567" s="238" t="n">
        <x:f>'Model_Calc'!AV98</x:f>
        <x:v>2742.0119999999997</x:v>
      </x:c>
      <x:c r="T567" s="238" t="n">
        <x:f>ROUND(S567-O567,4)</x:f>
        <x:v>0</x:v>
      </x:c>
    </x:row>
    <x:row r="568">
      <x:c r="A568" s="187" t="str">
        <x:v>BUDGET_2026_V1</x:v>
      </x:c>
      <x:c r="B568" s="187" t="str">
        <x:v>BUDGET</x:v>
      </x:c>
      <x:c r="C568" s="187"/>
      <x:c r="D568" s="217" t="n">
        <x:v>46296</x:v>
      </x:c>
      <x:c r="E568" s="187" t="str">
        <x:v>R_FR_FR_A_ROAD</x:v>
      </x:c>
      <x:c r="F568" s="187" t="str">
        <x:v>FR</x:v>
      </x:c>
      <x:c r="G568" s="187" t="str">
        <x:v>FR_FC</x:v>
      </x:c>
      <x:c r="H568" s="187" t="str">
        <x:v>CARRIER_A</x:v>
      </x:c>
      <x:c r="I568" s="187" t="str">
        <x:v>ROAD</x:v>
      </x:c>
      <x:c r="J568" s="187" t="str">
        <x:v>BILLABLE_EXCEPTION</x:v>
      </x:c>
      <x:c r="K568" s="187" t="str">
        <x:v>EUR</x:v>
      </x:c>
      <x:c r="L568" s="232" t="n">
        <x:v>80.944038</x:v>
      </x:c>
      <x:c r="M568" s="232" t="n">
        <x:v>7.8</x:v>
      </x:c>
      <x:c r="N568" s="187" t="str">
        <x:v>631.3634964000000</x:v>
      </x:c>
      <x:c r="O568" s="235" t="n">
        <x:v>631.3635</x:v>
      </x:c>
      <x:c r="P568" s="235"/>
      <x:c r="Q568" s="235"/>
      <x:c r="R568" s="235" t="str">
        <x:v>INVOICE_OR_PLAN</x:v>
      </x:c>
      <x:c r="S568" s="238" t="n">
        <x:f>'Model_Calc'!BA98</x:f>
        <x:v>631.3634964</x:v>
      </x:c>
      <x:c r="T568" s="238" t="n">
        <x:f>ROUND(S568-O568,4)</x:f>
        <x:v>0</x:v>
      </x:c>
    </x:row>
    <x:row r="569">
      <x:c r="A569" s="187" t="str">
        <x:v>BUDGET_2026_V1</x:v>
      </x:c>
      <x:c r="B569" s="187" t="str">
        <x:v>BUDGET</x:v>
      </x:c>
      <x:c r="C569" s="187"/>
      <x:c r="D569" s="217" t="n">
        <x:v>46296</x:v>
      </x:c>
      <x:c r="E569" s="187" t="str">
        <x:v>R_FR_FR_B_ROAD</x:v>
      </x:c>
      <x:c r="F569" s="187" t="str">
        <x:v>FR</x:v>
      </x:c>
      <x:c r="G569" s="187" t="str">
        <x:v>FR_FC</x:v>
      </x:c>
      <x:c r="H569" s="187" t="str">
        <x:v>CARRIER_B</x:v>
      </x:c>
      <x:c r="I569" s="187" t="str">
        <x:v>ROAD</x:v>
      </x:c>
      <x:c r="J569" s="187" t="str">
        <x:v>BASE_FREIGHT</x:v>
      </x:c>
      <x:c r="K569" s="187" t="str">
        <x:v>EUR</x:v>
      </x:c>
      <x:c r="L569" s="232" t="n">
        <x:v>7975.8179748</x:v>
      </x:c>
      <x:c r="M569" s="232" t="n">
        <x:v>7.8</x:v>
      </x:c>
      <x:c r="N569" s="187" t="str">
        <x:v>62211.38020344000000</x:v>
      </x:c>
      <x:c r="O569" s="235" t="n">
        <x:v>62211.3802</x:v>
      </x:c>
      <x:c r="P569" s="235"/>
      <x:c r="Q569" s="235"/>
      <x:c r="R569" s="235" t="str">
        <x:v>INVOICE_OR_PLAN</x:v>
      </x:c>
      <x:c r="S569" s="238" t="n">
        <x:f>'Model_Calc'!AF99</x:f>
        <x:v>62211.380203440014</x:v>
      </x:c>
      <x:c r="T569" s="238" t="n">
        <x:f>ROUND(S569-O569,4)</x:f>
        <x:v>0</x:v>
      </x:c>
    </x:row>
    <x:row r="570">
      <x:c r="A570" s="187" t="str">
        <x:v>BUDGET_2026_V1</x:v>
      </x:c>
      <x:c r="B570" s="187" t="str">
        <x:v>BUDGET</x:v>
      </x:c>
      <x:c r="C570" s="187"/>
      <x:c r="D570" s="217" t="n">
        <x:v>46296</x:v>
      </x:c>
      <x:c r="E570" s="187" t="str">
        <x:v>R_FR_FR_B_ROAD</x:v>
      </x:c>
      <x:c r="F570" s="187" t="str">
        <x:v>FR</x:v>
      </x:c>
      <x:c r="G570" s="187" t="str">
        <x:v>FR_FC</x:v>
      </x:c>
      <x:c r="H570" s="187" t="str">
        <x:v>CARRIER_B</x:v>
      </x:c>
      <x:c r="I570" s="187" t="str">
        <x:v>ROAD</x:v>
      </x:c>
      <x:c r="J570" s="187" t="str">
        <x:v>FUEL_SURCHARGE</x:v>
      </x:c>
      <x:c r="K570" s="187" t="str">
        <x:v>EUR</x:v>
      </x:c>
      <x:c r="L570" s="232" t="n">
        <x:v>613.5244596</x:v>
      </x:c>
      <x:c r="M570" s="232" t="n">
        <x:v>7.8</x:v>
      </x:c>
      <x:c r="N570" s="187" t="str">
        <x:v>4785.49078488000000</x:v>
      </x:c>
      <x:c r="O570" s="235" t="n">
        <x:v>4785.4908</x:v>
      </x:c>
      <x:c r="P570" s="235"/>
      <x:c r="Q570" s="235"/>
      <x:c r="R570" s="235" t="str">
        <x:v>INVOICE_OR_PLAN</x:v>
      </x:c>
      <x:c r="S570" s="238" t="n">
        <x:f>'Model_Calc'!AG99</x:f>
        <x:v>4785.490784880001</x:v>
      </x:c>
      <x:c r="T570" s="238" t="n">
        <x:f>ROUND(S570-O570,4)</x:f>
        <x:v>0</x:v>
      </x:c>
    </x:row>
    <x:row r="571">
      <x:c r="A571" s="187" t="str">
        <x:v>BUDGET_2026_V1</x:v>
      </x:c>
      <x:c r="B571" s="187" t="str">
        <x:v>BUDGET</x:v>
      </x:c>
      <x:c r="C571" s="187"/>
      <x:c r="D571" s="217" t="n">
        <x:v>46296</x:v>
      </x:c>
      <x:c r="E571" s="187" t="str">
        <x:v>R_FR_FR_B_ROAD</x:v>
      </x:c>
      <x:c r="F571" s="187" t="str">
        <x:v>FR</x:v>
      </x:c>
      <x:c r="G571" s="187" t="str">
        <x:v>FR_FC</x:v>
      </x:c>
      <x:c r="H571" s="187" t="str">
        <x:v>CARRIER_B</x:v>
      </x:c>
      <x:c r="I571" s="187" t="str">
        <x:v>ROAD</x:v>
      </x:c>
      <x:c r="J571" s="187" t="str">
        <x:v>WAREHOUSE_OPERATION</x:v>
      </x:c>
      <x:c r="K571" s="187" t="str">
        <x:v>EUR</x:v>
      </x:c>
      <x:c r="L571" s="232" t="n">
        <x:v>3808.35</x:v>
      </x:c>
      <x:c r="M571" s="232" t="n">
        <x:v>7.8</x:v>
      </x:c>
      <x:c r="N571" s="187" t="str">
        <x:v>29705.13000000</x:v>
      </x:c>
      <x:c r="O571" s="235" t="n">
        <x:v>29705.13</x:v>
      </x:c>
      <x:c r="P571" s="235"/>
      <x:c r="Q571" s="235"/>
      <x:c r="R571" s="235" t="str">
        <x:v>INVOICE_OR_PLAN</x:v>
      </x:c>
      <x:c r="S571" s="238" t="n">
        <x:f>'Model_Calc'!AL99</x:f>
        <x:v>29705.13</x:v>
      </x:c>
      <x:c r="T571" s="238" t="n">
        <x:f>ROUND(S571-O571,4)</x:f>
        <x:v>0</x:v>
      </x:c>
    </x:row>
    <x:row r="572">
      <x:c r="A572" s="187" t="str">
        <x:v>BUDGET_2026_V1</x:v>
      </x:c>
      <x:c r="B572" s="187" t="str">
        <x:v>BUDGET</x:v>
      </x:c>
      <x:c r="C572" s="187"/>
      <x:c r="D572" s="217" t="n">
        <x:v>46296</x:v>
      </x:c>
      <x:c r="E572" s="187" t="str">
        <x:v>R_FR_FR_B_ROAD</x:v>
      </x:c>
      <x:c r="F572" s="187" t="str">
        <x:v>FR</x:v>
      </x:c>
      <x:c r="G572" s="187" t="str">
        <x:v>FR_FC</x:v>
      </x:c>
      <x:c r="H572" s="187" t="str">
        <x:v>CARRIER_B</x:v>
      </x:c>
      <x:c r="I572" s="187" t="str">
        <x:v>ROAD</x:v>
      </x:c>
      <x:c r="J572" s="187" t="str">
        <x:v>PACKAGING</x:v>
      </x:c>
      <x:c r="K572" s="187" t="str">
        <x:v>EUR</x:v>
      </x:c>
      <x:c r="L572" s="232" t="n">
        <x:v>1460.9556</x:v>
      </x:c>
      <x:c r="M572" s="232" t="n">
        <x:v>7.8</x:v>
      </x:c>
      <x:c r="N572" s="187" t="str">
        <x:v>11395.4536800000</x:v>
      </x:c>
      <x:c r="O572" s="235" t="n">
        <x:v>11395.4537</x:v>
      </x:c>
      <x:c r="P572" s="235"/>
      <x:c r="Q572" s="235"/>
      <x:c r="R572" s="235" t="str">
        <x:v>INVOICE_OR_PLAN</x:v>
      </x:c>
      <x:c r="S572" s="238" t="n">
        <x:f>'Model_Calc'!AQ99</x:f>
        <x:v>11395.453680000002</x:v>
      </x:c>
      <x:c r="T572" s="238" t="n">
        <x:f>ROUND(S572-O572,4)</x:f>
        <x:v>0</x:v>
      </x:c>
    </x:row>
    <x:row r="573">
      <x:c r="A573" s="187" t="str">
        <x:v>BUDGET_2026_V1</x:v>
      </x:c>
      <x:c r="B573" s="187" t="str">
        <x:v>BUDGET</x:v>
      </x:c>
      <x:c r="C573" s="187"/>
      <x:c r="D573" s="217" t="n">
        <x:v>46296</x:v>
      </x:c>
      <x:c r="E573" s="187" t="str">
        <x:v>R_FR_FR_B_ROAD</x:v>
      </x:c>
      <x:c r="F573" s="187" t="str">
        <x:v>FR</x:v>
      </x:c>
      <x:c r="G573" s="187" t="str">
        <x:v>FR_FC</x:v>
      </x:c>
      <x:c r="H573" s="187" t="str">
        <x:v>CARRIER_B</x:v>
      </x:c>
      <x:c r="I573" s="187" t="str">
        <x:v>ROAD</x:v>
      </x:c>
      <x:c r="J573" s="187" t="str">
        <x:v>RETURN_LOGISTICS</x:v>
      </x:c>
      <x:c r="K573" s="187" t="str">
        <x:v>EUR</x:v>
      </x:c>
      <x:c r="L573" s="232" t="n">
        <x:v>652.86</x:v>
      </x:c>
      <x:c r="M573" s="232" t="n">
        <x:v>7.8</x:v>
      </x:c>
      <x:c r="N573" s="187" t="str">
        <x:v>5092.30800000000</x:v>
      </x:c>
      <x:c r="O573" s="235" t="n">
        <x:v>5092.308</x:v>
      </x:c>
      <x:c r="P573" s="235"/>
      <x:c r="Q573" s="235"/>
      <x:c r="R573" s="235" t="str">
        <x:v>INVOICE_OR_PLAN</x:v>
      </x:c>
      <x:c r="S573" s="238" t="n">
        <x:f>'Model_Calc'!AV99</x:f>
        <x:v>5092.308</x:v>
      </x:c>
      <x:c r="T573" s="238" t="n">
        <x:f>ROUND(S573-O573,4)</x:f>
        <x:v>0</x:v>
      </x:c>
    </x:row>
    <x:row r="574">
      <x:c r="A574" s="187" t="str">
        <x:v>BUDGET_2026_V1</x:v>
      </x:c>
      <x:c r="B574" s="187" t="str">
        <x:v>BUDGET</x:v>
      </x:c>
      <x:c r="C574" s="187"/>
      <x:c r="D574" s="217" t="n">
        <x:v>46296</x:v>
      </x:c>
      <x:c r="E574" s="187" t="str">
        <x:v>R_FR_FR_B_ROAD</x:v>
      </x:c>
      <x:c r="F574" s="187" t="str">
        <x:v>FR</x:v>
      </x:c>
      <x:c r="G574" s="187" t="str">
        <x:v>FR_FC</x:v>
      </x:c>
      <x:c r="H574" s="187" t="str">
        <x:v>CARRIER_B</x:v>
      </x:c>
      <x:c r="I574" s="187" t="str">
        <x:v>ROAD</x:v>
      </x:c>
      <x:c r="J574" s="187" t="str">
        <x:v>BILLABLE_EXCEPTION</x:v>
      </x:c>
      <x:c r="K574" s="187" t="str">
        <x:v>EUR</x:v>
      </x:c>
      <x:c r="L574" s="232" t="n">
        <x:v>123.796764</x:v>
      </x:c>
      <x:c r="M574" s="232" t="n">
        <x:v>7.8</x:v>
      </x:c>
      <x:c r="N574" s="187" t="str">
        <x:v>965.6147592000000</x:v>
      </x:c>
      <x:c r="O574" s="235" t="n">
        <x:v>965.6148</x:v>
      </x:c>
      <x:c r="P574" s="235"/>
      <x:c r="Q574" s="235"/>
      <x:c r="R574" s="235" t="str">
        <x:v>INVOICE_OR_PLAN</x:v>
      </x:c>
      <x:c r="S574" s="238" t="n">
        <x:f>'Model_Calc'!BA99</x:f>
        <x:v>965.6147592000001</x:v>
      </x:c>
      <x:c r="T574" s="238" t="n">
        <x:f>ROUND(S574-O574,4)</x:f>
        <x:v>0</x:v>
      </x:c>
    </x:row>
    <x:row r="575">
      <x:c r="A575" s="187" t="str">
        <x:v>BUDGET_2026_V1</x:v>
      </x:c>
      <x:c r="B575" s="187" t="str">
        <x:v>BUDGET</x:v>
      </x:c>
      <x:c r="C575" s="187"/>
      <x:c r="D575" s="217" t="n">
        <x:v>46296</x:v>
      </x:c>
      <x:c r="E575" s="187" t="str">
        <x:v>R_GB_DE_A_ROAD</x:v>
      </x:c>
      <x:c r="F575" s="187" t="str">
        <x:v>GB</x:v>
      </x:c>
      <x:c r="G575" s="187" t="str">
        <x:v>DE_FC</x:v>
      </x:c>
      <x:c r="H575" s="187" t="str">
        <x:v>CARRIER_A</x:v>
      </x:c>
      <x:c r="I575" s="187" t="str">
        <x:v>ROAD</x:v>
      </x:c>
      <x:c r="J575" s="187" t="str">
        <x:v>BASE_FREIGHT</x:v>
      </x:c>
      <x:c r="K575" s="187" t="str">
        <x:v>GBP</x:v>
      </x:c>
      <x:c r="L575" s="232" t="n">
        <x:v>17106.87154176</x:v>
      </x:c>
      <x:c r="M575" s="232" t="n">
        <x:v>9</x:v>
      </x:c>
      <x:c r="N575" s="187" t="str">
        <x:v>153961.8438758400000000</x:v>
      </x:c>
      <x:c r="O575" s="235" t="n">
        <x:v>153961.8439</x:v>
      </x:c>
      <x:c r="P575" s="235"/>
      <x:c r="Q575" s="235"/>
      <x:c r="R575" s="235" t="str">
        <x:v>INVOICE_OR_PLAN</x:v>
      </x:c>
      <x:c r="S575" s="238" t="n">
        <x:f>'Model_Calc'!AF100</x:f>
        <x:v>153961.84387584</x:v>
      </x:c>
      <x:c r="T575" s="238" t="n">
        <x:f>ROUND(S575-O575,4)</x:f>
        <x:v>0</x:v>
      </x:c>
    </x:row>
    <x:row r="576">
      <x:c r="A576" s="187" t="str">
        <x:v>BUDGET_2026_V1</x:v>
      </x:c>
      <x:c r="B576" s="187" t="str">
        <x:v>BUDGET</x:v>
      </x:c>
      <x:c r="C576" s="187"/>
      <x:c r="D576" s="217" t="n">
        <x:v>46296</x:v>
      </x:c>
      <x:c r="E576" s="187" t="str">
        <x:v>R_GB_DE_A_ROAD</x:v>
      </x:c>
      <x:c r="F576" s="187" t="str">
        <x:v>GB</x:v>
      </x:c>
      <x:c r="G576" s="187" t="str">
        <x:v>DE_FC</x:v>
      </x:c>
      <x:c r="H576" s="187" t="str">
        <x:v>CARRIER_A</x:v>
      </x:c>
      <x:c r="I576" s="187" t="str">
        <x:v>ROAD</x:v>
      </x:c>
      <x:c r="J576" s="187" t="str">
        <x:v>FUEL_SURCHARGE</x:v>
      </x:c>
      <x:c r="K576" s="187" t="str">
        <x:v>GBP</x:v>
      </x:c>
      <x:c r="L576" s="232" t="n">
        <x:v>1710.687154176</x:v>
      </x:c>
      <x:c r="M576" s="232" t="n">
        <x:v>9</x:v>
      </x:c>
      <x:c r="N576" s="187" t="str">
        <x:v>15396.1843875840000000000</x:v>
      </x:c>
      <x:c r="O576" s="235" t="n">
        <x:v>15396.1844</x:v>
      </x:c>
      <x:c r="P576" s="235"/>
      <x:c r="Q576" s="235"/>
      <x:c r="R576" s="235" t="str">
        <x:v>INVOICE_OR_PLAN</x:v>
      </x:c>
      <x:c r="S576" s="238" t="n">
        <x:f>'Model_Calc'!AG100</x:f>
        <x:v>15396.184387584002</x:v>
      </x:c>
      <x:c r="T576" s="238" t="n">
        <x:f>ROUND(S576-O576,4)</x:f>
        <x:v>0</x:v>
      </x:c>
    </x:row>
    <x:row r="577">
      <x:c r="A577" s="187" t="str">
        <x:v>BUDGET_2026_V1</x:v>
      </x:c>
      <x:c r="B577" s="187" t="str">
        <x:v>BUDGET</x:v>
      </x:c>
      <x:c r="C577" s="187"/>
      <x:c r="D577" s="217" t="n">
        <x:v>46296</x:v>
      </x:c>
      <x:c r="E577" s="187" t="str">
        <x:v>R_GB_DE_A_ROAD</x:v>
      </x:c>
      <x:c r="F577" s="187" t="str">
        <x:v>GB</x:v>
      </x:c>
      <x:c r="G577" s="187" t="str">
        <x:v>DE_FC</x:v>
      </x:c>
      <x:c r="H577" s="187" t="str">
        <x:v>CARRIER_A</x:v>
      </x:c>
      <x:c r="I577" s="187" t="str">
        <x:v>ROAD</x:v>
      </x:c>
      <x:c r="J577" s="187" t="str">
        <x:v>WAREHOUSE_OPERATION</x:v>
      </x:c>
      <x:c r="K577" s="187" t="str">
        <x:v>EUR</x:v>
      </x:c>
      <x:c r="L577" s="232" t="n">
        <x:v>4373.7408</x:v>
      </x:c>
      <x:c r="M577" s="232" t="n">
        <x:v>7.8</x:v>
      </x:c>
      <x:c r="N577" s="187" t="str">
        <x:v>34115.1782400000</x:v>
      </x:c>
      <x:c r="O577" s="235" t="n">
        <x:v>34115.1782</x:v>
      </x:c>
      <x:c r="P577" s="235"/>
      <x:c r="Q577" s="235"/>
      <x:c r="R577" s="235" t="str">
        <x:v>INVOICE_OR_PLAN</x:v>
      </x:c>
      <x:c r="S577" s="238" t="n">
        <x:f>'Model_Calc'!AL100</x:f>
        <x:v>34115.178239999994</x:v>
      </x:c>
      <x:c r="T577" s="238" t="n">
        <x:f>ROUND(S577-O577,4)</x:f>
        <x:v>0</x:v>
      </x:c>
    </x:row>
    <x:row r="578">
      <x:c r="A578" s="187" t="str">
        <x:v>BUDGET_2026_V1</x:v>
      </x:c>
      <x:c r="B578" s="187" t="str">
        <x:v>BUDGET</x:v>
      </x:c>
      <x:c r="C578" s="187"/>
      <x:c r="D578" s="217" t="n">
        <x:v>46296</x:v>
      </x:c>
      <x:c r="E578" s="187" t="str">
        <x:v>R_GB_DE_A_ROAD</x:v>
      </x:c>
      <x:c r="F578" s="187" t="str">
        <x:v>GB</x:v>
      </x:c>
      <x:c r="G578" s="187" t="str">
        <x:v>DE_FC</x:v>
      </x:c>
      <x:c r="H578" s="187" t="str">
        <x:v>CARRIER_A</x:v>
      </x:c>
      <x:c r="I578" s="187" t="str">
        <x:v>ROAD</x:v>
      </x:c>
      <x:c r="J578" s="187" t="str">
        <x:v>PACKAGING</x:v>
      </x:c>
      <x:c r="K578" s="187" t="str">
        <x:v>EUR</x:v>
      </x:c>
      <x:c r="L578" s="232" t="n">
        <x:v>1743.565824</x:v>
      </x:c>
      <x:c r="M578" s="232" t="n">
        <x:v>7.8</x:v>
      </x:c>
      <x:c r="N578" s="187" t="str">
        <x:v>13599.813427200000</x:v>
      </x:c>
      <x:c r="O578" s="235" t="n">
        <x:v>13599.8134</x:v>
      </x:c>
      <x:c r="P578" s="235"/>
      <x:c r="Q578" s="235"/>
      <x:c r="R578" s="235" t="str">
        <x:v>INVOICE_OR_PLAN</x:v>
      </x:c>
      <x:c r="S578" s="238" t="n">
        <x:f>'Model_Calc'!AQ100</x:f>
        <x:v>13599.8134272</x:v>
      </x:c>
      <x:c r="T578" s="238" t="n">
        <x:f>ROUND(S578-O578,4)</x:f>
        <x:v>0</x:v>
      </x:c>
    </x:row>
    <x:row r="579">
      <x:c r="A579" s="187" t="str">
        <x:v>BUDGET_2026_V1</x:v>
      </x:c>
      <x:c r="B579" s="187" t="str">
        <x:v>BUDGET</x:v>
      </x:c>
      <x:c r="C579" s="187"/>
      <x:c r="D579" s="217" t="n">
        <x:v>46296</x:v>
      </x:c>
      <x:c r="E579" s="187" t="str">
        <x:v>R_GB_DE_A_ROAD</x:v>
      </x:c>
      <x:c r="F579" s="187" t="str">
        <x:v>GB</x:v>
      </x:c>
      <x:c r="G579" s="187" t="str">
        <x:v>DE_FC</x:v>
      </x:c>
      <x:c r="H579" s="187" t="str">
        <x:v>CARRIER_A</x:v>
      </x:c>
      <x:c r="I579" s="187" t="str">
        <x:v>ROAD</x:v>
      </x:c>
      <x:c r="J579" s="187" t="str">
        <x:v>RETURN_LOGISTICS</x:v>
      </x:c>
      <x:c r="K579" s="187" t="str">
        <x:v>GBP</x:v>
      </x:c>
      <x:c r="L579" s="232" t="n">
        <x:v>1423.31904</x:v>
      </x:c>
      <x:c r="M579" s="232" t="n">
        <x:v>9</x:v>
      </x:c>
      <x:c r="N579" s="187" t="str">
        <x:v>12809.8713600000000</x:v>
      </x:c>
      <x:c r="O579" s="235" t="n">
        <x:v>12809.8714</x:v>
      </x:c>
      <x:c r="P579" s="235"/>
      <x:c r="Q579" s="235"/>
      <x:c r="R579" s="235" t="str">
        <x:v>INVOICE_OR_PLAN</x:v>
      </x:c>
      <x:c r="S579" s="238" t="n">
        <x:f>'Model_Calc'!AV100</x:f>
        <x:v>12809.871360000001</x:v>
      </x:c>
      <x:c r="T579" s="238" t="n">
        <x:f>ROUND(S579-O579,4)</x:f>
        <x:v>0</x:v>
      </x:c>
    </x:row>
    <x:row r="580">
      <x:c r="A580" s="187" t="str">
        <x:v>BUDGET_2026_V1</x:v>
      </x:c>
      <x:c r="B580" s="187" t="str">
        <x:v>BUDGET</x:v>
      </x:c>
      <x:c r="C580" s="187"/>
      <x:c r="D580" s="217" t="n">
        <x:v>46296</x:v>
      </x:c>
      <x:c r="E580" s="187" t="str">
        <x:v>R_GB_DE_A_ROAD</x:v>
      </x:c>
      <x:c r="F580" s="187" t="str">
        <x:v>GB</x:v>
      </x:c>
      <x:c r="G580" s="187" t="str">
        <x:v>DE_FC</x:v>
      </x:c>
      <x:c r="H580" s="187" t="str">
        <x:v>CARRIER_A</x:v>
      </x:c>
      <x:c r="I580" s="187" t="str">
        <x:v>ROAD</x:v>
      </x:c>
      <x:c r="J580" s="187" t="str">
        <x:v>BILLABLE_EXCEPTION</x:v>
      </x:c>
      <x:c r="K580" s="187" t="str">
        <x:v>GBP</x:v>
      </x:c>
      <x:c r="L580" s="232" t="n">
        <x:v>210.05816832</x:v>
      </x:c>
      <x:c r="M580" s="232" t="n">
        <x:v>9</x:v>
      </x:c>
      <x:c r="N580" s="187" t="str">
        <x:v>1890.523514880000000</x:v>
      </x:c>
      <x:c r="O580" s="235" t="n">
        <x:v>1890.5235</x:v>
      </x:c>
      <x:c r="P580" s="235"/>
      <x:c r="Q580" s="235"/>
      <x:c r="R580" s="235" t="str">
        <x:v>INVOICE_OR_PLAN</x:v>
      </x:c>
      <x:c r="S580" s="238" t="n">
        <x:f>'Model_Calc'!BA100</x:f>
        <x:v>1890.5235148799998</x:v>
      </x:c>
      <x:c r="T580" s="238" t="n">
        <x:f>ROUND(S580-O580,4)</x:f>
        <x:v>0</x:v>
      </x:c>
    </x:row>
    <x:row r="581">
      <x:c r="A581" s="187" t="str">
        <x:v>BUDGET_2026_V1</x:v>
      </x:c>
      <x:c r="B581" s="187" t="str">
        <x:v>BUDGET</x:v>
      </x:c>
      <x:c r="C581" s="187"/>
      <x:c r="D581" s="217" t="n">
        <x:v>46296</x:v>
      </x:c>
      <x:c r="E581" s="187" t="str">
        <x:v>R_GB_DE_B_ROAD</x:v>
      </x:c>
      <x:c r="F581" s="187" t="str">
        <x:v>GB</x:v>
      </x:c>
      <x:c r="G581" s="187" t="str">
        <x:v>DE_FC</x:v>
      </x:c>
      <x:c r="H581" s="187" t="str">
        <x:v>CARRIER_B</x:v>
      </x:c>
      <x:c r="I581" s="187" t="str">
        <x:v>ROAD</x:v>
      </x:c>
      <x:c r="J581" s="187" t="str">
        <x:v>BASE_FREIGHT</x:v>
      </x:c>
      <x:c r="K581" s="187" t="str">
        <x:v>GBP</x:v>
      </x:c>
      <x:c r="L581" s="232" t="n">
        <x:v>7579.401984</x:v>
      </x:c>
      <x:c r="M581" s="232" t="n">
        <x:v>9</x:v>
      </x:c>
      <x:c r="N581" s="187" t="str">
        <x:v>68214.6178560000000000</x:v>
      </x:c>
      <x:c r="O581" s="235" t="n">
        <x:v>68214.6179</x:v>
      </x:c>
      <x:c r="P581" s="235"/>
      <x:c r="Q581" s="235"/>
      <x:c r="R581" s="235" t="str">
        <x:v>INVOICE_OR_PLAN</x:v>
      </x:c>
      <x:c r="S581" s="238" t="n">
        <x:f>'Model_Calc'!AF101</x:f>
        <x:v>68214.61785600001</x:v>
      </x:c>
      <x:c r="T581" s="238" t="n">
        <x:f>ROUND(S581-O581,4)</x:f>
        <x:v>0</x:v>
      </x:c>
    </x:row>
    <x:row r="582">
      <x:c r="A582" s="187" t="str">
        <x:v>BUDGET_2026_V1</x:v>
      </x:c>
      <x:c r="B582" s="187" t="str">
        <x:v>BUDGET</x:v>
      </x:c>
      <x:c r="C582" s="187"/>
      <x:c r="D582" s="217" t="n">
        <x:v>46296</x:v>
      </x:c>
      <x:c r="E582" s="187" t="str">
        <x:v>R_GB_DE_B_ROAD</x:v>
      </x:c>
      <x:c r="F582" s="187" t="str">
        <x:v>GB</x:v>
      </x:c>
      <x:c r="G582" s="187" t="str">
        <x:v>DE_FC</x:v>
      </x:c>
      <x:c r="H582" s="187" t="str">
        <x:v>CARRIER_B</x:v>
      </x:c>
      <x:c r="I582" s="187" t="str">
        <x:v>ROAD</x:v>
      </x:c>
      <x:c r="J582" s="187" t="str">
        <x:v>FUEL_SURCHARGE</x:v>
      </x:c>
      <x:c r="K582" s="187" t="str">
        <x:v>GBP</x:v>
      </x:c>
      <x:c r="L582" s="232" t="n">
        <x:v>532.1707776</x:v>
      </x:c>
      <x:c r="M582" s="232" t="n">
        <x:v>9</x:v>
      </x:c>
      <x:c r="N582" s="187" t="str">
        <x:v>4789.5369984000000000</x:v>
      </x:c>
      <x:c r="O582" s="235" t="n">
        <x:v>4789.537</x:v>
      </x:c>
      <x:c r="P582" s="235"/>
      <x:c r="Q582" s="235"/>
      <x:c r="R582" s="235" t="str">
        <x:v>INVOICE_OR_PLAN</x:v>
      </x:c>
      <x:c r="S582" s="238" t="n">
        <x:f>'Model_Calc'!AG101</x:f>
        <x:v>4789.536998400001</x:v>
      </x:c>
      <x:c r="T582" s="238" t="n">
        <x:f>ROUND(S582-O582,4)</x:f>
        <x:v>0</x:v>
      </x:c>
    </x:row>
    <x:row r="583">
      <x:c r="A583" s="187" t="str">
        <x:v>BUDGET_2026_V1</x:v>
      </x:c>
      <x:c r="B583" s="187" t="str">
        <x:v>BUDGET</x:v>
      </x:c>
      <x:c r="C583" s="187"/>
      <x:c r="D583" s="217" t="n">
        <x:v>46296</x:v>
      </x:c>
      <x:c r="E583" s="187" t="str">
        <x:v>R_GB_DE_B_ROAD</x:v>
      </x:c>
      <x:c r="F583" s="187" t="str">
        <x:v>GB</x:v>
      </x:c>
      <x:c r="G583" s="187" t="str">
        <x:v>DE_FC</x:v>
      </x:c>
      <x:c r="H583" s="187" t="str">
        <x:v>CARRIER_B</x:v>
      </x:c>
      <x:c r="I583" s="187" t="str">
        <x:v>ROAD</x:v>
      </x:c>
      <x:c r="J583" s="187" t="str">
        <x:v>WAREHOUSE_OPERATION</x:v>
      </x:c>
      <x:c r="K583" s="187" t="str">
        <x:v>EUR</x:v>
      </x:c>
      <x:c r="L583" s="232" t="n">
        <x:v>1682.208</x:v>
      </x:c>
      <x:c r="M583" s="232" t="n">
        <x:v>7.8</x:v>
      </x:c>
      <x:c r="N583" s="187" t="str">
        <x:v>13121.2224000000</x:v>
      </x:c>
      <x:c r="O583" s="235" t="n">
        <x:v>13121.2224</x:v>
      </x:c>
      <x:c r="P583" s="235"/>
      <x:c r="Q583" s="235"/>
      <x:c r="R583" s="235" t="str">
        <x:v>INVOICE_OR_PLAN</x:v>
      </x:c>
      <x:c r="S583" s="238" t="n">
        <x:f>'Model_Calc'!AL101</x:f>
        <x:v>13121.222399999999</x:v>
      </x:c>
      <x:c r="T583" s="238" t="n">
        <x:f>ROUND(S583-O583,4)</x:f>
        <x:v>0</x:v>
      </x:c>
    </x:row>
    <x:row r="584">
      <x:c r="A584" s="187" t="str">
        <x:v>BUDGET_2026_V1</x:v>
      </x:c>
      <x:c r="B584" s="187" t="str">
        <x:v>BUDGET</x:v>
      </x:c>
      <x:c r="C584" s="187"/>
      <x:c r="D584" s="217" t="n">
        <x:v>46296</x:v>
      </x:c>
      <x:c r="E584" s="187" t="str">
        <x:v>R_GB_DE_B_ROAD</x:v>
      </x:c>
      <x:c r="F584" s="187" t="str">
        <x:v>GB</x:v>
      </x:c>
      <x:c r="G584" s="187" t="str">
        <x:v>DE_FC</x:v>
      </x:c>
      <x:c r="H584" s="187" t="str">
        <x:v>CARRIER_B</x:v>
      </x:c>
      <x:c r="I584" s="187" t="str">
        <x:v>ROAD</x:v>
      </x:c>
      <x:c r="J584" s="187" t="str">
        <x:v>PACKAGING</x:v>
      </x:c>
      <x:c r="K584" s="187" t="str">
        <x:v>EUR</x:v>
      </x:c>
      <x:c r="L584" s="232" t="n">
        <x:v>670.60224</x:v>
      </x:c>
      <x:c r="M584" s="232" t="n">
        <x:v>7.8</x:v>
      </x:c>
      <x:c r="N584" s="187" t="str">
        <x:v>5230.697472000000</x:v>
      </x:c>
      <x:c r="O584" s="235" t="n">
        <x:v>5230.6975</x:v>
      </x:c>
      <x:c r="P584" s="235"/>
      <x:c r="Q584" s="235"/>
      <x:c r="R584" s="235" t="str">
        <x:v>INVOICE_OR_PLAN</x:v>
      </x:c>
      <x:c r="S584" s="238" t="n">
        <x:f>'Model_Calc'!AQ101</x:f>
        <x:v>5230.697472</x:v>
      </x:c>
      <x:c r="T584" s="238" t="n">
        <x:f>ROUND(S584-O584,4)</x:f>
        <x:v>0</x:v>
      </x:c>
    </x:row>
    <x:row r="585">
      <x:c r="A585" s="187" t="str">
        <x:v>BUDGET_2026_V1</x:v>
      </x:c>
      <x:c r="B585" s="187" t="str">
        <x:v>BUDGET</x:v>
      </x:c>
      <x:c r="C585" s="187"/>
      <x:c r="D585" s="217" t="n">
        <x:v>46296</x:v>
      </x:c>
      <x:c r="E585" s="187" t="str">
        <x:v>R_GB_DE_B_ROAD</x:v>
      </x:c>
      <x:c r="F585" s="187" t="str">
        <x:v>GB</x:v>
      </x:c>
      <x:c r="G585" s="187" t="str">
        <x:v>DE_FC</x:v>
      </x:c>
      <x:c r="H585" s="187" t="str">
        <x:v>CARRIER_B</x:v>
      </x:c>
      <x:c r="I585" s="187" t="str">
        <x:v>ROAD</x:v>
      </x:c>
      <x:c r="J585" s="187" t="str">
        <x:v>RETURN_LOGISTICS</x:v>
      </x:c>
      <x:c r="K585" s="187" t="str">
        <x:v>GBP</x:v>
      </x:c>
      <x:c r="L585" s="232" t="n">
        <x:v>547.4304</x:v>
      </x:c>
      <x:c r="M585" s="232" t="n">
        <x:v>9</x:v>
      </x:c>
      <x:c r="N585" s="187" t="str">
        <x:v>4926.8736000000000</x:v>
      </x:c>
      <x:c r="O585" s="235" t="n">
        <x:v>4926.8736</x:v>
      </x:c>
      <x:c r="P585" s="235"/>
      <x:c r="Q585" s="235"/>
      <x:c r="R585" s="235" t="str">
        <x:v>INVOICE_OR_PLAN</x:v>
      </x:c>
      <x:c r="S585" s="238" t="n">
        <x:f>'Model_Calc'!AV101</x:f>
        <x:v>4926.8736</x:v>
      </x:c>
      <x:c r="T585" s="238" t="n">
        <x:f>ROUND(S585-O585,4)</x:f>
        <x:v>0</x:v>
      </x:c>
    </x:row>
    <x:row r="586">
      <x:c r="A586" s="187" t="str">
        <x:v>BUDGET_2026_V1</x:v>
      </x:c>
      <x:c r="B586" s="187" t="str">
        <x:v>BUDGET</x:v>
      </x:c>
      <x:c r="C586" s="187"/>
      <x:c r="D586" s="217" t="n">
        <x:v>46296</x:v>
      </x:c>
      <x:c r="E586" s="187" t="str">
        <x:v>R_GB_DE_B_ROAD</x:v>
      </x:c>
      <x:c r="F586" s="187" t="str">
        <x:v>GB</x:v>
      </x:c>
      <x:c r="G586" s="187" t="str">
        <x:v>DE_FC</x:v>
      </x:c>
      <x:c r="H586" s="187" t="str">
        <x:v>CARRIER_B</x:v>
      </x:c>
      <x:c r="I586" s="187" t="str">
        <x:v>ROAD</x:v>
      </x:c>
      <x:c r="J586" s="187" t="str">
        <x:v>BILLABLE_EXCEPTION</x:v>
      </x:c>
      <x:c r="K586" s="187" t="str">
        <x:v>GBP</x:v>
      </x:c>
      <x:c r="L586" s="232" t="n">
        <x:v>62.4298752</x:v>
      </x:c>
      <x:c r="M586" s="232" t="n">
        <x:v>9</x:v>
      </x:c>
      <x:c r="N586" s="187" t="str">
        <x:v>561.868876800000000</x:v>
      </x:c>
      <x:c r="O586" s="235" t="n">
        <x:v>561.8689</x:v>
      </x:c>
      <x:c r="P586" s="235"/>
      <x:c r="Q586" s="235"/>
      <x:c r="R586" s="235" t="str">
        <x:v>INVOICE_OR_PLAN</x:v>
      </x:c>
      <x:c r="S586" s="238" t="n">
        <x:f>'Model_Calc'!BA101</x:f>
        <x:v>561.8688768000001</x:v>
      </x:c>
      <x:c r="T586" s="238" t="n">
        <x:f>ROUND(S586-O586,4)</x:f>
        <x:v>0</x:v>
      </x:c>
    </x:row>
    <x:row r="587">
      <x:c r="A587" s="187" t="str">
        <x:v>BUDGET_2026_V1</x:v>
      </x:c>
      <x:c r="B587" s="187" t="str">
        <x:v>BUDGET</x:v>
      </x:c>
      <x:c r="C587" s="187"/>
      <x:c r="D587" s="217" t="n">
        <x:v>46296</x:v>
      </x:c>
      <x:c r="E587" s="187" t="str">
        <x:v>R_GB_DE_B_AIR</x:v>
      </x:c>
      <x:c r="F587" s="187" t="str">
        <x:v>GB</x:v>
      </x:c>
      <x:c r="G587" s="187" t="str">
        <x:v>DE_FC</x:v>
      </x:c>
      <x:c r="H587" s="187" t="str">
        <x:v>CARRIER_B</x:v>
      </x:c>
      <x:c r="I587" s="187" t="str">
        <x:v>AIR</x:v>
      </x:c>
      <x:c r="J587" s="187" t="str">
        <x:v>BASE_FREIGHT</x:v>
      </x:c>
      <x:c r="K587" s="187" t="str">
        <x:v>GBP</x:v>
      </x:c>
      <x:c r="L587" s="232" t="n">
        <x:v>2631.5683688448</x:v>
      </x:c>
      <x:c r="M587" s="232" t="n">
        <x:v>9</x:v>
      </x:c>
      <x:c r="N587" s="187" t="str">
        <x:v>23684.1153196032000000</x:v>
      </x:c>
      <x:c r="O587" s="235" t="n">
        <x:v>23684.1153</x:v>
      </x:c>
      <x:c r="P587" s="235"/>
      <x:c r="Q587" s="235"/>
      <x:c r="R587" s="235" t="str">
        <x:v>INVOICE_OR_PLAN</x:v>
      </x:c>
      <x:c r="S587" s="238" t="n">
        <x:f>'Model_Calc'!AF102</x:f>
        <x:v>23684.115319603203</x:v>
      </x:c>
      <x:c r="T587" s="238" t="n">
        <x:f>ROUND(S587-O587,4)</x:f>
        <x:v>0</x:v>
      </x:c>
    </x:row>
    <x:row r="588">
      <x:c r="A588" s="187" t="str">
        <x:v>BUDGET_2026_V1</x:v>
      </x:c>
      <x:c r="B588" s="187" t="str">
        <x:v>BUDGET</x:v>
      </x:c>
      <x:c r="C588" s="187"/>
      <x:c r="D588" s="217" t="n">
        <x:v>46296</x:v>
      </x:c>
      <x:c r="E588" s="187" t="str">
        <x:v>R_GB_DE_B_AIR</x:v>
      </x:c>
      <x:c r="F588" s="187" t="str">
        <x:v>GB</x:v>
      </x:c>
      <x:c r="G588" s="187" t="str">
        <x:v>DE_FC</x:v>
      </x:c>
      <x:c r="H588" s="187" t="str">
        <x:v>CARRIER_B</x:v>
      </x:c>
      <x:c r="I588" s="187" t="str">
        <x:v>AIR</x:v>
      </x:c>
      <x:c r="J588" s="187" t="str">
        <x:v>FUEL_SURCHARGE</x:v>
      </x:c>
      <x:c r="K588" s="187" t="str">
        <x:v>GBP</x:v>
      </x:c>
      <x:c r="L588" s="232" t="n">
        <x:v>302.630362417152</x:v>
      </x:c>
      <x:c r="M588" s="232" t="n">
        <x:v>9</x:v>
      </x:c>
      <x:c r="N588" s="187" t="str">
        <x:v>2723.6732617543680000000</x:v>
      </x:c>
      <x:c r="O588" s="235" t="n">
        <x:v>2723.6733</x:v>
      </x:c>
      <x:c r="P588" s="235"/>
      <x:c r="Q588" s="235"/>
      <x:c r="R588" s="235" t="str">
        <x:v>INVOICE_OR_PLAN</x:v>
      </x:c>
      <x:c r="S588" s="238" t="n">
        <x:f>'Model_Calc'!AG102</x:f>
        <x:v>2723.6732617543685</x:v>
      </x:c>
      <x:c r="T588" s="238" t="n">
        <x:f>ROUND(S588-O588,4)</x:f>
        <x:v>0</x:v>
      </x:c>
    </x:row>
    <x:row r="589">
      <x:c r="A589" s="187" t="str">
        <x:v>BUDGET_2026_V1</x:v>
      </x:c>
      <x:c r="B589" s="187" t="str">
        <x:v>BUDGET</x:v>
      </x:c>
      <x:c r="C589" s="187"/>
      <x:c r="D589" s="217" t="n">
        <x:v>46296</x:v>
      </x:c>
      <x:c r="E589" s="187" t="str">
        <x:v>R_GB_DE_B_AIR</x:v>
      </x:c>
      <x:c r="F589" s="187" t="str">
        <x:v>GB</x:v>
      </x:c>
      <x:c r="G589" s="187" t="str">
        <x:v>DE_FC</x:v>
      </x:c>
      <x:c r="H589" s="187" t="str">
        <x:v>CARRIER_B</x:v>
      </x:c>
      <x:c r="I589" s="187" t="str">
        <x:v>AIR</x:v>
      </x:c>
      <x:c r="J589" s="187" t="str">
        <x:v>WAREHOUSE_OPERATION</x:v>
      </x:c>
      <x:c r="K589" s="187" t="str">
        <x:v>EUR</x:v>
      </x:c>
      <x:c r="L589" s="232" t="n">
        <x:v>471.01824</x:v>
      </x:c>
      <x:c r="M589" s="232" t="n">
        <x:v>7.8</x:v>
      </x:c>
      <x:c r="N589" s="187" t="str">
        <x:v>3673.9422720000</x:v>
      </x:c>
      <x:c r="O589" s="235" t="n">
        <x:v>3673.9423</x:v>
      </x:c>
      <x:c r="P589" s="235"/>
      <x:c r="Q589" s="235"/>
      <x:c r="R589" s="235" t="str">
        <x:v>INVOICE_OR_PLAN</x:v>
      </x:c>
      <x:c r="S589" s="238" t="n">
        <x:f>'Model_Calc'!AL102</x:f>
        <x:v>3673.942272</x:v>
      </x:c>
      <x:c r="T589" s="238" t="n">
        <x:f>ROUND(S589-O589,4)</x:f>
        <x:v>0</x:v>
      </x:c>
    </x:row>
    <x:row r="590">
      <x:c r="A590" s="187" t="str">
        <x:v>BUDGET_2026_V1</x:v>
      </x:c>
      <x:c r="B590" s="187" t="str">
        <x:v>BUDGET</x:v>
      </x:c>
      <x:c r="C590" s="187"/>
      <x:c r="D590" s="217" t="n">
        <x:v>46296</x:v>
      </x:c>
      <x:c r="E590" s="187" t="str">
        <x:v>R_GB_DE_B_AIR</x:v>
      </x:c>
      <x:c r="F590" s="187" t="str">
        <x:v>GB</x:v>
      </x:c>
      <x:c r="G590" s="187" t="str">
        <x:v>DE_FC</x:v>
      </x:c>
      <x:c r="H590" s="187" t="str">
        <x:v>CARRIER_B</x:v>
      </x:c>
      <x:c r="I590" s="187" t="str">
        <x:v>AIR</x:v>
      </x:c>
      <x:c r="J590" s="187" t="str">
        <x:v>PACKAGING</x:v>
      </x:c>
      <x:c r="K590" s="187" t="str">
        <x:v>EUR</x:v>
      </x:c>
      <x:c r="L590" s="232" t="n">
        <x:v>187.7686272</x:v>
      </x:c>
      <x:c r="M590" s="232" t="n">
        <x:v>7.8</x:v>
      </x:c>
      <x:c r="N590" s="187" t="str">
        <x:v>1464.595292160000</x:v>
      </x:c>
      <x:c r="O590" s="235" t="n">
        <x:v>1464.5953</x:v>
      </x:c>
      <x:c r="P590" s="235"/>
      <x:c r="Q590" s="235"/>
      <x:c r="R590" s="235" t="str">
        <x:v>INVOICE_OR_PLAN</x:v>
      </x:c>
      <x:c r="S590" s="238" t="n">
        <x:f>'Model_Calc'!AQ102</x:f>
        <x:v>1464.5952921599999</x:v>
      </x:c>
      <x:c r="T590" s="238" t="n">
        <x:f>ROUND(S590-O590,4)</x:f>
        <x:v>0</x:v>
      </x:c>
    </x:row>
    <x:row r="591">
      <x:c r="A591" s="187" t="str">
        <x:v>BUDGET_2026_V1</x:v>
      </x:c>
      <x:c r="B591" s="187" t="str">
        <x:v>BUDGET</x:v>
      </x:c>
      <x:c r="C591" s="187"/>
      <x:c r="D591" s="217" t="n">
        <x:v>46296</x:v>
      </x:c>
      <x:c r="E591" s="187" t="str">
        <x:v>R_GB_DE_B_AIR</x:v>
      </x:c>
      <x:c r="F591" s="187" t="str">
        <x:v>GB</x:v>
      </x:c>
      <x:c r="G591" s="187" t="str">
        <x:v>DE_FC</x:v>
      </x:c>
      <x:c r="H591" s="187" t="str">
        <x:v>CARRIER_B</x:v>
      </x:c>
      <x:c r="I591" s="187" t="str">
        <x:v>AIR</x:v>
      </x:c>
      <x:c r="J591" s="187" t="str">
        <x:v>RETURN_LOGISTICS</x:v>
      </x:c>
      <x:c r="K591" s="187" t="str">
        <x:v>GBP</x:v>
      </x:c>
      <x:c r="L591" s="232" t="n">
        <x:v>153.280512</x:v>
      </x:c>
      <x:c r="M591" s="232" t="n">
        <x:v>9</x:v>
      </x:c>
      <x:c r="N591" s="187" t="str">
        <x:v>1379.5246080000000</x:v>
      </x:c>
      <x:c r="O591" s="235" t="n">
        <x:v>1379.5246</x:v>
      </x:c>
      <x:c r="P591" s="235"/>
      <x:c r="Q591" s="235"/>
      <x:c r="R591" s="235" t="str">
        <x:v>INVOICE_OR_PLAN</x:v>
      </x:c>
      <x:c r="S591" s="238" t="n">
        <x:f>'Model_Calc'!AV102</x:f>
        <x:v>1379.524608</x:v>
      </x:c>
      <x:c r="T591" s="238" t="n">
        <x:f>ROUND(S591-O591,4)</x:f>
        <x:v>0</x:v>
      </x:c>
    </x:row>
    <x:row r="592">
      <x:c r="A592" s="187" t="str">
        <x:v>BUDGET_2026_V1</x:v>
      </x:c>
      <x:c r="B592" s="187" t="str">
        <x:v>BUDGET</x:v>
      </x:c>
      <x:c r="C592" s="187"/>
      <x:c r="D592" s="217" t="n">
        <x:v>46296</x:v>
      </x:c>
      <x:c r="E592" s="187" t="str">
        <x:v>R_GB_DE_B_AIR</x:v>
      </x:c>
      <x:c r="F592" s="187" t="str">
        <x:v>GB</x:v>
      </x:c>
      <x:c r="G592" s="187" t="str">
        <x:v>DE_FC</x:v>
      </x:c>
      <x:c r="H592" s="187" t="str">
        <x:v>CARRIER_B</x:v>
      </x:c>
      <x:c r="I592" s="187" t="str">
        <x:v>AIR</x:v>
      </x:c>
      <x:c r="J592" s="187" t="str">
        <x:v>BILLABLE_EXCEPTION</x:v>
      </x:c>
      <x:c r="K592" s="187" t="str">
        <x:v>GBP</x:v>
      </x:c>
      <x:c r="L592" s="232" t="n">
        <x:v>16.273281024</x:v>
      </x:c>
      <x:c r="M592" s="232" t="n">
        <x:v>9</x:v>
      </x:c>
      <x:c r="N592" s="187" t="str">
        <x:v>146.459529216000000</x:v>
      </x:c>
      <x:c r="O592" s="235" t="n">
        <x:v>146.4595</x:v>
      </x:c>
      <x:c r="P592" s="235"/>
      <x:c r="Q592" s="235"/>
      <x:c r="R592" s="235" t="str">
        <x:v>INVOICE_OR_PLAN</x:v>
      </x:c>
      <x:c r="S592" s="238" t="n">
        <x:f>'Model_Calc'!BA102</x:f>
        <x:v>146.459529216</x:v>
      </x:c>
      <x:c r="T592" s="238" t="n">
        <x:f>ROUND(S592-O592,4)</x:f>
        <x:v>0</x:v>
      </x:c>
    </x:row>
    <x:row r="593">
      <x:c r="A593" s="187" t="str">
        <x:v>BUDGET_2026_V1</x:v>
      </x:c>
      <x:c r="B593" s="187" t="str">
        <x:v>BUDGET</x:v>
      </x:c>
      <x:c r="C593" s="187"/>
      <x:c r="D593" s="217" t="n">
        <x:v>46296</x:v>
      </x:c>
      <x:c r="E593" s="187" t="str">
        <x:v>R_GB_DE_C_AIR</x:v>
      </x:c>
      <x:c r="F593" s="187" t="str">
        <x:v>GB</x:v>
      </x:c>
      <x:c r="G593" s="187" t="str">
        <x:v>DE_FC</x:v>
      </x:c>
      <x:c r="H593" s="187" t="str">
        <x:v>CARRIER_C</x:v>
      </x:c>
      <x:c r="I593" s="187" t="str">
        <x:v>AIR</x:v>
      </x:c>
      <x:c r="J593" s="187" t="str">
        <x:v>BASE_FREIGHT</x:v>
      </x:c>
      <x:c r="K593" s="187" t="str">
        <x:v>GBP</x:v>
      </x:c>
      <x:c r="L593" s="232" t="n">
        <x:v>1335.26486016</x:v>
      </x:c>
      <x:c r="M593" s="232" t="n">
        <x:v>9</x:v>
      </x:c>
      <x:c r="N593" s="187" t="str">
        <x:v>12017.3837414400000000</x:v>
      </x:c>
      <x:c r="O593" s="235" t="n">
        <x:v>12017.3837</x:v>
      </x:c>
      <x:c r="P593" s="235"/>
      <x:c r="Q593" s="235"/>
      <x:c r="R593" s="235" t="str">
        <x:v>INVOICE_OR_PLAN</x:v>
      </x:c>
      <x:c r="S593" s="238" t="n">
        <x:f>'Model_Calc'!AF103</x:f>
        <x:v>12017.383741439999</x:v>
      </x:c>
      <x:c r="T593" s="238" t="n">
        <x:f>ROUND(S593-O593,4)</x:f>
        <x:v>0</x:v>
      </x:c>
    </x:row>
    <x:row r="594">
      <x:c r="A594" s="187" t="str">
        <x:v>BUDGET_2026_V1</x:v>
      </x:c>
      <x:c r="B594" s="187" t="str">
        <x:v>BUDGET</x:v>
      </x:c>
      <x:c r="C594" s="187"/>
      <x:c r="D594" s="217" t="n">
        <x:v>46296</x:v>
      </x:c>
      <x:c r="E594" s="187" t="str">
        <x:v>R_GB_DE_C_AIR</x:v>
      </x:c>
      <x:c r="F594" s="187" t="str">
        <x:v>GB</x:v>
      </x:c>
      <x:c r="G594" s="187" t="str">
        <x:v>DE_FC</x:v>
      </x:c>
      <x:c r="H594" s="187" t="str">
        <x:v>CARRIER_C</x:v>
      </x:c>
      <x:c r="I594" s="187" t="str">
        <x:v>AIR</x:v>
      </x:c>
      <x:c r="J594" s="187" t="str">
        <x:v>FUEL_SURCHARGE</x:v>
      </x:c>
      <x:c r="K594" s="187" t="str">
        <x:v>GBP</x:v>
      </x:c>
      <x:c r="L594" s="232" t="n">
        <x:v>103.26048251904</x:v>
      </x:c>
      <x:c r="M594" s="232" t="n">
        <x:v>9</x:v>
      </x:c>
      <x:c r="N594" s="187" t="str">
        <x:v>929.3443426713600000</x:v>
      </x:c>
      <x:c r="O594" s="235" t="n">
        <x:v>929.3443</x:v>
      </x:c>
      <x:c r="P594" s="235"/>
      <x:c r="Q594" s="235"/>
      <x:c r="R594" s="235" t="str">
        <x:v>INVOICE_OR_PLAN</x:v>
      </x:c>
      <x:c r="S594" s="238" t="n">
        <x:f>'Model_Calc'!AG103</x:f>
        <x:v>929.34434267136</x:v>
      </x:c>
      <x:c r="T594" s="238" t="n">
        <x:f>ROUND(S594-O594,4)</x:f>
        <x:v>0</x:v>
      </x:c>
    </x:row>
    <x:row r="595">
      <x:c r="A595" s="187" t="str">
        <x:v>BUDGET_2026_V1</x:v>
      </x:c>
      <x:c r="B595" s="187" t="str">
        <x:v>BUDGET</x:v>
      </x:c>
      <x:c r="C595" s="187"/>
      <x:c r="D595" s="217" t="n">
        <x:v>46296</x:v>
      </x:c>
      <x:c r="E595" s="187" t="str">
        <x:v>R_GB_DE_C_AIR</x:v>
      </x:c>
      <x:c r="F595" s="187" t="str">
        <x:v>GB</x:v>
      </x:c>
      <x:c r="G595" s="187" t="str">
        <x:v>DE_FC</x:v>
      </x:c>
      <x:c r="H595" s="187" t="str">
        <x:v>CARRIER_C</x:v>
      </x:c>
      <x:c r="I595" s="187" t="str">
        <x:v>AIR</x:v>
      </x:c>
      <x:c r="J595" s="187" t="str">
        <x:v>WAREHOUSE_OPERATION</x:v>
      </x:c>
      <x:c r="K595" s="187" t="str">
        <x:v>EUR</x:v>
      </x:c>
      <x:c r="L595" s="232" t="n">
        <x:v>201.86496</x:v>
      </x:c>
      <x:c r="M595" s="232" t="n">
        <x:v>7.8</x:v>
      </x:c>
      <x:c r="N595" s="187" t="str">
        <x:v>1574.5466880000</x:v>
      </x:c>
      <x:c r="O595" s="235" t="n">
        <x:v>1574.5467</x:v>
      </x:c>
      <x:c r="P595" s="235"/>
      <x:c r="Q595" s="235"/>
      <x:c r="R595" s="235" t="str">
        <x:v>INVOICE_OR_PLAN</x:v>
      </x:c>
      <x:c r="S595" s="238" t="n">
        <x:f>'Model_Calc'!AL103</x:f>
        <x:v>1574.5466879999997</x:v>
      </x:c>
      <x:c r="T595" s="238" t="n">
        <x:f>ROUND(S595-O595,4)</x:f>
        <x:v>0</x:v>
      </x:c>
    </x:row>
    <x:row r="596">
      <x:c r="A596" s="187" t="str">
        <x:v>BUDGET_2026_V1</x:v>
      </x:c>
      <x:c r="B596" s="187" t="str">
        <x:v>BUDGET</x:v>
      </x:c>
      <x:c r="C596" s="187"/>
      <x:c r="D596" s="217" t="n">
        <x:v>46296</x:v>
      </x:c>
      <x:c r="E596" s="187" t="str">
        <x:v>R_GB_DE_C_AIR</x:v>
      </x:c>
      <x:c r="F596" s="187" t="str">
        <x:v>GB</x:v>
      </x:c>
      <x:c r="G596" s="187" t="str">
        <x:v>DE_FC</x:v>
      </x:c>
      <x:c r="H596" s="187" t="str">
        <x:v>CARRIER_C</x:v>
      </x:c>
      <x:c r="I596" s="187" t="str">
        <x:v>AIR</x:v>
      </x:c>
      <x:c r="J596" s="187" t="str">
        <x:v>PACKAGING</x:v>
      </x:c>
      <x:c r="K596" s="187" t="str">
        <x:v>EUR</x:v>
      </x:c>
      <x:c r="L596" s="232" t="n">
        <x:v>80.4722688</x:v>
      </x:c>
      <x:c r="M596" s="232" t="n">
        <x:v>7.8</x:v>
      </x:c>
      <x:c r="N596" s="187" t="str">
        <x:v>627.683696640000</x:v>
      </x:c>
      <x:c r="O596" s="235" t="n">
        <x:v>627.6837</x:v>
      </x:c>
      <x:c r="P596" s="235"/>
      <x:c r="Q596" s="235"/>
      <x:c r="R596" s="235" t="str">
        <x:v>INVOICE_OR_PLAN</x:v>
      </x:c>
      <x:c r="S596" s="238" t="n">
        <x:f>'Model_Calc'!AQ103</x:f>
        <x:v>627.68369664</x:v>
      </x:c>
      <x:c r="T596" s="238" t="n">
        <x:f>ROUND(S596-O596,4)</x:f>
        <x:v>0</x:v>
      </x:c>
    </x:row>
    <x:row r="597">
      <x:c r="A597" s="187" t="str">
        <x:v>BUDGET_2026_V1</x:v>
      </x:c>
      <x:c r="B597" s="187" t="str">
        <x:v>BUDGET</x:v>
      </x:c>
      <x:c r="C597" s="187"/>
      <x:c r="D597" s="217" t="n">
        <x:v>46296</x:v>
      </x:c>
      <x:c r="E597" s="187" t="str">
        <x:v>R_GB_DE_C_AIR</x:v>
      </x:c>
      <x:c r="F597" s="187" t="str">
        <x:v>GB</x:v>
      </x:c>
      <x:c r="G597" s="187" t="str">
        <x:v>DE_FC</x:v>
      </x:c>
      <x:c r="H597" s="187" t="str">
        <x:v>CARRIER_C</x:v>
      </x:c>
      <x:c r="I597" s="187" t="str">
        <x:v>AIR</x:v>
      </x:c>
      <x:c r="J597" s="187" t="str">
        <x:v>RETURN_LOGISTICS</x:v>
      </x:c>
      <x:c r="K597" s="187" t="str">
        <x:v>GBP</x:v>
      </x:c>
      <x:c r="L597" s="232" t="n">
        <x:v>65.691648</x:v>
      </x:c>
      <x:c r="M597" s="232" t="n">
        <x:v>9</x:v>
      </x:c>
      <x:c r="N597" s="187" t="str">
        <x:v>591.2248320000000</x:v>
      </x:c>
      <x:c r="O597" s="235" t="n">
        <x:v>591.2248</x:v>
      </x:c>
      <x:c r="P597" s="235"/>
      <x:c r="Q597" s="235"/>
      <x:c r="R597" s="235" t="str">
        <x:v>INVOICE_OR_PLAN</x:v>
      </x:c>
      <x:c r="S597" s="238" t="n">
        <x:f>'Model_Calc'!AV103</x:f>
        <x:v>591.2248319999999</x:v>
      </x:c>
      <x:c r="T597" s="238" t="n">
        <x:f>ROUND(S597-O597,4)</x:f>
        <x:v>0</x:v>
      </x:c>
    </x:row>
    <x:row r="598">
      <x:c r="A598" s="187" t="str">
        <x:v>BUDGET_2026_V1</x:v>
      </x:c>
      <x:c r="B598" s="187" t="str">
        <x:v>BUDGET</x:v>
      </x:c>
      <x:c r="C598" s="187"/>
      <x:c r="D598" s="217" t="n">
        <x:v>46296</x:v>
      </x:c>
      <x:c r="E598" s="187" t="str">
        <x:v>R_GB_DE_C_AIR</x:v>
      </x:c>
      <x:c r="F598" s="187" t="str">
        <x:v>GB</x:v>
      </x:c>
      <x:c r="G598" s="187" t="str">
        <x:v>DE_FC</x:v>
      </x:c>
      <x:c r="H598" s="187" t="str">
        <x:v>CARRIER_C</x:v>
      </x:c>
      <x:c r="I598" s="187" t="str">
        <x:v>AIR</x:v>
      </x:c>
      <x:c r="J598" s="187" t="str">
        <x:v>BILLABLE_EXCEPTION</x:v>
      </x:c>
      <x:c r="K598" s="187" t="str">
        <x:v>GBP</x:v>
      </x:c>
      <x:c r="L598" s="232" t="n">
        <x:v>6.207860736</x:v>
      </x:c>
      <x:c r="M598" s="232" t="n">
        <x:v>9</x:v>
      </x:c>
      <x:c r="N598" s="187" t="str">
        <x:v>55.870746624000000</x:v>
      </x:c>
      <x:c r="O598" s="235" t="n">
        <x:v>55.8707</x:v>
      </x:c>
      <x:c r="P598" s="235"/>
      <x:c r="Q598" s="235"/>
      <x:c r="R598" s="235" t="str">
        <x:v>INVOICE_OR_PLAN</x:v>
      </x:c>
      <x:c r="S598" s="238" t="n">
        <x:f>'Model_Calc'!BA103</x:f>
        <x:v>55.870746624</x:v>
      </x:c>
      <x:c r="T598" s="238" t="n">
        <x:f>ROUND(S598-O598,4)</x:f>
        <x:v>0</x:v>
      </x:c>
    </x:row>
    <x:row r="599">
      <x:c r="A599" s="187" t="str">
        <x:v>BUDGET_2026_V1</x:v>
      </x:c>
      <x:c r="B599" s="187" t="str">
        <x:v>BUDGET</x:v>
      </x:c>
      <x:c r="C599" s="187"/>
      <x:c r="D599" s="217" t="n">
        <x:v>46296</x:v>
      </x:c>
      <x:c r="E599" s="187" t="str">
        <x:v>R_GB_FR_B_AIR</x:v>
      </x:c>
      <x:c r="F599" s="187" t="str">
        <x:v>GB</x:v>
      </x:c>
      <x:c r="G599" s="187" t="str">
        <x:v>FR_FC</x:v>
      </x:c>
      <x:c r="H599" s="187" t="str">
        <x:v>CARRIER_B</x:v>
      </x:c>
      <x:c r="I599" s="187" t="str">
        <x:v>AIR</x:v>
      </x:c>
      <x:c r="J599" s="187" t="str">
        <x:v>BASE_FREIGHT</x:v>
      </x:c>
      <x:c r="K599" s="187" t="str">
        <x:v>EUR</x:v>
      </x:c>
      <x:c r="L599" s="232" t="n">
        <x:v>1664.113572</x:v>
      </x:c>
      <x:c r="M599" s="232" t="n">
        <x:v>7.8</x:v>
      </x:c>
      <x:c r="N599" s="187" t="str">
        <x:v>12980.08586160000000</x:v>
      </x:c>
      <x:c r="O599" s="235" t="n">
        <x:v>12980.0859</x:v>
      </x:c>
      <x:c r="P599" s="235"/>
      <x:c r="Q599" s="235"/>
      <x:c r="R599" s="235" t="str">
        <x:v>INVOICE_OR_PLAN</x:v>
      </x:c>
      <x:c r="S599" s="238" t="n">
        <x:f>'Model_Calc'!AF104</x:f>
        <x:v>12980.085861599997</x:v>
      </x:c>
      <x:c r="T599" s="238" t="n">
        <x:f>ROUND(S599-O599,4)</x:f>
        <x:v>0</x:v>
      </x:c>
    </x:row>
    <x:row r="600">
      <x:c r="A600" s="187" t="str">
        <x:v>BUDGET_2026_V1</x:v>
      </x:c>
      <x:c r="B600" s="187" t="str">
        <x:v>BUDGET</x:v>
      </x:c>
      <x:c r="C600" s="187"/>
      <x:c r="D600" s="217" t="n">
        <x:v>46296</x:v>
      </x:c>
      <x:c r="E600" s="187" t="str">
        <x:v>R_GB_FR_B_AIR</x:v>
      </x:c>
      <x:c r="F600" s="187" t="str">
        <x:v>GB</x:v>
      </x:c>
      <x:c r="G600" s="187" t="str">
        <x:v>FR_FC</x:v>
      </x:c>
      <x:c r="H600" s="187" t="str">
        <x:v>CARRIER_B</x:v>
      </x:c>
      <x:c r="I600" s="187" t="str">
        <x:v>AIR</x:v>
      </x:c>
      <x:c r="J600" s="187" t="str">
        <x:v>FUEL_SURCHARGE</x:v>
      </x:c>
      <x:c r="K600" s="187" t="str">
        <x:v>EUR</x:v>
      </x:c>
      <x:c r="L600" s="232" t="n">
        <x:v>174.73192506</x:v>
      </x:c>
      <x:c r="M600" s="232" t="n">
        <x:v>7.8</x:v>
      </x:c>
      <x:c r="N600" s="187" t="str">
        <x:v>1362.90901546800000000</x:v>
      </x:c>
      <x:c r="O600" s="235" t="n">
        <x:v>1362.909</x:v>
      </x:c>
      <x:c r="P600" s="235"/>
      <x:c r="Q600" s="235"/>
      <x:c r="R600" s="235" t="str">
        <x:v>INVOICE_OR_PLAN</x:v>
      </x:c>
      <x:c r="S600" s="238" t="n">
        <x:f>'Model_Calc'!AG104</x:f>
        <x:v>1362.9090154679998</x:v>
      </x:c>
      <x:c r="T600" s="238" t="n">
        <x:f>ROUND(S600-O600,4)</x:f>
        <x:v>0</x:v>
      </x:c>
    </x:row>
    <x:row r="601">
      <x:c r="A601" s="187" t="str">
        <x:v>BUDGET_2026_V1</x:v>
      </x:c>
      <x:c r="B601" s="187" t="str">
        <x:v>BUDGET</x:v>
      </x:c>
      <x:c r="C601" s="187"/>
      <x:c r="D601" s="217" t="n">
        <x:v>46296</x:v>
      </x:c>
      <x:c r="E601" s="187" t="str">
        <x:v>R_GB_FR_B_AIR</x:v>
      </x:c>
      <x:c r="F601" s="187" t="str">
        <x:v>GB</x:v>
      </x:c>
      <x:c r="G601" s="187" t="str">
        <x:v>FR_FC</x:v>
      </x:c>
      <x:c r="H601" s="187" t="str">
        <x:v>CARRIER_B</x:v>
      </x:c>
      <x:c r="I601" s="187" t="str">
        <x:v>AIR</x:v>
      </x:c>
      <x:c r="J601" s="187" t="str">
        <x:v>WAREHOUSE_OPERATION</x:v>
      </x:c>
      <x:c r="K601" s="187" t="str">
        <x:v>EUR</x:v>
      </x:c>
      <x:c r="L601" s="232" t="n">
        <x:v>249.48</x:v>
      </x:c>
      <x:c r="M601" s="232" t="n">
        <x:v>7.8</x:v>
      </x:c>
      <x:c r="N601" s="187" t="str">
        <x:v>1945.94400000</x:v>
      </x:c>
      <x:c r="O601" s="235" t="n">
        <x:v>1945.944</x:v>
      </x:c>
      <x:c r="P601" s="235"/>
      <x:c r="Q601" s="235"/>
      <x:c r="R601" s="235" t="str">
        <x:v>INVOICE_OR_PLAN</x:v>
      </x:c>
      <x:c r="S601" s="238" t="n">
        <x:f>'Model_Calc'!AL104</x:f>
        <x:v>1945.9440000000002</x:v>
      </x:c>
      <x:c r="T601" s="238" t="n">
        <x:f>ROUND(S601-O601,4)</x:f>
        <x:v>0</x:v>
      </x:c>
    </x:row>
    <x:row r="602">
      <x:c r="A602" s="187" t="str">
        <x:v>BUDGET_2026_V1</x:v>
      </x:c>
      <x:c r="B602" s="187" t="str">
        <x:v>BUDGET</x:v>
      </x:c>
      <x:c r="C602" s="187"/>
      <x:c r="D602" s="217" t="n">
        <x:v>46296</x:v>
      </x:c>
      <x:c r="E602" s="187" t="str">
        <x:v>R_GB_FR_B_AIR</x:v>
      </x:c>
      <x:c r="F602" s="187" t="str">
        <x:v>GB</x:v>
      </x:c>
      <x:c r="G602" s="187" t="str">
        <x:v>FR_FC</x:v>
      </x:c>
      <x:c r="H602" s="187" t="str">
        <x:v>CARRIER_B</x:v>
      </x:c>
      <x:c r="I602" s="187" t="str">
        <x:v>AIR</x:v>
      </x:c>
      <x:c r="J602" s="187" t="str">
        <x:v>PACKAGING</x:v>
      </x:c>
      <x:c r="K602" s="187" t="str">
        <x:v>EUR</x:v>
      </x:c>
      <x:c r="L602" s="232" t="n">
        <x:v>103.8312</x:v>
      </x:c>
      <x:c r="M602" s="232" t="n">
        <x:v>7.8</x:v>
      </x:c>
      <x:c r="N602" s="187" t="str">
        <x:v>809.8833600000</x:v>
      </x:c>
      <x:c r="O602" s="235" t="n">
        <x:v>809.8834</x:v>
      </x:c>
      <x:c r="P602" s="235"/>
      <x:c r="Q602" s="235"/>
      <x:c r="R602" s="235" t="str">
        <x:v>INVOICE_OR_PLAN</x:v>
      </x:c>
      <x:c r="S602" s="238" t="n">
        <x:f>'Model_Calc'!AQ104</x:f>
        <x:v>809.8833599999998</x:v>
      </x:c>
      <x:c r="T602" s="238" t="n">
        <x:f>ROUND(S602-O602,4)</x:f>
        <x:v>0</x:v>
      </x:c>
    </x:row>
    <x:row r="603">
      <x:c r="A603" s="187" t="str">
        <x:v>BUDGET_2026_V1</x:v>
      </x:c>
      <x:c r="B603" s="187" t="str">
        <x:v>BUDGET</x:v>
      </x:c>
      <x:c r="C603" s="187"/>
      <x:c r="D603" s="217" t="n">
        <x:v>46296</x:v>
      </x:c>
      <x:c r="E603" s="187" t="str">
        <x:v>R_GB_FR_B_AIR</x:v>
      </x:c>
      <x:c r="F603" s="187" t="str">
        <x:v>GB</x:v>
      </x:c>
      <x:c r="G603" s="187" t="str">
        <x:v>FR_FC</x:v>
      </x:c>
      <x:c r="H603" s="187" t="str">
        <x:v>CARRIER_B</x:v>
      </x:c>
      <x:c r="I603" s="187" t="str">
        <x:v>AIR</x:v>
      </x:c>
      <x:c r="J603" s="187" t="str">
        <x:v>RETURN_LOGISTICS</x:v>
      </x:c>
      <x:c r="K603" s="187" t="str">
        <x:v>EUR</x:v>
      </x:c>
      <x:c r="L603" s="232" t="n">
        <x:v>98.8416</x:v>
      </x:c>
      <x:c r="M603" s="232" t="n">
        <x:v>7.8</x:v>
      </x:c>
      <x:c r="N603" s="187" t="str">
        <x:v>770.96448000000</x:v>
      </x:c>
      <x:c r="O603" s="235" t="n">
        <x:v>770.9645</x:v>
      </x:c>
      <x:c r="P603" s="235"/>
      <x:c r="Q603" s="235"/>
      <x:c r="R603" s="235" t="str">
        <x:v>INVOICE_OR_PLAN</x:v>
      </x:c>
      <x:c r="S603" s="238" t="n">
        <x:f>'Model_Calc'!AV104</x:f>
        <x:v>770.96448</x:v>
      </x:c>
      <x:c r="T603" s="238" t="n">
        <x:f>ROUND(S603-O603,4)</x:f>
        <x:v>0</x:v>
      </x:c>
    </x:row>
    <x:row r="604">
      <x:c r="A604" s="187" t="str">
        <x:v>BUDGET_2026_V1</x:v>
      </x:c>
      <x:c r="B604" s="187" t="str">
        <x:v>BUDGET</x:v>
      </x:c>
      <x:c r="C604" s="187"/>
      <x:c r="D604" s="217" t="n">
        <x:v>46296</x:v>
      </x:c>
      <x:c r="E604" s="187" t="str">
        <x:v>R_GB_FR_B_AIR</x:v>
      </x:c>
      <x:c r="F604" s="187" t="str">
        <x:v>GB</x:v>
      </x:c>
      <x:c r="G604" s="187" t="str">
        <x:v>FR_FC</x:v>
      </x:c>
      <x:c r="H604" s="187" t="str">
        <x:v>CARRIER_B</x:v>
      </x:c>
      <x:c r="I604" s="187" t="str">
        <x:v>AIR</x:v>
      </x:c>
      <x:c r="J604" s="187" t="str">
        <x:v>BILLABLE_EXCEPTION</x:v>
      </x:c>
      <x:c r="K604" s="187" t="str">
        <x:v>EUR</x:v>
      </x:c>
      <x:c r="L604" s="232" t="n">
        <x:v>9.180864</x:v>
      </x:c>
      <x:c r="M604" s="232" t="n">
        <x:v>7.8</x:v>
      </x:c>
      <x:c r="N604" s="187" t="str">
        <x:v>71.6107392000000</x:v>
      </x:c>
      <x:c r="O604" s="235" t="n">
        <x:v>71.6107</x:v>
      </x:c>
      <x:c r="P604" s="235"/>
      <x:c r="Q604" s="235"/>
      <x:c r="R604" s="235" t="str">
        <x:v>INVOICE_OR_PLAN</x:v>
      </x:c>
      <x:c r="S604" s="238" t="n">
        <x:f>'Model_Calc'!BA104</x:f>
        <x:v>71.61073919999998</x:v>
      </x:c>
      <x:c r="T604" s="238" t="n">
        <x:f>ROUND(S604-O604,4)</x:f>
        <x:v>0</x:v>
      </x:c>
    </x:row>
    <x:row r="605">
      <x:c r="A605" s="187" t="str">
        <x:v>BUDGET_2026_V1</x:v>
      </x:c>
      <x:c r="B605" s="187" t="str">
        <x:v>BUDGET</x:v>
      </x:c>
      <x:c r="C605" s="187"/>
      <x:c r="D605" s="217" t="n">
        <x:v>46327</x:v>
      </x:c>
      <x:c r="E605" s="187" t="str">
        <x:v>R_DE_DE_A_ROAD</x:v>
      </x:c>
      <x:c r="F605" s="187" t="str">
        <x:v>DE</x:v>
      </x:c>
      <x:c r="G605" s="187" t="str">
        <x:v>DE_FC</x:v>
      </x:c>
      <x:c r="H605" s="187" t="str">
        <x:v>CARRIER_A</x:v>
      </x:c>
      <x:c r="I605" s="187" t="str">
        <x:v>ROAD</x:v>
      </x:c>
      <x:c r="J605" s="187" t="str">
        <x:v>BASE_FREIGHT</x:v>
      </x:c>
      <x:c r="K605" s="187" t="str">
        <x:v>EUR</x:v>
      </x:c>
      <x:c r="L605" s="232" t="n">
        <x:v>7922.32288848</x:v>
      </x:c>
      <x:c r="M605" s="232" t="n">
        <x:v>7.8</x:v>
      </x:c>
      <x:c r="N605" s="187" t="str">
        <x:v>61794.1185301440000000</x:v>
      </x:c>
      <x:c r="O605" s="235" t="n">
        <x:v>61794.1185</x:v>
      </x:c>
      <x:c r="P605" s="235"/>
      <x:c r="Q605" s="235"/>
      <x:c r="R605" s="235" t="str">
        <x:v>INVOICE_OR_PLAN</x:v>
      </x:c>
      <x:c r="S605" s="238" t="n">
        <x:f>'Model_Calc'!AF105</x:f>
        <x:v>61794.118530144005</x:v>
      </x:c>
      <x:c r="T605" s="238" t="n">
        <x:f>ROUND(S605-O605,4)</x:f>
        <x:v>0</x:v>
      </x:c>
    </x:row>
    <x:row r="606">
      <x:c r="A606" s="187" t="str">
        <x:v>BUDGET_2026_V1</x:v>
      </x:c>
      <x:c r="B606" s="187" t="str">
        <x:v>BUDGET</x:v>
      </x:c>
      <x:c r="C606" s="187"/>
      <x:c r="D606" s="217" t="n">
        <x:v>46327</x:v>
      </x:c>
      <x:c r="E606" s="187" t="str">
        <x:v>R_DE_DE_A_ROAD</x:v>
      </x:c>
      <x:c r="F606" s="187" t="str">
        <x:v>DE</x:v>
      </x:c>
      <x:c r="G606" s="187" t="str">
        <x:v>DE_FC</x:v>
      </x:c>
      <x:c r="H606" s="187" t="str">
        <x:v>CARRIER_A</x:v>
      </x:c>
      <x:c r="I606" s="187" t="str">
        <x:v>ROAD</x:v>
      </x:c>
      <x:c r="J606" s="187" t="str">
        <x:v>FUEL_SURCHARGE</x:v>
      </x:c>
      <x:c r="K606" s="187" t="str">
        <x:v>EUR</x:v>
      </x:c>
      <x:c r="L606" s="232" t="n">
        <x:v>752.6206744056</x:v>
      </x:c>
      <x:c r="M606" s="232" t="n">
        <x:v>7.8</x:v>
      </x:c>
      <x:c r="N606" s="187" t="str">
        <x:v>5870.4412603636800000000</x:v>
      </x:c>
      <x:c r="O606" s="235" t="n">
        <x:v>5870.4413</x:v>
      </x:c>
      <x:c r="P606" s="235"/>
      <x:c r="Q606" s="235"/>
      <x:c r="R606" s="235" t="str">
        <x:v>INVOICE_OR_PLAN</x:v>
      </x:c>
      <x:c r="S606" s="238" t="n">
        <x:f>'Model_Calc'!AG105</x:f>
        <x:v>5870.44126036368</x:v>
      </x:c>
      <x:c r="T606" s="238" t="n">
        <x:f>ROUND(S606-O606,4)</x:f>
        <x:v>0</x:v>
      </x:c>
    </x:row>
    <x:row r="607">
      <x:c r="A607" s="187" t="str">
        <x:v>BUDGET_2026_V1</x:v>
      </x:c>
      <x:c r="B607" s="187" t="str">
        <x:v>BUDGET</x:v>
      </x:c>
      <x:c r="C607" s="187"/>
      <x:c r="D607" s="217" t="n">
        <x:v>46327</x:v>
      </x:c>
      <x:c r="E607" s="187" t="str">
        <x:v>R_DE_DE_A_ROAD</x:v>
      </x:c>
      <x:c r="F607" s="187" t="str">
        <x:v>DE</x:v>
      </x:c>
      <x:c r="G607" s="187" t="str">
        <x:v>DE_FC</x:v>
      </x:c>
      <x:c r="H607" s="187" t="str">
        <x:v>CARRIER_A</x:v>
      </x:c>
      <x:c r="I607" s="187" t="str">
        <x:v>ROAD</x:v>
      </x:c>
      <x:c r="J607" s="187" t="str">
        <x:v>WAREHOUSE_OPERATION</x:v>
      </x:c>
      <x:c r="K607" s="187" t="str">
        <x:v>EUR</x:v>
      </x:c>
      <x:c r="L607" s="232" t="n">
        <x:v>5136.9648</x:v>
      </x:c>
      <x:c r="M607" s="232" t="n">
        <x:v>7.8</x:v>
      </x:c>
      <x:c r="N607" s="187" t="str">
        <x:v>40068.3254400000</x:v>
      </x:c>
      <x:c r="O607" s="235" t="n">
        <x:v>40068.3254</x:v>
      </x:c>
      <x:c r="P607" s="235"/>
      <x:c r="Q607" s="235"/>
      <x:c r="R607" s="235" t="str">
        <x:v>INVOICE_OR_PLAN</x:v>
      </x:c>
      <x:c r="S607" s="238" t="n">
        <x:f>'Model_Calc'!AL105</x:f>
        <x:v>40068.32544</x:v>
      </x:c>
      <x:c r="T607" s="238" t="n">
        <x:f>ROUND(S607-O607,4)</x:f>
        <x:v>0</x:v>
      </x:c>
    </x:row>
    <x:row r="608">
      <x:c r="A608" s="187" t="str">
        <x:v>BUDGET_2026_V1</x:v>
      </x:c>
      <x:c r="B608" s="187" t="str">
        <x:v>BUDGET</x:v>
      </x:c>
      <x:c r="C608" s="187"/>
      <x:c r="D608" s="217" t="n">
        <x:v>46327</x:v>
      </x:c>
      <x:c r="E608" s="187" t="str">
        <x:v>R_DE_DE_A_ROAD</x:v>
      </x:c>
      <x:c r="F608" s="187" t="str">
        <x:v>DE</x:v>
      </x:c>
      <x:c r="G608" s="187" t="str">
        <x:v>DE_FC</x:v>
      </x:c>
      <x:c r="H608" s="187" t="str">
        <x:v>CARRIER_A</x:v>
      </x:c>
      <x:c r="I608" s="187" t="str">
        <x:v>ROAD</x:v>
      </x:c>
      <x:c r="J608" s="187" t="str">
        <x:v>PACKAGING</x:v>
      </x:c>
      <x:c r="K608" s="187" t="str">
        <x:v>EUR</x:v>
      </x:c>
      <x:c r="L608" s="232" t="n">
        <x:v>1919.83176</x:v>
      </x:c>
      <x:c r="M608" s="232" t="n">
        <x:v>7.8</x:v>
      </x:c>
      <x:c r="N608" s="187" t="str">
        <x:v>14974.687728000000</x:v>
      </x:c>
      <x:c r="O608" s="235" t="n">
        <x:v>14974.6877</x:v>
      </x:c>
      <x:c r="P608" s="235"/>
      <x:c r="Q608" s="235"/>
      <x:c r="R608" s="235" t="str">
        <x:v>INVOICE_OR_PLAN</x:v>
      </x:c>
      <x:c r="S608" s="238" t="n">
        <x:f>'Model_Calc'!AQ105</x:f>
        <x:v>14974.687728</x:v>
      </x:c>
      <x:c r="T608" s="238" t="n">
        <x:f>ROUND(S608-O608,4)</x:f>
        <x:v>0</x:v>
      </x:c>
    </x:row>
    <x:row r="609">
      <x:c r="A609" s="187" t="str">
        <x:v>BUDGET_2026_V1</x:v>
      </x:c>
      <x:c r="B609" s="187" t="str">
        <x:v>BUDGET</x:v>
      </x:c>
      <x:c r="C609" s="187"/>
      <x:c r="D609" s="217" t="n">
        <x:v>46327</x:v>
      </x:c>
      <x:c r="E609" s="187" t="str">
        <x:v>R_DE_DE_A_ROAD</x:v>
      </x:c>
      <x:c r="F609" s="187" t="str">
        <x:v>DE</x:v>
      </x:c>
      <x:c r="G609" s="187" t="str">
        <x:v>DE_FC</x:v>
      </x:c>
      <x:c r="H609" s="187" t="str">
        <x:v>CARRIER_A</x:v>
      </x:c>
      <x:c r="I609" s="187" t="str">
        <x:v>ROAD</x:v>
      </x:c>
      <x:c r="J609" s="187" t="str">
        <x:v>RETURN_LOGISTICS</x:v>
      </x:c>
      <x:c r="K609" s="187" t="str">
        <x:v>EUR</x:v>
      </x:c>
      <x:c r="L609" s="232" t="n">
        <x:v>696.5376</x:v>
      </x:c>
      <x:c r="M609" s="232" t="n">
        <x:v>7.8</x:v>
      </x:c>
      <x:c r="N609" s="187" t="str">
        <x:v>5432.9932800000000</x:v>
      </x:c>
      <x:c r="O609" s="235" t="n">
        <x:v>5432.9933</x:v>
      </x:c>
      <x:c r="P609" s="235"/>
      <x:c r="Q609" s="235"/>
      <x:c r="R609" s="235" t="str">
        <x:v>INVOICE_OR_PLAN</x:v>
      </x:c>
      <x:c r="S609" s="238" t="n">
        <x:f>'Model_Calc'!AV105</x:f>
        <x:v>5432.993280000001</x:v>
      </x:c>
      <x:c r="T609" s="238" t="n">
        <x:f>ROUND(S609-O609,4)</x:f>
        <x:v>0</x:v>
      </x:c>
    </x:row>
    <x:row r="610">
      <x:c r="A610" s="187" t="str">
        <x:v>BUDGET_2026_V1</x:v>
      </x:c>
      <x:c r="B610" s="187" t="str">
        <x:v>BUDGET</x:v>
      </x:c>
      <x:c r="C610" s="187"/>
      <x:c r="D610" s="217" t="n">
        <x:v>46327</x:v>
      </x:c>
      <x:c r="E610" s="187" t="str">
        <x:v>R_DE_DE_A_ROAD</x:v>
      </x:c>
      <x:c r="F610" s="187" t="str">
        <x:v>DE</x:v>
      </x:c>
      <x:c r="G610" s="187" t="str">
        <x:v>DE_FC</x:v>
      </x:c>
      <x:c r="H610" s="187" t="str">
        <x:v>CARRIER_A</x:v>
      </x:c>
      <x:c r="I610" s="187" t="str">
        <x:v>ROAD</x:v>
      </x:c>
      <x:c r="J610" s="187" t="str">
        <x:v>BILLABLE_EXCEPTION</x:v>
      </x:c>
      <x:c r="K610" s="187" t="str">
        <x:v>EUR</x:v>
      </x:c>
      <x:c r="L610" s="232" t="n">
        <x:v>168.2138304</x:v>
      </x:c>
      <x:c r="M610" s="232" t="n">
        <x:v>7.8</x:v>
      </x:c>
      <x:c r="N610" s="187" t="str">
        <x:v>1312.067877120000000</x:v>
      </x:c>
      <x:c r="O610" s="235" t="n">
        <x:v>1312.0679</x:v>
      </x:c>
      <x:c r="P610" s="235"/>
      <x:c r="Q610" s="235"/>
      <x:c r="R610" s="235" t="str">
        <x:v>INVOICE_OR_PLAN</x:v>
      </x:c>
      <x:c r="S610" s="238" t="n">
        <x:f>'Model_Calc'!BA105</x:f>
        <x:v>1312.0678771199998</x:v>
      </x:c>
      <x:c r="T610" s="238" t="n">
        <x:f>ROUND(S610-O610,4)</x:f>
        <x:v>0</x:v>
      </x:c>
    </x:row>
    <x:row r="611">
      <x:c r="A611" s="187" t="str">
        <x:v>BUDGET_2026_V1</x:v>
      </x:c>
      <x:c r="B611" s="187" t="str">
        <x:v>BUDGET</x:v>
      </x:c>
      <x:c r="C611" s="187"/>
      <x:c r="D611" s="217" t="n">
        <x:v>46327</x:v>
      </x:c>
      <x:c r="E611" s="187" t="str">
        <x:v>R_DE_DE_B_ROAD</x:v>
      </x:c>
      <x:c r="F611" s="187" t="str">
        <x:v>DE</x:v>
      </x:c>
      <x:c r="G611" s="187" t="str">
        <x:v>DE_FC</x:v>
      </x:c>
      <x:c r="H611" s="187" t="str">
        <x:v>CARRIER_B</x:v>
      </x:c>
      <x:c r="I611" s="187" t="str">
        <x:v>ROAD</x:v>
      </x:c>
      <x:c r="J611" s="187" t="str">
        <x:v>BASE_FREIGHT</x:v>
      </x:c>
      <x:c r="K611" s="187" t="str">
        <x:v>EUR</x:v>
      </x:c>
      <x:c r="L611" s="232" t="n">
        <x:v>6771.216144</x:v>
      </x:c>
      <x:c r="M611" s="232" t="n">
        <x:v>7.8</x:v>
      </x:c>
      <x:c r="N611" s="187" t="str">
        <x:v>52815.4859232000000000</x:v>
      </x:c>
      <x:c r="O611" s="235" t="n">
        <x:v>52815.4859</x:v>
      </x:c>
      <x:c r="P611" s="235"/>
      <x:c r="Q611" s="235"/>
      <x:c r="R611" s="235" t="str">
        <x:v>INVOICE_OR_PLAN</x:v>
      </x:c>
      <x:c r="S611" s="238" t="n">
        <x:f>'Model_Calc'!AF106</x:f>
        <x:v>52815.485923200016</x:v>
      </x:c>
      <x:c r="T611" s="238" t="n">
        <x:f>ROUND(S611-O611,4)</x:f>
        <x:v>0</x:v>
      </x:c>
    </x:row>
    <x:row r="612">
      <x:c r="A612" s="187" t="str">
        <x:v>BUDGET_2026_V1</x:v>
      </x:c>
      <x:c r="B612" s="187" t="str">
        <x:v>BUDGET</x:v>
      </x:c>
      <x:c r="C612" s="187"/>
      <x:c r="D612" s="217" t="n">
        <x:v>46327</x:v>
      </x:c>
      <x:c r="E612" s="187" t="str">
        <x:v>R_DE_DE_B_ROAD</x:v>
      </x:c>
      <x:c r="F612" s="187" t="str">
        <x:v>DE</x:v>
      </x:c>
      <x:c r="G612" s="187" t="str">
        <x:v>DE_FC</x:v>
      </x:c>
      <x:c r="H612" s="187" t="str">
        <x:v>CARRIER_B</x:v>
      </x:c>
      <x:c r="I612" s="187" t="str">
        <x:v>ROAD</x:v>
      </x:c>
      <x:c r="J612" s="187" t="str">
        <x:v>FUEL_SURCHARGE</x:v>
      </x:c>
      <x:c r="K612" s="187" t="str">
        <x:v>EUR</x:v>
      </x:c>
      <x:c r="L612" s="232" t="n">
        <x:v>517.07468736</x:v>
      </x:c>
      <x:c r="M612" s="232" t="n">
        <x:v>7.8</x:v>
      </x:c>
      <x:c r="N612" s="187" t="str">
        <x:v>4033.1825614080000000</x:v>
      </x:c>
      <x:c r="O612" s="235" t="n">
        <x:v>4033.1826</x:v>
      </x:c>
      <x:c r="P612" s="235"/>
      <x:c r="Q612" s="235"/>
      <x:c r="R612" s="235" t="str">
        <x:v>INVOICE_OR_PLAN</x:v>
      </x:c>
      <x:c r="S612" s="238" t="n">
        <x:f>'Model_Calc'!AG106</x:f>
        <x:v>4033.1825614080008</x:v>
      </x:c>
      <x:c r="T612" s="238" t="n">
        <x:f>ROUND(S612-O612,4)</x:f>
        <x:v>0</x:v>
      </x:c>
    </x:row>
    <x:row r="613">
      <x:c r="A613" s="187" t="str">
        <x:v>BUDGET_2026_V1</x:v>
      </x:c>
      <x:c r="B613" s="187" t="str">
        <x:v>BUDGET</x:v>
      </x:c>
      <x:c r="C613" s="187"/>
      <x:c r="D613" s="217" t="n">
        <x:v>46327</x:v>
      </x:c>
      <x:c r="E613" s="187" t="str">
        <x:v>R_DE_DE_B_ROAD</x:v>
      </x:c>
      <x:c r="F613" s="187" t="str">
        <x:v>DE</x:v>
      </x:c>
      <x:c r="G613" s="187" t="str">
        <x:v>DE_FC</x:v>
      </x:c>
      <x:c r="H613" s="187" t="str">
        <x:v>CARRIER_B</x:v>
      </x:c>
      <x:c r="I613" s="187" t="str">
        <x:v>ROAD</x:v>
      </x:c>
      <x:c r="J613" s="187" t="str">
        <x:v>WAREHOUSE_OPERATION</x:v>
      </x:c>
      <x:c r="K613" s="187" t="str">
        <x:v>EUR</x:v>
      </x:c>
      <x:c r="L613" s="232" t="n">
        <x:v>3424.6432</x:v>
      </x:c>
      <x:c r="M613" s="232" t="n">
        <x:v>7.8</x:v>
      </x:c>
      <x:c r="N613" s="187" t="str">
        <x:v>26712.2169600000</x:v>
      </x:c>
      <x:c r="O613" s="235" t="n">
        <x:v>26712.217</x:v>
      </x:c>
      <x:c r="P613" s="235"/>
      <x:c r="Q613" s="235"/>
      <x:c r="R613" s="235" t="str">
        <x:v>INVOICE_OR_PLAN</x:v>
      </x:c>
      <x:c r="S613" s="238" t="n">
        <x:f>'Model_Calc'!AL106</x:f>
        <x:v>26712.216959999998</x:v>
      </x:c>
      <x:c r="T613" s="238" t="n">
        <x:f>ROUND(S613-O613,4)</x:f>
        <x:v>0</x:v>
      </x:c>
    </x:row>
    <x:row r="614">
      <x:c r="A614" s="187" t="str">
        <x:v>BUDGET_2026_V1</x:v>
      </x:c>
      <x:c r="B614" s="187" t="str">
        <x:v>BUDGET</x:v>
      </x:c>
      <x:c r="C614" s="187"/>
      <x:c r="D614" s="217" t="n">
        <x:v>46327</x:v>
      </x:c>
      <x:c r="E614" s="187" t="str">
        <x:v>R_DE_DE_B_ROAD</x:v>
      </x:c>
      <x:c r="F614" s="187" t="str">
        <x:v>DE</x:v>
      </x:c>
      <x:c r="G614" s="187" t="str">
        <x:v>DE_FC</x:v>
      </x:c>
      <x:c r="H614" s="187" t="str">
        <x:v>CARRIER_B</x:v>
      </x:c>
      <x:c r="I614" s="187" t="str">
        <x:v>ROAD</x:v>
      </x:c>
      <x:c r="J614" s="187" t="str">
        <x:v>PACKAGING</x:v>
      </x:c>
      <x:c r="K614" s="187" t="str">
        <x:v>EUR</x:v>
      </x:c>
      <x:c r="L614" s="232" t="n">
        <x:v>1279.88784</x:v>
      </x:c>
      <x:c r="M614" s="232" t="n">
        <x:v>7.8</x:v>
      </x:c>
      <x:c r="N614" s="187" t="str">
        <x:v>9983.125152000000</x:v>
      </x:c>
      <x:c r="O614" s="235" t="n">
        <x:v>9983.1252</x:v>
      </x:c>
      <x:c r="P614" s="235"/>
      <x:c r="Q614" s="235"/>
      <x:c r="R614" s="235" t="str">
        <x:v>INVOICE_OR_PLAN</x:v>
      </x:c>
      <x:c r="S614" s="238" t="n">
        <x:f>'Model_Calc'!AQ106</x:f>
        <x:v>9983.125152</x:v>
      </x:c>
      <x:c r="T614" s="238" t="n">
        <x:f>ROUND(S614-O614,4)</x:f>
        <x:v>0</x:v>
      </x:c>
    </x:row>
    <x:row r="615">
      <x:c r="A615" s="187" t="str">
        <x:v>BUDGET_2026_V1</x:v>
      </x:c>
      <x:c r="B615" s="187" t="str">
        <x:v>BUDGET</x:v>
      </x:c>
      <x:c r="C615" s="187"/>
      <x:c r="D615" s="217" t="n">
        <x:v>46327</x:v>
      </x:c>
      <x:c r="E615" s="187" t="str">
        <x:v>R_DE_DE_B_ROAD</x:v>
      </x:c>
      <x:c r="F615" s="187" t="str">
        <x:v>DE</x:v>
      </x:c>
      <x:c r="G615" s="187" t="str">
        <x:v>DE_FC</x:v>
      </x:c>
      <x:c r="H615" s="187" t="str">
        <x:v>CARRIER_B</x:v>
      </x:c>
      <x:c r="I615" s="187" t="str">
        <x:v>ROAD</x:v>
      </x:c>
      <x:c r="J615" s="187" t="str">
        <x:v>RETURN_LOGISTICS</x:v>
      </x:c>
      <x:c r="K615" s="187" t="str">
        <x:v>EUR</x:v>
      </x:c>
      <x:c r="L615" s="232" t="n">
        <x:v>464.3584</x:v>
      </x:c>
      <x:c r="M615" s="232" t="n">
        <x:v>7.8</x:v>
      </x:c>
      <x:c r="N615" s="187" t="str">
        <x:v>3621.9955200000000</x:v>
      </x:c>
      <x:c r="O615" s="235" t="n">
        <x:v>3621.9955</x:v>
      </x:c>
      <x:c r="P615" s="235"/>
      <x:c r="Q615" s="235"/>
      <x:c r="R615" s="235" t="str">
        <x:v>INVOICE_OR_PLAN</x:v>
      </x:c>
      <x:c r="S615" s="238" t="n">
        <x:f>'Model_Calc'!AV106</x:f>
        <x:v>3621.9955200000004</x:v>
      </x:c>
      <x:c r="T615" s="238" t="n">
        <x:f>ROUND(S615-O615,4)</x:f>
        <x:v>0</x:v>
      </x:c>
    </x:row>
    <x:row r="616">
      <x:c r="A616" s="187" t="str">
        <x:v>BUDGET_2026_V1</x:v>
      </x:c>
      <x:c r="B616" s="187" t="str">
        <x:v>BUDGET</x:v>
      </x:c>
      <x:c r="C616" s="187"/>
      <x:c r="D616" s="217" t="n">
        <x:v>46327</x:v>
      </x:c>
      <x:c r="E616" s="187" t="str">
        <x:v>R_DE_DE_B_ROAD</x:v>
      </x:c>
      <x:c r="F616" s="187" t="str">
        <x:v>DE</x:v>
      </x:c>
      <x:c r="G616" s="187" t="str">
        <x:v>DE_FC</x:v>
      </x:c>
      <x:c r="H616" s="187" t="str">
        <x:v>CARRIER_B</x:v>
      </x:c>
      <x:c r="I616" s="187" t="str">
        <x:v>ROAD</x:v>
      </x:c>
      <x:c r="J616" s="187" t="str">
        <x:v>BILLABLE_EXCEPTION</x:v>
      </x:c>
      <x:c r="K616" s="187" t="str">
        <x:v>EUR</x:v>
      </x:c>
      <x:c r="L616" s="232" t="n">
        <x:v>91.1158248</x:v>
      </x:c>
      <x:c r="M616" s="232" t="n">
        <x:v>7.8</x:v>
      </x:c>
      <x:c r="N616" s="187" t="str">
        <x:v>710.703433440000000</x:v>
      </x:c>
      <x:c r="O616" s="235" t="n">
        <x:v>710.7034</x:v>
      </x:c>
      <x:c r="P616" s="235"/>
      <x:c r="Q616" s="235"/>
      <x:c r="R616" s="235" t="str">
        <x:v>INVOICE_OR_PLAN</x:v>
      </x:c>
      <x:c r="S616" s="238" t="n">
        <x:f>'Model_Calc'!BA106</x:f>
        <x:v>710.70343344</x:v>
      </x:c>
      <x:c r="T616" s="238" t="n">
        <x:f>ROUND(S616-O616,4)</x:f>
        <x:v>0</x:v>
      </x:c>
    </x:row>
    <x:row r="617">
      <x:c r="A617" s="187" t="str">
        <x:v>BUDGET_2026_V1</x:v>
      </x:c>
      <x:c r="B617" s="187" t="str">
        <x:v>BUDGET</x:v>
      </x:c>
      <x:c r="C617" s="187"/>
      <x:c r="D617" s="217" t="n">
        <x:v>46327</x:v>
      </x:c>
      <x:c r="E617" s="187" t="str">
        <x:v>R_DE_FR_B_ROAD</x:v>
      </x:c>
      <x:c r="F617" s="187" t="str">
        <x:v>DE</x:v>
      </x:c>
      <x:c r="G617" s="187" t="str">
        <x:v>FR_FC</x:v>
      </x:c>
      <x:c r="H617" s="187" t="str">
        <x:v>CARRIER_B</x:v>
      </x:c>
      <x:c r="I617" s="187" t="str">
        <x:v>ROAD</x:v>
      </x:c>
      <x:c r="J617" s="187" t="str">
        <x:v>BASE_FREIGHT</x:v>
      </x:c>
      <x:c r="K617" s="187" t="str">
        <x:v>EUR</x:v>
      </x:c>
      <x:c r="L617" s="232" t="n">
        <x:v>694.67292576</x:v>
      </x:c>
      <x:c r="M617" s="232" t="n">
        <x:v>7.8</x:v>
      </x:c>
      <x:c r="N617" s="187" t="str">
        <x:v>5418.44882092800000</x:v>
      </x:c>
      <x:c r="O617" s="235" t="n">
        <x:v>5418.4488</x:v>
      </x:c>
      <x:c r="P617" s="235"/>
      <x:c r="Q617" s="235"/>
      <x:c r="R617" s="235" t="str">
        <x:v>INVOICE_OR_PLAN</x:v>
      </x:c>
      <x:c r="S617" s="238" t="n">
        <x:f>'Model_Calc'!AF107</x:f>
        <x:v>5418.448820928001</x:v>
      </x:c>
      <x:c r="T617" s="238" t="n">
        <x:f>ROUND(S617-O617,4)</x:f>
        <x:v>0</x:v>
      </x:c>
    </x:row>
    <x:row r="618">
      <x:c r="A618" s="187" t="str">
        <x:v>BUDGET_2026_V1</x:v>
      </x:c>
      <x:c r="B618" s="187" t="str">
        <x:v>BUDGET</x:v>
      </x:c>
      <x:c r="C618" s="187"/>
      <x:c r="D618" s="217" t="n">
        <x:v>46327</x:v>
      </x:c>
      <x:c r="E618" s="187" t="str">
        <x:v>R_DE_FR_B_ROAD</x:v>
      </x:c>
      <x:c r="F618" s="187" t="str">
        <x:v>DE</x:v>
      </x:c>
      <x:c r="G618" s="187" t="str">
        <x:v>FR_FC</x:v>
      </x:c>
      <x:c r="H618" s="187" t="str">
        <x:v>CARRIER_B</x:v>
      </x:c>
      <x:c r="I618" s="187" t="str">
        <x:v>ROAD</x:v>
      </x:c>
      <x:c r="J618" s="187" t="str">
        <x:v>FUEL_SURCHARGE</x:v>
      </x:c>
      <x:c r="K618" s="187" t="str">
        <x:v>EUR</x:v>
      </x:c>
      <x:c r="L618" s="232" t="n">
        <x:v>50.521667328</x:v>
      </x:c>
      <x:c r="M618" s="232" t="n">
        <x:v>7.8</x:v>
      </x:c>
      <x:c r="N618" s="187" t="str">
        <x:v>394.06900515840000</x:v>
      </x:c>
      <x:c r="O618" s="235" t="n">
        <x:v>394.069</x:v>
      </x:c>
      <x:c r="P618" s="235"/>
      <x:c r="Q618" s="235"/>
      <x:c r="R618" s="235" t="str">
        <x:v>INVOICE_OR_PLAN</x:v>
      </x:c>
      <x:c r="S618" s="238" t="n">
        <x:f>'Model_Calc'!AG107</x:f>
        <x:v>394.06900515840005</x:v>
      </x:c>
      <x:c r="T618" s="238" t="n">
        <x:f>ROUND(S618-O618,4)</x:f>
        <x:v>0</x:v>
      </x:c>
    </x:row>
    <x:row r="619">
      <x:c r="A619" s="187" t="str">
        <x:v>BUDGET_2026_V1</x:v>
      </x:c>
      <x:c r="B619" s="187" t="str">
        <x:v>BUDGET</x:v>
      </x:c>
      <x:c r="C619" s="187"/>
      <x:c r="D619" s="217" t="n">
        <x:v>46327</x:v>
      </x:c>
      <x:c r="E619" s="187" t="str">
        <x:v>R_DE_FR_B_ROAD</x:v>
      </x:c>
      <x:c r="F619" s="187" t="str">
        <x:v>DE</x:v>
      </x:c>
      <x:c r="G619" s="187" t="str">
        <x:v>FR_FC</x:v>
      </x:c>
      <x:c r="H619" s="187" t="str">
        <x:v>CARRIER_B</x:v>
      </x:c>
      <x:c r="I619" s="187" t="str">
        <x:v>ROAD</x:v>
      </x:c>
      <x:c r="J619" s="187" t="str">
        <x:v>WAREHOUSE_OPERATION</x:v>
      </x:c>
      <x:c r="K619" s="187" t="str">
        <x:v>EUR</x:v>
      </x:c>
      <x:c r="L619" s="232" t="n">
        <x:v>235.62</x:v>
      </x:c>
      <x:c r="M619" s="232" t="n">
        <x:v>7.8</x:v>
      </x:c>
      <x:c r="N619" s="187" t="str">
        <x:v>1837.83600000</x:v>
      </x:c>
      <x:c r="O619" s="235" t="n">
        <x:v>1837.836</x:v>
      </x:c>
      <x:c r="P619" s="235"/>
      <x:c r="Q619" s="235"/>
      <x:c r="R619" s="235" t="str">
        <x:v>INVOICE_OR_PLAN</x:v>
      </x:c>
      <x:c r="S619" s="238" t="n">
        <x:f>'Model_Calc'!AL107</x:f>
        <x:v>1837.836</x:v>
      </x:c>
      <x:c r="T619" s="238" t="n">
        <x:f>ROUND(S619-O619,4)</x:f>
        <x:v>0</x:v>
      </x:c>
    </x:row>
    <x:row r="620">
      <x:c r="A620" s="187" t="str">
        <x:v>BUDGET_2026_V1</x:v>
      </x:c>
      <x:c r="B620" s="187" t="str">
        <x:v>BUDGET</x:v>
      </x:c>
      <x:c r="C620" s="187"/>
      <x:c r="D620" s="217" t="n">
        <x:v>46327</x:v>
      </x:c>
      <x:c r="E620" s="187" t="str">
        <x:v>R_DE_FR_B_ROAD</x:v>
      </x:c>
      <x:c r="F620" s="187" t="str">
        <x:v>DE</x:v>
      </x:c>
      <x:c r="G620" s="187" t="str">
        <x:v>FR_FC</x:v>
      </x:c>
      <x:c r="H620" s="187" t="str">
        <x:v>CARRIER_B</x:v>
      </x:c>
      <x:c r="I620" s="187" t="str">
        <x:v>ROAD</x:v>
      </x:c>
      <x:c r="J620" s="187" t="str">
        <x:v>PACKAGING</x:v>
      </x:c>
      <x:c r="K620" s="187" t="str">
        <x:v>EUR</x:v>
      </x:c>
      <x:c r="L620" s="232" t="n">
        <x:v>92.09376</x:v>
      </x:c>
      <x:c r="M620" s="232" t="n">
        <x:v>7.8</x:v>
      </x:c>
      <x:c r="N620" s="187" t="str">
        <x:v>718.3313280000</x:v>
      </x:c>
      <x:c r="O620" s="235" t="n">
        <x:v>718.3313</x:v>
      </x:c>
      <x:c r="P620" s="235"/>
      <x:c r="Q620" s="235"/>
      <x:c r="R620" s="235" t="str">
        <x:v>INVOICE_OR_PLAN</x:v>
      </x:c>
      <x:c r="S620" s="238" t="n">
        <x:f>'Model_Calc'!AQ107</x:f>
        <x:v>718.3313280000001</x:v>
      </x:c>
      <x:c r="T620" s="238" t="n">
        <x:f>ROUND(S620-O620,4)</x:f>
        <x:v>0</x:v>
      </x:c>
    </x:row>
    <x:row r="621">
      <x:c r="A621" s="187" t="str">
        <x:v>BUDGET_2026_V1</x:v>
      </x:c>
      <x:c r="B621" s="187" t="str">
        <x:v>BUDGET</x:v>
      </x:c>
      <x:c r="C621" s="187"/>
      <x:c r="D621" s="217" t="n">
        <x:v>46327</x:v>
      </x:c>
      <x:c r="E621" s="187" t="str">
        <x:v>R_DE_FR_B_ROAD</x:v>
      </x:c>
      <x:c r="F621" s="187" t="str">
        <x:v>DE</x:v>
      </x:c>
      <x:c r="G621" s="187" t="str">
        <x:v>FR_FC</x:v>
      </x:c>
      <x:c r="H621" s="187" t="str">
        <x:v>CARRIER_B</x:v>
      </x:c>
      <x:c r="I621" s="187" t="str">
        <x:v>ROAD</x:v>
      </x:c>
      <x:c r="J621" s="187" t="str">
        <x:v>RETURN_LOGISTICS</x:v>
      </x:c>
      <x:c r="K621" s="187" t="str">
        <x:v>EUR</x:v>
      </x:c>
      <x:c r="L621" s="232" t="n">
        <x:v>42.636</x:v>
      </x:c>
      <x:c r="M621" s="232" t="n">
        <x:v>7.8</x:v>
      </x:c>
      <x:c r="N621" s="187" t="str">
        <x:v>332.56080000000</x:v>
      </x:c>
      <x:c r="O621" s="235" t="n">
        <x:v>332.5608</x:v>
      </x:c>
      <x:c r="P621" s="235"/>
      <x:c r="Q621" s="235"/>
      <x:c r="R621" s="235" t="str">
        <x:v>INVOICE_OR_PLAN</x:v>
      </x:c>
      <x:c r="S621" s="238" t="n">
        <x:f>'Model_Calc'!AV107</x:f>
        <x:v>332.56080000000003</x:v>
      </x:c>
      <x:c r="T621" s="238" t="n">
        <x:f>ROUND(S621-O621,4)</x:f>
        <x:v>0</x:v>
      </x:c>
    </x:row>
    <x:row r="622">
      <x:c r="A622" s="187" t="str">
        <x:v>BUDGET_2026_V1</x:v>
      </x:c>
      <x:c r="B622" s="187" t="str">
        <x:v>BUDGET</x:v>
      </x:c>
      <x:c r="C622" s="187"/>
      <x:c r="D622" s="217" t="n">
        <x:v>46327</x:v>
      </x:c>
      <x:c r="E622" s="187" t="str">
        <x:v>R_DE_FR_B_ROAD</x:v>
      </x:c>
      <x:c r="F622" s="187" t="str">
        <x:v>DE</x:v>
      </x:c>
      <x:c r="G622" s="187" t="str">
        <x:v>FR_FC</x:v>
      </x:c>
      <x:c r="H622" s="187" t="str">
        <x:v>CARRIER_B</x:v>
      </x:c>
      <x:c r="I622" s="187" t="str">
        <x:v>ROAD</x:v>
      </x:c>
      <x:c r="J622" s="187" t="str">
        <x:v>BILLABLE_EXCEPTION</x:v>
      </x:c>
      <x:c r="K622" s="187" t="str">
        <x:v>EUR</x:v>
      </x:c>
      <x:c r="L622" s="232" t="n">
        <x:v>7.8037344</x:v>
      </x:c>
      <x:c r="M622" s="232" t="n">
        <x:v>7.8</x:v>
      </x:c>
      <x:c r="N622" s="187" t="str">
        <x:v>60.8691283200000</x:v>
      </x:c>
      <x:c r="O622" s="235" t="n">
        <x:v>60.8691</x:v>
      </x:c>
      <x:c r="P622" s="235"/>
      <x:c r="Q622" s="235"/>
      <x:c r="R622" s="235" t="str">
        <x:v>INVOICE_OR_PLAN</x:v>
      </x:c>
      <x:c r="S622" s="238" t="n">
        <x:f>'Model_Calc'!BA107</x:f>
        <x:v>60.86912832</x:v>
      </x:c>
      <x:c r="T622" s="238" t="n">
        <x:f>ROUND(S622-O622,4)</x:f>
        <x:v>0</x:v>
      </x:c>
    </x:row>
    <x:row r="623">
      <x:c r="A623" s="187" t="str">
        <x:v>BUDGET_2026_V1</x:v>
      </x:c>
      <x:c r="B623" s="187" t="str">
        <x:v>BUDGET</x:v>
      </x:c>
      <x:c r="C623" s="187"/>
      <x:c r="D623" s="217" t="n">
        <x:v>46327</x:v>
      </x:c>
      <x:c r="E623" s="187" t="str">
        <x:v>R_FR_FR_A_ROAD</x:v>
      </x:c>
      <x:c r="F623" s="187" t="str">
        <x:v>FR</x:v>
      </x:c>
      <x:c r="G623" s="187" t="str">
        <x:v>FR_FC</x:v>
      </x:c>
      <x:c r="H623" s="187" t="str">
        <x:v>CARRIER_A</x:v>
      </x:c>
      <x:c r="I623" s="187" t="str">
        <x:v>ROAD</x:v>
      </x:c>
      <x:c r="J623" s="187" t="str">
        <x:v>BASE_FREIGHT</x:v>
      </x:c>
      <x:c r="K623" s="187" t="str">
        <x:v>EUR</x:v>
      </x:c>
      <x:c r="L623" s="232" t="n">
        <x:v>3947.045256</x:v>
      </x:c>
      <x:c r="M623" s="232" t="n">
        <x:v>7.8</x:v>
      </x:c>
      <x:c r="N623" s="187" t="str">
        <x:v>30786.95299680000000</x:v>
      </x:c>
      <x:c r="O623" s="235" t="n">
        <x:v>30786.953</x:v>
      </x:c>
      <x:c r="P623" s="235"/>
      <x:c r="Q623" s="235"/>
      <x:c r="R623" s="235" t="str">
        <x:v>INVOICE_OR_PLAN</x:v>
      </x:c>
      <x:c r="S623" s="238" t="n">
        <x:f>'Model_Calc'!AF108</x:f>
        <x:v>30786.9529968</x:v>
      </x:c>
      <x:c r="T623" s="238" t="n">
        <x:f>ROUND(S623-O623,4)</x:f>
        <x:v>0</x:v>
      </x:c>
    </x:row>
    <x:row r="624">
      <x:c r="A624" s="187" t="str">
        <x:v>BUDGET_2026_V1</x:v>
      </x:c>
      <x:c r="B624" s="187" t="str">
        <x:v>BUDGET</x:v>
      </x:c>
      <x:c r="C624" s="187"/>
      <x:c r="D624" s="217" t="n">
        <x:v>46327</x:v>
      </x:c>
      <x:c r="E624" s="187" t="str">
        <x:v>R_FR_FR_A_ROAD</x:v>
      </x:c>
      <x:c r="F624" s="187" t="str">
        <x:v>FR</x:v>
      </x:c>
      <x:c r="G624" s="187" t="str">
        <x:v>FR_FC</x:v>
      </x:c>
      <x:c r="H624" s="187" t="str">
        <x:v>CARRIER_A</x:v>
      </x:c>
      <x:c r="I624" s="187" t="str">
        <x:v>ROAD</x:v>
      </x:c>
      <x:c r="J624" s="187" t="str">
        <x:v>FUEL_SURCHARGE</x:v>
      </x:c>
      <x:c r="K624" s="187" t="str">
        <x:v>EUR</x:v>
      </x:c>
      <x:c r="L624" s="232" t="n">
        <x:v>355.23407304</x:v>
      </x:c>
      <x:c r="M624" s="232" t="n">
        <x:v>7.8</x:v>
      </x:c>
      <x:c r="N624" s="187" t="str">
        <x:v>2770.82576971200000000</x:v>
      </x:c>
      <x:c r="O624" s="235" t="n">
        <x:v>2770.8258</x:v>
      </x:c>
      <x:c r="P624" s="235"/>
      <x:c r="Q624" s="235"/>
      <x:c r="R624" s="235" t="str">
        <x:v>INVOICE_OR_PLAN</x:v>
      </x:c>
      <x:c r="S624" s="238" t="n">
        <x:f>'Model_Calc'!AG108</x:f>
        <x:v>2770.825769712</x:v>
      </x:c>
      <x:c r="T624" s="238" t="n">
        <x:f>ROUND(S624-O624,4)</x:f>
        <x:v>0</x:v>
      </x:c>
    </x:row>
    <x:row r="625">
      <x:c r="A625" s="187" t="str">
        <x:v>BUDGET_2026_V1</x:v>
      </x:c>
      <x:c r="B625" s="187" t="str">
        <x:v>BUDGET</x:v>
      </x:c>
      <x:c r="C625" s="187"/>
      <x:c r="D625" s="217" t="n">
        <x:v>46327</x:v>
      </x:c>
      <x:c r="E625" s="187" t="str">
        <x:v>R_FR_FR_A_ROAD</x:v>
      </x:c>
      <x:c r="F625" s="187" t="str">
        <x:v>FR</x:v>
      </x:c>
      <x:c r="G625" s="187" t="str">
        <x:v>FR_FC</x:v>
      </x:c>
      <x:c r="H625" s="187" t="str">
        <x:v>CARRIER_A</x:v>
      </x:c>
      <x:c r="I625" s="187" t="str">
        <x:v>ROAD</x:v>
      </x:c>
      <x:c r="J625" s="187" t="str">
        <x:v>WAREHOUSE_OPERATION</x:v>
      </x:c>
      <x:c r="K625" s="187" t="str">
        <x:v>EUR</x:v>
      </x:c>
      <x:c r="L625" s="232" t="n">
        <x:v>2425.5</x:v>
      </x:c>
      <x:c r="M625" s="232" t="n">
        <x:v>7.8</x:v>
      </x:c>
      <x:c r="N625" s="187" t="str">
        <x:v>18918.90000000</x:v>
      </x:c>
      <x:c r="O625" s="235" t="n">
        <x:v>18918.9</x:v>
      </x:c>
      <x:c r="P625" s="235"/>
      <x:c r="Q625" s="235"/>
      <x:c r="R625" s="235" t="str">
        <x:v>INVOICE_OR_PLAN</x:v>
      </x:c>
      <x:c r="S625" s="238" t="n">
        <x:f>'Model_Calc'!AL108</x:f>
        <x:v>18918.899999999998</x:v>
      </x:c>
      <x:c r="T625" s="238" t="n">
        <x:f>ROUND(S625-O625,4)</x:f>
        <x:v>0</x:v>
      </x:c>
    </x:row>
    <x:row r="626">
      <x:c r="A626" s="187" t="str">
        <x:v>BUDGET_2026_V1</x:v>
      </x:c>
      <x:c r="B626" s="187" t="str">
        <x:v>BUDGET</x:v>
      </x:c>
      <x:c r="C626" s="187"/>
      <x:c r="D626" s="217" t="n">
        <x:v>46327</x:v>
      </x:c>
      <x:c r="E626" s="187" t="str">
        <x:v>R_FR_FR_A_ROAD</x:v>
      </x:c>
      <x:c r="F626" s="187" t="str">
        <x:v>FR</x:v>
      </x:c>
      <x:c r="G626" s="187" t="str">
        <x:v>FR_FC</x:v>
      </x:c>
      <x:c r="H626" s="187" t="str">
        <x:v>CARRIER_A</x:v>
      </x:c>
      <x:c r="I626" s="187" t="str">
        <x:v>ROAD</x:v>
      </x:c>
      <x:c r="J626" s="187" t="str">
        <x:v>PACKAGING</x:v>
      </x:c>
      <x:c r="K626" s="187" t="str">
        <x:v>EUR</x:v>
      </x:c>
      <x:c r="L626" s="232" t="n">
        <x:v>930.468</x:v>
      </x:c>
      <x:c r="M626" s="232" t="n">
        <x:v>7.8</x:v>
      </x:c>
      <x:c r="N626" s="187" t="str">
        <x:v>7257.6504000000</x:v>
      </x:c>
      <x:c r="O626" s="235" t="n">
        <x:v>7257.6504</x:v>
      </x:c>
      <x:c r="P626" s="235"/>
      <x:c r="Q626" s="235"/>
      <x:c r="R626" s="235" t="str">
        <x:v>INVOICE_OR_PLAN</x:v>
      </x:c>
      <x:c r="S626" s="238" t="n">
        <x:f>'Model_Calc'!AQ108</x:f>
        <x:v>7257.6503999999995</x:v>
      </x:c>
      <x:c r="T626" s="238" t="n">
        <x:f>ROUND(S626-O626,4)</x:f>
        <x:v>0</x:v>
      </x:c>
    </x:row>
    <x:row r="627">
      <x:c r="A627" s="187" t="str">
        <x:v>BUDGET_2026_V1</x:v>
      </x:c>
      <x:c r="B627" s="187" t="str">
        <x:v>BUDGET</x:v>
      </x:c>
      <x:c r="C627" s="187"/>
      <x:c r="D627" s="217" t="n">
        <x:v>46327</x:v>
      </x:c>
      <x:c r="E627" s="187" t="str">
        <x:v>R_FR_FR_A_ROAD</x:v>
      </x:c>
      <x:c r="F627" s="187" t="str">
        <x:v>FR</x:v>
      </x:c>
      <x:c r="G627" s="187" t="str">
        <x:v>FR_FC</x:v>
      </x:c>
      <x:c r="H627" s="187" t="str">
        <x:v>CARRIER_A</x:v>
      </x:c>
      <x:c r="I627" s="187" t="str">
        <x:v>ROAD</x:v>
      </x:c>
      <x:c r="J627" s="187" t="str">
        <x:v>RETURN_LOGISTICS</x:v>
      </x:c>
      <x:c r="K627" s="187" t="str">
        <x:v>EUR</x:v>
      </x:c>
      <x:c r="L627" s="232" t="n">
        <x:v>415.8</x:v>
      </x:c>
      <x:c r="M627" s="232" t="n">
        <x:v>7.8</x:v>
      </x:c>
      <x:c r="N627" s="187" t="str">
        <x:v>3243.24000000000</x:v>
      </x:c>
      <x:c r="O627" s="235" t="n">
        <x:v>3243.24</x:v>
      </x:c>
      <x:c r="P627" s="235"/>
      <x:c r="Q627" s="235"/>
      <x:c r="R627" s="235" t="str">
        <x:v>INVOICE_OR_PLAN</x:v>
      </x:c>
      <x:c r="S627" s="238" t="n">
        <x:f>'Model_Calc'!AV108</x:f>
        <x:v>3243.24</x:v>
      </x:c>
      <x:c r="T627" s="238" t="n">
        <x:f>ROUND(S627-O627,4)</x:f>
        <x:v>0</x:v>
      </x:c>
    </x:row>
    <x:row r="628">
      <x:c r="A628" s="187" t="str">
        <x:v>BUDGET_2026_V1</x:v>
      </x:c>
      <x:c r="B628" s="187" t="str">
        <x:v>BUDGET</x:v>
      </x:c>
      <x:c r="C628" s="187"/>
      <x:c r="D628" s="217" t="n">
        <x:v>46327</x:v>
      </x:c>
      <x:c r="E628" s="187" t="str">
        <x:v>R_FR_FR_A_ROAD</x:v>
      </x:c>
      <x:c r="F628" s="187" t="str">
        <x:v>FR</x:v>
      </x:c>
      <x:c r="G628" s="187" t="str">
        <x:v>FR_FC</x:v>
      </x:c>
      <x:c r="H628" s="187" t="str">
        <x:v>CARRIER_A</x:v>
      </x:c>
      <x:c r="I628" s="187" t="str">
        <x:v>ROAD</x:v>
      </x:c>
      <x:c r="J628" s="187" t="str">
        <x:v>BILLABLE_EXCEPTION</x:v>
      </x:c>
      <x:c r="K628" s="187" t="str">
        <x:v>EUR</x:v>
      </x:c>
      <x:c r="L628" s="232" t="n">
        <x:v>95.74026</x:v>
      </x:c>
      <x:c r="M628" s="232" t="n">
        <x:v>7.8</x:v>
      </x:c>
      <x:c r="N628" s="187" t="str">
        <x:v>746.7740280000000</x:v>
      </x:c>
      <x:c r="O628" s="235" t="n">
        <x:v>746.774</x:v>
      </x:c>
      <x:c r="P628" s="235"/>
      <x:c r="Q628" s="235"/>
      <x:c r="R628" s="235" t="str">
        <x:v>INVOICE_OR_PLAN</x:v>
      </x:c>
      <x:c r="S628" s="238" t="n">
        <x:f>'Model_Calc'!BA108</x:f>
        <x:v>746.774028</x:v>
      </x:c>
      <x:c r="T628" s="238" t="n">
        <x:f>ROUND(S628-O628,4)</x:f>
        <x:v>0</x:v>
      </x:c>
    </x:row>
    <x:row r="629">
      <x:c r="A629" s="187" t="str">
        <x:v>BUDGET_2026_V1</x:v>
      </x:c>
      <x:c r="B629" s="187" t="str">
        <x:v>BUDGET</x:v>
      </x:c>
      <x:c r="C629" s="187"/>
      <x:c r="D629" s="217" t="n">
        <x:v>46327</x:v>
      </x:c>
      <x:c r="E629" s="187" t="str">
        <x:v>R_FR_FR_B_ROAD</x:v>
      </x:c>
      <x:c r="F629" s="187" t="str">
        <x:v>FR</x:v>
      </x:c>
      <x:c r="G629" s="187" t="str">
        <x:v>FR_FC</x:v>
      </x:c>
      <x:c r="H629" s="187" t="str">
        <x:v>CARRIER_B</x:v>
      </x:c>
      <x:c r="I629" s="187" t="str">
        <x:v>ROAD</x:v>
      </x:c>
      <x:c r="J629" s="187" t="str">
        <x:v>BASE_FREIGHT</x:v>
      </x:c>
      <x:c r="K629" s="187" t="str">
        <x:v>EUR</x:v>
      </x:c>
      <x:c r="L629" s="232" t="n">
        <x:v>9433.763196</x:v>
      </x:c>
      <x:c r="M629" s="232" t="n">
        <x:v>7.8</x:v>
      </x:c>
      <x:c r="N629" s="187" t="str">
        <x:v>73583.35292880000000</x:v>
      </x:c>
      <x:c r="O629" s="235" t="n">
        <x:v>73583.3529</x:v>
      </x:c>
      <x:c r="P629" s="235"/>
      <x:c r="Q629" s="235"/>
      <x:c r="R629" s="235" t="str">
        <x:v>INVOICE_OR_PLAN</x:v>
      </x:c>
      <x:c r="S629" s="238" t="n">
        <x:f>'Model_Calc'!AF109</x:f>
        <x:v>73583.35292880001</x:v>
      </x:c>
      <x:c r="T629" s="238" t="n">
        <x:f>ROUND(S629-O629,4)</x:f>
        <x:v>0</x:v>
      </x:c>
    </x:row>
    <x:row r="630">
      <x:c r="A630" s="187" t="str">
        <x:v>BUDGET_2026_V1</x:v>
      </x:c>
      <x:c r="B630" s="187" t="str">
        <x:v>BUDGET</x:v>
      </x:c>
      <x:c r="C630" s="187"/>
      <x:c r="D630" s="217" t="n">
        <x:v>46327</x:v>
      </x:c>
      <x:c r="E630" s="187" t="str">
        <x:v>R_FR_FR_B_ROAD</x:v>
      </x:c>
      <x:c r="F630" s="187" t="str">
        <x:v>FR</x:v>
      </x:c>
      <x:c r="G630" s="187" t="str">
        <x:v>FR_FC</x:v>
      </x:c>
      <x:c r="H630" s="187" t="str">
        <x:v>CARRIER_B</x:v>
      </x:c>
      <x:c r="I630" s="187" t="str">
        <x:v>ROAD</x:v>
      </x:c>
      <x:c r="J630" s="187" t="str">
        <x:v>FUEL_SURCHARGE</x:v>
      </x:c>
      <x:c r="K630" s="187" t="str">
        <x:v>EUR</x:v>
      </x:c>
      <x:c r="L630" s="232" t="n">
        <x:v>725.674092</x:v>
      </x:c>
      <x:c r="M630" s="232" t="n">
        <x:v>7.8</x:v>
      </x:c>
      <x:c r="N630" s="187" t="str">
        <x:v>5660.25791760000000</x:v>
      </x:c>
      <x:c r="O630" s="235" t="n">
        <x:v>5660.2579</x:v>
      </x:c>
      <x:c r="P630" s="235"/>
      <x:c r="Q630" s="235"/>
      <x:c r="R630" s="235" t="str">
        <x:v>INVOICE_OR_PLAN</x:v>
      </x:c>
      <x:c r="S630" s="238" t="n">
        <x:f>'Model_Calc'!AG109</x:f>
        <x:v>5660.257917600002</x:v>
      </x:c>
      <x:c r="T630" s="238" t="n">
        <x:f>ROUND(S630-O630,4)</x:f>
        <x:v>0</x:v>
      </x:c>
    </x:row>
    <x:row r="631">
      <x:c r="A631" s="187" t="str">
        <x:v>BUDGET_2026_V1</x:v>
      </x:c>
      <x:c r="B631" s="187" t="str">
        <x:v>BUDGET</x:v>
      </x:c>
      <x:c r="C631" s="187"/>
      <x:c r="D631" s="217" t="n">
        <x:v>46327</x:v>
      </x:c>
      <x:c r="E631" s="187" t="str">
        <x:v>R_FR_FR_B_ROAD</x:v>
      </x:c>
      <x:c r="F631" s="187" t="str">
        <x:v>FR</x:v>
      </x:c>
      <x:c r="G631" s="187" t="str">
        <x:v>FR_FC</x:v>
      </x:c>
      <x:c r="H631" s="187" t="str">
        <x:v>CARRIER_B</x:v>
      </x:c>
      <x:c r="I631" s="187" t="str">
        <x:v>ROAD</x:v>
      </x:c>
      <x:c r="J631" s="187" t="str">
        <x:v>WAREHOUSE_OPERATION</x:v>
      </x:c>
      <x:c r="K631" s="187" t="str">
        <x:v>EUR</x:v>
      </x:c>
      <x:c r="L631" s="232" t="n">
        <x:v>4504.5</x:v>
      </x:c>
      <x:c r="M631" s="232" t="n">
        <x:v>7.8</x:v>
      </x:c>
      <x:c r="N631" s="187" t="str">
        <x:v>35135.10000000</x:v>
      </x:c>
      <x:c r="O631" s="235" t="n">
        <x:v>35135.1</x:v>
      </x:c>
      <x:c r="P631" s="235"/>
      <x:c r="Q631" s="235"/>
      <x:c r="R631" s="235" t="str">
        <x:v>INVOICE_OR_PLAN</x:v>
      </x:c>
      <x:c r="S631" s="238" t="n">
        <x:f>'Model_Calc'!AL109</x:f>
        <x:v>35135.1</x:v>
      </x:c>
      <x:c r="T631" s="238" t="n">
        <x:f>ROUND(S631-O631,4)</x:f>
        <x:v>0</x:v>
      </x:c>
    </x:row>
    <x:row r="632">
      <x:c r="A632" s="187" t="str">
        <x:v>BUDGET_2026_V1</x:v>
      </x:c>
      <x:c r="B632" s="187" t="str">
        <x:v>BUDGET</x:v>
      </x:c>
      <x:c r="C632" s="187"/>
      <x:c r="D632" s="217" t="n">
        <x:v>46327</x:v>
      </x:c>
      <x:c r="E632" s="187" t="str">
        <x:v>R_FR_FR_B_ROAD</x:v>
      </x:c>
      <x:c r="F632" s="187" t="str">
        <x:v>FR</x:v>
      </x:c>
      <x:c r="G632" s="187" t="str">
        <x:v>FR_FC</x:v>
      </x:c>
      <x:c r="H632" s="187" t="str">
        <x:v>CARRIER_B</x:v>
      </x:c>
      <x:c r="I632" s="187" t="str">
        <x:v>ROAD</x:v>
      </x:c>
      <x:c r="J632" s="187" t="str">
        <x:v>PACKAGING</x:v>
      </x:c>
      <x:c r="K632" s="187" t="str">
        <x:v>EUR</x:v>
      </x:c>
      <x:c r="L632" s="232" t="n">
        <x:v>1728.012</x:v>
      </x:c>
      <x:c r="M632" s="232" t="n">
        <x:v>7.8</x:v>
      </x:c>
      <x:c r="N632" s="187" t="str">
        <x:v>13478.4936000000</x:v>
      </x:c>
      <x:c r="O632" s="235" t="n">
        <x:v>13478.4936</x:v>
      </x:c>
      <x:c r="P632" s="235"/>
      <x:c r="Q632" s="235"/>
      <x:c r="R632" s="235" t="str">
        <x:v>INVOICE_OR_PLAN</x:v>
      </x:c>
      <x:c r="S632" s="238" t="n">
        <x:f>'Model_Calc'!AQ109</x:f>
        <x:v>13478.493600000002</x:v>
      </x:c>
      <x:c r="T632" s="238" t="n">
        <x:f>ROUND(S632-O632,4)</x:f>
        <x:v>0</x:v>
      </x:c>
    </x:row>
    <x:row r="633">
      <x:c r="A633" s="187" t="str">
        <x:v>BUDGET_2026_V1</x:v>
      </x:c>
      <x:c r="B633" s="187" t="str">
        <x:v>BUDGET</x:v>
      </x:c>
      <x:c r="C633" s="187"/>
      <x:c r="D633" s="217" t="n">
        <x:v>46327</x:v>
      </x:c>
      <x:c r="E633" s="187" t="str">
        <x:v>R_FR_FR_B_ROAD</x:v>
      </x:c>
      <x:c r="F633" s="187" t="str">
        <x:v>FR</x:v>
      </x:c>
      <x:c r="G633" s="187" t="str">
        <x:v>FR_FC</x:v>
      </x:c>
      <x:c r="H633" s="187" t="str">
        <x:v>CARRIER_B</x:v>
      </x:c>
      <x:c r="I633" s="187" t="str">
        <x:v>ROAD</x:v>
      </x:c>
      <x:c r="J633" s="187" t="str">
        <x:v>RETURN_LOGISTICS</x:v>
      </x:c>
      <x:c r="K633" s="187" t="str">
        <x:v>EUR</x:v>
      </x:c>
      <x:c r="L633" s="232" t="n">
        <x:v>772.2</x:v>
      </x:c>
      <x:c r="M633" s="232" t="n">
        <x:v>7.8</x:v>
      </x:c>
      <x:c r="N633" s="187" t="str">
        <x:v>6023.16000000000</x:v>
      </x:c>
      <x:c r="O633" s="235" t="n">
        <x:v>6023.16</x:v>
      </x:c>
      <x:c r="P633" s="235"/>
      <x:c r="Q633" s="235"/>
      <x:c r="R633" s="235" t="str">
        <x:v>INVOICE_OR_PLAN</x:v>
      </x:c>
      <x:c r="S633" s="238" t="n">
        <x:f>'Model_Calc'!AV109</x:f>
        <x:v>6023.159999999999</x:v>
      </x:c>
      <x:c r="T633" s="238" t="n">
        <x:f>ROUND(S633-O633,4)</x:f>
        <x:v>0</x:v>
      </x:c>
    </x:row>
    <x:row r="634">
      <x:c r="A634" s="187" t="str">
        <x:v>BUDGET_2026_V1</x:v>
      </x:c>
      <x:c r="B634" s="187" t="str">
        <x:v>BUDGET</x:v>
      </x:c>
      <x:c r="C634" s="187"/>
      <x:c r="D634" s="217" t="n">
        <x:v>46327</x:v>
      </x:c>
      <x:c r="E634" s="187" t="str">
        <x:v>R_FR_FR_B_ROAD</x:v>
      </x:c>
      <x:c r="F634" s="187" t="str">
        <x:v>FR</x:v>
      </x:c>
      <x:c r="G634" s="187" t="str">
        <x:v>FR_FC</x:v>
      </x:c>
      <x:c r="H634" s="187" t="str">
        <x:v>CARRIER_B</x:v>
      </x:c>
      <x:c r="I634" s="187" t="str">
        <x:v>ROAD</x:v>
      </x:c>
      <x:c r="J634" s="187" t="str">
        <x:v>BILLABLE_EXCEPTION</x:v>
      </x:c>
      <x:c r="K634" s="187" t="str">
        <x:v>EUR</x:v>
      </x:c>
      <x:c r="L634" s="232" t="n">
        <x:v>146.42628</x:v>
      </x:c>
      <x:c r="M634" s="232" t="n">
        <x:v>7.8</x:v>
      </x:c>
      <x:c r="N634" s="187" t="str">
        <x:v>1142.1249840000000</x:v>
      </x:c>
      <x:c r="O634" s="235" t="n">
        <x:v>1142.125</x:v>
      </x:c>
      <x:c r="P634" s="235"/>
      <x:c r="Q634" s="235"/>
      <x:c r="R634" s="235" t="str">
        <x:v>INVOICE_OR_PLAN</x:v>
      </x:c>
      <x:c r="S634" s="238" t="n">
        <x:f>'Model_Calc'!BA109</x:f>
        <x:v>1142.124984</x:v>
      </x:c>
      <x:c r="T634" s="238" t="n">
        <x:f>ROUND(S634-O634,4)</x:f>
        <x:v>0</x:v>
      </x:c>
    </x:row>
    <x:row r="635">
      <x:c r="A635" s="187" t="str">
        <x:v>BUDGET_2026_V1</x:v>
      </x:c>
      <x:c r="B635" s="187" t="str">
        <x:v>BUDGET</x:v>
      </x:c>
      <x:c r="C635" s="187"/>
      <x:c r="D635" s="217" t="n">
        <x:v>46327</x:v>
      </x:c>
      <x:c r="E635" s="187" t="str">
        <x:v>R_GB_DE_A_ROAD</x:v>
      </x:c>
      <x:c r="F635" s="187" t="str">
        <x:v>GB</x:v>
      </x:c>
      <x:c r="G635" s="187" t="str">
        <x:v>DE_FC</x:v>
      </x:c>
      <x:c r="H635" s="187" t="str">
        <x:v>CARRIER_A</x:v>
      </x:c>
      <x:c r="I635" s="187" t="str">
        <x:v>ROAD</x:v>
      </x:c>
      <x:c r="J635" s="187" t="str">
        <x:v>BASE_FREIGHT</x:v>
      </x:c>
      <x:c r="K635" s="187" t="str">
        <x:v>GBP</x:v>
      </x:c>
      <x:c r="L635" s="232" t="n">
        <x:v>22809.16205568</x:v>
      </x:c>
      <x:c r="M635" s="232" t="n">
        <x:v>9</x:v>
      </x:c>
      <x:c r="N635" s="187" t="str">
        <x:v>205282.4585011200000000</x:v>
      </x:c>
      <x:c r="O635" s="235" t="n">
        <x:v>205282.4585</x:v>
      </x:c>
      <x:c r="P635" s="235"/>
      <x:c r="Q635" s="235"/>
      <x:c r="R635" s="235" t="str">
        <x:v>INVOICE_OR_PLAN</x:v>
      </x:c>
      <x:c r="S635" s="238" t="n">
        <x:f>'Model_Calc'!AF110</x:f>
        <x:v>205282.45850112</x:v>
      </x:c>
      <x:c r="T635" s="238" t="n">
        <x:f>ROUND(S635-O635,4)</x:f>
        <x:v>0</x:v>
      </x:c>
    </x:row>
    <x:row r="636">
      <x:c r="A636" s="187" t="str">
        <x:v>BUDGET_2026_V1</x:v>
      </x:c>
      <x:c r="B636" s="187" t="str">
        <x:v>BUDGET</x:v>
      </x:c>
      <x:c r="C636" s="187"/>
      <x:c r="D636" s="217" t="n">
        <x:v>46327</x:v>
      </x:c>
      <x:c r="E636" s="187" t="str">
        <x:v>R_GB_DE_A_ROAD</x:v>
      </x:c>
      <x:c r="F636" s="187" t="str">
        <x:v>GB</x:v>
      </x:c>
      <x:c r="G636" s="187" t="str">
        <x:v>DE_FC</x:v>
      </x:c>
      <x:c r="H636" s="187" t="str">
        <x:v>CARRIER_A</x:v>
      </x:c>
      <x:c r="I636" s="187" t="str">
        <x:v>ROAD</x:v>
      </x:c>
      <x:c r="J636" s="187" t="str">
        <x:v>FUEL_SURCHARGE</x:v>
      </x:c>
      <x:c r="K636" s="187" t="str">
        <x:v>GBP</x:v>
      </x:c>
      <x:c r="L636" s="232" t="n">
        <x:v>2280.916205568</x:v>
      </x:c>
      <x:c r="M636" s="232" t="n">
        <x:v>9</x:v>
      </x:c>
      <x:c r="N636" s="187" t="str">
        <x:v>20528.2458501120000000000</x:v>
      </x:c>
      <x:c r="O636" s="235" t="n">
        <x:v>20528.2459</x:v>
      </x:c>
      <x:c r="P636" s="235"/>
      <x:c r="Q636" s="235"/>
      <x:c r="R636" s="235" t="str">
        <x:v>INVOICE_OR_PLAN</x:v>
      </x:c>
      <x:c r="S636" s="238" t="n">
        <x:f>'Model_Calc'!AG110</x:f>
        <x:v>20528.245850112</x:v>
      </x:c>
      <x:c r="T636" s="238" t="n">
        <x:f>ROUND(S636-O636,4)</x:f>
        <x:v>0</x:v>
      </x:c>
    </x:row>
    <x:row r="637">
      <x:c r="A637" s="187" t="str">
        <x:v>BUDGET_2026_V1</x:v>
      </x:c>
      <x:c r="B637" s="187" t="str">
        <x:v>BUDGET</x:v>
      </x:c>
      <x:c r="C637" s="187"/>
      <x:c r="D637" s="217" t="n">
        <x:v>46327</x:v>
      </x:c>
      <x:c r="E637" s="187" t="str">
        <x:v>R_GB_DE_A_ROAD</x:v>
      </x:c>
      <x:c r="F637" s="187" t="str">
        <x:v>GB</x:v>
      </x:c>
      <x:c r="G637" s="187" t="str">
        <x:v>DE_FC</x:v>
      </x:c>
      <x:c r="H637" s="187" t="str">
        <x:v>CARRIER_A</x:v>
      </x:c>
      <x:c r="I637" s="187" t="str">
        <x:v>ROAD</x:v>
      </x:c>
      <x:c r="J637" s="187" t="str">
        <x:v>WAREHOUSE_OPERATION</x:v>
      </x:c>
      <x:c r="K637" s="187" t="str">
        <x:v>EUR</x:v>
      </x:c>
      <x:c r="L637" s="232" t="n">
        <x:v>5831.6544</x:v>
      </x:c>
      <x:c r="M637" s="232" t="n">
        <x:v>7.8</x:v>
      </x:c>
      <x:c r="N637" s="187" t="str">
        <x:v>45486.9043200000</x:v>
      </x:c>
      <x:c r="O637" s="235" t="n">
        <x:v>45486.9043</x:v>
      </x:c>
      <x:c r="P637" s="235"/>
      <x:c r="Q637" s="235"/>
      <x:c r="R637" s="235" t="str">
        <x:v>INVOICE_OR_PLAN</x:v>
      </x:c>
      <x:c r="S637" s="238" t="n">
        <x:f>'Model_Calc'!AL110</x:f>
        <x:v>45486.904319999994</x:v>
      </x:c>
      <x:c r="T637" s="238" t="n">
        <x:f>ROUND(S637-O637,4)</x:f>
        <x:v>0</x:v>
      </x:c>
    </x:row>
    <x:row r="638">
      <x:c r="A638" s="187" t="str">
        <x:v>BUDGET_2026_V1</x:v>
      </x:c>
      <x:c r="B638" s="187" t="str">
        <x:v>BUDGET</x:v>
      </x:c>
      <x:c r="C638" s="187"/>
      <x:c r="D638" s="217" t="n">
        <x:v>46327</x:v>
      </x:c>
      <x:c r="E638" s="187" t="str">
        <x:v>R_GB_DE_A_ROAD</x:v>
      </x:c>
      <x:c r="F638" s="187" t="str">
        <x:v>GB</x:v>
      </x:c>
      <x:c r="G638" s="187" t="str">
        <x:v>DE_FC</x:v>
      </x:c>
      <x:c r="H638" s="187" t="str">
        <x:v>CARRIER_A</x:v>
      </x:c>
      <x:c r="I638" s="187" t="str">
        <x:v>ROAD</x:v>
      </x:c>
      <x:c r="J638" s="187" t="str">
        <x:v>PACKAGING</x:v>
      </x:c>
      <x:c r="K638" s="187" t="str">
        <x:v>EUR</x:v>
      </x:c>
      <x:c r="L638" s="232" t="n">
        <x:v>2324.754432</x:v>
      </x:c>
      <x:c r="M638" s="232" t="n">
        <x:v>7.8</x:v>
      </x:c>
      <x:c r="N638" s="187" t="str">
        <x:v>18133.084569600000</x:v>
      </x:c>
      <x:c r="O638" s="235" t="n">
        <x:v>18133.0846</x:v>
      </x:c>
      <x:c r="P638" s="235"/>
      <x:c r="Q638" s="235"/>
      <x:c r="R638" s="235" t="str">
        <x:v>INVOICE_OR_PLAN</x:v>
      </x:c>
      <x:c r="S638" s="238" t="n">
        <x:f>'Model_Calc'!AQ110</x:f>
        <x:v>18133.0845696</x:v>
      </x:c>
      <x:c r="T638" s="238" t="n">
        <x:f>ROUND(S638-O638,4)</x:f>
        <x:v>0</x:v>
      </x:c>
    </x:row>
    <x:row r="639">
      <x:c r="A639" s="187" t="str">
        <x:v>BUDGET_2026_V1</x:v>
      </x:c>
      <x:c r="B639" s="187" t="str">
        <x:v>BUDGET</x:v>
      </x:c>
      <x:c r="C639" s="187"/>
      <x:c r="D639" s="217" t="n">
        <x:v>46327</x:v>
      </x:c>
      <x:c r="E639" s="187" t="str">
        <x:v>R_GB_DE_A_ROAD</x:v>
      </x:c>
      <x:c r="F639" s="187" t="str">
        <x:v>GB</x:v>
      </x:c>
      <x:c r="G639" s="187" t="str">
        <x:v>DE_FC</x:v>
      </x:c>
      <x:c r="H639" s="187" t="str">
        <x:v>CARRIER_A</x:v>
      </x:c>
      <x:c r="I639" s="187" t="str">
        <x:v>ROAD</x:v>
      </x:c>
      <x:c r="J639" s="187" t="str">
        <x:v>RETURN_LOGISTICS</x:v>
      </x:c>
      <x:c r="K639" s="187" t="str">
        <x:v>GBP</x:v>
      </x:c>
      <x:c r="L639" s="232" t="n">
        <x:v>1897.75872</x:v>
      </x:c>
      <x:c r="M639" s="232" t="n">
        <x:v>9</x:v>
      </x:c>
      <x:c r="N639" s="187" t="str">
        <x:v>17079.8284800000000</x:v>
      </x:c>
      <x:c r="O639" s="235" t="n">
        <x:v>17079.8285</x:v>
      </x:c>
      <x:c r="P639" s="235"/>
      <x:c r="Q639" s="235"/>
      <x:c r="R639" s="235" t="str">
        <x:v>INVOICE_OR_PLAN</x:v>
      </x:c>
      <x:c r="S639" s="238" t="n">
        <x:f>'Model_Calc'!AV110</x:f>
        <x:v>17079.828479999996</x:v>
      </x:c>
      <x:c r="T639" s="238" t="n">
        <x:f>ROUND(S639-O639,4)</x:f>
        <x:v>0</x:v>
      </x:c>
    </x:row>
    <x:row r="640">
      <x:c r="A640" s="187" t="str">
        <x:v>BUDGET_2026_V1</x:v>
      </x:c>
      <x:c r="B640" s="187" t="str">
        <x:v>BUDGET</x:v>
      </x:c>
      <x:c r="C640" s="187"/>
      <x:c r="D640" s="217" t="n">
        <x:v>46327</x:v>
      </x:c>
      <x:c r="E640" s="187" t="str">
        <x:v>R_GB_DE_A_ROAD</x:v>
      </x:c>
      <x:c r="F640" s="187" t="str">
        <x:v>GB</x:v>
      </x:c>
      <x:c r="G640" s="187" t="str">
        <x:v>DE_FC</x:v>
      </x:c>
      <x:c r="H640" s="187" t="str">
        <x:v>CARRIER_A</x:v>
      </x:c>
      <x:c r="I640" s="187" t="str">
        <x:v>ROAD</x:v>
      </x:c>
      <x:c r="J640" s="187" t="str">
        <x:v>BILLABLE_EXCEPTION</x:v>
      </x:c>
      <x:c r="K640" s="187" t="str">
        <x:v>GBP</x:v>
      </x:c>
      <x:c r="L640" s="232" t="n">
        <x:v>280.07755776</x:v>
      </x:c>
      <x:c r="M640" s="232" t="n">
        <x:v>9</x:v>
      </x:c>
      <x:c r="N640" s="187" t="str">
        <x:v>2520.698019840000000</x:v>
      </x:c>
      <x:c r="O640" s="235" t="n">
        <x:v>2520.698</x:v>
      </x:c>
      <x:c r="P640" s="235"/>
      <x:c r="Q640" s="235"/>
      <x:c r="R640" s="235" t="str">
        <x:v>INVOICE_OR_PLAN</x:v>
      </x:c>
      <x:c r="S640" s="238" t="n">
        <x:f>'Model_Calc'!BA110</x:f>
        <x:v>2520.6980198399992</x:v>
      </x:c>
      <x:c r="T640" s="238" t="n">
        <x:f>ROUND(S640-O640,4)</x:f>
        <x:v>0</x:v>
      </x:c>
    </x:row>
    <x:row r="641">
      <x:c r="A641" s="187" t="str">
        <x:v>BUDGET_2026_V1</x:v>
      </x:c>
      <x:c r="B641" s="187" t="str">
        <x:v>BUDGET</x:v>
      </x:c>
      <x:c r="C641" s="187"/>
      <x:c r="D641" s="217" t="n">
        <x:v>46327</x:v>
      </x:c>
      <x:c r="E641" s="187" t="str">
        <x:v>R_GB_DE_B_ROAD</x:v>
      </x:c>
      <x:c r="F641" s="187" t="str">
        <x:v>GB</x:v>
      </x:c>
      <x:c r="G641" s="187" t="str">
        <x:v>DE_FC</x:v>
      </x:c>
      <x:c r="H641" s="187" t="str">
        <x:v>CARRIER_B</x:v>
      </x:c>
      <x:c r="I641" s="187" t="str">
        <x:v>ROAD</x:v>
      </x:c>
      <x:c r="J641" s="187" t="str">
        <x:v>BASE_FREIGHT</x:v>
      </x:c>
      <x:c r="K641" s="187" t="str">
        <x:v>GBP</x:v>
      </x:c>
      <x:c r="L641" s="232" t="n">
        <x:v>10105.869312</x:v>
      </x:c>
      <x:c r="M641" s="232" t="n">
        <x:v>9</x:v>
      </x:c>
      <x:c r="N641" s="187" t="str">
        <x:v>90952.8238080000000000</x:v>
      </x:c>
      <x:c r="O641" s="235" t="n">
        <x:v>90952.8238</x:v>
      </x:c>
      <x:c r="P641" s="235"/>
      <x:c r="Q641" s="235"/>
      <x:c r="R641" s="235" t="str">
        <x:v>INVOICE_OR_PLAN</x:v>
      </x:c>
      <x:c r="S641" s="238" t="n">
        <x:f>'Model_Calc'!AF111</x:f>
        <x:v>90952.823808</x:v>
      </x:c>
      <x:c r="T641" s="238" t="n">
        <x:f>ROUND(S641-O641,4)</x:f>
        <x:v>0</x:v>
      </x:c>
    </x:row>
    <x:row r="642">
      <x:c r="A642" s="187" t="str">
        <x:v>BUDGET_2026_V1</x:v>
      </x:c>
      <x:c r="B642" s="187" t="str">
        <x:v>BUDGET</x:v>
      </x:c>
      <x:c r="C642" s="187"/>
      <x:c r="D642" s="217" t="n">
        <x:v>46327</x:v>
      </x:c>
      <x:c r="E642" s="187" t="str">
        <x:v>R_GB_DE_B_ROAD</x:v>
      </x:c>
      <x:c r="F642" s="187" t="str">
        <x:v>GB</x:v>
      </x:c>
      <x:c r="G642" s="187" t="str">
        <x:v>DE_FC</x:v>
      </x:c>
      <x:c r="H642" s="187" t="str">
        <x:v>CARRIER_B</x:v>
      </x:c>
      <x:c r="I642" s="187" t="str">
        <x:v>ROAD</x:v>
      </x:c>
      <x:c r="J642" s="187" t="str">
        <x:v>FUEL_SURCHARGE</x:v>
      </x:c>
      <x:c r="K642" s="187" t="str">
        <x:v>GBP</x:v>
      </x:c>
      <x:c r="L642" s="232" t="n">
        <x:v>709.5610368</x:v>
      </x:c>
      <x:c r="M642" s="232" t="n">
        <x:v>9</x:v>
      </x:c>
      <x:c r="N642" s="187" t="str">
        <x:v>6386.0493312000000000</x:v>
      </x:c>
      <x:c r="O642" s="235" t="n">
        <x:v>6386.0493</x:v>
      </x:c>
      <x:c r="P642" s="235"/>
      <x:c r="Q642" s="235"/>
      <x:c r="R642" s="235" t="str">
        <x:v>INVOICE_OR_PLAN</x:v>
      </x:c>
      <x:c r="S642" s="238" t="n">
        <x:f>'Model_Calc'!AG111</x:f>
        <x:v>6386.0493312</x:v>
      </x:c>
      <x:c r="T642" s="238" t="n">
        <x:f>ROUND(S642-O642,4)</x:f>
        <x:v>0</x:v>
      </x:c>
    </x:row>
    <x:row r="643">
      <x:c r="A643" s="187" t="str">
        <x:v>BUDGET_2026_V1</x:v>
      </x:c>
      <x:c r="B643" s="187" t="str">
        <x:v>BUDGET</x:v>
      </x:c>
      <x:c r="C643" s="187"/>
      <x:c r="D643" s="217" t="n">
        <x:v>46327</x:v>
      </x:c>
      <x:c r="E643" s="187" t="str">
        <x:v>R_GB_DE_B_ROAD</x:v>
      </x:c>
      <x:c r="F643" s="187" t="str">
        <x:v>GB</x:v>
      </x:c>
      <x:c r="G643" s="187" t="str">
        <x:v>DE_FC</x:v>
      </x:c>
      <x:c r="H643" s="187" t="str">
        <x:v>CARRIER_B</x:v>
      </x:c>
      <x:c r="I643" s="187" t="str">
        <x:v>ROAD</x:v>
      </x:c>
      <x:c r="J643" s="187" t="str">
        <x:v>WAREHOUSE_OPERATION</x:v>
      </x:c>
      <x:c r="K643" s="187" t="str">
        <x:v>EUR</x:v>
      </x:c>
      <x:c r="L643" s="232" t="n">
        <x:v>2242.944</x:v>
      </x:c>
      <x:c r="M643" s="232" t="n">
        <x:v>7.8</x:v>
      </x:c>
      <x:c r="N643" s="187" t="str">
        <x:v>17494.9632000000</x:v>
      </x:c>
      <x:c r="O643" s="235" t="n">
        <x:v>17494.9632</x:v>
      </x:c>
      <x:c r="P643" s="235"/>
      <x:c r="Q643" s="235"/>
      <x:c r="R643" s="235" t="str">
        <x:v>INVOICE_OR_PLAN</x:v>
      </x:c>
      <x:c r="S643" s="238" t="n">
        <x:f>'Model_Calc'!AL111</x:f>
        <x:v>17494.9632</x:v>
      </x:c>
      <x:c r="T643" s="238" t="n">
        <x:f>ROUND(S643-O643,4)</x:f>
        <x:v>0</x:v>
      </x:c>
    </x:row>
    <x:row r="644">
      <x:c r="A644" s="187" t="str">
        <x:v>BUDGET_2026_V1</x:v>
      </x:c>
      <x:c r="B644" s="187" t="str">
        <x:v>BUDGET</x:v>
      </x:c>
      <x:c r="C644" s="187"/>
      <x:c r="D644" s="217" t="n">
        <x:v>46327</x:v>
      </x:c>
      <x:c r="E644" s="187" t="str">
        <x:v>R_GB_DE_B_ROAD</x:v>
      </x:c>
      <x:c r="F644" s="187" t="str">
        <x:v>GB</x:v>
      </x:c>
      <x:c r="G644" s="187" t="str">
        <x:v>DE_FC</x:v>
      </x:c>
      <x:c r="H644" s="187" t="str">
        <x:v>CARRIER_B</x:v>
      </x:c>
      <x:c r="I644" s="187" t="str">
        <x:v>ROAD</x:v>
      </x:c>
      <x:c r="J644" s="187" t="str">
        <x:v>PACKAGING</x:v>
      </x:c>
      <x:c r="K644" s="187" t="str">
        <x:v>EUR</x:v>
      </x:c>
      <x:c r="L644" s="232" t="n">
        <x:v>894.13632</x:v>
      </x:c>
      <x:c r="M644" s="232" t="n">
        <x:v>7.8</x:v>
      </x:c>
      <x:c r="N644" s="187" t="str">
        <x:v>6974.263296000000</x:v>
      </x:c>
      <x:c r="O644" s="235" t="n">
        <x:v>6974.2633</x:v>
      </x:c>
      <x:c r="P644" s="235"/>
      <x:c r="Q644" s="235"/>
      <x:c r="R644" s="235" t="str">
        <x:v>INVOICE_OR_PLAN</x:v>
      </x:c>
      <x:c r="S644" s="238" t="n">
        <x:f>'Model_Calc'!AQ111</x:f>
        <x:v>6974.263296</x:v>
      </x:c>
      <x:c r="T644" s="238" t="n">
        <x:f>ROUND(S644-O644,4)</x:f>
        <x:v>0</x:v>
      </x:c>
    </x:row>
    <x:row r="645">
      <x:c r="A645" s="187" t="str">
        <x:v>BUDGET_2026_V1</x:v>
      </x:c>
      <x:c r="B645" s="187" t="str">
        <x:v>BUDGET</x:v>
      </x:c>
      <x:c r="C645" s="187"/>
      <x:c r="D645" s="217" t="n">
        <x:v>46327</x:v>
      </x:c>
      <x:c r="E645" s="187" t="str">
        <x:v>R_GB_DE_B_ROAD</x:v>
      </x:c>
      <x:c r="F645" s="187" t="str">
        <x:v>GB</x:v>
      </x:c>
      <x:c r="G645" s="187" t="str">
        <x:v>DE_FC</x:v>
      </x:c>
      <x:c r="H645" s="187" t="str">
        <x:v>CARRIER_B</x:v>
      </x:c>
      <x:c r="I645" s="187" t="str">
        <x:v>ROAD</x:v>
      </x:c>
      <x:c r="J645" s="187" t="str">
        <x:v>RETURN_LOGISTICS</x:v>
      </x:c>
      <x:c r="K645" s="187" t="str">
        <x:v>GBP</x:v>
      </x:c>
      <x:c r="L645" s="232" t="n">
        <x:v>729.9072</x:v>
      </x:c>
      <x:c r="M645" s="232" t="n">
        <x:v>9</x:v>
      </x:c>
      <x:c r="N645" s="187" t="str">
        <x:v>6569.1648000000000</x:v>
      </x:c>
      <x:c r="O645" s="235" t="n">
        <x:v>6569.1648</x:v>
      </x:c>
      <x:c r="P645" s="235"/>
      <x:c r="Q645" s="235"/>
      <x:c r="R645" s="235" t="str">
        <x:v>INVOICE_OR_PLAN</x:v>
      </x:c>
      <x:c r="S645" s="238" t="n">
        <x:f>'Model_Calc'!AV111</x:f>
        <x:v>6569.1648</x:v>
      </x:c>
      <x:c r="T645" s="238" t="n">
        <x:f>ROUND(S645-O645,4)</x:f>
        <x:v>0</x:v>
      </x:c>
    </x:row>
    <x:row r="646">
      <x:c r="A646" s="187" t="str">
        <x:v>BUDGET_2026_V1</x:v>
      </x:c>
      <x:c r="B646" s="187" t="str">
        <x:v>BUDGET</x:v>
      </x:c>
      <x:c r="C646" s="187"/>
      <x:c r="D646" s="217" t="n">
        <x:v>46327</x:v>
      </x:c>
      <x:c r="E646" s="187" t="str">
        <x:v>R_GB_DE_B_ROAD</x:v>
      </x:c>
      <x:c r="F646" s="187" t="str">
        <x:v>GB</x:v>
      </x:c>
      <x:c r="G646" s="187" t="str">
        <x:v>DE_FC</x:v>
      </x:c>
      <x:c r="H646" s="187" t="str">
        <x:v>CARRIER_B</x:v>
      </x:c>
      <x:c r="I646" s="187" t="str">
        <x:v>ROAD</x:v>
      </x:c>
      <x:c r="J646" s="187" t="str">
        <x:v>BILLABLE_EXCEPTION</x:v>
      </x:c>
      <x:c r="K646" s="187" t="str">
        <x:v>GBP</x:v>
      </x:c>
      <x:c r="L646" s="232" t="n">
        <x:v>83.2398336</x:v>
      </x:c>
      <x:c r="M646" s="232" t="n">
        <x:v>9</x:v>
      </x:c>
      <x:c r="N646" s="187" t="str">
        <x:v>749.158502400000000</x:v>
      </x:c>
      <x:c r="O646" s="235" t="n">
        <x:v>749.1585</x:v>
      </x:c>
      <x:c r="P646" s="235"/>
      <x:c r="Q646" s="235"/>
      <x:c r="R646" s="235" t="str">
        <x:v>INVOICE_OR_PLAN</x:v>
      </x:c>
      <x:c r="S646" s="238" t="n">
        <x:f>'Model_Calc'!BA111</x:f>
        <x:v>749.1585024000001</x:v>
      </x:c>
      <x:c r="T646" s="238" t="n">
        <x:f>ROUND(S646-O646,4)</x:f>
        <x:v>0</x:v>
      </x:c>
    </x:row>
    <x:row r="647">
      <x:c r="A647" s="187" t="str">
        <x:v>BUDGET_2026_V1</x:v>
      </x:c>
      <x:c r="B647" s="187" t="str">
        <x:v>BUDGET</x:v>
      </x:c>
      <x:c r="C647" s="187"/>
      <x:c r="D647" s="217" t="n">
        <x:v>46327</x:v>
      </x:c>
      <x:c r="E647" s="187" t="str">
        <x:v>R_GB_DE_B_AIR</x:v>
      </x:c>
      <x:c r="F647" s="187" t="str">
        <x:v>GB</x:v>
      </x:c>
      <x:c r="G647" s="187" t="str">
        <x:v>DE_FC</x:v>
      </x:c>
      <x:c r="H647" s="187" t="str">
        <x:v>CARRIER_B</x:v>
      </x:c>
      <x:c r="I647" s="187" t="str">
        <x:v>AIR</x:v>
      </x:c>
      <x:c r="J647" s="187" t="str">
        <x:v>BASE_FREIGHT</x:v>
      </x:c>
      <x:c r="K647" s="187" t="str">
        <x:v>GBP</x:v>
      </x:c>
      <x:c r="L647" s="232" t="n">
        <x:v>3508.7578251264</x:v>
      </x:c>
      <x:c r="M647" s="232" t="n">
        <x:v>9</x:v>
      </x:c>
      <x:c r="N647" s="187" t="str">
        <x:v>31578.8204261376000000</x:v>
      </x:c>
      <x:c r="O647" s="235" t="n">
        <x:v>31578.8204</x:v>
      </x:c>
      <x:c r="P647" s="235"/>
      <x:c r="Q647" s="235"/>
      <x:c r="R647" s="235" t="str">
        <x:v>INVOICE_OR_PLAN</x:v>
      </x:c>
      <x:c r="S647" s="238" t="n">
        <x:f>'Model_Calc'!AF112</x:f>
        <x:v>31578.82042613761</x:v>
      </x:c>
      <x:c r="T647" s="238" t="n">
        <x:f>ROUND(S647-O647,4)</x:f>
        <x:v>0</x:v>
      </x:c>
    </x:row>
    <x:row r="648">
      <x:c r="A648" s="187" t="str">
        <x:v>BUDGET_2026_V1</x:v>
      </x:c>
      <x:c r="B648" s="187" t="str">
        <x:v>BUDGET</x:v>
      </x:c>
      <x:c r="C648" s="187"/>
      <x:c r="D648" s="217" t="n">
        <x:v>46327</x:v>
      </x:c>
      <x:c r="E648" s="187" t="str">
        <x:v>R_GB_DE_B_AIR</x:v>
      </x:c>
      <x:c r="F648" s="187" t="str">
        <x:v>GB</x:v>
      </x:c>
      <x:c r="G648" s="187" t="str">
        <x:v>DE_FC</x:v>
      </x:c>
      <x:c r="H648" s="187" t="str">
        <x:v>CARRIER_B</x:v>
      </x:c>
      <x:c r="I648" s="187" t="str">
        <x:v>AIR</x:v>
      </x:c>
      <x:c r="J648" s="187" t="str">
        <x:v>FUEL_SURCHARGE</x:v>
      </x:c>
      <x:c r="K648" s="187" t="str">
        <x:v>GBP</x:v>
      </x:c>
      <x:c r="L648" s="232" t="n">
        <x:v>403.507149889536</x:v>
      </x:c>
      <x:c r="M648" s="232" t="n">
        <x:v>9</x:v>
      </x:c>
      <x:c r="N648" s="187" t="str">
        <x:v>3631.5643490058240000000</x:v>
      </x:c>
      <x:c r="O648" s="235" t="n">
        <x:v>3631.5643</x:v>
      </x:c>
      <x:c r="P648" s="235"/>
      <x:c r="Q648" s="235"/>
      <x:c r="R648" s="235" t="str">
        <x:v>INVOICE_OR_PLAN</x:v>
      </x:c>
      <x:c r="S648" s="238" t="n">
        <x:f>'Model_Calc'!AG112</x:f>
        <x:v>3631.5643490058246</x:v>
      </x:c>
      <x:c r="T648" s="238" t="n">
        <x:f>ROUND(S648-O648,4)</x:f>
        <x:v>0</x:v>
      </x:c>
    </x:row>
    <x:row r="649">
      <x:c r="A649" s="187" t="str">
        <x:v>BUDGET_2026_V1</x:v>
      </x:c>
      <x:c r="B649" s="187" t="str">
        <x:v>BUDGET</x:v>
      </x:c>
      <x:c r="C649" s="187"/>
      <x:c r="D649" s="217" t="n">
        <x:v>46327</x:v>
      </x:c>
      <x:c r="E649" s="187" t="str">
        <x:v>R_GB_DE_B_AIR</x:v>
      </x:c>
      <x:c r="F649" s="187" t="str">
        <x:v>GB</x:v>
      </x:c>
      <x:c r="G649" s="187" t="str">
        <x:v>DE_FC</x:v>
      </x:c>
      <x:c r="H649" s="187" t="str">
        <x:v>CARRIER_B</x:v>
      </x:c>
      <x:c r="I649" s="187" t="str">
        <x:v>AIR</x:v>
      </x:c>
      <x:c r="J649" s="187" t="str">
        <x:v>WAREHOUSE_OPERATION</x:v>
      </x:c>
      <x:c r="K649" s="187" t="str">
        <x:v>EUR</x:v>
      </x:c>
      <x:c r="L649" s="232" t="n">
        <x:v>628.02432</x:v>
      </x:c>
      <x:c r="M649" s="232" t="n">
        <x:v>7.8</x:v>
      </x:c>
      <x:c r="N649" s="187" t="str">
        <x:v>4898.5896960000</x:v>
      </x:c>
      <x:c r="O649" s="235" t="n">
        <x:v>4898.5897</x:v>
      </x:c>
      <x:c r="P649" s="235"/>
      <x:c r="Q649" s="235"/>
      <x:c r="R649" s="235" t="str">
        <x:v>INVOICE_OR_PLAN</x:v>
      </x:c>
      <x:c r="S649" s="238" t="n">
        <x:f>'Model_Calc'!AL112</x:f>
        <x:v>4898.589696</x:v>
      </x:c>
      <x:c r="T649" s="238" t="n">
        <x:f>ROUND(S649-O649,4)</x:f>
        <x:v>0</x:v>
      </x:c>
    </x:row>
    <x:row r="650">
      <x:c r="A650" s="187" t="str">
        <x:v>BUDGET_2026_V1</x:v>
      </x:c>
      <x:c r="B650" s="187" t="str">
        <x:v>BUDGET</x:v>
      </x:c>
      <x:c r="C650" s="187"/>
      <x:c r="D650" s="217" t="n">
        <x:v>46327</x:v>
      </x:c>
      <x:c r="E650" s="187" t="str">
        <x:v>R_GB_DE_B_AIR</x:v>
      </x:c>
      <x:c r="F650" s="187" t="str">
        <x:v>GB</x:v>
      </x:c>
      <x:c r="G650" s="187" t="str">
        <x:v>DE_FC</x:v>
      </x:c>
      <x:c r="H650" s="187" t="str">
        <x:v>CARRIER_B</x:v>
      </x:c>
      <x:c r="I650" s="187" t="str">
        <x:v>AIR</x:v>
      </x:c>
      <x:c r="J650" s="187" t="str">
        <x:v>PACKAGING</x:v>
      </x:c>
      <x:c r="K650" s="187" t="str">
        <x:v>EUR</x:v>
      </x:c>
      <x:c r="L650" s="232" t="n">
        <x:v>250.3581696</x:v>
      </x:c>
      <x:c r="M650" s="232" t="n">
        <x:v>7.8</x:v>
      </x:c>
      <x:c r="N650" s="187" t="str">
        <x:v>1952.793722880000</x:v>
      </x:c>
      <x:c r="O650" s="235" t="n">
        <x:v>1952.7937</x:v>
      </x:c>
      <x:c r="P650" s="235"/>
      <x:c r="Q650" s="235"/>
      <x:c r="R650" s="235" t="str">
        <x:v>INVOICE_OR_PLAN</x:v>
      </x:c>
      <x:c r="S650" s="238" t="n">
        <x:f>'Model_Calc'!AQ112</x:f>
        <x:v>1952.7937228800001</x:v>
      </x:c>
      <x:c r="T650" s="238" t="n">
        <x:f>ROUND(S650-O650,4)</x:f>
        <x:v>0</x:v>
      </x:c>
    </x:row>
    <x:row r="651">
      <x:c r="A651" s="187" t="str">
        <x:v>BUDGET_2026_V1</x:v>
      </x:c>
      <x:c r="B651" s="187" t="str">
        <x:v>BUDGET</x:v>
      </x:c>
      <x:c r="C651" s="187"/>
      <x:c r="D651" s="217" t="n">
        <x:v>46327</x:v>
      </x:c>
      <x:c r="E651" s="187" t="str">
        <x:v>R_GB_DE_B_AIR</x:v>
      </x:c>
      <x:c r="F651" s="187" t="str">
        <x:v>GB</x:v>
      </x:c>
      <x:c r="G651" s="187" t="str">
        <x:v>DE_FC</x:v>
      </x:c>
      <x:c r="H651" s="187" t="str">
        <x:v>CARRIER_B</x:v>
      </x:c>
      <x:c r="I651" s="187" t="str">
        <x:v>AIR</x:v>
      </x:c>
      <x:c r="J651" s="187" t="str">
        <x:v>RETURN_LOGISTICS</x:v>
      </x:c>
      <x:c r="K651" s="187" t="str">
        <x:v>GBP</x:v>
      </x:c>
      <x:c r="L651" s="232" t="n">
        <x:v>204.374016</x:v>
      </x:c>
      <x:c r="M651" s="232" t="n">
        <x:v>9</x:v>
      </x:c>
      <x:c r="N651" s="187" t="str">
        <x:v>1839.3661440000000</x:v>
      </x:c>
      <x:c r="O651" s="235" t="n">
        <x:v>1839.3661</x:v>
      </x:c>
      <x:c r="P651" s="235"/>
      <x:c r="Q651" s="235"/>
      <x:c r="R651" s="235" t="str">
        <x:v>INVOICE_OR_PLAN</x:v>
      </x:c>
      <x:c r="S651" s="238" t="n">
        <x:f>'Model_Calc'!AV112</x:f>
        <x:v>1839.366144</x:v>
      </x:c>
      <x:c r="T651" s="238" t="n">
        <x:f>ROUND(S651-O651,4)</x:f>
        <x:v>0</x:v>
      </x:c>
    </x:row>
    <x:row r="652">
      <x:c r="A652" s="187" t="str">
        <x:v>BUDGET_2026_V1</x:v>
      </x:c>
      <x:c r="B652" s="187" t="str">
        <x:v>BUDGET</x:v>
      </x:c>
      <x:c r="C652" s="187"/>
      <x:c r="D652" s="217" t="n">
        <x:v>46327</x:v>
      </x:c>
      <x:c r="E652" s="187" t="str">
        <x:v>R_GB_DE_B_AIR</x:v>
      </x:c>
      <x:c r="F652" s="187" t="str">
        <x:v>GB</x:v>
      </x:c>
      <x:c r="G652" s="187" t="str">
        <x:v>DE_FC</x:v>
      </x:c>
      <x:c r="H652" s="187" t="str">
        <x:v>CARRIER_B</x:v>
      </x:c>
      <x:c r="I652" s="187" t="str">
        <x:v>AIR</x:v>
      </x:c>
      <x:c r="J652" s="187" t="str">
        <x:v>BILLABLE_EXCEPTION</x:v>
      </x:c>
      <x:c r="K652" s="187" t="str">
        <x:v>GBP</x:v>
      </x:c>
      <x:c r="L652" s="232" t="n">
        <x:v>21.697708032</x:v>
      </x:c>
      <x:c r="M652" s="232" t="n">
        <x:v>9</x:v>
      </x:c>
      <x:c r="N652" s="187" t="str">
        <x:v>195.279372288000000</x:v>
      </x:c>
      <x:c r="O652" s="235" t="n">
        <x:v>195.2794</x:v>
      </x:c>
      <x:c r="P652" s="235"/>
      <x:c r="Q652" s="235"/>
      <x:c r="R652" s="235" t="str">
        <x:v>INVOICE_OR_PLAN</x:v>
      </x:c>
      <x:c r="S652" s="238" t="n">
        <x:f>'Model_Calc'!BA112</x:f>
        <x:v>195.27937228800002</x:v>
      </x:c>
      <x:c r="T652" s="238" t="n">
        <x:f>ROUND(S652-O652,4)</x:f>
        <x:v>0</x:v>
      </x:c>
    </x:row>
    <x:row r="653">
      <x:c r="A653" s="187" t="str">
        <x:v>BUDGET_2026_V1</x:v>
      </x:c>
      <x:c r="B653" s="187" t="str">
        <x:v>BUDGET</x:v>
      </x:c>
      <x:c r="C653" s="187"/>
      <x:c r="D653" s="217" t="n">
        <x:v>46327</x:v>
      </x:c>
      <x:c r="E653" s="187" t="str">
        <x:v>R_GB_DE_C_AIR</x:v>
      </x:c>
      <x:c r="F653" s="187" t="str">
        <x:v>GB</x:v>
      </x:c>
      <x:c r="G653" s="187" t="str">
        <x:v>DE_FC</x:v>
      </x:c>
      <x:c r="H653" s="187" t="str">
        <x:v>CARRIER_C</x:v>
      </x:c>
      <x:c r="I653" s="187" t="str">
        <x:v>AIR</x:v>
      </x:c>
      <x:c r="J653" s="187" t="str">
        <x:v>BASE_FREIGHT</x:v>
      </x:c>
      <x:c r="K653" s="187" t="str">
        <x:v>GBP</x:v>
      </x:c>
      <x:c r="L653" s="232" t="n">
        <x:v>1780.35314688</x:v>
      </x:c>
      <x:c r="M653" s="232" t="n">
        <x:v>9</x:v>
      </x:c>
      <x:c r="N653" s="187" t="str">
        <x:v>16023.1783219200000000</x:v>
      </x:c>
      <x:c r="O653" s="235" t="n">
        <x:v>16023.1783</x:v>
      </x:c>
      <x:c r="P653" s="235"/>
      <x:c r="Q653" s="235"/>
      <x:c r="R653" s="235" t="str">
        <x:v>INVOICE_OR_PLAN</x:v>
      </x:c>
      <x:c r="S653" s="238" t="n">
        <x:f>'Model_Calc'!AF113</x:f>
        <x:v>16023.17832192</x:v>
      </x:c>
      <x:c r="T653" s="238" t="n">
        <x:f>ROUND(S653-O653,4)</x:f>
        <x:v>0</x:v>
      </x:c>
    </x:row>
    <x:row r="654">
      <x:c r="A654" s="187" t="str">
        <x:v>BUDGET_2026_V1</x:v>
      </x:c>
      <x:c r="B654" s="187" t="str">
        <x:v>BUDGET</x:v>
      </x:c>
      <x:c r="C654" s="187"/>
      <x:c r="D654" s="217" t="n">
        <x:v>46327</x:v>
      </x:c>
      <x:c r="E654" s="187" t="str">
        <x:v>R_GB_DE_C_AIR</x:v>
      </x:c>
      <x:c r="F654" s="187" t="str">
        <x:v>GB</x:v>
      </x:c>
      <x:c r="G654" s="187" t="str">
        <x:v>DE_FC</x:v>
      </x:c>
      <x:c r="H654" s="187" t="str">
        <x:v>CARRIER_C</x:v>
      </x:c>
      <x:c r="I654" s="187" t="str">
        <x:v>AIR</x:v>
      </x:c>
      <x:c r="J654" s="187" t="str">
        <x:v>FUEL_SURCHARGE</x:v>
      </x:c>
      <x:c r="K654" s="187" t="str">
        <x:v>GBP</x:v>
      </x:c>
      <x:c r="L654" s="232" t="n">
        <x:v>137.68064335872</x:v>
      </x:c>
      <x:c r="M654" s="232" t="n">
        <x:v>9</x:v>
      </x:c>
      <x:c r="N654" s="187" t="str">
        <x:v>1239.1257902284800000</x:v>
      </x:c>
      <x:c r="O654" s="235" t="n">
        <x:v>1239.1258</x:v>
      </x:c>
      <x:c r="P654" s="235"/>
      <x:c r="Q654" s="235"/>
      <x:c r="R654" s="235" t="str">
        <x:v>INVOICE_OR_PLAN</x:v>
      </x:c>
      <x:c r="S654" s="238" t="n">
        <x:f>'Model_Calc'!AG113</x:f>
        <x:v>1239.1257902284801</x:v>
      </x:c>
      <x:c r="T654" s="238" t="n">
        <x:f>ROUND(S654-O654,4)</x:f>
        <x:v>0</x:v>
      </x:c>
    </x:row>
    <x:row r="655">
      <x:c r="A655" s="187" t="str">
        <x:v>BUDGET_2026_V1</x:v>
      </x:c>
      <x:c r="B655" s="187" t="str">
        <x:v>BUDGET</x:v>
      </x:c>
      <x:c r="C655" s="187"/>
      <x:c r="D655" s="217" t="n">
        <x:v>46327</x:v>
      </x:c>
      <x:c r="E655" s="187" t="str">
        <x:v>R_GB_DE_C_AIR</x:v>
      </x:c>
      <x:c r="F655" s="187" t="str">
        <x:v>GB</x:v>
      </x:c>
      <x:c r="G655" s="187" t="str">
        <x:v>DE_FC</x:v>
      </x:c>
      <x:c r="H655" s="187" t="str">
        <x:v>CARRIER_C</x:v>
      </x:c>
      <x:c r="I655" s="187" t="str">
        <x:v>AIR</x:v>
      </x:c>
      <x:c r="J655" s="187" t="str">
        <x:v>WAREHOUSE_OPERATION</x:v>
      </x:c>
      <x:c r="K655" s="187" t="str">
        <x:v>EUR</x:v>
      </x:c>
      <x:c r="L655" s="232" t="n">
        <x:v>269.15328</x:v>
      </x:c>
      <x:c r="M655" s="232" t="n">
        <x:v>7.8</x:v>
      </x:c>
      <x:c r="N655" s="187" t="str">
        <x:v>2099.3955840000</x:v>
      </x:c>
      <x:c r="O655" s="235" t="n">
        <x:v>2099.3956</x:v>
      </x:c>
      <x:c r="P655" s="235"/>
      <x:c r="Q655" s="235"/>
      <x:c r="R655" s="235" t="str">
        <x:v>INVOICE_OR_PLAN</x:v>
      </x:c>
      <x:c r="S655" s="238" t="n">
        <x:f>'Model_Calc'!AL113</x:f>
        <x:v>2099.3955839999994</x:v>
      </x:c>
      <x:c r="T655" s="238" t="n">
        <x:f>ROUND(S655-O655,4)</x:f>
        <x:v>0</x:v>
      </x:c>
    </x:row>
    <x:row r="656">
      <x:c r="A656" s="187" t="str">
        <x:v>BUDGET_2026_V1</x:v>
      </x:c>
      <x:c r="B656" s="187" t="str">
        <x:v>BUDGET</x:v>
      </x:c>
      <x:c r="C656" s="187"/>
      <x:c r="D656" s="217" t="n">
        <x:v>46327</x:v>
      </x:c>
      <x:c r="E656" s="187" t="str">
        <x:v>R_GB_DE_C_AIR</x:v>
      </x:c>
      <x:c r="F656" s="187" t="str">
        <x:v>GB</x:v>
      </x:c>
      <x:c r="G656" s="187" t="str">
        <x:v>DE_FC</x:v>
      </x:c>
      <x:c r="H656" s="187" t="str">
        <x:v>CARRIER_C</x:v>
      </x:c>
      <x:c r="I656" s="187" t="str">
        <x:v>AIR</x:v>
      </x:c>
      <x:c r="J656" s="187" t="str">
        <x:v>PACKAGING</x:v>
      </x:c>
      <x:c r="K656" s="187" t="str">
        <x:v>EUR</x:v>
      </x:c>
      <x:c r="L656" s="232" t="n">
        <x:v>107.2963584</x:v>
      </x:c>
      <x:c r="M656" s="232" t="n">
        <x:v>7.8</x:v>
      </x:c>
      <x:c r="N656" s="187" t="str">
        <x:v>836.911595520000</x:v>
      </x:c>
      <x:c r="O656" s="235" t="n">
        <x:v>836.9116</x:v>
      </x:c>
      <x:c r="P656" s="235"/>
      <x:c r="Q656" s="235"/>
      <x:c r="R656" s="235" t="str">
        <x:v>INVOICE_OR_PLAN</x:v>
      </x:c>
      <x:c r="S656" s="238" t="n">
        <x:f>'Model_Calc'!AQ113</x:f>
        <x:v>836.91159552</x:v>
      </x:c>
      <x:c r="T656" s="238" t="n">
        <x:f>ROUND(S656-O656,4)</x:f>
        <x:v>0</x:v>
      </x:c>
    </x:row>
    <x:row r="657">
      <x:c r="A657" s="187" t="str">
        <x:v>BUDGET_2026_V1</x:v>
      </x:c>
      <x:c r="B657" s="187" t="str">
        <x:v>BUDGET</x:v>
      </x:c>
      <x:c r="C657" s="187"/>
      <x:c r="D657" s="217" t="n">
        <x:v>46327</x:v>
      </x:c>
      <x:c r="E657" s="187" t="str">
        <x:v>R_GB_DE_C_AIR</x:v>
      </x:c>
      <x:c r="F657" s="187" t="str">
        <x:v>GB</x:v>
      </x:c>
      <x:c r="G657" s="187" t="str">
        <x:v>DE_FC</x:v>
      </x:c>
      <x:c r="H657" s="187" t="str">
        <x:v>CARRIER_C</x:v>
      </x:c>
      <x:c r="I657" s="187" t="str">
        <x:v>AIR</x:v>
      </x:c>
      <x:c r="J657" s="187" t="str">
        <x:v>RETURN_LOGISTICS</x:v>
      </x:c>
      <x:c r="K657" s="187" t="str">
        <x:v>GBP</x:v>
      </x:c>
      <x:c r="L657" s="232" t="n">
        <x:v>87.588864</x:v>
      </x:c>
      <x:c r="M657" s="232" t="n">
        <x:v>9</x:v>
      </x:c>
      <x:c r="N657" s="187" t="str">
        <x:v>788.2997760000000</x:v>
      </x:c>
      <x:c r="O657" s="235" t="n">
        <x:v>788.2998</x:v>
      </x:c>
      <x:c r="P657" s="235"/>
      <x:c r="Q657" s="235"/>
      <x:c r="R657" s="235" t="str">
        <x:v>INVOICE_OR_PLAN</x:v>
      </x:c>
      <x:c r="S657" s="238" t="n">
        <x:f>'Model_Calc'!AV113</x:f>
        <x:v>788.2997759999998</x:v>
      </x:c>
      <x:c r="T657" s="238" t="n">
        <x:f>ROUND(S657-O657,4)</x:f>
        <x:v>0</x:v>
      </x:c>
    </x:row>
    <x:row r="658">
      <x:c r="A658" s="187" t="str">
        <x:v>BUDGET_2026_V1</x:v>
      </x:c>
      <x:c r="B658" s="187" t="str">
        <x:v>BUDGET</x:v>
      </x:c>
      <x:c r="C658" s="187"/>
      <x:c r="D658" s="217" t="n">
        <x:v>46327</x:v>
      </x:c>
      <x:c r="E658" s="187" t="str">
        <x:v>R_GB_DE_C_AIR</x:v>
      </x:c>
      <x:c r="F658" s="187" t="str">
        <x:v>GB</x:v>
      </x:c>
      <x:c r="G658" s="187" t="str">
        <x:v>DE_FC</x:v>
      </x:c>
      <x:c r="H658" s="187" t="str">
        <x:v>CARRIER_C</x:v>
      </x:c>
      <x:c r="I658" s="187" t="str">
        <x:v>AIR</x:v>
      </x:c>
      <x:c r="J658" s="187" t="str">
        <x:v>BILLABLE_EXCEPTION</x:v>
      </x:c>
      <x:c r="K658" s="187" t="str">
        <x:v>GBP</x:v>
      </x:c>
      <x:c r="L658" s="232" t="n">
        <x:v>8.277147648</x:v>
      </x:c>
      <x:c r="M658" s="232" t="n">
        <x:v>9</x:v>
      </x:c>
      <x:c r="N658" s="187" t="str">
        <x:v>74.494328832000000</x:v>
      </x:c>
      <x:c r="O658" s="235" t="n">
        <x:v>74.4943</x:v>
      </x:c>
      <x:c r="P658" s="235"/>
      <x:c r="Q658" s="235"/>
      <x:c r="R658" s="235" t="str">
        <x:v>INVOICE_OR_PLAN</x:v>
      </x:c>
      <x:c r="S658" s="238" t="n">
        <x:f>'Model_Calc'!BA113</x:f>
        <x:v>74.494328832</x:v>
      </x:c>
      <x:c r="T658" s="238" t="n">
        <x:f>ROUND(S658-O658,4)</x:f>
        <x:v>0</x:v>
      </x:c>
    </x:row>
    <x:row r="659">
      <x:c r="A659" s="187" t="str">
        <x:v>BUDGET_2026_V1</x:v>
      </x:c>
      <x:c r="B659" s="187" t="str">
        <x:v>BUDGET</x:v>
      </x:c>
      <x:c r="C659" s="187"/>
      <x:c r="D659" s="217" t="n">
        <x:v>46327</x:v>
      </x:c>
      <x:c r="E659" s="187" t="str">
        <x:v>R_GB_FR_B_AIR</x:v>
      </x:c>
      <x:c r="F659" s="187" t="str">
        <x:v>GB</x:v>
      </x:c>
      <x:c r="G659" s="187" t="str">
        <x:v>FR_FC</x:v>
      </x:c>
      <x:c r="H659" s="187" t="str">
        <x:v>CARRIER_B</x:v>
      </x:c>
      <x:c r="I659" s="187" t="str">
        <x:v>AIR</x:v>
      </x:c>
      <x:c r="J659" s="187" t="str">
        <x:v>BASE_FREIGHT</x:v>
      </x:c>
      <x:c r="K659" s="187" t="str">
        <x:v>EUR</x:v>
      </x:c>
      <x:c r="L659" s="232" t="n">
        <x:v>2218.818096</x:v>
      </x:c>
      <x:c r="M659" s="232" t="n">
        <x:v>7.8</x:v>
      </x:c>
      <x:c r="N659" s="187" t="str">
        <x:v>17306.78114880000000</x:v>
      </x:c>
      <x:c r="O659" s="235" t="n">
        <x:v>17306.7811</x:v>
      </x:c>
      <x:c r="P659" s="235"/>
      <x:c r="Q659" s="235"/>
      <x:c r="R659" s="235" t="str">
        <x:v>INVOICE_OR_PLAN</x:v>
      </x:c>
      <x:c r="S659" s="238" t="n">
        <x:f>'Model_Calc'!AF114</x:f>
        <x:v>17306.7811488</x:v>
      </x:c>
      <x:c r="T659" s="238" t="n">
        <x:f>ROUND(S659-O659,4)</x:f>
        <x:v>0</x:v>
      </x:c>
    </x:row>
    <x:row r="660">
      <x:c r="A660" s="187" t="str">
        <x:v>BUDGET_2026_V1</x:v>
      </x:c>
      <x:c r="B660" s="187" t="str">
        <x:v>BUDGET</x:v>
      </x:c>
      <x:c r="C660" s="187"/>
      <x:c r="D660" s="217" t="n">
        <x:v>46327</x:v>
      </x:c>
      <x:c r="E660" s="187" t="str">
        <x:v>R_GB_FR_B_AIR</x:v>
      </x:c>
      <x:c r="F660" s="187" t="str">
        <x:v>GB</x:v>
      </x:c>
      <x:c r="G660" s="187" t="str">
        <x:v>FR_FC</x:v>
      </x:c>
      <x:c r="H660" s="187" t="str">
        <x:v>CARRIER_B</x:v>
      </x:c>
      <x:c r="I660" s="187" t="str">
        <x:v>AIR</x:v>
      </x:c>
      <x:c r="J660" s="187" t="str">
        <x:v>FUEL_SURCHARGE</x:v>
      </x:c>
      <x:c r="K660" s="187" t="str">
        <x:v>EUR</x:v>
      </x:c>
      <x:c r="L660" s="232" t="n">
        <x:v>232.97590008</x:v>
      </x:c>
      <x:c r="M660" s="232" t="n">
        <x:v>7.8</x:v>
      </x:c>
      <x:c r="N660" s="187" t="str">
        <x:v>1817.21202062400000000</x:v>
      </x:c>
      <x:c r="O660" s="235" t="n">
        <x:v>1817.212</x:v>
      </x:c>
      <x:c r="P660" s="235"/>
      <x:c r="Q660" s="235"/>
      <x:c r="R660" s="235" t="str">
        <x:v>INVOICE_OR_PLAN</x:v>
      </x:c>
      <x:c r="S660" s="238" t="n">
        <x:f>'Model_Calc'!AG114</x:f>
        <x:v>1817.2120206239997</x:v>
      </x:c>
      <x:c r="T660" s="238" t="n">
        <x:f>ROUND(S660-O660,4)</x:f>
        <x:v>0</x:v>
      </x:c>
    </x:row>
    <x:row r="661">
      <x:c r="A661" s="187" t="str">
        <x:v>BUDGET_2026_V1</x:v>
      </x:c>
      <x:c r="B661" s="187" t="str">
        <x:v>BUDGET</x:v>
      </x:c>
      <x:c r="C661" s="187"/>
      <x:c r="D661" s="217" t="n">
        <x:v>46327</x:v>
      </x:c>
      <x:c r="E661" s="187" t="str">
        <x:v>R_GB_FR_B_AIR</x:v>
      </x:c>
      <x:c r="F661" s="187" t="str">
        <x:v>GB</x:v>
      </x:c>
      <x:c r="G661" s="187" t="str">
        <x:v>FR_FC</x:v>
      </x:c>
      <x:c r="H661" s="187" t="str">
        <x:v>CARRIER_B</x:v>
      </x:c>
      <x:c r="I661" s="187" t="str">
        <x:v>AIR</x:v>
      </x:c>
      <x:c r="J661" s="187" t="str">
        <x:v>WAREHOUSE_OPERATION</x:v>
      </x:c>
      <x:c r="K661" s="187" t="str">
        <x:v>EUR</x:v>
      </x:c>
      <x:c r="L661" s="232" t="n">
        <x:v>332.64</x:v>
      </x:c>
      <x:c r="M661" s="232" t="n">
        <x:v>7.8</x:v>
      </x:c>
      <x:c r="N661" s="187" t="str">
        <x:v>2594.59200000</x:v>
      </x:c>
      <x:c r="O661" s="235" t="n">
        <x:v>2594.592</x:v>
      </x:c>
      <x:c r="P661" s="235"/>
      <x:c r="Q661" s="235"/>
      <x:c r="R661" s="235" t="str">
        <x:v>INVOICE_OR_PLAN</x:v>
      </x:c>
      <x:c r="S661" s="238" t="n">
        <x:f>'Model_Calc'!AL114</x:f>
        <x:v>2594.592</x:v>
      </x:c>
      <x:c r="T661" s="238" t="n">
        <x:f>ROUND(S661-O661,4)</x:f>
        <x:v>0</x:v>
      </x:c>
    </x:row>
    <x:row r="662">
      <x:c r="A662" s="187" t="str">
        <x:v>BUDGET_2026_V1</x:v>
      </x:c>
      <x:c r="B662" s="187" t="str">
        <x:v>BUDGET</x:v>
      </x:c>
      <x:c r="C662" s="187"/>
      <x:c r="D662" s="217" t="n">
        <x:v>46327</x:v>
      </x:c>
      <x:c r="E662" s="187" t="str">
        <x:v>R_GB_FR_B_AIR</x:v>
      </x:c>
      <x:c r="F662" s="187" t="str">
        <x:v>GB</x:v>
      </x:c>
      <x:c r="G662" s="187" t="str">
        <x:v>FR_FC</x:v>
      </x:c>
      <x:c r="H662" s="187" t="str">
        <x:v>CARRIER_B</x:v>
      </x:c>
      <x:c r="I662" s="187" t="str">
        <x:v>AIR</x:v>
      </x:c>
      <x:c r="J662" s="187" t="str">
        <x:v>PACKAGING</x:v>
      </x:c>
      <x:c r="K662" s="187" t="str">
        <x:v>EUR</x:v>
      </x:c>
      <x:c r="L662" s="232" t="n">
        <x:v>138.4416</x:v>
      </x:c>
      <x:c r="M662" s="232" t="n">
        <x:v>7.8</x:v>
      </x:c>
      <x:c r="N662" s="187" t="str">
        <x:v>1079.8444800000</x:v>
      </x:c>
      <x:c r="O662" s="235" t="n">
        <x:v>1079.8445</x:v>
      </x:c>
      <x:c r="P662" s="235"/>
      <x:c r="Q662" s="235"/>
      <x:c r="R662" s="235" t="str">
        <x:v>INVOICE_OR_PLAN</x:v>
      </x:c>
      <x:c r="S662" s="238" t="n">
        <x:f>'Model_Calc'!AQ114</x:f>
        <x:v>1079.84448</x:v>
      </x:c>
      <x:c r="T662" s="238" t="n">
        <x:f>ROUND(S662-O662,4)</x:f>
        <x:v>0</x:v>
      </x:c>
    </x:row>
    <x:row r="663">
      <x:c r="A663" s="187" t="str">
        <x:v>BUDGET_2026_V1</x:v>
      </x:c>
      <x:c r="B663" s="187" t="str">
        <x:v>BUDGET</x:v>
      </x:c>
      <x:c r="C663" s="187"/>
      <x:c r="D663" s="217" t="n">
        <x:v>46327</x:v>
      </x:c>
      <x:c r="E663" s="187" t="str">
        <x:v>R_GB_FR_B_AIR</x:v>
      </x:c>
      <x:c r="F663" s="187" t="str">
        <x:v>GB</x:v>
      </x:c>
      <x:c r="G663" s="187" t="str">
        <x:v>FR_FC</x:v>
      </x:c>
      <x:c r="H663" s="187" t="str">
        <x:v>CARRIER_B</x:v>
      </x:c>
      <x:c r="I663" s="187" t="str">
        <x:v>AIR</x:v>
      </x:c>
      <x:c r="J663" s="187" t="str">
        <x:v>RETURN_LOGISTICS</x:v>
      </x:c>
      <x:c r="K663" s="187" t="str">
        <x:v>EUR</x:v>
      </x:c>
      <x:c r="L663" s="232" t="n">
        <x:v>131.7888</x:v>
      </x:c>
      <x:c r="M663" s="232" t="n">
        <x:v>7.8</x:v>
      </x:c>
      <x:c r="N663" s="187" t="str">
        <x:v>1027.95264000000</x:v>
      </x:c>
      <x:c r="O663" s="235" t="n">
        <x:v>1027.9526</x:v>
      </x:c>
      <x:c r="P663" s="235"/>
      <x:c r="Q663" s="235"/>
      <x:c r="R663" s="235" t="str">
        <x:v>INVOICE_OR_PLAN</x:v>
      </x:c>
      <x:c r="S663" s="238" t="n">
        <x:f>'Model_Calc'!AV114</x:f>
        <x:v>1027.95264</x:v>
      </x:c>
      <x:c r="T663" s="238" t="n">
        <x:f>ROUND(S663-O663,4)</x:f>
        <x:v>0</x:v>
      </x:c>
    </x:row>
    <x:row r="664">
      <x:c r="A664" s="187" t="str">
        <x:v>BUDGET_2026_V1</x:v>
      </x:c>
      <x:c r="B664" s="187" t="str">
        <x:v>BUDGET</x:v>
      </x:c>
      <x:c r="C664" s="187"/>
      <x:c r="D664" s="217" t="n">
        <x:v>46327</x:v>
      </x:c>
      <x:c r="E664" s="187" t="str">
        <x:v>R_GB_FR_B_AIR</x:v>
      </x:c>
      <x:c r="F664" s="187" t="str">
        <x:v>GB</x:v>
      </x:c>
      <x:c r="G664" s="187" t="str">
        <x:v>FR_FC</x:v>
      </x:c>
      <x:c r="H664" s="187" t="str">
        <x:v>CARRIER_B</x:v>
      </x:c>
      <x:c r="I664" s="187" t="str">
        <x:v>AIR</x:v>
      </x:c>
      <x:c r="J664" s="187" t="str">
        <x:v>BILLABLE_EXCEPTION</x:v>
      </x:c>
      <x:c r="K664" s="187" t="str">
        <x:v>EUR</x:v>
      </x:c>
      <x:c r="L664" s="232" t="n">
        <x:v>12.241152</x:v>
      </x:c>
      <x:c r="M664" s="232" t="n">
        <x:v>7.8</x:v>
      </x:c>
      <x:c r="N664" s="187" t="str">
        <x:v>95.4809856000000</x:v>
      </x:c>
      <x:c r="O664" s="235" t="n">
        <x:v>95.481</x:v>
      </x:c>
      <x:c r="P664" s="235"/>
      <x:c r="Q664" s="235"/>
      <x:c r="R664" s="235" t="str">
        <x:v>INVOICE_OR_PLAN</x:v>
      </x:c>
      <x:c r="S664" s="238" t="n">
        <x:f>'Model_Calc'!BA114</x:f>
        <x:v>95.48098559999998</x:v>
      </x:c>
      <x:c r="T664" s="238" t="n">
        <x:f>ROUND(S664-O664,4)</x:f>
        <x:v>0</x:v>
      </x:c>
    </x:row>
    <x:row r="665">
      <x:c r="A665" s="187" t="str">
        <x:v>BUDGET_2026_V1</x:v>
      </x:c>
      <x:c r="B665" s="187" t="str">
        <x:v>BUDGET</x:v>
      </x:c>
      <x:c r="C665" s="187"/>
      <x:c r="D665" s="217" t="n">
        <x:v>46357</x:v>
      </x:c>
      <x:c r="E665" s="187" t="str">
        <x:v>R_DE_DE_A_ROAD</x:v>
      </x:c>
      <x:c r="F665" s="187" t="str">
        <x:v>DE</x:v>
      </x:c>
      <x:c r="G665" s="187" t="str">
        <x:v>DE_FC</x:v>
      </x:c>
      <x:c r="H665" s="187" t="str">
        <x:v>CARRIER_A</x:v>
      </x:c>
      <x:c r="I665" s="187" t="str">
        <x:v>ROAD</x:v>
      </x:c>
      <x:c r="J665" s="187" t="str">
        <x:v>BASE_FREIGHT</x:v>
      </x:c>
      <x:c r="K665" s="187" t="str">
        <x:v>EUR</x:v>
      </x:c>
      <x:c r="L665" s="232" t="n">
        <x:v>9362.74523184</x:v>
      </x:c>
      <x:c r="M665" s="232" t="n">
        <x:v>7.8</x:v>
      </x:c>
      <x:c r="N665" s="187" t="str">
        <x:v>73029.4128083520000000</x:v>
      </x:c>
      <x:c r="O665" s="235" t="n">
        <x:v>73029.4128</x:v>
      </x:c>
      <x:c r="P665" s="235"/>
      <x:c r="Q665" s="235"/>
      <x:c r="R665" s="235" t="str">
        <x:v>INVOICE_OR_PLAN</x:v>
      </x:c>
      <x:c r="S665" s="238" t="n">
        <x:f>'Model_Calc'!AF115</x:f>
        <x:v>73029.41280835199</x:v>
      </x:c>
      <x:c r="T665" s="238" t="n">
        <x:f>ROUND(S665-O665,4)</x:f>
        <x:v>0</x:v>
      </x:c>
    </x:row>
    <x:row r="666">
      <x:c r="A666" s="187" t="str">
        <x:v>BUDGET_2026_V1</x:v>
      </x:c>
      <x:c r="B666" s="187" t="str">
        <x:v>BUDGET</x:v>
      </x:c>
      <x:c r="C666" s="187"/>
      <x:c r="D666" s="217" t="n">
        <x:v>46357</x:v>
      </x:c>
      <x:c r="E666" s="187" t="str">
        <x:v>R_DE_DE_A_ROAD</x:v>
      </x:c>
      <x:c r="F666" s="187" t="str">
        <x:v>DE</x:v>
      </x:c>
      <x:c r="G666" s="187" t="str">
        <x:v>DE_FC</x:v>
      </x:c>
      <x:c r="H666" s="187" t="str">
        <x:v>CARRIER_A</x:v>
      </x:c>
      <x:c r="I666" s="187" t="str">
        <x:v>ROAD</x:v>
      </x:c>
      <x:c r="J666" s="187" t="str">
        <x:v>FUEL_SURCHARGE</x:v>
      </x:c>
      <x:c r="K666" s="187" t="str">
        <x:v>EUR</x:v>
      </x:c>
      <x:c r="L666" s="232" t="n">
        <x:v>889.4607970248</x:v>
      </x:c>
      <x:c r="M666" s="232" t="n">
        <x:v>7.8</x:v>
      </x:c>
      <x:c r="N666" s="187" t="str">
        <x:v>6937.7942167934400000000</x:v>
      </x:c>
      <x:c r="O666" s="235" t="n">
        <x:v>6937.7942</x:v>
      </x:c>
      <x:c r="P666" s="235"/>
      <x:c r="Q666" s="235"/>
      <x:c r="R666" s="235" t="str">
        <x:v>INVOICE_OR_PLAN</x:v>
      </x:c>
      <x:c r="S666" s="238" t="n">
        <x:f>'Model_Calc'!AG115</x:f>
        <x:v>6937.79421679344</x:v>
      </x:c>
      <x:c r="T666" s="238" t="n">
        <x:f>ROUND(S666-O666,4)</x:f>
        <x:v>0</x:v>
      </x:c>
    </x:row>
    <x:row r="667">
      <x:c r="A667" s="187" t="str">
        <x:v>BUDGET_2026_V1</x:v>
      </x:c>
      <x:c r="B667" s="187" t="str">
        <x:v>BUDGET</x:v>
      </x:c>
      <x:c r="C667" s="187"/>
      <x:c r="D667" s="217" t="n">
        <x:v>46357</x:v>
      </x:c>
      <x:c r="E667" s="187" t="str">
        <x:v>R_DE_DE_A_ROAD</x:v>
      </x:c>
      <x:c r="F667" s="187" t="str">
        <x:v>DE</x:v>
      </x:c>
      <x:c r="G667" s="187" t="str">
        <x:v>DE_FC</x:v>
      </x:c>
      <x:c r="H667" s="187" t="str">
        <x:v>CARRIER_A</x:v>
      </x:c>
      <x:c r="I667" s="187" t="str">
        <x:v>ROAD</x:v>
      </x:c>
      <x:c r="J667" s="187" t="str">
        <x:v>WAREHOUSE_OPERATION</x:v>
      </x:c>
      <x:c r="K667" s="187" t="str">
        <x:v>EUR</x:v>
      </x:c>
      <x:c r="L667" s="232" t="n">
        <x:v>6070.9584</x:v>
      </x:c>
      <x:c r="M667" s="232" t="n">
        <x:v>7.8</x:v>
      </x:c>
      <x:c r="N667" s="187" t="str">
        <x:v>47353.4755200000</x:v>
      </x:c>
      <x:c r="O667" s="235" t="n">
        <x:v>47353.4755</x:v>
      </x:c>
      <x:c r="P667" s="235"/>
      <x:c r="Q667" s="235"/>
      <x:c r="R667" s="235" t="str">
        <x:v>INVOICE_OR_PLAN</x:v>
      </x:c>
      <x:c r="S667" s="238" t="n">
        <x:f>'Model_Calc'!AL115</x:f>
        <x:v>47353.475519999985</x:v>
      </x:c>
      <x:c r="T667" s="238" t="n">
        <x:f>ROUND(S667-O667,4)</x:f>
        <x:v>0</x:v>
      </x:c>
    </x:row>
    <x:row r="668">
      <x:c r="A668" s="187" t="str">
        <x:v>BUDGET_2026_V1</x:v>
      </x:c>
      <x:c r="B668" s="187" t="str">
        <x:v>BUDGET</x:v>
      </x:c>
      <x:c r="C668" s="187"/>
      <x:c r="D668" s="217" t="n">
        <x:v>46357</x:v>
      </x:c>
      <x:c r="E668" s="187" t="str">
        <x:v>R_DE_DE_A_ROAD</x:v>
      </x:c>
      <x:c r="F668" s="187" t="str">
        <x:v>DE</x:v>
      </x:c>
      <x:c r="G668" s="187" t="str">
        <x:v>DE_FC</x:v>
      </x:c>
      <x:c r="H668" s="187" t="str">
        <x:v>CARRIER_A</x:v>
      </x:c>
      <x:c r="I668" s="187" t="str">
        <x:v>ROAD</x:v>
      </x:c>
      <x:c r="J668" s="187" t="str">
        <x:v>PACKAGING</x:v>
      </x:c>
      <x:c r="K668" s="187" t="str">
        <x:v>EUR</x:v>
      </x:c>
      <x:c r="L668" s="232" t="n">
        <x:v>2268.89208</x:v>
      </x:c>
      <x:c r="M668" s="232" t="n">
        <x:v>7.8</x:v>
      </x:c>
      <x:c r="N668" s="187" t="str">
        <x:v>17697.358224000000</x:v>
      </x:c>
      <x:c r="O668" s="235" t="n">
        <x:v>17697.3582</x:v>
      </x:c>
      <x:c r="P668" s="235"/>
      <x:c r="Q668" s="235"/>
      <x:c r="R668" s="235" t="str">
        <x:v>INVOICE_OR_PLAN</x:v>
      </x:c>
      <x:c r="S668" s="238" t="n">
        <x:f>'Model_Calc'!AQ115</x:f>
        <x:v>17697.358223999996</x:v>
      </x:c>
      <x:c r="T668" s="238" t="n">
        <x:f>ROUND(S668-O668,4)</x:f>
        <x:v>0</x:v>
      </x:c>
    </x:row>
    <x:row r="669">
      <x:c r="A669" s="187" t="str">
        <x:v>BUDGET_2026_V1</x:v>
      </x:c>
      <x:c r="B669" s="187" t="str">
        <x:v>BUDGET</x:v>
      </x:c>
      <x:c r="C669" s="187"/>
      <x:c r="D669" s="217" t="n">
        <x:v>46357</x:v>
      </x:c>
      <x:c r="E669" s="187" t="str">
        <x:v>R_DE_DE_A_ROAD</x:v>
      </x:c>
      <x:c r="F669" s="187" t="str">
        <x:v>DE</x:v>
      </x:c>
      <x:c r="G669" s="187" t="str">
        <x:v>DE_FC</x:v>
      </x:c>
      <x:c r="H669" s="187" t="str">
        <x:v>CARRIER_A</x:v>
      </x:c>
      <x:c r="I669" s="187" t="str">
        <x:v>ROAD</x:v>
      </x:c>
      <x:c r="J669" s="187" t="str">
        <x:v>RETURN_LOGISTICS</x:v>
      </x:c>
      <x:c r="K669" s="187" t="str">
        <x:v>EUR</x:v>
      </x:c>
      <x:c r="L669" s="232" t="n">
        <x:v>823.1808</x:v>
      </x:c>
      <x:c r="M669" s="232" t="n">
        <x:v>7.8</x:v>
      </x:c>
      <x:c r="N669" s="187" t="str">
        <x:v>6420.8102400000000</x:v>
      </x:c>
      <x:c r="O669" s="235" t="n">
        <x:v>6420.8102</x:v>
      </x:c>
      <x:c r="P669" s="235"/>
      <x:c r="Q669" s="235"/>
      <x:c r="R669" s="235" t="str">
        <x:v>INVOICE_OR_PLAN</x:v>
      </x:c>
      <x:c r="S669" s="238" t="n">
        <x:f>'Model_Calc'!AV115</x:f>
        <x:v>6420.81024</x:v>
      </x:c>
      <x:c r="T669" s="238" t="n">
        <x:f>ROUND(S669-O669,4)</x:f>
        <x:v>0</x:v>
      </x:c>
    </x:row>
    <x:row r="670">
      <x:c r="A670" s="187" t="str">
        <x:v>BUDGET_2026_V1</x:v>
      </x:c>
      <x:c r="B670" s="187" t="str">
        <x:v>BUDGET</x:v>
      </x:c>
      <x:c r="C670" s="187"/>
      <x:c r="D670" s="217" t="n">
        <x:v>46357</x:v>
      </x:c>
      <x:c r="E670" s="187" t="str">
        <x:v>R_DE_DE_A_ROAD</x:v>
      </x:c>
      <x:c r="F670" s="187" t="str">
        <x:v>DE</x:v>
      </x:c>
      <x:c r="G670" s="187" t="str">
        <x:v>DE_FC</x:v>
      </x:c>
      <x:c r="H670" s="187" t="str">
        <x:v>CARRIER_A</x:v>
      </x:c>
      <x:c r="I670" s="187" t="str">
        <x:v>ROAD</x:v>
      </x:c>
      <x:c r="J670" s="187" t="str">
        <x:v>BILLABLE_EXCEPTION</x:v>
      </x:c>
      <x:c r="K670" s="187" t="str">
        <x:v>EUR</x:v>
      </x:c>
      <x:c r="L670" s="232" t="n">
        <x:v>198.7981632</x:v>
      </x:c>
      <x:c r="M670" s="232" t="n">
        <x:v>7.8</x:v>
      </x:c>
      <x:c r="N670" s="187" t="str">
        <x:v>1550.625672960000000</x:v>
      </x:c>
      <x:c r="O670" s="235" t="n">
        <x:v>1550.6257</x:v>
      </x:c>
      <x:c r="P670" s="235"/>
      <x:c r="Q670" s="235"/>
      <x:c r="R670" s="235" t="str">
        <x:v>INVOICE_OR_PLAN</x:v>
      </x:c>
      <x:c r="S670" s="238" t="n">
        <x:f>'Model_Calc'!BA115</x:f>
        <x:v>1550.6256729599997</x:v>
      </x:c>
      <x:c r="T670" s="238" t="n">
        <x:f>ROUND(S670-O670,4)</x:f>
        <x:v>0</x:v>
      </x:c>
    </x:row>
    <x:row r="671">
      <x:c r="A671" s="187" t="str">
        <x:v>BUDGET_2026_V1</x:v>
      </x:c>
      <x:c r="B671" s="187" t="str">
        <x:v>BUDGET</x:v>
      </x:c>
      <x:c r="C671" s="187"/>
      <x:c r="D671" s="217" t="n">
        <x:v>46357</x:v>
      </x:c>
      <x:c r="E671" s="187" t="str">
        <x:v>R_DE_DE_B_ROAD</x:v>
      </x:c>
      <x:c r="F671" s="187" t="str">
        <x:v>DE</x:v>
      </x:c>
      <x:c r="G671" s="187" t="str">
        <x:v>DE_FC</x:v>
      </x:c>
      <x:c r="H671" s="187" t="str">
        <x:v>CARRIER_B</x:v>
      </x:c>
      <x:c r="I671" s="187" t="str">
        <x:v>ROAD</x:v>
      </x:c>
      <x:c r="J671" s="187" t="str">
        <x:v>BASE_FREIGHT</x:v>
      </x:c>
      <x:c r="K671" s="187" t="str">
        <x:v>EUR</x:v>
      </x:c>
      <x:c r="L671" s="232" t="n">
        <x:v>8002.346352</x:v>
      </x:c>
      <x:c r="M671" s="232" t="n">
        <x:v>7.8</x:v>
      </x:c>
      <x:c r="N671" s="187" t="str">
        <x:v>62418.3015456000000000</x:v>
      </x:c>
      <x:c r="O671" s="235" t="n">
        <x:v>62418.3015</x:v>
      </x:c>
      <x:c r="P671" s="235"/>
      <x:c r="Q671" s="235"/>
      <x:c r="R671" s="235" t="str">
        <x:v>INVOICE_OR_PLAN</x:v>
      </x:c>
      <x:c r="S671" s="238" t="n">
        <x:f>'Model_Calc'!AF116</x:f>
        <x:v>62418.30154560001</x:v>
      </x:c>
      <x:c r="T671" s="238" t="n">
        <x:f>ROUND(S671-O671,4)</x:f>
        <x:v>0</x:v>
      </x:c>
    </x:row>
    <x:row r="672">
      <x:c r="A672" s="187" t="str">
        <x:v>BUDGET_2026_V1</x:v>
      </x:c>
      <x:c r="B672" s="187" t="str">
        <x:v>BUDGET</x:v>
      </x:c>
      <x:c r="C672" s="187"/>
      <x:c r="D672" s="217" t="n">
        <x:v>46357</x:v>
      </x:c>
      <x:c r="E672" s="187" t="str">
        <x:v>R_DE_DE_B_ROAD</x:v>
      </x:c>
      <x:c r="F672" s="187" t="str">
        <x:v>DE</x:v>
      </x:c>
      <x:c r="G672" s="187" t="str">
        <x:v>DE_FC</x:v>
      </x:c>
      <x:c r="H672" s="187" t="str">
        <x:v>CARRIER_B</x:v>
      </x:c>
      <x:c r="I672" s="187" t="str">
        <x:v>ROAD</x:v>
      </x:c>
      <x:c r="J672" s="187" t="str">
        <x:v>FUEL_SURCHARGE</x:v>
      </x:c>
      <x:c r="K672" s="187" t="str">
        <x:v>EUR</x:v>
      </x:c>
      <x:c r="L672" s="232" t="n">
        <x:v>611.08826688</x:v>
      </x:c>
      <x:c r="M672" s="232" t="n">
        <x:v>7.8</x:v>
      </x:c>
      <x:c r="N672" s="187" t="str">
        <x:v>4766.4884816640000000</x:v>
      </x:c>
      <x:c r="O672" s="235" t="n">
        <x:v>4766.4885</x:v>
      </x:c>
      <x:c r="P672" s="235"/>
      <x:c r="Q672" s="235"/>
      <x:c r="R672" s="235" t="str">
        <x:v>INVOICE_OR_PLAN</x:v>
      </x:c>
      <x:c r="S672" s="238" t="n">
        <x:f>'Model_Calc'!AG116</x:f>
        <x:v>4766.488481664001</x:v>
      </x:c>
      <x:c r="T672" s="238" t="n">
        <x:f>ROUND(S672-O672,4)</x:f>
        <x:v>0</x:v>
      </x:c>
    </x:row>
    <x:row r="673">
      <x:c r="A673" s="187" t="str">
        <x:v>BUDGET_2026_V1</x:v>
      </x:c>
      <x:c r="B673" s="187" t="str">
        <x:v>BUDGET</x:v>
      </x:c>
      <x:c r="C673" s="187"/>
      <x:c r="D673" s="217" t="n">
        <x:v>46357</x:v>
      </x:c>
      <x:c r="E673" s="187" t="str">
        <x:v>R_DE_DE_B_ROAD</x:v>
      </x:c>
      <x:c r="F673" s="187" t="str">
        <x:v>DE</x:v>
      </x:c>
      <x:c r="G673" s="187" t="str">
        <x:v>DE_FC</x:v>
      </x:c>
      <x:c r="H673" s="187" t="str">
        <x:v>CARRIER_B</x:v>
      </x:c>
      <x:c r="I673" s="187" t="str">
        <x:v>ROAD</x:v>
      </x:c>
      <x:c r="J673" s="187" t="str">
        <x:v>WAREHOUSE_OPERATION</x:v>
      </x:c>
      <x:c r="K673" s="187" t="str">
        <x:v>EUR</x:v>
      </x:c>
      <x:c r="L673" s="232" t="n">
        <x:v>4047.3056</x:v>
      </x:c>
      <x:c r="M673" s="232" t="n">
        <x:v>7.8</x:v>
      </x:c>
      <x:c r="N673" s="187" t="str">
        <x:v>31568.9836800000</x:v>
      </x:c>
      <x:c r="O673" s="235" t="n">
        <x:v>31568.9837</x:v>
      </x:c>
      <x:c r="P673" s="235"/>
      <x:c r="Q673" s="235"/>
      <x:c r="R673" s="235" t="str">
        <x:v>INVOICE_OR_PLAN</x:v>
      </x:c>
      <x:c r="S673" s="238" t="n">
        <x:f>'Model_Calc'!AL116</x:f>
        <x:v>31568.983679999998</x:v>
      </x:c>
      <x:c r="T673" s="238" t="n">
        <x:f>ROUND(S673-O673,4)</x:f>
        <x:v>0</x:v>
      </x:c>
    </x:row>
    <x:row r="674">
      <x:c r="A674" s="187" t="str">
        <x:v>BUDGET_2026_V1</x:v>
      </x:c>
      <x:c r="B674" s="187" t="str">
        <x:v>BUDGET</x:v>
      </x:c>
      <x:c r="C674" s="187"/>
      <x:c r="D674" s="217" t="n">
        <x:v>46357</x:v>
      </x:c>
      <x:c r="E674" s="187" t="str">
        <x:v>R_DE_DE_B_ROAD</x:v>
      </x:c>
      <x:c r="F674" s="187" t="str">
        <x:v>DE</x:v>
      </x:c>
      <x:c r="G674" s="187" t="str">
        <x:v>DE_FC</x:v>
      </x:c>
      <x:c r="H674" s="187" t="str">
        <x:v>CARRIER_B</x:v>
      </x:c>
      <x:c r="I674" s="187" t="str">
        <x:v>ROAD</x:v>
      </x:c>
      <x:c r="J674" s="187" t="str">
        <x:v>PACKAGING</x:v>
      </x:c>
      <x:c r="K674" s="187" t="str">
        <x:v>EUR</x:v>
      </x:c>
      <x:c r="L674" s="232" t="n">
        <x:v>1512.59472</x:v>
      </x:c>
      <x:c r="M674" s="232" t="n">
        <x:v>7.8</x:v>
      </x:c>
      <x:c r="N674" s="187" t="str">
        <x:v>11798.238816000000</x:v>
      </x:c>
      <x:c r="O674" s="235" t="n">
        <x:v>11798.2388</x:v>
      </x:c>
      <x:c r="P674" s="235"/>
      <x:c r="Q674" s="235"/>
      <x:c r="R674" s="235" t="str">
        <x:v>INVOICE_OR_PLAN</x:v>
      </x:c>
      <x:c r="S674" s="238" t="n">
        <x:f>'Model_Calc'!AQ116</x:f>
        <x:v>11798.238816000001</x:v>
      </x:c>
      <x:c r="T674" s="238" t="n">
        <x:f>ROUND(S674-O674,4)</x:f>
        <x:v>0</x:v>
      </x:c>
    </x:row>
    <x:row r="675">
      <x:c r="A675" s="187" t="str">
        <x:v>BUDGET_2026_V1</x:v>
      </x:c>
      <x:c r="B675" s="187" t="str">
        <x:v>BUDGET</x:v>
      </x:c>
      <x:c r="C675" s="187"/>
      <x:c r="D675" s="217" t="n">
        <x:v>46357</x:v>
      </x:c>
      <x:c r="E675" s="187" t="str">
        <x:v>R_DE_DE_B_ROAD</x:v>
      </x:c>
      <x:c r="F675" s="187" t="str">
        <x:v>DE</x:v>
      </x:c>
      <x:c r="G675" s="187" t="str">
        <x:v>DE_FC</x:v>
      </x:c>
      <x:c r="H675" s="187" t="str">
        <x:v>CARRIER_B</x:v>
      </x:c>
      <x:c r="I675" s="187" t="str">
        <x:v>ROAD</x:v>
      </x:c>
      <x:c r="J675" s="187" t="str">
        <x:v>RETURN_LOGISTICS</x:v>
      </x:c>
      <x:c r="K675" s="187" t="str">
        <x:v>EUR</x:v>
      </x:c>
      <x:c r="L675" s="232" t="n">
        <x:v>548.7872</x:v>
      </x:c>
      <x:c r="M675" s="232" t="n">
        <x:v>7.8</x:v>
      </x:c>
      <x:c r="N675" s="187" t="str">
        <x:v>4280.5401600000000</x:v>
      </x:c>
      <x:c r="O675" s="235" t="n">
        <x:v>4280.5402</x:v>
      </x:c>
      <x:c r="P675" s="235"/>
      <x:c r="Q675" s="235"/>
      <x:c r="R675" s="235" t="str">
        <x:v>INVOICE_OR_PLAN</x:v>
      </x:c>
      <x:c r="S675" s="238" t="n">
        <x:f>'Model_Calc'!AV116</x:f>
        <x:v>4280.5401600000005</x:v>
      </x:c>
      <x:c r="T675" s="238" t="n">
        <x:f>ROUND(S675-O675,4)</x:f>
        <x:v>0</x:v>
      </x:c>
    </x:row>
    <x:row r="676">
      <x:c r="A676" s="187" t="str">
        <x:v>BUDGET_2026_V1</x:v>
      </x:c>
      <x:c r="B676" s="187" t="str">
        <x:v>BUDGET</x:v>
      </x:c>
      <x:c r="C676" s="187"/>
      <x:c r="D676" s="217" t="n">
        <x:v>46357</x:v>
      </x:c>
      <x:c r="E676" s="187" t="str">
        <x:v>R_DE_DE_B_ROAD</x:v>
      </x:c>
      <x:c r="F676" s="187" t="str">
        <x:v>DE</x:v>
      </x:c>
      <x:c r="G676" s="187" t="str">
        <x:v>DE_FC</x:v>
      </x:c>
      <x:c r="H676" s="187" t="str">
        <x:v>CARRIER_B</x:v>
      </x:c>
      <x:c r="I676" s="187" t="str">
        <x:v>ROAD</x:v>
      </x:c>
      <x:c r="J676" s="187" t="str">
        <x:v>BILLABLE_EXCEPTION</x:v>
      </x:c>
      <x:c r="K676" s="187" t="str">
        <x:v>EUR</x:v>
      </x:c>
      <x:c r="L676" s="232" t="n">
        <x:v>107.6823384</x:v>
      </x:c>
      <x:c r="M676" s="232" t="n">
        <x:v>7.8</x:v>
      </x:c>
      <x:c r="N676" s="187" t="str">
        <x:v>839.922239520000000</x:v>
      </x:c>
      <x:c r="O676" s="235" t="n">
        <x:v>839.9222</x:v>
      </x:c>
      <x:c r="P676" s="235"/>
      <x:c r="Q676" s="235"/>
      <x:c r="R676" s="235" t="str">
        <x:v>INVOICE_OR_PLAN</x:v>
      </x:c>
      <x:c r="S676" s="238" t="n">
        <x:f>'Model_Calc'!BA116</x:f>
        <x:v>839.92223952</x:v>
      </x:c>
      <x:c r="T676" s="238" t="n">
        <x:f>ROUND(S676-O676,4)</x:f>
        <x:v>0</x:v>
      </x:c>
    </x:row>
    <x:row r="677">
      <x:c r="A677" s="187" t="str">
        <x:v>BUDGET_2026_V1</x:v>
      </x:c>
      <x:c r="B677" s="187" t="str">
        <x:v>BUDGET</x:v>
      </x:c>
      <x:c r="C677" s="187"/>
      <x:c r="D677" s="217" t="n">
        <x:v>46357</x:v>
      </x:c>
      <x:c r="E677" s="187" t="str">
        <x:v>R_DE_FR_B_ROAD</x:v>
      </x:c>
      <x:c r="F677" s="187" t="str">
        <x:v>DE</x:v>
      </x:c>
      <x:c r="G677" s="187" t="str">
        <x:v>FR_FC</x:v>
      </x:c>
      <x:c r="H677" s="187" t="str">
        <x:v>CARRIER_B</x:v>
      </x:c>
      <x:c r="I677" s="187" t="str">
        <x:v>ROAD</x:v>
      </x:c>
      <x:c r="J677" s="187" t="str">
        <x:v>BASE_FREIGHT</x:v>
      </x:c>
      <x:c r="K677" s="187" t="str">
        <x:v>EUR</x:v>
      </x:c>
      <x:c r="L677" s="232" t="n">
        <x:v>820.97709408</x:v>
      </x:c>
      <x:c r="M677" s="232" t="n">
        <x:v>7.8</x:v>
      </x:c>
      <x:c r="N677" s="187" t="str">
        <x:v>6403.62133382400000</x:v>
      </x:c>
      <x:c r="O677" s="235" t="n">
        <x:v>6403.6213</x:v>
      </x:c>
      <x:c r="P677" s="235"/>
      <x:c r="Q677" s="235"/>
      <x:c r="R677" s="235" t="str">
        <x:v>INVOICE_OR_PLAN</x:v>
      </x:c>
      <x:c r="S677" s="238" t="n">
        <x:f>'Model_Calc'!AF117</x:f>
        <x:v>6403.621333824</x:v>
      </x:c>
      <x:c r="T677" s="238" t="n">
        <x:f>ROUND(S677-O677,4)</x:f>
        <x:v>0</x:v>
      </x:c>
    </x:row>
    <x:row r="678">
      <x:c r="A678" s="187" t="str">
        <x:v>BUDGET_2026_V1</x:v>
      </x:c>
      <x:c r="B678" s="187" t="str">
        <x:v>BUDGET</x:v>
      </x:c>
      <x:c r="C678" s="187"/>
      <x:c r="D678" s="217" t="n">
        <x:v>46357</x:v>
      </x:c>
      <x:c r="E678" s="187" t="str">
        <x:v>R_DE_FR_B_ROAD</x:v>
      </x:c>
      <x:c r="F678" s="187" t="str">
        <x:v>DE</x:v>
      </x:c>
      <x:c r="G678" s="187" t="str">
        <x:v>FR_FC</x:v>
      </x:c>
      <x:c r="H678" s="187" t="str">
        <x:v>CARRIER_B</x:v>
      </x:c>
      <x:c r="I678" s="187" t="str">
        <x:v>ROAD</x:v>
      </x:c>
      <x:c r="J678" s="187" t="str">
        <x:v>FUEL_SURCHARGE</x:v>
      </x:c>
      <x:c r="K678" s="187" t="str">
        <x:v>EUR</x:v>
      </x:c>
      <x:c r="L678" s="232" t="n">
        <x:v>59.707425024</x:v>
      </x:c>
      <x:c r="M678" s="232" t="n">
        <x:v>7.8</x:v>
      </x:c>
      <x:c r="N678" s="187" t="str">
        <x:v>465.71791518720000</x:v>
      </x:c>
      <x:c r="O678" s="235" t="n">
        <x:v>465.7179</x:v>
      </x:c>
      <x:c r="P678" s="235"/>
      <x:c r="Q678" s="235"/>
      <x:c r="R678" s="235" t="str">
        <x:v>INVOICE_OR_PLAN</x:v>
      </x:c>
      <x:c r="S678" s="238" t="n">
        <x:f>'Model_Calc'!AG117</x:f>
        <x:v>465.7179151872</x:v>
      </x:c>
      <x:c r="T678" s="238" t="n">
        <x:f>ROUND(S678-O678,4)</x:f>
        <x:v>0</x:v>
      </x:c>
    </x:row>
    <x:row r="679">
      <x:c r="A679" s="187" t="str">
        <x:v>BUDGET_2026_V1</x:v>
      </x:c>
      <x:c r="B679" s="187" t="str">
        <x:v>BUDGET</x:v>
      </x:c>
      <x:c r="C679" s="187"/>
      <x:c r="D679" s="217" t="n">
        <x:v>46357</x:v>
      </x:c>
      <x:c r="E679" s="187" t="str">
        <x:v>R_DE_FR_B_ROAD</x:v>
      </x:c>
      <x:c r="F679" s="187" t="str">
        <x:v>DE</x:v>
      </x:c>
      <x:c r="G679" s="187" t="str">
        <x:v>FR_FC</x:v>
      </x:c>
      <x:c r="H679" s="187" t="str">
        <x:v>CARRIER_B</x:v>
      </x:c>
      <x:c r="I679" s="187" t="str">
        <x:v>ROAD</x:v>
      </x:c>
      <x:c r="J679" s="187" t="str">
        <x:v>WAREHOUSE_OPERATION</x:v>
      </x:c>
      <x:c r="K679" s="187" t="str">
        <x:v>EUR</x:v>
      </x:c>
      <x:c r="L679" s="232" t="n">
        <x:v>278.46</x:v>
      </x:c>
      <x:c r="M679" s="232" t="n">
        <x:v>7.8</x:v>
      </x:c>
      <x:c r="N679" s="187" t="str">
        <x:v>2171.98800000</x:v>
      </x:c>
      <x:c r="O679" s="235" t="n">
        <x:v>2171.988</x:v>
      </x:c>
      <x:c r="P679" s="235"/>
      <x:c r="Q679" s="235"/>
      <x:c r="R679" s="235" t="str">
        <x:v>INVOICE_OR_PLAN</x:v>
      </x:c>
      <x:c r="S679" s="238" t="n">
        <x:f>'Model_Calc'!AL117</x:f>
        <x:v>2171.988</x:v>
      </x:c>
      <x:c r="T679" s="238" t="n">
        <x:f>ROUND(S679-O679,4)</x:f>
        <x:v>0</x:v>
      </x:c>
    </x:row>
    <x:row r="680">
      <x:c r="A680" s="187" t="str">
        <x:v>BUDGET_2026_V1</x:v>
      </x:c>
      <x:c r="B680" s="187" t="str">
        <x:v>BUDGET</x:v>
      </x:c>
      <x:c r="C680" s="187"/>
      <x:c r="D680" s="217" t="n">
        <x:v>46357</x:v>
      </x:c>
      <x:c r="E680" s="187" t="str">
        <x:v>R_DE_FR_B_ROAD</x:v>
      </x:c>
      <x:c r="F680" s="187" t="str">
        <x:v>DE</x:v>
      </x:c>
      <x:c r="G680" s="187" t="str">
        <x:v>FR_FC</x:v>
      </x:c>
      <x:c r="H680" s="187" t="str">
        <x:v>CARRIER_B</x:v>
      </x:c>
      <x:c r="I680" s="187" t="str">
        <x:v>ROAD</x:v>
      </x:c>
      <x:c r="J680" s="187" t="str">
        <x:v>PACKAGING</x:v>
      </x:c>
      <x:c r="K680" s="187" t="str">
        <x:v>EUR</x:v>
      </x:c>
      <x:c r="L680" s="232" t="n">
        <x:v>108.83808</x:v>
      </x:c>
      <x:c r="M680" s="232" t="n">
        <x:v>7.8</x:v>
      </x:c>
      <x:c r="N680" s="187" t="str">
        <x:v>848.9370240000</x:v>
      </x:c>
      <x:c r="O680" s="235" t="n">
        <x:v>848.937</x:v>
      </x:c>
      <x:c r="P680" s="235"/>
      <x:c r="Q680" s="235"/>
      <x:c r="R680" s="235" t="str">
        <x:v>INVOICE_OR_PLAN</x:v>
      </x:c>
      <x:c r="S680" s="238" t="n">
        <x:f>'Model_Calc'!AQ117</x:f>
        <x:v>848.9370240000001</x:v>
      </x:c>
      <x:c r="T680" s="238" t="n">
        <x:f>ROUND(S680-O680,4)</x:f>
        <x:v>0</x:v>
      </x:c>
    </x:row>
    <x:row r="681">
      <x:c r="A681" s="187" t="str">
        <x:v>BUDGET_2026_V1</x:v>
      </x:c>
      <x:c r="B681" s="187" t="str">
        <x:v>BUDGET</x:v>
      </x:c>
      <x:c r="C681" s="187"/>
      <x:c r="D681" s="217" t="n">
        <x:v>46357</x:v>
      </x:c>
      <x:c r="E681" s="187" t="str">
        <x:v>R_DE_FR_B_ROAD</x:v>
      </x:c>
      <x:c r="F681" s="187" t="str">
        <x:v>DE</x:v>
      </x:c>
      <x:c r="G681" s="187" t="str">
        <x:v>FR_FC</x:v>
      </x:c>
      <x:c r="H681" s="187" t="str">
        <x:v>CARRIER_B</x:v>
      </x:c>
      <x:c r="I681" s="187" t="str">
        <x:v>ROAD</x:v>
      </x:c>
      <x:c r="J681" s="187" t="str">
        <x:v>RETURN_LOGISTICS</x:v>
      </x:c>
      <x:c r="K681" s="187" t="str">
        <x:v>EUR</x:v>
      </x:c>
      <x:c r="L681" s="232" t="n">
        <x:v>50.388</x:v>
      </x:c>
      <x:c r="M681" s="232" t="n">
        <x:v>7.8</x:v>
      </x:c>
      <x:c r="N681" s="187" t="str">
        <x:v>393.02640000000</x:v>
      </x:c>
      <x:c r="O681" s="235" t="n">
        <x:v>393.0264</x:v>
      </x:c>
      <x:c r="P681" s="235"/>
      <x:c r="Q681" s="235"/>
      <x:c r="R681" s="235" t="str">
        <x:v>INVOICE_OR_PLAN</x:v>
      </x:c>
      <x:c r="S681" s="238" t="n">
        <x:f>'Model_Calc'!AV117</x:f>
        <x:v>393.02639999999997</x:v>
      </x:c>
      <x:c r="T681" s="238" t="n">
        <x:f>ROUND(S681-O681,4)</x:f>
        <x:v>0</x:v>
      </x:c>
    </x:row>
    <x:row r="682">
      <x:c r="A682" s="187" t="str">
        <x:v>BUDGET_2026_V1</x:v>
      </x:c>
      <x:c r="B682" s="187" t="str">
        <x:v>BUDGET</x:v>
      </x:c>
      <x:c r="C682" s="187"/>
      <x:c r="D682" s="217" t="n">
        <x:v>46357</x:v>
      </x:c>
      <x:c r="E682" s="187" t="str">
        <x:v>R_DE_FR_B_ROAD</x:v>
      </x:c>
      <x:c r="F682" s="187" t="str">
        <x:v>DE</x:v>
      </x:c>
      <x:c r="G682" s="187" t="str">
        <x:v>FR_FC</x:v>
      </x:c>
      <x:c r="H682" s="187" t="str">
        <x:v>CARRIER_B</x:v>
      </x:c>
      <x:c r="I682" s="187" t="str">
        <x:v>ROAD</x:v>
      </x:c>
      <x:c r="J682" s="187" t="str">
        <x:v>BILLABLE_EXCEPTION</x:v>
      </x:c>
      <x:c r="K682" s="187" t="str">
        <x:v>EUR</x:v>
      </x:c>
      <x:c r="L682" s="232" t="n">
        <x:v>9.2225952</x:v>
      </x:c>
      <x:c r="M682" s="232" t="n">
        <x:v>7.8</x:v>
      </x:c>
      <x:c r="N682" s="187" t="str">
        <x:v>71.9362425600000</x:v>
      </x:c>
      <x:c r="O682" s="235" t="n">
        <x:v>71.9362</x:v>
      </x:c>
      <x:c r="P682" s="235"/>
      <x:c r="Q682" s="235"/>
      <x:c r="R682" s="235" t="str">
        <x:v>INVOICE_OR_PLAN</x:v>
      </x:c>
      <x:c r="S682" s="238" t="n">
        <x:f>'Model_Calc'!BA117</x:f>
        <x:v>71.93624256</x:v>
      </x:c>
      <x:c r="T682" s="238" t="n">
        <x:f>ROUND(S682-O682,4)</x:f>
        <x:v>0</x:v>
      </x:c>
    </x:row>
    <x:row r="683">
      <x:c r="A683" s="187" t="str">
        <x:v>BUDGET_2026_V1</x:v>
      </x:c>
      <x:c r="B683" s="187" t="str">
        <x:v>BUDGET</x:v>
      </x:c>
      <x:c r="C683" s="187"/>
      <x:c r="D683" s="217" t="n">
        <x:v>46357</x:v>
      </x:c>
      <x:c r="E683" s="187" t="str">
        <x:v>R_FR_FR_A_ROAD</x:v>
      </x:c>
      <x:c r="F683" s="187" t="str">
        <x:v>FR</x:v>
      </x:c>
      <x:c r="G683" s="187" t="str">
        <x:v>FR_FC</x:v>
      </x:c>
      <x:c r="H683" s="187" t="str">
        <x:v>CARRIER_A</x:v>
      </x:c>
      <x:c r="I683" s="187" t="str">
        <x:v>ROAD</x:v>
      </x:c>
      <x:c r="J683" s="187" t="str">
        <x:v>BASE_FREIGHT</x:v>
      </x:c>
      <x:c r="K683" s="187" t="str">
        <x:v>EUR</x:v>
      </x:c>
      <x:c r="L683" s="232" t="n">
        <x:v>4509.2001864</x:v>
      </x:c>
      <x:c r="M683" s="232" t="n">
        <x:v>7.8</x:v>
      </x:c>
      <x:c r="N683" s="187" t="str">
        <x:v>35171.76145392000000</x:v>
      </x:c>
      <x:c r="O683" s="235" t="n">
        <x:v>35171.7615</x:v>
      </x:c>
      <x:c r="P683" s="235"/>
      <x:c r="Q683" s="235"/>
      <x:c r="R683" s="235" t="str">
        <x:v>INVOICE_OR_PLAN</x:v>
      </x:c>
      <x:c r="S683" s="238" t="n">
        <x:f>'Model_Calc'!AF118</x:f>
        <x:v>35171.76145391999</x:v>
      </x:c>
      <x:c r="T683" s="238" t="n">
        <x:f>ROUND(S683-O683,4)</x:f>
        <x:v>0</x:v>
      </x:c>
    </x:row>
    <x:row r="684">
      <x:c r="A684" s="187" t="str">
        <x:v>BUDGET_2026_V1</x:v>
      </x:c>
      <x:c r="B684" s="187" t="str">
        <x:v>BUDGET</x:v>
      </x:c>
      <x:c r="C684" s="187"/>
      <x:c r="D684" s="217" t="n">
        <x:v>46357</x:v>
      </x:c>
      <x:c r="E684" s="187" t="str">
        <x:v>R_FR_FR_A_ROAD</x:v>
      </x:c>
      <x:c r="F684" s="187" t="str">
        <x:v>FR</x:v>
      </x:c>
      <x:c r="G684" s="187" t="str">
        <x:v>FR_FC</x:v>
      </x:c>
      <x:c r="H684" s="187" t="str">
        <x:v>CARRIER_A</x:v>
      </x:c>
      <x:c r="I684" s="187" t="str">
        <x:v>ROAD</x:v>
      </x:c>
      <x:c r="J684" s="187" t="str">
        <x:v>FUEL_SURCHARGE</x:v>
      </x:c>
      <x:c r="K684" s="187" t="str">
        <x:v>EUR</x:v>
      </x:c>
      <x:c r="L684" s="232" t="n">
        <x:v>405.828016776</x:v>
      </x:c>
      <x:c r="M684" s="232" t="n">
        <x:v>7.8</x:v>
      </x:c>
      <x:c r="N684" s="187" t="str">
        <x:v>3165.45853085280000000</x:v>
      </x:c>
      <x:c r="O684" s="235" t="n">
        <x:v>3165.4585</x:v>
      </x:c>
      <x:c r="P684" s="235"/>
      <x:c r="Q684" s="235"/>
      <x:c r="R684" s="235" t="str">
        <x:v>INVOICE_OR_PLAN</x:v>
      </x:c>
      <x:c r="S684" s="238" t="n">
        <x:f>'Model_Calc'!AG118</x:f>
        <x:v>3165.4585308527994</x:v>
      </x:c>
      <x:c r="T684" s="238" t="n">
        <x:f>ROUND(S684-O684,4)</x:f>
        <x:v>0</x:v>
      </x:c>
    </x:row>
    <x:row r="685">
      <x:c r="A685" s="187" t="str">
        <x:v>BUDGET_2026_V1</x:v>
      </x:c>
      <x:c r="B685" s="187" t="str">
        <x:v>BUDGET</x:v>
      </x:c>
      <x:c r="C685" s="187"/>
      <x:c r="D685" s="217" t="n">
        <x:v>46357</x:v>
      </x:c>
      <x:c r="E685" s="187" t="str">
        <x:v>R_FR_FR_A_ROAD</x:v>
      </x:c>
      <x:c r="F685" s="187" t="str">
        <x:v>FR</x:v>
      </x:c>
      <x:c r="G685" s="187" t="str">
        <x:v>FR_FC</x:v>
      </x:c>
      <x:c r="H685" s="187" t="str">
        <x:v>CARRIER_A</x:v>
      </x:c>
      <x:c r="I685" s="187" t="str">
        <x:v>ROAD</x:v>
      </x:c>
      <x:c r="J685" s="187" t="str">
        <x:v>WAREHOUSE_OPERATION</x:v>
      </x:c>
      <x:c r="K685" s="187" t="str">
        <x:v>EUR</x:v>
      </x:c>
      <x:c r="L685" s="232" t="n">
        <x:v>2770.95</x:v>
      </x:c>
      <x:c r="M685" s="232" t="n">
        <x:v>7.8</x:v>
      </x:c>
      <x:c r="N685" s="187" t="str">
        <x:v>21613.41000000</x:v>
      </x:c>
      <x:c r="O685" s="235" t="n">
        <x:v>21613.41</x:v>
      </x:c>
      <x:c r="P685" s="235"/>
      <x:c r="Q685" s="235"/>
      <x:c r="R685" s="235" t="str">
        <x:v>INVOICE_OR_PLAN</x:v>
      </x:c>
      <x:c r="S685" s="238" t="n">
        <x:f>'Model_Calc'!AL118</x:f>
        <x:v>21613.41</x:v>
      </x:c>
      <x:c r="T685" s="238" t="n">
        <x:f>ROUND(S685-O685,4)</x:f>
        <x:v>0</x:v>
      </x:c>
    </x:row>
    <x:row r="686">
      <x:c r="A686" s="187" t="str">
        <x:v>BUDGET_2026_V1</x:v>
      </x:c>
      <x:c r="B686" s="187" t="str">
        <x:v>BUDGET</x:v>
      </x:c>
      <x:c r="C686" s="187"/>
      <x:c r="D686" s="217" t="n">
        <x:v>46357</x:v>
      </x:c>
      <x:c r="E686" s="187" t="str">
        <x:v>R_FR_FR_A_ROAD</x:v>
      </x:c>
      <x:c r="F686" s="187" t="str">
        <x:v>FR</x:v>
      </x:c>
      <x:c r="G686" s="187" t="str">
        <x:v>FR_FC</x:v>
      </x:c>
      <x:c r="H686" s="187" t="str">
        <x:v>CARRIER_A</x:v>
      </x:c>
      <x:c r="I686" s="187" t="str">
        <x:v>ROAD</x:v>
      </x:c>
      <x:c r="J686" s="187" t="str">
        <x:v>PACKAGING</x:v>
      </x:c>
      <x:c r="K686" s="187" t="str">
        <x:v>EUR</x:v>
      </x:c>
      <x:c r="L686" s="232" t="n">
        <x:v>1062.9892</x:v>
      </x:c>
      <x:c r="M686" s="232" t="n">
        <x:v>7.8</x:v>
      </x:c>
      <x:c r="N686" s="187" t="str">
        <x:v>8291.3157600000</x:v>
      </x:c>
      <x:c r="O686" s="235" t="n">
        <x:v>8291.3158</x:v>
      </x:c>
      <x:c r="P686" s="235"/>
      <x:c r="Q686" s="235"/>
      <x:c r="R686" s="235" t="str">
        <x:v>INVOICE_OR_PLAN</x:v>
      </x:c>
      <x:c r="S686" s="238" t="n">
        <x:f>'Model_Calc'!AQ118</x:f>
        <x:v>8291.31576</x:v>
      </x:c>
      <x:c r="T686" s="238" t="n">
        <x:f>ROUND(S686-O686,4)</x:f>
        <x:v>0</x:v>
      </x:c>
    </x:row>
    <x:row r="687">
      <x:c r="A687" s="187" t="str">
        <x:v>BUDGET_2026_V1</x:v>
      </x:c>
      <x:c r="B687" s="187" t="str">
        <x:v>BUDGET</x:v>
      </x:c>
      <x:c r="C687" s="187"/>
      <x:c r="D687" s="217" t="n">
        <x:v>46357</x:v>
      </x:c>
      <x:c r="E687" s="187" t="str">
        <x:v>R_FR_FR_A_ROAD</x:v>
      </x:c>
      <x:c r="F687" s="187" t="str">
        <x:v>FR</x:v>
      </x:c>
      <x:c r="G687" s="187" t="str">
        <x:v>FR_FC</x:v>
      </x:c>
      <x:c r="H687" s="187" t="str">
        <x:v>CARRIER_A</x:v>
      </x:c>
      <x:c r="I687" s="187" t="str">
        <x:v>ROAD</x:v>
      </x:c>
      <x:c r="J687" s="187" t="str">
        <x:v>RETURN_LOGISTICS</x:v>
      </x:c>
      <x:c r="K687" s="187" t="str">
        <x:v>EUR</x:v>
      </x:c>
      <x:c r="L687" s="232" t="n">
        <x:v>475.02</x:v>
      </x:c>
      <x:c r="M687" s="232" t="n">
        <x:v>7.8</x:v>
      </x:c>
      <x:c r="N687" s="187" t="str">
        <x:v>3705.15600000000</x:v>
      </x:c>
      <x:c r="O687" s="235" t="n">
        <x:v>3705.156</x:v>
      </x:c>
      <x:c r="P687" s="235"/>
      <x:c r="Q687" s="235"/>
      <x:c r="R687" s="235" t="str">
        <x:v>INVOICE_OR_PLAN</x:v>
      </x:c>
      <x:c r="S687" s="238" t="n">
        <x:f>'Model_Calc'!AV118</x:f>
        <x:v>3705.1559999999995</x:v>
      </x:c>
      <x:c r="T687" s="238" t="n">
        <x:f>ROUND(S687-O687,4)</x:f>
        <x:v>0</x:v>
      </x:c>
    </x:row>
    <x:row r="688">
      <x:c r="A688" s="187" t="str">
        <x:v>BUDGET_2026_V1</x:v>
      </x:c>
      <x:c r="B688" s="187" t="str">
        <x:v>BUDGET</x:v>
      </x:c>
      <x:c r="C688" s="187"/>
      <x:c r="D688" s="217" t="n">
        <x:v>46357</x:v>
      </x:c>
      <x:c r="E688" s="187" t="str">
        <x:v>R_FR_FR_A_ROAD</x:v>
      </x:c>
      <x:c r="F688" s="187" t="str">
        <x:v>FR</x:v>
      </x:c>
      <x:c r="G688" s="187" t="str">
        <x:v>FR_FC</x:v>
      </x:c>
      <x:c r="H688" s="187" t="str">
        <x:v>CARRIER_A</x:v>
      </x:c>
      <x:c r="I688" s="187" t="str">
        <x:v>ROAD</x:v>
      </x:c>
      <x:c r="J688" s="187" t="str">
        <x:v>BILLABLE_EXCEPTION</x:v>
      </x:c>
      <x:c r="K688" s="187" t="str">
        <x:v>EUR</x:v>
      </x:c>
      <x:c r="L688" s="232" t="n">
        <x:v>109.375994</x:v>
      </x:c>
      <x:c r="M688" s="232" t="n">
        <x:v>7.8</x:v>
      </x:c>
      <x:c r="N688" s="187" t="str">
        <x:v>853.1327532000000</x:v>
      </x:c>
      <x:c r="O688" s="235" t="n">
        <x:v>853.1328</x:v>
      </x:c>
      <x:c r="P688" s="235"/>
      <x:c r="Q688" s="235"/>
      <x:c r="R688" s="235" t="str">
        <x:v>INVOICE_OR_PLAN</x:v>
      </x:c>
      <x:c r="S688" s="238" t="n">
        <x:f>'Model_Calc'!BA118</x:f>
        <x:v>853.1327531999999</x:v>
      </x:c>
      <x:c r="T688" s="238" t="n">
        <x:f>ROUND(S688-O688,4)</x:f>
        <x:v>0</x:v>
      </x:c>
    </x:row>
    <x:row r="689">
      <x:c r="A689" s="187" t="str">
        <x:v>BUDGET_2026_V1</x:v>
      </x:c>
      <x:c r="B689" s="187" t="str">
        <x:v>BUDGET</x:v>
      </x:c>
      <x:c r="C689" s="187"/>
      <x:c r="D689" s="217" t="n">
        <x:v>46357</x:v>
      </x:c>
      <x:c r="E689" s="187" t="str">
        <x:v>R_FR_FR_B_ROAD</x:v>
      </x:c>
      <x:c r="F689" s="187" t="str">
        <x:v>FR</x:v>
      </x:c>
      <x:c r="G689" s="187" t="str">
        <x:v>FR_FC</x:v>
      </x:c>
      <x:c r="H689" s="187" t="str">
        <x:v>CARRIER_B</x:v>
      </x:c>
      <x:c r="I689" s="187" t="str">
        <x:v>ROAD</x:v>
      </x:c>
      <x:c r="J689" s="187" t="str">
        <x:v>BASE_FREIGHT</x:v>
      </x:c>
      <x:c r="K689" s="187" t="str">
        <x:v>EUR</x:v>
      </x:c>
      <x:c r="L689" s="232" t="n">
        <x:v>10777.3597724</x:v>
      </x:c>
      <x:c r="M689" s="232" t="n">
        <x:v>7.8</x:v>
      </x:c>
      <x:c r="N689" s="187" t="str">
        <x:v>84063.40622472000000</x:v>
      </x:c>
      <x:c r="O689" s="235" t="n">
        <x:v>84063.4062</x:v>
      </x:c>
      <x:c r="P689" s="235"/>
      <x:c r="Q689" s="235"/>
      <x:c r="R689" s="235" t="str">
        <x:v>INVOICE_OR_PLAN</x:v>
      </x:c>
      <x:c r="S689" s="238" t="n">
        <x:f>'Model_Calc'!AF119</x:f>
        <x:v>84063.40622472002</x:v>
      </x:c>
      <x:c r="T689" s="238" t="n">
        <x:f>ROUND(S689-O689,4)</x:f>
        <x:v>0</x:v>
      </x:c>
    </x:row>
    <x:row r="690">
      <x:c r="A690" s="187" t="str">
        <x:v>BUDGET_2026_V1</x:v>
      </x:c>
      <x:c r="B690" s="187" t="str">
        <x:v>BUDGET</x:v>
      </x:c>
      <x:c r="C690" s="187"/>
      <x:c r="D690" s="217" t="n">
        <x:v>46357</x:v>
      </x:c>
      <x:c r="E690" s="187" t="str">
        <x:v>R_FR_FR_B_ROAD</x:v>
      </x:c>
      <x:c r="F690" s="187" t="str">
        <x:v>FR</x:v>
      </x:c>
      <x:c r="G690" s="187" t="str">
        <x:v>FR_FC</x:v>
      </x:c>
      <x:c r="H690" s="187" t="str">
        <x:v>CARRIER_B</x:v>
      </x:c>
      <x:c r="I690" s="187" t="str">
        <x:v>ROAD</x:v>
      </x:c>
      <x:c r="J690" s="187" t="str">
        <x:v>FUEL_SURCHARGE</x:v>
      </x:c>
      <x:c r="K690" s="187" t="str">
        <x:v>EUR</x:v>
      </x:c>
      <x:c r="L690" s="232" t="n">
        <x:v>829.0276748</x:v>
      </x:c>
      <x:c r="M690" s="232" t="n">
        <x:v>7.8</x:v>
      </x:c>
      <x:c r="N690" s="187" t="str">
        <x:v>6466.41586344000000</x:v>
      </x:c>
      <x:c r="O690" s="235" t="n">
        <x:v>6466.4159</x:v>
      </x:c>
      <x:c r="P690" s="235"/>
      <x:c r="Q690" s="235"/>
      <x:c r="R690" s="235" t="str">
        <x:v>INVOICE_OR_PLAN</x:v>
      </x:c>
      <x:c r="S690" s="238" t="n">
        <x:f>'Model_Calc'!AG119</x:f>
        <x:v>6466.415863440002</x:v>
      </x:c>
      <x:c r="T690" s="238" t="n">
        <x:f>ROUND(S690-O690,4)</x:f>
        <x:v>0</x:v>
      </x:c>
    </x:row>
    <x:row r="691">
      <x:c r="A691" s="187" t="str">
        <x:v>BUDGET_2026_V1</x:v>
      </x:c>
      <x:c r="B691" s="187" t="str">
        <x:v>BUDGET</x:v>
      </x:c>
      <x:c r="C691" s="187"/>
      <x:c r="D691" s="217" t="n">
        <x:v>46357</x:v>
      </x:c>
      <x:c r="E691" s="187" t="str">
        <x:v>R_FR_FR_B_ROAD</x:v>
      </x:c>
      <x:c r="F691" s="187" t="str">
        <x:v>FR</x:v>
      </x:c>
      <x:c r="G691" s="187" t="str">
        <x:v>FR_FC</x:v>
      </x:c>
      <x:c r="H691" s="187" t="str">
        <x:v>CARRIER_B</x:v>
      </x:c>
      <x:c r="I691" s="187" t="str">
        <x:v>ROAD</x:v>
      </x:c>
      <x:c r="J691" s="187" t="str">
        <x:v>WAREHOUSE_OPERATION</x:v>
      </x:c>
      <x:c r="K691" s="187" t="str">
        <x:v>EUR</x:v>
      </x:c>
      <x:c r="L691" s="232" t="n">
        <x:v>5146.05</x:v>
      </x:c>
      <x:c r="M691" s="232" t="n">
        <x:v>7.8</x:v>
      </x:c>
      <x:c r="N691" s="187" t="str">
        <x:v>40139.19000000</x:v>
      </x:c>
      <x:c r="O691" s="235" t="n">
        <x:v>40139.19</x:v>
      </x:c>
      <x:c r="P691" s="235"/>
      <x:c r="Q691" s="235"/>
      <x:c r="R691" s="235" t="str">
        <x:v>INVOICE_OR_PLAN</x:v>
      </x:c>
      <x:c r="S691" s="238" t="n">
        <x:f>'Model_Calc'!AL119</x:f>
        <x:v>40139.19</x:v>
      </x:c>
      <x:c r="T691" s="238" t="n">
        <x:f>ROUND(S691-O691,4)</x:f>
        <x:v>0</x:v>
      </x:c>
    </x:row>
    <x:row r="692">
      <x:c r="A692" s="187" t="str">
        <x:v>BUDGET_2026_V1</x:v>
      </x:c>
      <x:c r="B692" s="187" t="str">
        <x:v>BUDGET</x:v>
      </x:c>
      <x:c r="C692" s="187"/>
      <x:c r="D692" s="217" t="n">
        <x:v>46357</x:v>
      </x:c>
      <x:c r="E692" s="187" t="str">
        <x:v>R_FR_FR_B_ROAD</x:v>
      </x:c>
      <x:c r="F692" s="187" t="str">
        <x:v>FR</x:v>
      </x:c>
      <x:c r="G692" s="187" t="str">
        <x:v>FR_FC</x:v>
      </x:c>
      <x:c r="H692" s="187" t="str">
        <x:v>CARRIER_B</x:v>
      </x:c>
      <x:c r="I692" s="187" t="str">
        <x:v>ROAD</x:v>
      </x:c>
      <x:c r="J692" s="187" t="str">
        <x:v>PACKAGING</x:v>
      </x:c>
      <x:c r="K692" s="187" t="str">
        <x:v>EUR</x:v>
      </x:c>
      <x:c r="L692" s="232" t="n">
        <x:v>1974.1228</x:v>
      </x:c>
      <x:c r="M692" s="232" t="n">
        <x:v>7.8</x:v>
      </x:c>
      <x:c r="N692" s="187" t="str">
        <x:v>15398.1578400000</x:v>
      </x:c>
      <x:c r="O692" s="235" t="n">
        <x:v>15398.1578</x:v>
      </x:c>
      <x:c r="P692" s="235"/>
      <x:c r="Q692" s="235"/>
      <x:c r="R692" s="235" t="str">
        <x:v>INVOICE_OR_PLAN</x:v>
      </x:c>
      <x:c r="S692" s="238" t="n">
        <x:f>'Model_Calc'!AQ119</x:f>
        <x:v>15398.15784</x:v>
      </x:c>
      <x:c r="T692" s="238" t="n">
        <x:f>ROUND(S692-O692,4)</x:f>
        <x:v>0</x:v>
      </x:c>
    </x:row>
    <x:row r="693">
      <x:c r="A693" s="187" t="str">
        <x:v>BUDGET_2026_V1</x:v>
      </x:c>
      <x:c r="B693" s="187" t="str">
        <x:v>BUDGET</x:v>
      </x:c>
      <x:c r="C693" s="187"/>
      <x:c r="D693" s="217" t="n">
        <x:v>46357</x:v>
      </x:c>
      <x:c r="E693" s="187" t="str">
        <x:v>R_FR_FR_B_ROAD</x:v>
      </x:c>
      <x:c r="F693" s="187" t="str">
        <x:v>FR</x:v>
      </x:c>
      <x:c r="G693" s="187" t="str">
        <x:v>FR_FC</x:v>
      </x:c>
      <x:c r="H693" s="187" t="str">
        <x:v>CARRIER_B</x:v>
      </x:c>
      <x:c r="I693" s="187" t="str">
        <x:v>ROAD</x:v>
      </x:c>
      <x:c r="J693" s="187" t="str">
        <x:v>RETURN_LOGISTICS</x:v>
      </x:c>
      <x:c r="K693" s="187" t="str">
        <x:v>EUR</x:v>
      </x:c>
      <x:c r="L693" s="232" t="n">
        <x:v>882.18</x:v>
      </x:c>
      <x:c r="M693" s="232" t="n">
        <x:v>7.8</x:v>
      </x:c>
      <x:c r="N693" s="187" t="str">
        <x:v>6881.00400000000</x:v>
      </x:c>
      <x:c r="O693" s="235" t="n">
        <x:v>6881.004</x:v>
      </x:c>
      <x:c r="P693" s="235"/>
      <x:c r="Q693" s="235"/>
      <x:c r="R693" s="235" t="str">
        <x:v>INVOICE_OR_PLAN</x:v>
      </x:c>
      <x:c r="S693" s="238" t="n">
        <x:f>'Model_Calc'!AV119</x:f>
        <x:v>6881.004</x:v>
      </x:c>
      <x:c r="T693" s="238" t="n">
        <x:f>ROUND(S693-O693,4)</x:f>
        <x:v>0</x:v>
      </x:c>
    </x:row>
    <x:row r="694">
      <x:c r="A694" s="187" t="str">
        <x:v>BUDGET_2026_V1</x:v>
      </x:c>
      <x:c r="B694" s="187" t="str">
        <x:v>BUDGET</x:v>
      </x:c>
      <x:c r="C694" s="187"/>
      <x:c r="D694" s="217" t="n">
        <x:v>46357</x:v>
      </x:c>
      <x:c r="E694" s="187" t="str">
        <x:v>R_FR_FR_B_ROAD</x:v>
      </x:c>
      <x:c r="F694" s="187" t="str">
        <x:v>FR</x:v>
      </x:c>
      <x:c r="G694" s="187" t="str">
        <x:v>FR_FC</x:v>
      </x:c>
      <x:c r="H694" s="187" t="str">
        <x:v>CARRIER_B</x:v>
      </x:c>
      <x:c r="I694" s="187" t="str">
        <x:v>ROAD</x:v>
      </x:c>
      <x:c r="J694" s="187" t="str">
        <x:v>BILLABLE_EXCEPTION</x:v>
      </x:c>
      <x:c r="K694" s="187" t="str">
        <x:v>EUR</x:v>
      </x:c>
      <x:c r="L694" s="232" t="n">
        <x:v>167.280932</x:v>
      </x:c>
      <x:c r="M694" s="232" t="n">
        <x:v>7.8</x:v>
      </x:c>
      <x:c r="N694" s="187" t="str">
        <x:v>1304.7912696000000</x:v>
      </x:c>
      <x:c r="O694" s="235" t="n">
        <x:v>1304.7913</x:v>
      </x:c>
      <x:c r="P694" s="235"/>
      <x:c r="Q694" s="235"/>
      <x:c r="R694" s="235" t="str">
        <x:v>INVOICE_OR_PLAN</x:v>
      </x:c>
      <x:c r="S694" s="238" t="n">
        <x:f>'Model_Calc'!BA119</x:f>
        <x:v>1304.7912695999999</x:v>
      </x:c>
      <x:c r="T694" s="238" t="n">
        <x:f>ROUND(S694-O694,4)</x:f>
        <x:v>0</x:v>
      </x:c>
    </x:row>
    <x:row r="695">
      <x:c r="A695" s="187" t="str">
        <x:v>BUDGET_2026_V1</x:v>
      </x:c>
      <x:c r="B695" s="187" t="str">
        <x:v>BUDGET</x:v>
      </x:c>
      <x:c r="C695" s="187"/>
      <x:c r="D695" s="217" t="n">
        <x:v>46357</x:v>
      </x:c>
      <x:c r="E695" s="187" t="str">
        <x:v>R_GB_DE_A_ROAD</x:v>
      </x:c>
      <x:c r="F695" s="187" t="str">
        <x:v>GB</x:v>
      </x:c>
      <x:c r="G695" s="187" t="str">
        <x:v>DE_FC</x:v>
      </x:c>
      <x:c r="H695" s="187" t="str">
        <x:v>CARRIER_A</x:v>
      </x:c>
      <x:c r="I695" s="187" t="str">
        <x:v>ROAD</x:v>
      </x:c>
      <x:c r="J695" s="187" t="str">
        <x:v>BASE_FREIGHT</x:v>
      </x:c>
      <x:c r="K695" s="187" t="str">
        <x:v>GBP</x:v>
      </x:c>
      <x:c r="L695" s="232" t="n">
        <x:v>27705.06805248</x:v>
      </x:c>
      <x:c r="M695" s="232" t="n">
        <x:v>9</x:v>
      </x:c>
      <x:c r="N695" s="187" t="str">
        <x:v>249345.6124723200000000</x:v>
      </x:c>
      <x:c r="O695" s="235" t="n">
        <x:v>249345.6125</x:v>
      </x:c>
      <x:c r="P695" s="235"/>
      <x:c r="Q695" s="235"/>
      <x:c r="R695" s="235" t="str">
        <x:v>INVOICE_OR_PLAN</x:v>
      </x:c>
      <x:c r="S695" s="238" t="n">
        <x:f>'Model_Calc'!AF120</x:f>
        <x:v>249345.61247232</x:v>
      </x:c>
      <x:c r="T695" s="238" t="n">
        <x:f>ROUND(S695-O695,4)</x:f>
        <x:v>0</x:v>
      </x:c>
    </x:row>
    <x:row r="696">
      <x:c r="A696" s="187" t="str">
        <x:v>BUDGET_2026_V1</x:v>
      </x:c>
      <x:c r="B696" s="187" t="str">
        <x:v>BUDGET</x:v>
      </x:c>
      <x:c r="C696" s="187"/>
      <x:c r="D696" s="217" t="n">
        <x:v>46357</x:v>
      </x:c>
      <x:c r="E696" s="187" t="str">
        <x:v>R_GB_DE_A_ROAD</x:v>
      </x:c>
      <x:c r="F696" s="187" t="str">
        <x:v>GB</x:v>
      </x:c>
      <x:c r="G696" s="187" t="str">
        <x:v>DE_FC</x:v>
      </x:c>
      <x:c r="H696" s="187" t="str">
        <x:v>CARRIER_A</x:v>
      </x:c>
      <x:c r="I696" s="187" t="str">
        <x:v>ROAD</x:v>
      </x:c>
      <x:c r="J696" s="187" t="str">
        <x:v>FUEL_SURCHARGE</x:v>
      </x:c>
      <x:c r="K696" s="187" t="str">
        <x:v>GBP</x:v>
      </x:c>
      <x:c r="L696" s="232" t="n">
        <x:v>2770.506805248</x:v>
      </x:c>
      <x:c r="M696" s="232" t="n">
        <x:v>9</x:v>
      </x:c>
      <x:c r="N696" s="187" t="str">
        <x:v>24934.5612472320000000000</x:v>
      </x:c>
      <x:c r="O696" s="235" t="n">
        <x:v>24934.5612</x:v>
      </x:c>
      <x:c r="P696" s="235"/>
      <x:c r="Q696" s="235"/>
      <x:c r="R696" s="235" t="str">
        <x:v>INVOICE_OR_PLAN</x:v>
      </x:c>
      <x:c r="S696" s="238" t="n">
        <x:f>'Model_Calc'!AG120</x:f>
        <x:v>24934.561247232</x:v>
      </x:c>
      <x:c r="T696" s="238" t="n">
        <x:f>ROUND(S696-O696,4)</x:f>
        <x:v>0</x:v>
      </x:c>
    </x:row>
    <x:row r="697">
      <x:c r="A697" s="187" t="str">
        <x:v>BUDGET_2026_V1</x:v>
      </x:c>
      <x:c r="B697" s="187" t="str">
        <x:v>BUDGET</x:v>
      </x:c>
      <x:c r="C697" s="187"/>
      <x:c r="D697" s="217" t="n">
        <x:v>46357</x:v>
      </x:c>
      <x:c r="E697" s="187" t="str">
        <x:v>R_GB_DE_A_ROAD</x:v>
      </x:c>
      <x:c r="F697" s="187" t="str">
        <x:v>GB</x:v>
      </x:c>
      <x:c r="G697" s="187" t="str">
        <x:v>DE_FC</x:v>
      </x:c>
      <x:c r="H697" s="187" t="str">
        <x:v>CARRIER_A</x:v>
      </x:c>
      <x:c r="I697" s="187" t="str">
        <x:v>ROAD</x:v>
      </x:c>
      <x:c r="J697" s="187" t="str">
        <x:v>WAREHOUSE_OPERATION</x:v>
      </x:c>
      <x:c r="K697" s="187" t="str">
        <x:v>EUR</x:v>
      </x:c>
      <x:c r="L697" s="232" t="n">
        <x:v>7083.3984</x:v>
      </x:c>
      <x:c r="M697" s="232" t="n">
        <x:v>7.8</x:v>
      </x:c>
      <x:c r="N697" s="187" t="str">
        <x:v>55250.5075200000</x:v>
      </x:c>
      <x:c r="O697" s="235" t="n">
        <x:v>55250.5075</x:v>
      </x:c>
      <x:c r="P697" s="235"/>
      <x:c r="Q697" s="235"/>
      <x:c r="R697" s="235" t="str">
        <x:v>INVOICE_OR_PLAN</x:v>
      </x:c>
      <x:c r="S697" s="238" t="n">
        <x:f>'Model_Calc'!AL120</x:f>
        <x:v>55250.50751999999</x:v>
      </x:c>
      <x:c r="T697" s="238" t="n">
        <x:f>ROUND(S697-O697,4)</x:f>
        <x:v>0</x:v>
      </x:c>
    </x:row>
    <x:row r="698">
      <x:c r="A698" s="187" t="str">
        <x:v>BUDGET_2026_V1</x:v>
      </x:c>
      <x:c r="B698" s="187" t="str">
        <x:v>BUDGET</x:v>
      </x:c>
      <x:c r="C698" s="187"/>
      <x:c r="D698" s="217" t="n">
        <x:v>46357</x:v>
      </x:c>
      <x:c r="E698" s="187" t="str">
        <x:v>R_GB_DE_A_ROAD</x:v>
      </x:c>
      <x:c r="F698" s="187" t="str">
        <x:v>GB</x:v>
      </x:c>
      <x:c r="G698" s="187" t="str">
        <x:v>DE_FC</x:v>
      </x:c>
      <x:c r="H698" s="187" t="str">
        <x:v>CARRIER_A</x:v>
      </x:c>
      <x:c r="I698" s="187" t="str">
        <x:v>ROAD</x:v>
      </x:c>
      <x:c r="J698" s="187" t="str">
        <x:v>PACKAGING</x:v>
      </x:c>
      <x:c r="K698" s="187" t="str">
        <x:v>EUR</x:v>
      </x:c>
      <x:c r="L698" s="232" t="n">
        <x:v>2823.754752</x:v>
      </x:c>
      <x:c r="M698" s="232" t="n">
        <x:v>7.8</x:v>
      </x:c>
      <x:c r="N698" s="187" t="str">
        <x:v>22025.287065600000</x:v>
      </x:c>
      <x:c r="O698" s="235" t="n">
        <x:v>22025.2871</x:v>
      </x:c>
      <x:c r="P698" s="235"/>
      <x:c r="Q698" s="235"/>
      <x:c r="R698" s="235" t="str">
        <x:v>INVOICE_OR_PLAN</x:v>
      </x:c>
      <x:c r="S698" s="238" t="n">
        <x:f>'Model_Calc'!AQ120</x:f>
        <x:v>22025.287065599998</x:v>
      </x:c>
      <x:c r="T698" s="238" t="n">
        <x:f>ROUND(S698-O698,4)</x:f>
        <x:v>0</x:v>
      </x:c>
    </x:row>
    <x:row r="699">
      <x:c r="A699" s="187" t="str">
        <x:v>BUDGET_2026_V1</x:v>
      </x:c>
      <x:c r="B699" s="187" t="str">
        <x:v>BUDGET</x:v>
      </x:c>
      <x:c r="C699" s="187"/>
      <x:c r="D699" s="217" t="n">
        <x:v>46357</x:v>
      </x:c>
      <x:c r="E699" s="187" t="str">
        <x:v>R_GB_DE_A_ROAD</x:v>
      </x:c>
      <x:c r="F699" s="187" t="str">
        <x:v>GB</x:v>
      </x:c>
      <x:c r="G699" s="187" t="str">
        <x:v>DE_FC</x:v>
      </x:c>
      <x:c r="H699" s="187" t="str">
        <x:v>CARRIER_A</x:v>
      </x:c>
      <x:c r="I699" s="187" t="str">
        <x:v>ROAD</x:v>
      </x:c>
      <x:c r="J699" s="187" t="str">
        <x:v>RETURN_LOGISTICS</x:v>
      </x:c>
      <x:c r="K699" s="187" t="str">
        <x:v>GBP</x:v>
      </x:c>
      <x:c r="L699" s="232" t="n">
        <x:v>2305.10592</x:v>
      </x:c>
      <x:c r="M699" s="232" t="n">
        <x:v>9</x:v>
      </x:c>
      <x:c r="N699" s="187" t="str">
        <x:v>20745.9532800000000</x:v>
      </x:c>
      <x:c r="O699" s="235" t="n">
        <x:v>20745.9533</x:v>
      </x:c>
      <x:c r="P699" s="235"/>
      <x:c r="Q699" s="235"/>
      <x:c r="R699" s="235" t="str">
        <x:v>INVOICE_OR_PLAN</x:v>
      </x:c>
      <x:c r="S699" s="238" t="n">
        <x:f>'Model_Calc'!AV120</x:f>
        <x:v>20745.953279999994</x:v>
      </x:c>
      <x:c r="T699" s="238" t="n">
        <x:f>ROUND(S699-O699,4)</x:f>
        <x:v>0</x:v>
      </x:c>
    </x:row>
    <x:row r="700">
      <x:c r="A700" s="187" t="str">
        <x:v>BUDGET_2026_V1</x:v>
      </x:c>
      <x:c r="B700" s="187" t="str">
        <x:v>BUDGET</x:v>
      </x:c>
      <x:c r="C700" s="187"/>
      <x:c r="D700" s="217" t="n">
        <x:v>46357</x:v>
      </x:c>
      <x:c r="E700" s="187" t="str">
        <x:v>R_GB_DE_A_ROAD</x:v>
      </x:c>
      <x:c r="F700" s="187" t="str">
        <x:v>GB</x:v>
      </x:c>
      <x:c r="G700" s="187" t="str">
        <x:v>DE_FC</x:v>
      </x:c>
      <x:c r="H700" s="187" t="str">
        <x:v>CARRIER_A</x:v>
      </x:c>
      <x:c r="I700" s="187" t="str">
        <x:v>ROAD</x:v>
      </x:c>
      <x:c r="J700" s="187" t="str">
        <x:v>BILLABLE_EXCEPTION</x:v>
      </x:c>
      <x:c r="K700" s="187" t="str">
        <x:v>GBP</x:v>
      </x:c>
      <x:c r="L700" s="232" t="n">
        <x:v>340.19521536</x:v>
      </x:c>
      <x:c r="M700" s="232" t="n">
        <x:v>9</x:v>
      </x:c>
      <x:c r="N700" s="187" t="str">
        <x:v>3061.756938240000000</x:v>
      </x:c>
      <x:c r="O700" s="235" t="n">
        <x:v>3061.7569</x:v>
      </x:c>
      <x:c r="P700" s="235"/>
      <x:c r="Q700" s="235"/>
      <x:c r="R700" s="235" t="str">
        <x:v>INVOICE_OR_PLAN</x:v>
      </x:c>
      <x:c r="S700" s="238" t="n">
        <x:f>'Model_Calc'!BA120</x:f>
        <x:v>3061.7569382399997</x:v>
      </x:c>
      <x:c r="T700" s="238" t="n">
        <x:f>ROUND(S700-O700,4)</x:f>
        <x:v>0</x:v>
      </x:c>
    </x:row>
    <x:row r="701">
      <x:c r="A701" s="187" t="str">
        <x:v>BUDGET_2026_V1</x:v>
      </x:c>
      <x:c r="B701" s="187" t="str">
        <x:v>BUDGET</x:v>
      </x:c>
      <x:c r="C701" s="187"/>
      <x:c r="D701" s="217" t="n">
        <x:v>46357</x:v>
      </x:c>
      <x:c r="E701" s="187" t="str">
        <x:v>R_GB_DE_B_ROAD</x:v>
      </x:c>
      <x:c r="F701" s="187" t="str">
        <x:v>GB</x:v>
      </x:c>
      <x:c r="G701" s="187" t="str">
        <x:v>DE_FC</x:v>
      </x:c>
      <x:c r="H701" s="187" t="str">
        <x:v>CARRIER_B</x:v>
      </x:c>
      <x:c r="I701" s="187" t="str">
        <x:v>ROAD</x:v>
      </x:c>
      <x:c r="J701" s="187" t="str">
        <x:v>BASE_FREIGHT</x:v>
      </x:c>
      <x:c r="K701" s="187" t="str">
        <x:v>GBP</x:v>
      </x:c>
      <x:c r="L701" s="232" t="n">
        <x:v>12275.058432</x:v>
      </x:c>
      <x:c r="M701" s="232" t="n">
        <x:v>9</x:v>
      </x:c>
      <x:c r="N701" s="187" t="str">
        <x:v>110475.5258880000000000</x:v>
      </x:c>
      <x:c r="O701" s="235" t="n">
        <x:v>110475.5259</x:v>
      </x:c>
      <x:c r="P701" s="235"/>
      <x:c r="Q701" s="235"/>
      <x:c r="R701" s="235" t="str">
        <x:v>INVOICE_OR_PLAN</x:v>
      </x:c>
      <x:c r="S701" s="238" t="n">
        <x:f>'Model_Calc'!AF121</x:f>
        <x:v>110475.525888</x:v>
      </x:c>
      <x:c r="T701" s="238" t="n">
        <x:f>ROUND(S701-O701,4)</x:f>
        <x:v>0</x:v>
      </x:c>
    </x:row>
    <x:row r="702">
      <x:c r="A702" s="187" t="str">
        <x:v>BUDGET_2026_V1</x:v>
      </x:c>
      <x:c r="B702" s="187" t="str">
        <x:v>BUDGET</x:v>
      </x:c>
      <x:c r="C702" s="187"/>
      <x:c r="D702" s="217" t="n">
        <x:v>46357</x:v>
      </x:c>
      <x:c r="E702" s="187" t="str">
        <x:v>R_GB_DE_B_ROAD</x:v>
      </x:c>
      <x:c r="F702" s="187" t="str">
        <x:v>GB</x:v>
      </x:c>
      <x:c r="G702" s="187" t="str">
        <x:v>DE_FC</x:v>
      </x:c>
      <x:c r="H702" s="187" t="str">
        <x:v>CARRIER_B</x:v>
      </x:c>
      <x:c r="I702" s="187" t="str">
        <x:v>ROAD</x:v>
      </x:c>
      <x:c r="J702" s="187" t="str">
        <x:v>FUEL_SURCHARGE</x:v>
      </x:c>
      <x:c r="K702" s="187" t="str">
        <x:v>GBP</x:v>
      </x:c>
      <x:c r="L702" s="232" t="n">
        <x:v>861.8658048</x:v>
      </x:c>
      <x:c r="M702" s="232" t="n">
        <x:v>9</x:v>
      </x:c>
      <x:c r="N702" s="187" t="str">
        <x:v>7756.7922432000000000</x:v>
      </x:c>
      <x:c r="O702" s="235" t="n">
        <x:v>7756.7922</x:v>
      </x:c>
      <x:c r="P702" s="235"/>
      <x:c r="Q702" s="235"/>
      <x:c r="R702" s="235" t="str">
        <x:v>INVOICE_OR_PLAN</x:v>
      </x:c>
      <x:c r="S702" s="238" t="n">
        <x:f>'Model_Calc'!AG121</x:f>
        <x:v>7756.7922432</x:v>
      </x:c>
      <x:c r="T702" s="238" t="n">
        <x:f>ROUND(S702-O702,4)</x:f>
        <x:v>0</x:v>
      </x:c>
    </x:row>
    <x:row r="703">
      <x:c r="A703" s="187" t="str">
        <x:v>BUDGET_2026_V1</x:v>
      </x:c>
      <x:c r="B703" s="187" t="str">
        <x:v>BUDGET</x:v>
      </x:c>
      <x:c r="C703" s="187"/>
      <x:c r="D703" s="217" t="n">
        <x:v>46357</x:v>
      </x:c>
      <x:c r="E703" s="187" t="str">
        <x:v>R_GB_DE_B_ROAD</x:v>
      </x:c>
      <x:c r="F703" s="187" t="str">
        <x:v>GB</x:v>
      </x:c>
      <x:c r="G703" s="187" t="str">
        <x:v>DE_FC</x:v>
      </x:c>
      <x:c r="H703" s="187" t="str">
        <x:v>CARRIER_B</x:v>
      </x:c>
      <x:c r="I703" s="187" t="str">
        <x:v>ROAD</x:v>
      </x:c>
      <x:c r="J703" s="187" t="str">
        <x:v>WAREHOUSE_OPERATION</x:v>
      </x:c>
      <x:c r="K703" s="187" t="str">
        <x:v>EUR</x:v>
      </x:c>
      <x:c r="L703" s="232" t="n">
        <x:v>2724.384</x:v>
      </x:c>
      <x:c r="M703" s="232" t="n">
        <x:v>7.8</x:v>
      </x:c>
      <x:c r="N703" s="187" t="str">
        <x:v>21250.1952000000</x:v>
      </x:c>
      <x:c r="O703" s="235" t="n">
        <x:v>21250.1952</x:v>
      </x:c>
      <x:c r="P703" s="235"/>
      <x:c r="Q703" s="235"/>
      <x:c r="R703" s="235" t="str">
        <x:v>INVOICE_OR_PLAN</x:v>
      </x:c>
      <x:c r="S703" s="238" t="n">
        <x:f>'Model_Calc'!AL121</x:f>
        <x:v>21250.195199999995</x:v>
      </x:c>
      <x:c r="T703" s="238" t="n">
        <x:f>ROUND(S703-O703,4)</x:f>
        <x:v>0</x:v>
      </x:c>
    </x:row>
    <x:row r="704">
      <x:c r="A704" s="187" t="str">
        <x:v>BUDGET_2026_V1</x:v>
      </x:c>
      <x:c r="B704" s="187" t="str">
        <x:v>BUDGET</x:v>
      </x:c>
      <x:c r="C704" s="187"/>
      <x:c r="D704" s="217" t="n">
        <x:v>46357</x:v>
      </x:c>
      <x:c r="E704" s="187" t="str">
        <x:v>R_GB_DE_B_ROAD</x:v>
      </x:c>
      <x:c r="F704" s="187" t="str">
        <x:v>GB</x:v>
      </x:c>
      <x:c r="G704" s="187" t="str">
        <x:v>DE_FC</x:v>
      </x:c>
      <x:c r="H704" s="187" t="str">
        <x:v>CARRIER_B</x:v>
      </x:c>
      <x:c r="I704" s="187" t="str">
        <x:v>ROAD</x:v>
      </x:c>
      <x:c r="J704" s="187" t="str">
        <x:v>PACKAGING</x:v>
      </x:c>
      <x:c r="K704" s="187" t="str">
        <x:v>EUR</x:v>
      </x:c>
      <x:c r="L704" s="232" t="n">
        <x:v>1086.05952</x:v>
      </x:c>
      <x:c r="M704" s="232" t="n">
        <x:v>7.8</x:v>
      </x:c>
      <x:c r="N704" s="187" t="str">
        <x:v>8471.264256000000</x:v>
      </x:c>
      <x:c r="O704" s="235" t="n">
        <x:v>8471.2643</x:v>
      </x:c>
      <x:c r="P704" s="235"/>
      <x:c r="Q704" s="235"/>
      <x:c r="R704" s="235" t="str">
        <x:v>INVOICE_OR_PLAN</x:v>
      </x:c>
      <x:c r="S704" s="238" t="n">
        <x:f>'Model_Calc'!AQ121</x:f>
        <x:v>8471.264255999999</x:v>
      </x:c>
      <x:c r="T704" s="238" t="n">
        <x:f>ROUND(S704-O704,4)</x:f>
        <x:v>0</x:v>
      </x:c>
    </x:row>
    <x:row r="705">
      <x:c r="A705" s="187" t="str">
        <x:v>BUDGET_2026_V1</x:v>
      </x:c>
      <x:c r="B705" s="187" t="str">
        <x:v>BUDGET</x:v>
      </x:c>
      <x:c r="C705" s="187"/>
      <x:c r="D705" s="217" t="n">
        <x:v>46357</x:v>
      </x:c>
      <x:c r="E705" s="187" t="str">
        <x:v>R_GB_DE_B_ROAD</x:v>
      </x:c>
      <x:c r="F705" s="187" t="str">
        <x:v>GB</x:v>
      </x:c>
      <x:c r="G705" s="187" t="str">
        <x:v>DE_FC</x:v>
      </x:c>
      <x:c r="H705" s="187" t="str">
        <x:v>CARRIER_B</x:v>
      </x:c>
      <x:c r="I705" s="187" t="str">
        <x:v>ROAD</x:v>
      </x:c>
      <x:c r="J705" s="187" t="str">
        <x:v>RETURN_LOGISTICS</x:v>
      </x:c>
      <x:c r="K705" s="187" t="str">
        <x:v>GBP</x:v>
      </x:c>
      <x:c r="L705" s="232" t="n">
        <x:v>886.5792</x:v>
      </x:c>
      <x:c r="M705" s="232" t="n">
        <x:v>9</x:v>
      </x:c>
      <x:c r="N705" s="187" t="str">
        <x:v>7979.2128000000000</x:v>
      </x:c>
      <x:c r="O705" s="235" t="n">
        <x:v>7979.2128</x:v>
      </x:c>
      <x:c r="P705" s="235"/>
      <x:c r="Q705" s="235"/>
      <x:c r="R705" s="235" t="str">
        <x:v>INVOICE_OR_PLAN</x:v>
      </x:c>
      <x:c r="S705" s="238" t="n">
        <x:f>'Model_Calc'!AV121</x:f>
        <x:v>7979.212799999999</x:v>
      </x:c>
      <x:c r="T705" s="238" t="n">
        <x:f>ROUND(S705-O705,4)</x:f>
        <x:v>0</x:v>
      </x:c>
    </x:row>
    <x:row r="706">
      <x:c r="A706" s="187" t="str">
        <x:v>BUDGET_2026_V1</x:v>
      </x:c>
      <x:c r="B706" s="187" t="str">
        <x:v>BUDGET</x:v>
      </x:c>
      <x:c r="C706" s="187"/>
      <x:c r="D706" s="217" t="n">
        <x:v>46357</x:v>
      </x:c>
      <x:c r="E706" s="187" t="str">
        <x:v>R_GB_DE_B_ROAD</x:v>
      </x:c>
      <x:c r="F706" s="187" t="str">
        <x:v>GB</x:v>
      </x:c>
      <x:c r="G706" s="187" t="str">
        <x:v>DE_FC</x:v>
      </x:c>
      <x:c r="H706" s="187" t="str">
        <x:v>CARRIER_B</x:v>
      </x:c>
      <x:c r="I706" s="187" t="str">
        <x:v>ROAD</x:v>
      </x:c>
      <x:c r="J706" s="187" t="str">
        <x:v>BILLABLE_EXCEPTION</x:v>
      </x:c>
      <x:c r="K706" s="187" t="str">
        <x:v>GBP</x:v>
      </x:c>
      <x:c r="L706" s="232" t="n">
        <x:v>101.1069696</x:v>
      </x:c>
      <x:c r="M706" s="232" t="n">
        <x:v>9</x:v>
      </x:c>
      <x:c r="N706" s="187" t="str">
        <x:v>909.962726400000000</x:v>
      </x:c>
      <x:c r="O706" s="235" t="n">
        <x:v>909.9627</x:v>
      </x:c>
      <x:c r="P706" s="235"/>
      <x:c r="Q706" s="235"/>
      <x:c r="R706" s="235" t="str">
        <x:v>INVOICE_OR_PLAN</x:v>
      </x:c>
      <x:c r="S706" s="238" t="n">
        <x:f>'Model_Calc'!BA121</x:f>
        <x:v>909.9627264</x:v>
      </x:c>
      <x:c r="T706" s="238" t="n">
        <x:f>ROUND(S706-O706,4)</x:f>
        <x:v>0</x:v>
      </x:c>
    </x:row>
    <x:row r="707">
      <x:c r="A707" s="187" t="str">
        <x:v>BUDGET_2026_V1</x:v>
      </x:c>
      <x:c r="B707" s="187" t="str">
        <x:v>BUDGET</x:v>
      </x:c>
      <x:c r="C707" s="187"/>
      <x:c r="D707" s="217" t="n">
        <x:v>46357</x:v>
      </x:c>
      <x:c r="E707" s="187" t="str">
        <x:v>R_GB_DE_B_AIR</x:v>
      </x:c>
      <x:c r="F707" s="187" t="str">
        <x:v>GB</x:v>
      </x:c>
      <x:c r="G707" s="187" t="str">
        <x:v>DE_FC</x:v>
      </x:c>
      <x:c r="H707" s="187" t="str">
        <x:v>CARRIER_B</x:v>
      </x:c>
      <x:c r="I707" s="187" t="str">
        <x:v>AIR</x:v>
      </x:c>
      <x:c r="J707" s="187" t="str">
        <x:v>BASE_FREIGHT</x:v>
      </x:c>
      <x:c r="K707" s="187" t="str">
        <x:v>GBP</x:v>
      </x:c>
      <x:c r="L707" s="232" t="n">
        <x:v>4261.9002875904</x:v>
      </x:c>
      <x:c r="M707" s="232" t="n">
        <x:v>9</x:v>
      </x:c>
      <x:c r="N707" s="187" t="str">
        <x:v>38357.1025883136000000</x:v>
      </x:c>
      <x:c r="O707" s="235" t="n">
        <x:v>38357.1026</x:v>
      </x:c>
      <x:c r="P707" s="235"/>
      <x:c r="Q707" s="235"/>
      <x:c r="R707" s="235" t="str">
        <x:v>INVOICE_OR_PLAN</x:v>
      </x:c>
      <x:c r="S707" s="238" t="n">
        <x:f>'Model_Calc'!AF122</x:f>
        <x:v>38357.1025883136</x:v>
      </x:c>
      <x:c r="T707" s="238" t="n">
        <x:f>ROUND(S707-O707,4)</x:f>
        <x:v>0</x:v>
      </x:c>
    </x:row>
    <x:row r="708">
      <x:c r="A708" s="187" t="str">
        <x:v>BUDGET_2026_V1</x:v>
      </x:c>
      <x:c r="B708" s="187" t="str">
        <x:v>BUDGET</x:v>
      </x:c>
      <x:c r="C708" s="187"/>
      <x:c r="D708" s="217" t="n">
        <x:v>46357</x:v>
      </x:c>
      <x:c r="E708" s="187" t="str">
        <x:v>R_GB_DE_B_AIR</x:v>
      </x:c>
      <x:c r="F708" s="187" t="str">
        <x:v>GB</x:v>
      </x:c>
      <x:c r="G708" s="187" t="str">
        <x:v>DE_FC</x:v>
      </x:c>
      <x:c r="H708" s="187" t="str">
        <x:v>CARRIER_B</x:v>
      </x:c>
      <x:c r="I708" s="187" t="str">
        <x:v>AIR</x:v>
      </x:c>
      <x:c r="J708" s="187" t="str">
        <x:v>FUEL_SURCHARGE</x:v>
      </x:c>
      <x:c r="K708" s="187" t="str">
        <x:v>GBP</x:v>
      </x:c>
      <x:c r="L708" s="232" t="n">
        <x:v>490.118533072896</x:v>
      </x:c>
      <x:c r="M708" s="232" t="n">
        <x:v>9</x:v>
      </x:c>
      <x:c r="N708" s="187" t="str">
        <x:v>4411.0667976560640000000</x:v>
      </x:c>
      <x:c r="O708" s="235" t="n">
        <x:v>4411.0668</x:v>
      </x:c>
      <x:c r="P708" s="235"/>
      <x:c r="Q708" s="235"/>
      <x:c r="R708" s="235" t="str">
        <x:v>INVOICE_OR_PLAN</x:v>
      </x:c>
      <x:c r="S708" s="238" t="n">
        <x:f>'Model_Calc'!AG122</x:f>
        <x:v>4411.066797656065</x:v>
      </x:c>
      <x:c r="T708" s="238" t="n">
        <x:f>ROUND(S708-O708,4)</x:f>
        <x:v>0</x:v>
      </x:c>
    </x:row>
    <x:row r="709">
      <x:c r="A709" s="187" t="str">
        <x:v>BUDGET_2026_V1</x:v>
      </x:c>
      <x:c r="B709" s="187" t="str">
        <x:v>BUDGET</x:v>
      </x:c>
      <x:c r="C709" s="187"/>
      <x:c r="D709" s="217" t="n">
        <x:v>46357</x:v>
      </x:c>
      <x:c r="E709" s="187" t="str">
        <x:v>R_GB_DE_B_AIR</x:v>
      </x:c>
      <x:c r="F709" s="187" t="str">
        <x:v>GB</x:v>
      </x:c>
      <x:c r="G709" s="187" t="str">
        <x:v>DE_FC</x:v>
      </x:c>
      <x:c r="H709" s="187" t="str">
        <x:v>CARRIER_B</x:v>
      </x:c>
      <x:c r="I709" s="187" t="str">
        <x:v>AIR</x:v>
      </x:c>
      <x:c r="J709" s="187" t="str">
        <x:v>WAREHOUSE_OPERATION</x:v>
      </x:c>
      <x:c r="K709" s="187" t="str">
        <x:v>EUR</x:v>
      </x:c>
      <x:c r="L709" s="232" t="n">
        <x:v>762.82752</x:v>
      </x:c>
      <x:c r="M709" s="232" t="n">
        <x:v>7.8</x:v>
      </x:c>
      <x:c r="N709" s="187" t="str">
        <x:v>5950.0546560000</x:v>
      </x:c>
      <x:c r="O709" s="235" t="n">
        <x:v>5950.0547</x:v>
      </x:c>
      <x:c r="P709" s="235"/>
      <x:c r="Q709" s="235"/>
      <x:c r="R709" s="235" t="str">
        <x:v>INVOICE_OR_PLAN</x:v>
      </x:c>
      <x:c r="S709" s="238" t="n">
        <x:f>'Model_Calc'!AL122</x:f>
        <x:v>5950.054655999999</x:v>
      </x:c>
      <x:c r="T709" s="238" t="n">
        <x:f>ROUND(S709-O709,4)</x:f>
        <x:v>0</x:v>
      </x:c>
    </x:row>
    <x:row r="710">
      <x:c r="A710" s="187" t="str">
        <x:v>BUDGET_2026_V1</x:v>
      </x:c>
      <x:c r="B710" s="187" t="str">
        <x:v>BUDGET</x:v>
      </x:c>
      <x:c r="C710" s="187"/>
      <x:c r="D710" s="217" t="n">
        <x:v>46357</x:v>
      </x:c>
      <x:c r="E710" s="187" t="str">
        <x:v>R_GB_DE_B_AIR</x:v>
      </x:c>
      <x:c r="F710" s="187" t="str">
        <x:v>GB</x:v>
      </x:c>
      <x:c r="G710" s="187" t="str">
        <x:v>DE_FC</x:v>
      </x:c>
      <x:c r="H710" s="187" t="str">
        <x:v>CARRIER_B</x:v>
      </x:c>
      <x:c r="I710" s="187" t="str">
        <x:v>AIR</x:v>
      </x:c>
      <x:c r="J710" s="187" t="str">
        <x:v>PACKAGING</x:v>
      </x:c>
      <x:c r="K710" s="187" t="str">
        <x:v>EUR</x:v>
      </x:c>
      <x:c r="L710" s="232" t="n">
        <x:v>304.0966656</x:v>
      </x:c>
      <x:c r="M710" s="232" t="n">
        <x:v>7.8</x:v>
      </x:c>
      <x:c r="N710" s="187" t="str">
        <x:v>2371.953991680000</x:v>
      </x:c>
      <x:c r="O710" s="235" t="n">
        <x:v>2371.954</x:v>
      </x:c>
      <x:c r="P710" s="235"/>
      <x:c r="Q710" s="235"/>
      <x:c r="R710" s="235" t="str">
        <x:v>INVOICE_OR_PLAN</x:v>
      </x:c>
      <x:c r="S710" s="238" t="n">
        <x:f>'Model_Calc'!AQ122</x:f>
        <x:v>2371.95399168</x:v>
      </x:c>
      <x:c r="T710" s="238" t="n">
        <x:f>ROUND(S710-O710,4)</x:f>
        <x:v>0</x:v>
      </x:c>
    </x:row>
    <x:row r="711">
      <x:c r="A711" s="187" t="str">
        <x:v>BUDGET_2026_V1</x:v>
      </x:c>
      <x:c r="B711" s="187" t="str">
        <x:v>BUDGET</x:v>
      </x:c>
      <x:c r="C711" s="187"/>
      <x:c r="D711" s="217" t="n">
        <x:v>46357</x:v>
      </x:c>
      <x:c r="E711" s="187" t="str">
        <x:v>R_GB_DE_B_AIR</x:v>
      </x:c>
      <x:c r="F711" s="187" t="str">
        <x:v>GB</x:v>
      </x:c>
      <x:c r="G711" s="187" t="str">
        <x:v>DE_FC</x:v>
      </x:c>
      <x:c r="H711" s="187" t="str">
        <x:v>CARRIER_B</x:v>
      </x:c>
      <x:c r="I711" s="187" t="str">
        <x:v>AIR</x:v>
      </x:c>
      <x:c r="J711" s="187" t="str">
        <x:v>RETURN_LOGISTICS</x:v>
      </x:c>
      <x:c r="K711" s="187" t="str">
        <x:v>GBP</x:v>
      </x:c>
      <x:c r="L711" s="232" t="n">
        <x:v>248.242176</x:v>
      </x:c>
      <x:c r="M711" s="232" t="n">
        <x:v>9</x:v>
      </x:c>
      <x:c r="N711" s="187" t="str">
        <x:v>2234.1795840000000</x:v>
      </x:c>
      <x:c r="O711" s="235" t="n">
        <x:v>2234.1796</x:v>
      </x:c>
      <x:c r="P711" s="235"/>
      <x:c r="Q711" s="235"/>
      <x:c r="R711" s="235" t="str">
        <x:v>INVOICE_OR_PLAN</x:v>
      </x:c>
      <x:c r="S711" s="238" t="n">
        <x:f>'Model_Calc'!AV122</x:f>
        <x:v>2234.1795839999995</x:v>
      </x:c>
      <x:c r="T711" s="238" t="n">
        <x:f>ROUND(S711-O711,4)</x:f>
        <x:v>0</x:v>
      </x:c>
    </x:row>
    <x:row r="712">
      <x:c r="A712" s="187" t="str">
        <x:v>BUDGET_2026_V1</x:v>
      </x:c>
      <x:c r="B712" s="187" t="str">
        <x:v>BUDGET</x:v>
      </x:c>
      <x:c r="C712" s="187"/>
      <x:c r="D712" s="217" t="n">
        <x:v>46357</x:v>
      </x:c>
      <x:c r="E712" s="187" t="str">
        <x:v>R_GB_DE_B_AIR</x:v>
      </x:c>
      <x:c r="F712" s="187" t="str">
        <x:v>GB</x:v>
      </x:c>
      <x:c r="G712" s="187" t="str">
        <x:v>DE_FC</x:v>
      </x:c>
      <x:c r="H712" s="187" t="str">
        <x:v>CARRIER_B</x:v>
      </x:c>
      <x:c r="I712" s="187" t="str">
        <x:v>AIR</x:v>
      </x:c>
      <x:c r="J712" s="187" t="str">
        <x:v>BILLABLE_EXCEPTION</x:v>
      </x:c>
      <x:c r="K712" s="187" t="str">
        <x:v>GBP</x:v>
      </x:c>
      <x:c r="L712" s="232" t="n">
        <x:v>26.355044352</x:v>
      </x:c>
      <x:c r="M712" s="232" t="n">
        <x:v>9</x:v>
      </x:c>
      <x:c r="N712" s="187" t="str">
        <x:v>237.195399168000000</x:v>
      </x:c>
      <x:c r="O712" s="235" t="n">
        <x:v>237.1954</x:v>
      </x:c>
      <x:c r="P712" s="235"/>
      <x:c r="Q712" s="235"/>
      <x:c r="R712" s="235" t="str">
        <x:v>INVOICE_OR_PLAN</x:v>
      </x:c>
      <x:c r="S712" s="238" t="n">
        <x:f>'Model_Calc'!BA122</x:f>
        <x:v>237.19539916799997</x:v>
      </x:c>
      <x:c r="T712" s="238" t="n">
        <x:f>ROUND(S712-O712,4)</x:f>
        <x:v>0</x:v>
      </x:c>
    </x:row>
    <x:row r="713">
      <x:c r="A713" s="187" t="str">
        <x:v>BUDGET_2026_V1</x:v>
      </x:c>
      <x:c r="B713" s="187" t="str">
        <x:v>BUDGET</x:v>
      </x:c>
      <x:c r="C713" s="187"/>
      <x:c r="D713" s="217" t="n">
        <x:v>46357</x:v>
      </x:c>
      <x:c r="E713" s="187" t="str">
        <x:v>R_GB_DE_C_AIR</x:v>
      </x:c>
      <x:c r="F713" s="187" t="str">
        <x:v>GB</x:v>
      </x:c>
      <x:c r="G713" s="187" t="str">
        <x:v>DE_FC</x:v>
      </x:c>
      <x:c r="H713" s="187" t="str">
        <x:v>CARRIER_C</x:v>
      </x:c>
      <x:c r="I713" s="187" t="str">
        <x:v>AIR</x:v>
      </x:c>
      <x:c r="J713" s="187" t="str">
        <x:v>BASE_FREIGHT</x:v>
      </x:c>
      <x:c r="K713" s="187" t="str">
        <x:v>GBP</x:v>
      </x:c>
      <x:c r="L713" s="232" t="n">
        <x:v>2162.49965568</x:v>
      </x:c>
      <x:c r="M713" s="232" t="n">
        <x:v>9</x:v>
      </x:c>
      <x:c r="N713" s="187" t="str">
        <x:v>19462.4969011200000000</x:v>
      </x:c>
      <x:c r="O713" s="235" t="n">
        <x:v>19462.4969</x:v>
      </x:c>
      <x:c r="P713" s="235"/>
      <x:c r="Q713" s="235"/>
      <x:c r="R713" s="235" t="str">
        <x:v>INVOICE_OR_PLAN</x:v>
      </x:c>
      <x:c r="S713" s="238" t="n">
        <x:f>'Model_Calc'!AF123</x:f>
        <x:v>19462.49690112</x:v>
      </x:c>
      <x:c r="T713" s="238" t="n">
        <x:f>ROUND(S713-O713,4)</x:f>
        <x:v>0</x:v>
      </x:c>
    </x:row>
    <x:row r="714">
      <x:c r="A714" s="187" t="str">
        <x:v>BUDGET_2026_V1</x:v>
      </x:c>
      <x:c r="B714" s="187" t="str">
        <x:v>BUDGET</x:v>
      </x:c>
      <x:c r="C714" s="187"/>
      <x:c r="D714" s="217" t="n">
        <x:v>46357</x:v>
      </x:c>
      <x:c r="E714" s="187" t="str">
        <x:v>R_GB_DE_C_AIR</x:v>
      </x:c>
      <x:c r="F714" s="187" t="str">
        <x:v>GB</x:v>
      </x:c>
      <x:c r="G714" s="187" t="str">
        <x:v>DE_FC</x:v>
      </x:c>
      <x:c r="H714" s="187" t="str">
        <x:v>CARRIER_C</x:v>
      </x:c>
      <x:c r="I714" s="187" t="str">
        <x:v>AIR</x:v>
      </x:c>
      <x:c r="J714" s="187" t="str">
        <x:v>FUEL_SURCHARGE</x:v>
      </x:c>
      <x:c r="K714" s="187" t="str">
        <x:v>GBP</x:v>
      </x:c>
      <x:c r="L714" s="232" t="n">
        <x:v>167.23330670592</x:v>
      </x:c>
      <x:c r="M714" s="232" t="n">
        <x:v>9</x:v>
      </x:c>
      <x:c r="N714" s="187" t="str">
        <x:v>1505.0997603532800000</x:v>
      </x:c>
      <x:c r="O714" s="235" t="n">
        <x:v>1505.0998</x:v>
      </x:c>
      <x:c r="P714" s="235"/>
      <x:c r="Q714" s="235"/>
      <x:c r="R714" s="235" t="str">
        <x:v>INVOICE_OR_PLAN</x:v>
      </x:c>
      <x:c r="S714" s="238" t="n">
        <x:f>'Model_Calc'!AG123</x:f>
        <x:v>1505.0997603532803</x:v>
      </x:c>
      <x:c r="T714" s="238" t="n">
        <x:f>ROUND(S714-O714,4)</x:f>
        <x:v>0</x:v>
      </x:c>
    </x:row>
    <x:row r="715">
      <x:c r="A715" s="187" t="str">
        <x:v>BUDGET_2026_V1</x:v>
      </x:c>
      <x:c r="B715" s="187" t="str">
        <x:v>BUDGET</x:v>
      </x:c>
      <x:c r="C715" s="187"/>
      <x:c r="D715" s="217" t="n">
        <x:v>46357</x:v>
      </x:c>
      <x:c r="E715" s="187" t="str">
        <x:v>R_GB_DE_C_AIR</x:v>
      </x:c>
      <x:c r="F715" s="187" t="str">
        <x:v>GB</x:v>
      </x:c>
      <x:c r="G715" s="187" t="str">
        <x:v>DE_FC</x:v>
      </x:c>
      <x:c r="H715" s="187" t="str">
        <x:v>CARRIER_C</x:v>
      </x:c>
      <x:c r="I715" s="187" t="str">
        <x:v>AIR</x:v>
      </x:c>
      <x:c r="J715" s="187" t="str">
        <x:v>WAREHOUSE_OPERATION</x:v>
      </x:c>
      <x:c r="K715" s="187" t="str">
        <x:v>EUR</x:v>
      </x:c>
      <x:c r="L715" s="232" t="n">
        <x:v>326.92608</x:v>
      </x:c>
      <x:c r="M715" s="232" t="n">
        <x:v>7.8</x:v>
      </x:c>
      <x:c r="N715" s="187" t="str">
        <x:v>2550.0234240000</x:v>
      </x:c>
      <x:c r="O715" s="235" t="n">
        <x:v>2550.0234</x:v>
      </x:c>
      <x:c r="P715" s="235"/>
      <x:c r="Q715" s="235"/>
      <x:c r="R715" s="235" t="str">
        <x:v>INVOICE_OR_PLAN</x:v>
      </x:c>
      <x:c r="S715" s="238" t="n">
        <x:f>'Model_Calc'!AL123</x:f>
        <x:v>2550.0234239999995</x:v>
      </x:c>
      <x:c r="T715" s="238" t="n">
        <x:f>ROUND(S715-O715,4)</x:f>
        <x:v>0</x:v>
      </x:c>
    </x:row>
    <x:row r="716">
      <x:c r="A716" s="187" t="str">
        <x:v>BUDGET_2026_V1</x:v>
      </x:c>
      <x:c r="B716" s="187" t="str">
        <x:v>BUDGET</x:v>
      </x:c>
      <x:c r="C716" s="187"/>
      <x:c r="D716" s="217" t="n">
        <x:v>46357</x:v>
      </x:c>
      <x:c r="E716" s="187" t="str">
        <x:v>R_GB_DE_C_AIR</x:v>
      </x:c>
      <x:c r="F716" s="187" t="str">
        <x:v>GB</x:v>
      </x:c>
      <x:c r="G716" s="187" t="str">
        <x:v>DE_FC</x:v>
      </x:c>
      <x:c r="H716" s="187" t="str">
        <x:v>CARRIER_C</x:v>
      </x:c>
      <x:c r="I716" s="187" t="str">
        <x:v>AIR</x:v>
      </x:c>
      <x:c r="J716" s="187" t="str">
        <x:v>PACKAGING</x:v>
      </x:c>
      <x:c r="K716" s="187" t="str">
        <x:v>EUR</x:v>
      </x:c>
      <x:c r="L716" s="232" t="n">
        <x:v>130.3271424</x:v>
      </x:c>
      <x:c r="M716" s="232" t="n">
        <x:v>7.8</x:v>
      </x:c>
      <x:c r="N716" s="187" t="str">
        <x:v>1016.551710720000</x:v>
      </x:c>
      <x:c r="O716" s="235" t="n">
        <x:v>1016.5517</x:v>
      </x:c>
      <x:c r="P716" s="235"/>
      <x:c r="Q716" s="235"/>
      <x:c r="R716" s="235" t="str">
        <x:v>INVOICE_OR_PLAN</x:v>
      </x:c>
      <x:c r="S716" s="238" t="n">
        <x:f>'Model_Calc'!AQ123</x:f>
        <x:v>1016.5517107200001</x:v>
      </x:c>
      <x:c r="T716" s="238" t="n">
        <x:f>ROUND(S716-O716,4)</x:f>
        <x:v>0</x:v>
      </x:c>
    </x:row>
    <x:row r="717">
      <x:c r="A717" s="187" t="str">
        <x:v>BUDGET_2026_V1</x:v>
      </x:c>
      <x:c r="B717" s="187" t="str">
        <x:v>BUDGET</x:v>
      </x:c>
      <x:c r="C717" s="187"/>
      <x:c r="D717" s="217" t="n">
        <x:v>46357</x:v>
      </x:c>
      <x:c r="E717" s="187" t="str">
        <x:v>R_GB_DE_C_AIR</x:v>
      </x:c>
      <x:c r="F717" s="187" t="str">
        <x:v>GB</x:v>
      </x:c>
      <x:c r="G717" s="187" t="str">
        <x:v>DE_FC</x:v>
      </x:c>
      <x:c r="H717" s="187" t="str">
        <x:v>CARRIER_C</x:v>
      </x:c>
      <x:c r="I717" s="187" t="str">
        <x:v>AIR</x:v>
      </x:c>
      <x:c r="J717" s="187" t="str">
        <x:v>RETURN_LOGISTICS</x:v>
      </x:c>
      <x:c r="K717" s="187" t="str">
        <x:v>GBP</x:v>
      </x:c>
      <x:c r="L717" s="232" t="n">
        <x:v>106.389504</x:v>
      </x:c>
      <x:c r="M717" s="232" t="n">
        <x:v>9</x:v>
      </x:c>
      <x:c r="N717" s="187" t="str">
        <x:v>957.5055360000000</x:v>
      </x:c>
      <x:c r="O717" s="235" t="n">
        <x:v>957.5055</x:v>
      </x:c>
      <x:c r="P717" s="235"/>
      <x:c r="Q717" s="235"/>
      <x:c r="R717" s="235" t="str">
        <x:v>INVOICE_OR_PLAN</x:v>
      </x:c>
      <x:c r="S717" s="238" t="n">
        <x:f>'Model_Calc'!AV123</x:f>
        <x:v>957.5055359999999</x:v>
      </x:c>
      <x:c r="T717" s="238" t="n">
        <x:f>ROUND(S717-O717,4)</x:f>
        <x:v>0</x:v>
      </x:c>
    </x:row>
    <x:row r="718">
      <x:c r="A718" s="187" t="str">
        <x:v>BUDGET_2026_V1</x:v>
      </x:c>
      <x:c r="B718" s="187" t="str">
        <x:v>BUDGET</x:v>
      </x:c>
      <x:c r="C718" s="187"/>
      <x:c r="D718" s="217" t="n">
        <x:v>46357</x:v>
      </x:c>
      <x:c r="E718" s="187" t="str">
        <x:v>R_GB_DE_C_AIR</x:v>
      </x:c>
      <x:c r="F718" s="187" t="str">
        <x:v>GB</x:v>
      </x:c>
      <x:c r="G718" s="187" t="str">
        <x:v>DE_FC</x:v>
      </x:c>
      <x:c r="H718" s="187" t="str">
        <x:v>CARRIER_C</x:v>
      </x:c>
      <x:c r="I718" s="187" t="str">
        <x:v>AIR</x:v>
      </x:c>
      <x:c r="J718" s="187" t="str">
        <x:v>BILLABLE_EXCEPTION</x:v>
      </x:c>
      <x:c r="K718" s="187" t="str">
        <x:v>GBP</x:v>
      </x:c>
      <x:c r="L718" s="232" t="n">
        <x:v>10.053808128</x:v>
      </x:c>
      <x:c r="M718" s="232" t="n">
        <x:v>9</x:v>
      </x:c>
      <x:c r="N718" s="187" t="str">
        <x:v>90.484273152000000</x:v>
      </x:c>
      <x:c r="O718" s="235" t="n">
        <x:v>90.4843</x:v>
      </x:c>
      <x:c r="P718" s="235"/>
      <x:c r="Q718" s="235"/>
      <x:c r="R718" s="235" t="str">
        <x:v>INVOICE_OR_PLAN</x:v>
      </x:c>
      <x:c r="S718" s="238" t="n">
        <x:f>'Model_Calc'!BA123</x:f>
        <x:v>90.484273152</x:v>
      </x:c>
      <x:c r="T718" s="238" t="n">
        <x:f>ROUND(S718-O718,4)</x:f>
        <x:v>0</x:v>
      </x:c>
    </x:row>
    <x:row r="719">
      <x:c r="A719" s="187" t="str">
        <x:v>BUDGET_2026_V1</x:v>
      </x:c>
      <x:c r="B719" s="187" t="str">
        <x:v>BUDGET</x:v>
      </x:c>
      <x:c r="C719" s="187"/>
      <x:c r="D719" s="217" t="n">
        <x:v>46357</x:v>
      </x:c>
      <x:c r="E719" s="187" t="str">
        <x:v>R_GB_FR_B_AIR</x:v>
      </x:c>
      <x:c r="F719" s="187" t="str">
        <x:v>GB</x:v>
      </x:c>
      <x:c r="G719" s="187" t="str">
        <x:v>FR_FC</x:v>
      </x:c>
      <x:c r="H719" s="187" t="str">
        <x:v>CARRIER_B</x:v>
      </x:c>
      <x:c r="I719" s="187" t="str">
        <x:v>AIR</x:v>
      </x:c>
      <x:c r="J719" s="187" t="str">
        <x:v>BASE_FREIGHT</x:v>
      </x:c>
      <x:c r="K719" s="187" t="str">
        <x:v>EUR</x:v>
      </x:c>
      <x:c r="L719" s="232" t="n">
        <x:v>2695.079556</x:v>
      </x:c>
      <x:c r="M719" s="232" t="n">
        <x:v>7.8</x:v>
      </x:c>
      <x:c r="N719" s="187" t="str">
        <x:v>21021.62053680000000</x:v>
      </x:c>
      <x:c r="O719" s="235" t="n">
        <x:v>21021.6205</x:v>
      </x:c>
      <x:c r="P719" s="235"/>
      <x:c r="Q719" s="235"/>
      <x:c r="R719" s="235" t="str">
        <x:v>INVOICE_OR_PLAN</x:v>
      </x:c>
      <x:c r="S719" s="238" t="n">
        <x:f>'Model_Calc'!AF124</x:f>
        <x:v>21021.6205368</x:v>
      </x:c>
      <x:c r="T719" s="238" t="n">
        <x:f>ROUND(S719-O719,4)</x:f>
        <x:v>0</x:v>
      </x:c>
    </x:row>
    <x:row r="720">
      <x:c r="A720" s="187" t="str">
        <x:v>BUDGET_2026_V1</x:v>
      </x:c>
      <x:c r="B720" s="187" t="str">
        <x:v>BUDGET</x:v>
      </x:c>
      <x:c r="C720" s="187"/>
      <x:c r="D720" s="217" t="n">
        <x:v>46357</x:v>
      </x:c>
      <x:c r="E720" s="187" t="str">
        <x:v>R_GB_FR_B_AIR</x:v>
      </x:c>
      <x:c r="F720" s="187" t="str">
        <x:v>GB</x:v>
      </x:c>
      <x:c r="G720" s="187" t="str">
        <x:v>FR_FC</x:v>
      </x:c>
      <x:c r="H720" s="187" t="str">
        <x:v>CARRIER_B</x:v>
      </x:c>
      <x:c r="I720" s="187" t="str">
        <x:v>AIR</x:v>
      </x:c>
      <x:c r="J720" s="187" t="str">
        <x:v>FUEL_SURCHARGE</x:v>
      </x:c>
      <x:c r="K720" s="187" t="str">
        <x:v>EUR</x:v>
      </x:c>
      <x:c r="L720" s="232" t="n">
        <x:v>282.98335338</x:v>
      </x:c>
      <x:c r="M720" s="232" t="n">
        <x:v>7.8</x:v>
      </x:c>
      <x:c r="N720" s="187" t="str">
        <x:v>2207.27015636400000000</x:v>
      </x:c>
      <x:c r="O720" s="235" t="n">
        <x:v>2207.2702</x:v>
      </x:c>
      <x:c r="P720" s="235"/>
      <x:c r="Q720" s="235"/>
      <x:c r="R720" s="235" t="str">
        <x:v>INVOICE_OR_PLAN</x:v>
      </x:c>
      <x:c r="S720" s="238" t="n">
        <x:f>'Model_Calc'!AG124</x:f>
        <x:v>2207.270156364</x:v>
      </x:c>
      <x:c r="T720" s="238" t="n">
        <x:f>ROUND(S720-O720,4)</x:f>
        <x:v>0</x:v>
      </x:c>
    </x:row>
    <x:row r="721">
      <x:c r="A721" s="187" t="str">
        <x:v>BUDGET_2026_V1</x:v>
      </x:c>
      <x:c r="B721" s="187" t="str">
        <x:v>BUDGET</x:v>
      </x:c>
      <x:c r="C721" s="187"/>
      <x:c r="D721" s="217" t="n">
        <x:v>46357</x:v>
      </x:c>
      <x:c r="E721" s="187" t="str">
        <x:v>R_GB_FR_B_AIR</x:v>
      </x:c>
      <x:c r="F721" s="187" t="str">
        <x:v>GB</x:v>
      </x:c>
      <x:c r="G721" s="187" t="str">
        <x:v>FR_FC</x:v>
      </x:c>
      <x:c r="H721" s="187" t="str">
        <x:v>CARRIER_B</x:v>
      </x:c>
      <x:c r="I721" s="187" t="str">
        <x:v>AIR</x:v>
      </x:c>
      <x:c r="J721" s="187" t="str">
        <x:v>WAREHOUSE_OPERATION</x:v>
      </x:c>
      <x:c r="K721" s="187" t="str">
        <x:v>EUR</x:v>
      </x:c>
      <x:c r="L721" s="232" t="n">
        <x:v>404.04</x:v>
      </x:c>
      <x:c r="M721" s="232" t="n">
        <x:v>7.8</x:v>
      </x:c>
      <x:c r="N721" s="187" t="str">
        <x:v>3151.51200000</x:v>
      </x:c>
      <x:c r="O721" s="235" t="n">
        <x:v>3151.512</x:v>
      </x:c>
      <x:c r="P721" s="235"/>
      <x:c r="Q721" s="235"/>
      <x:c r="R721" s="235" t="str">
        <x:v>INVOICE_OR_PLAN</x:v>
      </x:c>
      <x:c r="S721" s="238" t="n">
        <x:f>'Model_Calc'!AL124</x:f>
        <x:v>3151.512</x:v>
      </x:c>
      <x:c r="T721" s="238" t="n">
        <x:f>ROUND(S721-O721,4)</x:f>
        <x:v>0</x:v>
      </x:c>
    </x:row>
    <x:row r="722">
      <x:c r="A722" s="187" t="str">
        <x:v>BUDGET_2026_V1</x:v>
      </x:c>
      <x:c r="B722" s="187" t="str">
        <x:v>BUDGET</x:v>
      </x:c>
      <x:c r="C722" s="187"/>
      <x:c r="D722" s="217" t="n">
        <x:v>46357</x:v>
      </x:c>
      <x:c r="E722" s="187" t="str">
        <x:v>R_GB_FR_B_AIR</x:v>
      </x:c>
      <x:c r="F722" s="187" t="str">
        <x:v>GB</x:v>
      </x:c>
      <x:c r="G722" s="187" t="str">
        <x:v>FR_FC</x:v>
      </x:c>
      <x:c r="H722" s="187" t="str">
        <x:v>CARRIER_B</x:v>
      </x:c>
      <x:c r="I722" s="187" t="str">
        <x:v>AIR</x:v>
      </x:c>
      <x:c r="J722" s="187" t="str">
        <x:v>PACKAGING</x:v>
      </x:c>
      <x:c r="K722" s="187" t="str">
        <x:v>EUR</x:v>
      </x:c>
      <x:c r="L722" s="232" t="n">
        <x:v>168.1576</x:v>
      </x:c>
      <x:c r="M722" s="232" t="n">
        <x:v>7.8</x:v>
      </x:c>
      <x:c r="N722" s="187" t="str">
        <x:v>1311.6292800000</x:v>
      </x:c>
      <x:c r="O722" s="235" t="n">
        <x:v>1311.6293</x:v>
      </x:c>
      <x:c r="P722" s="235"/>
      <x:c r="Q722" s="235"/>
      <x:c r="R722" s="235" t="str">
        <x:v>INVOICE_OR_PLAN</x:v>
      </x:c>
      <x:c r="S722" s="238" t="n">
        <x:f>'Model_Calc'!AQ124</x:f>
        <x:v>1311.6292799999999</x:v>
      </x:c>
      <x:c r="T722" s="238" t="n">
        <x:f>ROUND(S722-O722,4)</x:f>
        <x:v>0</x:v>
      </x:c>
    </x:row>
    <x:row r="723">
      <x:c r="A723" s="187" t="str">
        <x:v>BUDGET_2026_V1</x:v>
      </x:c>
      <x:c r="B723" s="187" t="str">
        <x:v>BUDGET</x:v>
      </x:c>
      <x:c r="C723" s="187"/>
      <x:c r="D723" s="217" t="n">
        <x:v>46357</x:v>
      </x:c>
      <x:c r="E723" s="187" t="str">
        <x:v>R_GB_FR_B_AIR</x:v>
      </x:c>
      <x:c r="F723" s="187" t="str">
        <x:v>GB</x:v>
      </x:c>
      <x:c r="G723" s="187" t="str">
        <x:v>FR_FC</x:v>
      </x:c>
      <x:c r="H723" s="187" t="str">
        <x:v>CARRIER_B</x:v>
      </x:c>
      <x:c r="I723" s="187" t="str">
        <x:v>AIR</x:v>
      </x:c>
      <x:c r="J723" s="187" t="str">
        <x:v>RETURN_LOGISTICS</x:v>
      </x:c>
      <x:c r="K723" s="187" t="str">
        <x:v>EUR</x:v>
      </x:c>
      <x:c r="L723" s="232" t="n">
        <x:v>160.0768</x:v>
      </x:c>
      <x:c r="M723" s="232" t="n">
        <x:v>7.8</x:v>
      </x:c>
      <x:c r="N723" s="187" t="str">
        <x:v>1248.59904000000</x:v>
      </x:c>
      <x:c r="O723" s="235" t="n">
        <x:v>1248.599</x:v>
      </x:c>
      <x:c r="P723" s="235"/>
      <x:c r="Q723" s="235"/>
      <x:c r="R723" s="235" t="str">
        <x:v>INVOICE_OR_PLAN</x:v>
      </x:c>
      <x:c r="S723" s="238" t="n">
        <x:f>'Model_Calc'!AV124</x:f>
        <x:v>1248.59904</x:v>
      </x:c>
      <x:c r="T723" s="238" t="n">
        <x:f>ROUND(S723-O723,4)</x:f>
        <x:v>0</x:v>
      </x:c>
    </x:row>
    <x:row r="724">
      <x:c r="A724" s="187" t="str">
        <x:v>BUDGET_2026_V1</x:v>
      </x:c>
      <x:c r="B724" s="187" t="str">
        <x:v>BUDGET</x:v>
      </x:c>
      <x:c r="C724" s="187"/>
      <x:c r="D724" s="217" t="n">
        <x:v>46357</x:v>
      </x:c>
      <x:c r="E724" s="187" t="str">
        <x:v>R_GB_FR_B_AIR</x:v>
      </x:c>
      <x:c r="F724" s="187" t="str">
        <x:v>GB</x:v>
      </x:c>
      <x:c r="G724" s="187" t="str">
        <x:v>FR_FC</x:v>
      </x:c>
      <x:c r="H724" s="187" t="str">
        <x:v>CARRIER_B</x:v>
      </x:c>
      <x:c r="I724" s="187" t="str">
        <x:v>AIR</x:v>
      </x:c>
      <x:c r="J724" s="187" t="str">
        <x:v>BILLABLE_EXCEPTION</x:v>
      </x:c>
      <x:c r="K724" s="187" t="str">
        <x:v>EUR</x:v>
      </x:c>
      <x:c r="L724" s="232" t="n">
        <x:v>14.868672</x:v>
      </x:c>
      <x:c r="M724" s="232" t="n">
        <x:v>7.8</x:v>
      </x:c>
      <x:c r="N724" s="187" t="str">
        <x:v>115.9756416000000</x:v>
      </x:c>
      <x:c r="O724" s="235" t="n">
        <x:v>115.9756</x:v>
      </x:c>
      <x:c r="P724" s="235"/>
      <x:c r="Q724" s="235"/>
      <x:c r="R724" s="235" t="str">
        <x:v>INVOICE_OR_PLAN</x:v>
      </x:c>
      <x:c r="S724" s="238" t="n">
        <x:f>'Model_Calc'!BA124</x:f>
        <x:v>115.9756416</x:v>
      </x:c>
      <x:c r="T724" s="238" t="n">
        <x:f>ROUND(S724-O724,4)</x:f>
        <x:v>0</x:v>
      </x:c>
    </x:row>
    <x:row r="725">
      <x:c r="A725" s="187" t="str">
        <x:v>ACTUAL_2026_08_CLOSE_V1</x:v>
      </x:c>
      <x:c r="B725" s="187" t="str">
        <x:v>ACTUAL</x:v>
      </x:c>
      <x:c r="C725" s="187"/>
      <x:c r="D725" s="217" t="n">
        <x:v>46023</x:v>
      </x:c>
      <x:c r="E725" s="187" t="str">
        <x:v>R_DE_DE_A_ROAD</x:v>
      </x:c>
      <x:c r="F725" s="187" t="str">
        <x:v>DE</x:v>
      </x:c>
      <x:c r="G725" s="187" t="str">
        <x:v>DE_FC</x:v>
      </x:c>
      <x:c r="H725" s="187" t="str">
        <x:v>CARRIER_A</x:v>
      </x:c>
      <x:c r="I725" s="187" t="str">
        <x:v>ROAD</x:v>
      </x:c>
      <x:c r="J725" s="187" t="str">
        <x:v>BASE_FREIGHT</x:v>
      </x:c>
      <x:c r="K725" s="187" t="str">
        <x:v>EUR</x:v>
      </x:c>
      <x:c r="L725" s="232" t="n">
        <x:v>6157.369551537805</x:v>
      </x:c>
      <x:c r="M725" s="232" t="n">
        <x:v>7.78</x:v>
      </x:c>
      <x:c r="N725" s="187" t="str">
        <x:v>47904.335110964119788000000000</x:v>
      </x:c>
      <x:c r="O725" s="235" t="n">
        <x:v>47904.3351</x:v>
      </x:c>
      <x:c r="P725" s="235" t="n">
        <x:v>47904.3351</x:v>
      </x:c>
      <x:c r="Q725" s="235" t="n">
        <x:v>0</x:v>
      </x:c>
      <x:c r="R725" s="235" t="str">
        <x:v>INVOICE_OR_PLAN</x:v>
      </x:c>
      <x:c r="S725" s="238" t="n">
        <x:f>'Model_Calc'!AF125</x:f>
        <x:v>47904.335110964115</x:v>
      </x:c>
      <x:c r="T725" s="238" t="n">
        <x:f>ROUND(S725-O725,4)</x:f>
        <x:v>0</x:v>
      </x:c>
    </x:row>
    <x:row r="726">
      <x:c r="A726" s="187" t="str">
        <x:v>ACTUAL_2026_08_CLOSE_V1</x:v>
      </x:c>
      <x:c r="B726" s="187" t="str">
        <x:v>ACTUAL</x:v>
      </x:c>
      <x:c r="C726" s="187"/>
      <x:c r="D726" s="217" t="n">
        <x:v>46023</x:v>
      </x:c>
      <x:c r="E726" s="187" t="str">
        <x:v>R_DE_DE_A_ROAD</x:v>
      </x:c>
      <x:c r="F726" s="187" t="str">
        <x:v>DE</x:v>
      </x:c>
      <x:c r="G726" s="187" t="str">
        <x:v>DE_FC</x:v>
      </x:c>
      <x:c r="H726" s="187" t="str">
        <x:v>CARRIER_A</x:v>
      </x:c>
      <x:c r="I726" s="187" t="str">
        <x:v>ROAD</x:v>
      </x:c>
      <x:c r="J726" s="187" t="str">
        <x:v>FUEL_SURCHARGE</x:v>
      </x:c>
      <x:c r="K726" s="187" t="str">
        <x:v>EUR</x:v>
      </x:c>
      <x:c r="L726" s="232" t="n">
        <x:v>586.1200076108836</x:v>
      </x:c>
      <x:c r="M726" s="232" t="n">
        <x:v>7.78</x:v>
      </x:c>
      <x:c r="N726" s="187" t="str">
        <x:v>4560.013659212674562619720000000000</x:v>
      </x:c>
      <x:c r="O726" s="235" t="n">
        <x:v>4560.0137</x:v>
      </x:c>
      <x:c r="P726" s="235" t="n">
        <x:v>4560.0137</x:v>
      </x:c>
      <x:c r="Q726" s="235" t="n">
        <x:v>0</x:v>
      </x:c>
      <x:c r="R726" s="235" t="str">
        <x:v>INVOICE_OR_PLAN</x:v>
      </x:c>
      <x:c r="S726" s="238" t="n">
        <x:f>'Model_Calc'!AG125</x:f>
        <x:v>4560.013659212675</x:v>
      </x:c>
      <x:c r="T726" s="238" t="n">
        <x:f>ROUND(S726-O726,4)</x:f>
        <x:v>0</x:v>
      </x:c>
    </x:row>
    <x:row r="727">
      <x:c r="A727" s="187" t="str">
        <x:v>ACTUAL_2026_08_CLOSE_V1</x:v>
      </x:c>
      <x:c r="B727" s="187" t="str">
        <x:v>ACTUAL</x:v>
      </x:c>
      <x:c r="C727" s="187"/>
      <x:c r="D727" s="217" t="n">
        <x:v>46023</x:v>
      </x:c>
      <x:c r="E727" s="187" t="str">
        <x:v>R_DE_DE_A_ROAD</x:v>
      </x:c>
      <x:c r="F727" s="187" t="str">
        <x:v>DE</x:v>
      </x:c>
      <x:c r="G727" s="187" t="str">
        <x:v>DE_FC</x:v>
      </x:c>
      <x:c r="H727" s="187" t="str">
        <x:v>CARRIER_A</x:v>
      </x:c>
      <x:c r="I727" s="187" t="str">
        <x:v>ROAD</x:v>
      </x:c>
      <x:c r="J727" s="187" t="str">
        <x:v>WAREHOUSE_OPERATION</x:v>
      </x:c>
      <x:c r="K727" s="187" t="str">
        <x:v>EUR</x:v>
      </x:c>
      <x:c r="L727" s="232" t="n">
        <x:v>4012.403335092</x:v>
      </x:c>
      <x:c r="M727" s="232" t="n">
        <x:v>7.78</x:v>
      </x:c>
      <x:c r="N727" s="187" t="str">
        <x:v>31216.49794701576000</x:v>
      </x:c>
      <x:c r="O727" s="235" t="n">
        <x:v>31216.4979</x:v>
      </x:c>
      <x:c r="P727" s="235" t="n">
        <x:v>31216.4979</x:v>
      </x:c>
      <x:c r="Q727" s="235" t="n">
        <x:v>0</x:v>
      </x:c>
      <x:c r="R727" s="235" t="str">
        <x:v>INVOICE_OR_PLAN</x:v>
      </x:c>
      <x:c r="S727" s="238" t="n">
        <x:f>'Model_Calc'!AL125</x:f>
        <x:v>31216.497947015756</x:v>
      </x:c>
      <x:c r="T727" s="238" t="n">
        <x:f>ROUND(S727-O727,4)</x:f>
        <x:v>0</x:v>
      </x:c>
    </x:row>
    <x:row r="728">
      <x:c r="A728" s="187" t="str">
        <x:v>ACTUAL_2026_08_CLOSE_V1</x:v>
      </x:c>
      <x:c r="B728" s="187" t="str">
        <x:v>ACTUAL</x:v>
      </x:c>
      <x:c r="C728" s="187"/>
      <x:c r="D728" s="217" t="n">
        <x:v>46023</x:v>
      </x:c>
      <x:c r="E728" s="187" t="str">
        <x:v>R_DE_DE_A_ROAD</x:v>
      </x:c>
      <x:c r="F728" s="187" t="str">
        <x:v>DE</x:v>
      </x:c>
      <x:c r="G728" s="187" t="str">
        <x:v>DE_FC</x:v>
      </x:c>
      <x:c r="H728" s="187" t="str">
        <x:v>CARRIER_A</x:v>
      </x:c>
      <x:c r="I728" s="187" t="str">
        <x:v>ROAD</x:v>
      </x:c>
      <x:c r="J728" s="187" t="str">
        <x:v>PACKAGING</x:v>
      </x:c>
      <x:c r="K728" s="187" t="str">
        <x:v>EUR</x:v>
      </x:c>
      <x:c r="L728" s="232" t="n">
        <x:v>1499.5507379454</x:v>
      </x:c>
      <x:c r="M728" s="232" t="n">
        <x:v>7.78</x:v>
      </x:c>
      <x:c r="N728" s="187" t="str">
        <x:v>11666.5047412152120000000</x:v>
      </x:c>
      <x:c r="O728" s="235" t="n">
        <x:v>11666.5047</x:v>
      </x:c>
      <x:c r="P728" s="235" t="n">
        <x:v>11666.5047</x:v>
      </x:c>
      <x:c r="Q728" s="235" t="n">
        <x:v>0</x:v>
      </x:c>
      <x:c r="R728" s="235" t="str">
        <x:v>INVOICE_OR_PLAN</x:v>
      </x:c>
      <x:c r="S728" s="238" t="n">
        <x:f>'Model_Calc'!AQ125</x:f>
        <x:v>11666.50474121521</x:v>
      </x:c>
      <x:c r="T728" s="238" t="n">
        <x:f>ROUND(S728-O728,4)</x:f>
        <x:v>0</x:v>
      </x:c>
    </x:row>
    <x:row r="729">
      <x:c r="A729" s="187" t="str">
        <x:v>ACTUAL_2026_08_CLOSE_V1</x:v>
      </x:c>
      <x:c r="B729" s="187" t="str">
        <x:v>ACTUAL</x:v>
      </x:c>
      <x:c r="C729" s="187"/>
      <x:c r="D729" s="217" t="n">
        <x:v>46023</x:v>
      </x:c>
      <x:c r="E729" s="187" t="str">
        <x:v>R_DE_DE_A_ROAD</x:v>
      </x:c>
      <x:c r="F729" s="187" t="str">
        <x:v>DE</x:v>
      </x:c>
      <x:c r="G729" s="187" t="str">
        <x:v>DE_FC</x:v>
      </x:c>
      <x:c r="H729" s="187" t="str">
        <x:v>CARRIER_A</x:v>
      </x:c>
      <x:c r="I729" s="187" t="str">
        <x:v>ROAD</x:v>
      </x:c>
      <x:c r="J729" s="187" t="str">
        <x:v>RETURN_LOGISTICS</x:v>
      </x:c>
      <x:c r="K729" s="187" t="str">
        <x:v>EUR</x:v>
      </x:c>
      <x:c r="L729" s="232" t="n">
        <x:v>544.054689504</x:v>
      </x:c>
      <x:c r="M729" s="232" t="n">
        <x:v>7.78</x:v>
      </x:c>
      <x:c r="N729" s="187" t="str">
        <x:v>4232.74548434112000000</x:v>
      </x:c>
      <x:c r="O729" s="235" t="n">
        <x:v>4232.7455</x:v>
      </x:c>
      <x:c r="P729" s="235" t="n">
        <x:v>4232.7455</x:v>
      </x:c>
      <x:c r="Q729" s="235" t="n">
        <x:v>0</x:v>
      </x:c>
      <x:c r="R729" s="235" t="str">
        <x:v>INVOICE_OR_PLAN</x:v>
      </x:c>
      <x:c r="S729" s="238" t="n">
        <x:f>'Model_Calc'!AV125</x:f>
        <x:v>4232.74548434112</x:v>
      </x:c>
      <x:c r="T729" s="238" t="n">
        <x:f>ROUND(S729-O729,4)</x:f>
        <x:v>0</x:v>
      </x:c>
    </x:row>
    <x:row r="730">
      <x:c r="A730" s="187" t="str">
        <x:v>ACTUAL_2026_08_CLOSE_V1</x:v>
      </x:c>
      <x:c r="B730" s="187" t="str">
        <x:v>ACTUAL</x:v>
      </x:c>
      <x:c r="C730" s="187"/>
      <x:c r="D730" s="217" t="n">
        <x:v>46023</x:v>
      </x:c>
      <x:c r="E730" s="187" t="str">
        <x:v>R_DE_DE_A_ROAD</x:v>
      </x:c>
      <x:c r="F730" s="187" t="str">
        <x:v>DE</x:v>
      </x:c>
      <x:c r="G730" s="187" t="str">
        <x:v>DE_FC</x:v>
      </x:c>
      <x:c r="H730" s="187" t="str">
        <x:v>CARRIER_A</x:v>
      </x:c>
      <x:c r="I730" s="187" t="str">
        <x:v>ROAD</x:v>
      </x:c>
      <x:c r="J730" s="187" t="str">
        <x:v>BILLABLE_EXCEPTION</x:v>
      </x:c>
      <x:c r="K730" s="187" t="str">
        <x:v>EUR</x:v>
      </x:c>
      <x:c r="L730" s="232" t="n">
        <x:v>134.01699166552032</x:v>
      </x:c>
      <x:c r="M730" s="232" t="n">
        <x:v>7.78</x:v>
      </x:c>
      <x:c r="N730" s="187" t="str">
        <x:v>1042.652195157748089600000000</x:v>
      </x:c>
      <x:c r="O730" s="235" t="n">
        <x:v>1042.6522</x:v>
      </x:c>
      <x:c r="P730" s="235" t="n">
        <x:v>1042.6522</x:v>
      </x:c>
      <x:c r="Q730" s="235" t="n">
        <x:v>0</x:v>
      </x:c>
      <x:c r="R730" s="235" t="str">
        <x:v>INVOICE_OR_PLAN</x:v>
      </x:c>
      <x:c r="S730" s="238" t="n">
        <x:f>'Model_Calc'!BA125</x:f>
        <x:v>1042.652195157748</x:v>
      </x:c>
      <x:c r="T730" s="238" t="n">
        <x:f>ROUND(S730-O730,4)</x:f>
        <x:v>0</x:v>
      </x:c>
    </x:row>
    <x:row r="731">
      <x:c r="A731" s="187" t="str">
        <x:v>ACTUAL_2026_08_CLOSE_V1</x:v>
      </x:c>
      <x:c r="B731" s="187" t="str">
        <x:v>ACTUAL</x:v>
      </x:c>
      <x:c r="C731" s="187"/>
      <x:c r="D731" s="217" t="n">
        <x:v>46023</x:v>
      </x:c>
      <x:c r="E731" s="187" t="str">
        <x:v>R_DE_DE_B_ROAD</x:v>
      </x:c>
      <x:c r="F731" s="187" t="str">
        <x:v>DE</x:v>
      </x:c>
      <x:c r="G731" s="187" t="str">
        <x:v>DE_FC</x:v>
      </x:c>
      <x:c r="H731" s="187" t="str">
        <x:v>CARRIER_B</x:v>
      </x:c>
      <x:c r="I731" s="187" t="str">
        <x:v>ROAD</x:v>
      </x:c>
      <x:c r="J731" s="187" t="str">
        <x:v>BASE_FREIGHT</x:v>
      </x:c>
      <x:c r="K731" s="187" t="str">
        <x:v>EUR</x:v>
      </x:c>
      <x:c r="L731" s="232" t="n">
        <x:v>5262.70901840838</x:v>
      </x:c>
      <x:c r="M731" s="232" t="n">
        <x:v>7.78</x:v>
      </x:c>
      <x:c r="N731" s="187" t="str">
        <x:v>40943.876163217196400000000000</x:v>
      </x:c>
      <x:c r="O731" s="235" t="n">
        <x:v>40943.8762</x:v>
      </x:c>
      <x:c r="P731" s="235" t="n">
        <x:v>40943.8762</x:v>
      </x:c>
      <x:c r="Q731" s="235" t="n">
        <x:v>0</x:v>
      </x:c>
      <x:c r="R731" s="235" t="str">
        <x:v>INVOICE_OR_PLAN</x:v>
      </x:c>
      <x:c r="S731" s="238" t="n">
        <x:f>'Model_Calc'!AF126</x:f>
        <x:v>40943.8761632172</x:v>
      </x:c>
      <x:c r="T731" s="238" t="n">
        <x:f>ROUND(S731-O731,4)</x:f>
        <x:v>0</x:v>
      </x:c>
    </x:row>
    <x:row r="732">
      <x:c r="A732" s="187" t="str">
        <x:v>ACTUAL_2026_08_CLOSE_V1</x:v>
      </x:c>
      <x:c r="B732" s="187" t="str">
        <x:v>ACTUAL</x:v>
      </x:c>
      <x:c r="C732" s="187"/>
      <x:c r="D732" s="217" t="n">
        <x:v>46023</x:v>
      </x:c>
      <x:c r="E732" s="187" t="str">
        <x:v>R_DE_DE_B_ROAD</x:v>
      </x:c>
      <x:c r="F732" s="187" t="str">
        <x:v>DE</x:v>
      </x:c>
      <x:c r="G732" s="187" t="str">
        <x:v>DE_FC</x:v>
      </x:c>
      <x:c r="H732" s="187" t="str">
        <x:v>CARRIER_B</x:v>
      </x:c>
      <x:c r="I732" s="187" t="str">
        <x:v>ROAD</x:v>
      </x:c>
      <x:c r="J732" s="187" t="str">
        <x:v>FUEL_SURCHARGE</x:v>
      </x:c>
      <x:c r="K732" s="187" t="str">
        <x:v>EUR</x:v>
      </x:c>
      <x:c r="L732" s="232" t="n">
        <x:v>401.8795977693672</x:v>
      </x:c>
      <x:c r="M732" s="232" t="n">
        <x:v>7.78</x:v>
      </x:c>
      <x:c r="N732" s="187" t="str">
        <x:v>3126.623270645676816000000000</x:v>
      </x:c>
      <x:c r="O732" s="235" t="n">
        <x:v>3126.6233</x:v>
      </x:c>
      <x:c r="P732" s="235" t="n">
        <x:v>3126.6233</x:v>
      </x:c>
      <x:c r="Q732" s="235" t="n">
        <x:v>0</x:v>
      </x:c>
      <x:c r="R732" s="235" t="str">
        <x:v>INVOICE_OR_PLAN</x:v>
      </x:c>
      <x:c r="S732" s="238" t="n">
        <x:f>'Model_Calc'!AG126</x:f>
        <x:v>3126.623270645677</x:v>
      </x:c>
      <x:c r="T732" s="238" t="n">
        <x:f>ROUND(S732-O732,4)</x:f>
        <x:v>0</x:v>
      </x:c>
    </x:row>
    <x:row r="733">
      <x:c r="A733" s="187" t="str">
        <x:v>ACTUAL_2026_08_CLOSE_V1</x:v>
      </x:c>
      <x:c r="B733" s="187" t="str">
        <x:v>ACTUAL</x:v>
      </x:c>
      <x:c r="C733" s="187"/>
      <x:c r="D733" s="217" t="n">
        <x:v>46023</x:v>
      </x:c>
      <x:c r="E733" s="187" t="str">
        <x:v>R_DE_DE_B_ROAD</x:v>
      </x:c>
      <x:c r="F733" s="187" t="str">
        <x:v>DE</x:v>
      </x:c>
      <x:c r="G733" s="187" t="str">
        <x:v>DE_FC</x:v>
      </x:c>
      <x:c r="H733" s="187" t="str">
        <x:v>CARRIER_B</x:v>
      </x:c>
      <x:c r="I733" s="187" t="str">
        <x:v>ROAD</x:v>
      </x:c>
      <x:c r="J733" s="187" t="str">
        <x:v>WAREHOUSE_OPERATION</x:v>
      </x:c>
      <x:c r="K733" s="187" t="str">
        <x:v>EUR</x:v>
      </x:c>
      <x:c r="L733" s="232" t="n">
        <x:v>2674.935556728</x:v>
      </x:c>
      <x:c r="M733" s="232" t="n">
        <x:v>7.78</x:v>
      </x:c>
      <x:c r="N733" s="187" t="str">
        <x:v>20810.99863134384000</x:v>
      </x:c>
      <x:c r="O733" s="235" t="n">
        <x:v>20810.9986</x:v>
      </x:c>
      <x:c r="P733" s="235" t="n">
        <x:v>20810.9986</x:v>
      </x:c>
      <x:c r="Q733" s="235" t="n">
        <x:v>0</x:v>
      </x:c>
      <x:c r="R733" s="235" t="str">
        <x:v>INVOICE_OR_PLAN</x:v>
      </x:c>
      <x:c r="S733" s="238" t="n">
        <x:f>'Model_Calc'!AL126</x:f>
        <x:v>20810.99863134384</x:v>
      </x:c>
      <x:c r="T733" s="238" t="n">
        <x:f>ROUND(S733-O733,4)</x:f>
        <x:v>0</x:v>
      </x:c>
    </x:row>
    <x:row r="734">
      <x:c r="A734" s="187" t="str">
        <x:v>ACTUAL_2026_08_CLOSE_V1</x:v>
      </x:c>
      <x:c r="B734" s="187" t="str">
        <x:v>ACTUAL</x:v>
      </x:c>
      <x:c r="C734" s="187"/>
      <x:c r="D734" s="217" t="n">
        <x:v>46023</x:v>
      </x:c>
      <x:c r="E734" s="187" t="str">
        <x:v>R_DE_DE_B_ROAD</x:v>
      </x:c>
      <x:c r="F734" s="187" t="str">
        <x:v>DE</x:v>
      </x:c>
      <x:c r="G734" s="187" t="str">
        <x:v>DE_FC</x:v>
      </x:c>
      <x:c r="H734" s="187" t="str">
        <x:v>CARRIER_B</x:v>
      </x:c>
      <x:c r="I734" s="187" t="str">
        <x:v>ROAD</x:v>
      </x:c>
      <x:c r="J734" s="187" t="str">
        <x:v>PACKAGING</x:v>
      </x:c>
      <x:c r="K734" s="187" t="str">
        <x:v>EUR</x:v>
      </x:c>
      <x:c r="L734" s="232" t="n">
        <x:v>999.7004919636</x:v>
      </x:c>
      <x:c r="M734" s="232" t="n">
        <x:v>7.78</x:v>
      </x:c>
      <x:c r="N734" s="187" t="str">
        <x:v>7777.6698274768080000000</x:v>
      </x:c>
      <x:c r="O734" s="235" t="n">
        <x:v>7777.6698</x:v>
      </x:c>
      <x:c r="P734" s="235" t="n">
        <x:v>7777.6698</x:v>
      </x:c>
      <x:c r="Q734" s="235" t="n">
        <x:v>0</x:v>
      </x:c>
      <x:c r="R734" s="235" t="str">
        <x:v>INVOICE_OR_PLAN</x:v>
      </x:c>
      <x:c r="S734" s="238" t="n">
        <x:f>'Model_Calc'!AQ126</x:f>
        <x:v>7777.669827476809</x:v>
      </x:c>
      <x:c r="T734" s="238" t="n">
        <x:f>ROUND(S734-O734,4)</x:f>
        <x:v>0</x:v>
      </x:c>
    </x:row>
    <x:row r="735">
      <x:c r="A735" s="187" t="str">
        <x:v>ACTUAL_2026_08_CLOSE_V1</x:v>
      </x:c>
      <x:c r="B735" s="187" t="str">
        <x:v>ACTUAL</x:v>
      </x:c>
      <x:c r="C735" s="187"/>
      <x:c r="D735" s="217" t="n">
        <x:v>46023</x:v>
      </x:c>
      <x:c r="E735" s="187" t="str">
        <x:v>R_DE_DE_B_ROAD</x:v>
      </x:c>
      <x:c r="F735" s="187" t="str">
        <x:v>DE</x:v>
      </x:c>
      <x:c r="G735" s="187" t="str">
        <x:v>DE_FC</x:v>
      </x:c>
      <x:c r="H735" s="187" t="str">
        <x:v>CARRIER_B</x:v>
      </x:c>
      <x:c r="I735" s="187" t="str">
        <x:v>ROAD</x:v>
      </x:c>
      <x:c r="J735" s="187" t="str">
        <x:v>RETURN_LOGISTICS</x:v>
      </x:c>
      <x:c r="K735" s="187" t="str">
        <x:v>EUR</x:v>
      </x:c>
      <x:c r="L735" s="232" t="n">
        <x:v>362.703126336</x:v>
      </x:c>
      <x:c r="M735" s="232" t="n">
        <x:v>7.78</x:v>
      </x:c>
      <x:c r="N735" s="187" t="str">
        <x:v>2821.83032289408000000</x:v>
      </x:c>
      <x:c r="O735" s="235" t="n">
        <x:v>2821.8303</x:v>
      </x:c>
      <x:c r="P735" s="235" t="n">
        <x:v>2821.8303</x:v>
      </x:c>
      <x:c r="Q735" s="235" t="n">
        <x:v>0</x:v>
      </x:c>
      <x:c r="R735" s="235" t="str">
        <x:v>INVOICE_OR_PLAN</x:v>
      </x:c>
      <x:c r="S735" s="238" t="n">
        <x:f>'Model_Calc'!AV126</x:f>
        <x:v>2821.8303228940804</x:v>
      </x:c>
      <x:c r="T735" s="238" t="n">
        <x:f>ROUND(S735-O735,4)</x:f>
        <x:v>0</x:v>
      </x:c>
    </x:row>
    <x:row r="736">
      <x:c r="A736" s="187" t="str">
        <x:v>ACTUAL_2026_08_CLOSE_V1</x:v>
      </x:c>
      <x:c r="B736" s="187" t="str">
        <x:v>ACTUAL</x:v>
      </x:c>
      <x:c r="C736" s="187"/>
      <x:c r="D736" s="217" t="n">
        <x:v>46023</x:v>
      </x:c>
      <x:c r="E736" s="187" t="str">
        <x:v>R_DE_DE_B_ROAD</x:v>
      </x:c>
      <x:c r="F736" s="187" t="str">
        <x:v>DE</x:v>
      </x:c>
      <x:c r="G736" s="187" t="str">
        <x:v>DE_FC</x:v>
      </x:c>
      <x:c r="H736" s="187" t="str">
        <x:v>CARRIER_B</x:v>
      </x:c>
      <x:c r="I736" s="187" t="str">
        <x:v>ROAD</x:v>
      </x:c>
      <x:c r="J736" s="187" t="str">
        <x:v>BILLABLE_EXCEPTION</x:v>
      </x:c>
      <x:c r="K736" s="187" t="str">
        <x:v>EUR</x:v>
      </x:c>
      <x:c r="L736" s="232" t="n">
        <x:v>72.59253715215684</x:v>
      </x:c>
      <x:c r="M736" s="232" t="n">
        <x:v>7.78</x:v>
      </x:c>
      <x:c r="N736" s="187" t="str">
        <x:v>564.769939043780215200000000</x:v>
      </x:c>
      <x:c r="O736" s="235" t="n">
        <x:v>564.7699</x:v>
      </x:c>
      <x:c r="P736" s="235" t="n">
        <x:v>564.7699</x:v>
      </x:c>
      <x:c r="Q736" s="235" t="n">
        <x:v>0</x:v>
      </x:c>
      <x:c r="R736" s="235" t="str">
        <x:v>INVOICE_OR_PLAN</x:v>
      </x:c>
      <x:c r="S736" s="238" t="n">
        <x:f>'Model_Calc'!BA126</x:f>
        <x:v>564.7699390437804</x:v>
      </x:c>
      <x:c r="T736" s="238" t="n">
        <x:f>ROUND(S736-O736,4)</x:f>
        <x:v>0</x:v>
      </x:c>
    </x:row>
    <x:row r="737">
      <x:c r="A737" s="187" t="str">
        <x:v>ACTUAL_2026_08_CLOSE_V1</x:v>
      </x:c>
      <x:c r="B737" s="187" t="str">
        <x:v>ACTUAL</x:v>
      </x:c>
      <x:c r="C737" s="187"/>
      <x:c r="D737" s="217" t="n">
        <x:v>46023</x:v>
      </x:c>
      <x:c r="E737" s="187" t="str">
        <x:v>R_DE_FR_B_ROAD</x:v>
      </x:c>
      <x:c r="F737" s="187" t="str">
        <x:v>DE</x:v>
      </x:c>
      <x:c r="G737" s="187" t="str">
        <x:v>FR_FC</x:v>
      </x:c>
      <x:c r="H737" s="187" t="str">
        <x:v>CARRIER_B</x:v>
      </x:c>
      <x:c r="I737" s="187" t="str">
        <x:v>ROAD</x:v>
      </x:c>
      <x:c r="J737" s="187" t="str">
        <x:v>BASE_FREIGHT</x:v>
      </x:c>
      <x:c r="K737" s="187" t="str">
        <x:v>EUR</x:v>
      </x:c>
      <x:c r="L737" s="232" t="n">
        <x:v>539.9120916381852</x:v>
      </x:c>
      <x:c r="M737" s="232" t="n">
        <x:v>7.78</x:v>
      </x:c>
      <x:c r="N737" s="187" t="str">
        <x:v>4200.5160729450808560000000</x:v>
      </x:c>
      <x:c r="O737" s="235" t="n">
        <x:v>4200.5161</x:v>
      </x:c>
      <x:c r="P737" s="235" t="n">
        <x:v>4200.5161</x:v>
      </x:c>
      <x:c r="Q737" s="235" t="n">
        <x:v>0</x:v>
      </x:c>
      <x:c r="R737" s="235" t="str">
        <x:v>INVOICE_OR_PLAN</x:v>
      </x:c>
      <x:c r="S737" s="238" t="n">
        <x:f>'Model_Calc'!AF127</x:f>
        <x:v>4200.516072945081</x:v>
      </x:c>
      <x:c r="T737" s="238" t="n">
        <x:f>ROUND(S737-O737,4)</x:f>
        <x:v>0</x:v>
      </x:c>
    </x:row>
    <x:row r="738">
      <x:c r="A738" s="187" t="str">
        <x:v>ACTUAL_2026_08_CLOSE_V1</x:v>
      </x:c>
      <x:c r="B738" s="187" t="str">
        <x:v>ACTUAL</x:v>
      </x:c>
      <x:c r="C738" s="187"/>
      <x:c r="D738" s="217" t="n">
        <x:v>46023</x:v>
      </x:c>
      <x:c r="E738" s="187" t="str">
        <x:v>R_DE_FR_B_ROAD</x:v>
      </x:c>
      <x:c r="F738" s="187" t="str">
        <x:v>DE</x:v>
      </x:c>
      <x:c r="G738" s="187" t="str">
        <x:v>FR_FC</x:v>
      </x:c>
      <x:c r="H738" s="187" t="str">
        <x:v>CARRIER_B</x:v>
      </x:c>
      <x:c r="I738" s="187" t="str">
        <x:v>ROAD</x:v>
      </x:c>
      <x:c r="J738" s="187" t="str">
        <x:v>FUEL_SURCHARGE</x:v>
      </x:c>
      <x:c r="K738" s="187" t="str">
        <x:v>EUR</x:v>
      </x:c>
      <x:c r="L738" s="232" t="n">
        <x:v>39.26633393732256</x:v>
      </x:c>
      <x:c r="M738" s="232" t="n">
        <x:v>7.78</x:v>
      </x:c>
      <x:c r="N738" s="187" t="str">
        <x:v>305.4920780323695168000000</x:v>
      </x:c>
      <x:c r="O738" s="235" t="n">
        <x:v>305.4921</x:v>
      </x:c>
      <x:c r="P738" s="235" t="n">
        <x:v>305.4921</x:v>
      </x:c>
      <x:c r="Q738" s="235" t="n">
        <x:v>0</x:v>
      </x:c>
      <x:c r="R738" s="235" t="str">
        <x:v>INVOICE_OR_PLAN</x:v>
      </x:c>
      <x:c r="S738" s="238" t="n">
        <x:f>'Model_Calc'!AG127</x:f>
        <x:v>305.4920780323695</x:v>
      </x:c>
      <x:c r="T738" s="238" t="n">
        <x:f>ROUND(S738-O738,4)</x:f>
        <x:v>0</x:v>
      </x:c>
    </x:row>
    <x:row r="739">
      <x:c r="A739" s="187" t="str">
        <x:v>ACTUAL_2026_08_CLOSE_V1</x:v>
      </x:c>
      <x:c r="B739" s="187" t="str">
        <x:v>ACTUAL</x:v>
      </x:c>
      <x:c r="C739" s="187"/>
      <x:c r="D739" s="217" t="n">
        <x:v>46023</x:v>
      </x:c>
      <x:c r="E739" s="187" t="str">
        <x:v>R_DE_FR_B_ROAD</x:v>
      </x:c>
      <x:c r="F739" s="187" t="str">
        <x:v>DE</x:v>
      </x:c>
      <x:c r="G739" s="187" t="str">
        <x:v>FR_FC</x:v>
      </x:c>
      <x:c r="H739" s="187" t="str">
        <x:v>CARRIER_B</x:v>
      </x:c>
      <x:c r="I739" s="187" t="str">
        <x:v>ROAD</x:v>
      </x:c>
      <x:c r="J739" s="187" t="str">
        <x:v>WAREHOUSE_OPERATION</x:v>
      </x:c>
      <x:c r="K739" s="187" t="str">
        <x:v>EUR</x:v>
      </x:c>
      <x:c r="L739" s="232" t="n">
        <x:v>184.03911855</x:v>
      </x:c>
      <x:c r="M739" s="232" t="n">
        <x:v>7.78</x:v>
      </x:c>
      <x:c r="N739" s="187" t="str">
        <x:v>1431.824342319000</x:v>
      </x:c>
      <x:c r="O739" s="235" t="n">
        <x:v>1431.8243</x:v>
      </x:c>
      <x:c r="P739" s="235" t="n">
        <x:v>1431.8243</x:v>
      </x:c>
      <x:c r="Q739" s="235" t="n">
        <x:v>0</x:v>
      </x:c>
      <x:c r="R739" s="235" t="str">
        <x:v>INVOICE_OR_PLAN</x:v>
      </x:c>
      <x:c r="S739" s="238" t="n">
        <x:f>'Model_Calc'!AL127</x:f>
        <x:v>1431.824342319</x:v>
      </x:c>
      <x:c r="T739" s="238" t="n">
        <x:f>ROUND(S739-O739,4)</x:f>
        <x:v>0</x:v>
      </x:c>
    </x:row>
    <x:row r="740">
      <x:c r="A740" s="187" t="str">
        <x:v>ACTUAL_2026_08_CLOSE_V1</x:v>
      </x:c>
      <x:c r="B740" s="187" t="str">
        <x:v>ACTUAL</x:v>
      </x:c>
      <x:c r="C740" s="187"/>
      <x:c r="D740" s="217" t="n">
        <x:v>46023</x:v>
      </x:c>
      <x:c r="E740" s="187" t="str">
        <x:v>R_DE_FR_B_ROAD</x:v>
      </x:c>
      <x:c r="F740" s="187" t="str">
        <x:v>DE</x:v>
      </x:c>
      <x:c r="G740" s="187" t="str">
        <x:v>FR_FC</x:v>
      </x:c>
      <x:c r="H740" s="187" t="str">
        <x:v>CARRIER_B</x:v>
      </x:c>
      <x:c r="I740" s="187" t="str">
        <x:v>ROAD</x:v>
      </x:c>
      <x:c r="J740" s="187" t="str">
        <x:v>PACKAGING</x:v>
      </x:c>
      <x:c r="K740" s="187" t="str">
        <x:v>EUR</x:v>
      </x:c>
      <x:c r="L740" s="232" t="n">
        <x:v>71.9330040504</x:v>
      </x:c>
      <x:c r="M740" s="232" t="n">
        <x:v>7.78</x:v>
      </x:c>
      <x:c r="N740" s="187" t="str">
        <x:v>559.63877151211200000</x:v>
      </x:c>
      <x:c r="O740" s="235" t="n">
        <x:v>559.6388</x:v>
      </x:c>
      <x:c r="P740" s="235" t="n">
        <x:v>559.6388</x:v>
      </x:c>
      <x:c r="Q740" s="235" t="n">
        <x:v>0</x:v>
      </x:c>
      <x:c r="R740" s="235" t="str">
        <x:v>INVOICE_OR_PLAN</x:v>
      </x:c>
      <x:c r="S740" s="238" t="n">
        <x:f>'Model_Calc'!AQ127</x:f>
        <x:v>559.6387715121119</x:v>
      </x:c>
      <x:c r="T740" s="238" t="n">
        <x:f>ROUND(S740-O740,4)</x:f>
        <x:v>0</x:v>
      </x:c>
    </x:row>
    <x:row r="741">
      <x:c r="A741" s="187" t="str">
        <x:v>ACTUAL_2026_08_CLOSE_V1</x:v>
      </x:c>
      <x:c r="B741" s="187" t="str">
        <x:v>ACTUAL</x:v>
      </x:c>
      <x:c r="C741" s="187"/>
      <x:c r="D741" s="217" t="n">
        <x:v>46023</x:v>
      </x:c>
      <x:c r="E741" s="187" t="str">
        <x:v>R_DE_FR_B_ROAD</x:v>
      </x:c>
      <x:c r="F741" s="187" t="str">
        <x:v>DE</x:v>
      </x:c>
      <x:c r="G741" s="187" t="str">
        <x:v>FR_FC</x:v>
      </x:c>
      <x:c r="H741" s="187" t="str">
        <x:v>CARRIER_B</x:v>
      </x:c>
      <x:c r="I741" s="187" t="str">
        <x:v>ROAD</x:v>
      </x:c>
      <x:c r="J741" s="187" t="str">
        <x:v>RETURN_LOGISTICS</x:v>
      </x:c>
      <x:c r="K741" s="187" t="str">
        <x:v>EUR</x:v>
      </x:c>
      <x:c r="L741" s="232" t="n">
        <x:v>33.30231669</x:v>
      </x:c>
      <x:c r="M741" s="232" t="n">
        <x:v>7.78</x:v>
      </x:c>
      <x:c r="N741" s="187" t="str">
        <x:v>259.092023848200000</x:v>
      </x:c>
      <x:c r="O741" s="235" t="n">
        <x:v>259.092</x:v>
      </x:c>
      <x:c r="P741" s="235" t="n">
        <x:v>259.092</x:v>
      </x:c>
      <x:c r="Q741" s="235" t="n">
        <x:v>0</x:v>
      </x:c>
      <x:c r="R741" s="235" t="str">
        <x:v>INVOICE_OR_PLAN</x:v>
      </x:c>
      <x:c r="S741" s="238" t="n">
        <x:f>'Model_Calc'!AV127</x:f>
        <x:v>259.0920238482</x:v>
      </x:c>
      <x:c r="T741" s="238" t="n">
        <x:f>ROUND(S741-O741,4)</x:f>
        <x:v>0</x:v>
      </x:c>
    </x:row>
    <x:row r="742">
      <x:c r="A742" s="187" t="str">
        <x:v>ACTUAL_2026_08_CLOSE_V1</x:v>
      </x:c>
      <x:c r="B742" s="187" t="str">
        <x:v>ACTUAL</x:v>
      </x:c>
      <x:c r="C742" s="187"/>
      <x:c r="D742" s="217" t="n">
        <x:v>46023</x:v>
      </x:c>
      <x:c r="E742" s="187" t="str">
        <x:v>R_DE_FR_B_ROAD</x:v>
      </x:c>
      <x:c r="F742" s="187" t="str">
        <x:v>DE</x:v>
      </x:c>
      <x:c r="G742" s="187" t="str">
        <x:v>FR_FC</x:v>
      </x:c>
      <x:c r="H742" s="187" t="str">
        <x:v>CARRIER_B</x:v>
      </x:c>
      <x:c r="I742" s="187" t="str">
        <x:v>ROAD</x:v>
      </x:c>
      <x:c r="J742" s="187" t="str">
        <x:v>BILLABLE_EXCEPTION</x:v>
      </x:c>
      <x:c r="K742" s="187" t="str">
        <x:v>EUR</x:v>
      </x:c>
      <x:c r="L742" s="232" t="n">
        <x:v>6.21728311850352</x:v>
      </x:c>
      <x:c r="M742" s="232" t="n">
        <x:v>7.78</x:v>
      </x:c>
      <x:c r="N742" s="187" t="str">
        <x:v>48.3704626619573856000000</x:v>
      </x:c>
      <x:c r="O742" s="235" t="n">
        <x:v>48.3705</x:v>
      </x:c>
      <x:c r="P742" s="235" t="n">
        <x:v>48.3705</x:v>
      </x:c>
      <x:c r="Q742" s="235" t="n">
        <x:v>0</x:v>
      </x:c>
      <x:c r="R742" s="235" t="str">
        <x:v>INVOICE_OR_PLAN</x:v>
      </x:c>
      <x:c r="S742" s="238" t="n">
        <x:f>'Model_Calc'!BA127</x:f>
        <x:v>48.37046266195739</x:v>
      </x:c>
      <x:c r="T742" s="238" t="n">
        <x:f>ROUND(S742-O742,4)</x:f>
        <x:v>0</x:v>
      </x:c>
    </x:row>
    <x:row r="743">
      <x:c r="A743" s="187" t="str">
        <x:v>ACTUAL_2026_08_CLOSE_V1</x:v>
      </x:c>
      <x:c r="B743" s="187" t="str">
        <x:v>ACTUAL</x:v>
      </x:c>
      <x:c r="C743" s="187"/>
      <x:c r="D743" s="217" t="n">
        <x:v>46023</x:v>
      </x:c>
      <x:c r="E743" s="187" t="str">
        <x:v>R_FR_FR_A_ROAD</x:v>
      </x:c>
      <x:c r="F743" s="187" t="str">
        <x:v>FR</x:v>
      </x:c>
      <x:c r="G743" s="187" t="str">
        <x:v>FR_FC</x:v>
      </x:c>
      <x:c r="H743" s="187" t="str">
        <x:v>CARRIER_A</x:v>
      </x:c>
      <x:c r="I743" s="187" t="str">
        <x:v>ROAD</x:v>
      </x:c>
      <x:c r="J743" s="187" t="str">
        <x:v>BASE_FREIGHT</x:v>
      </x:c>
      <x:c r="K743" s="187" t="str">
        <x:v>EUR</x:v>
      </x:c>
      <x:c r="L743" s="232" t="n">
        <x:v>2634.395867110854</x:v>
      </x:c>
      <x:c r="M743" s="232" t="n">
        <x:v>7.78</x:v>
      </x:c>
      <x:c r="N743" s="187" t="str">
        <x:v>20495.5998461224441200000000</x:v>
      </x:c>
      <x:c r="O743" s="235" t="n">
        <x:v>20495.5998</x:v>
      </x:c>
      <x:c r="P743" s="235" t="n">
        <x:v>20495.5998</x:v>
      </x:c>
      <x:c r="Q743" s="235" t="n">
        <x:v>0</x:v>
      </x:c>
      <x:c r="R743" s="235" t="str">
        <x:v>INVOICE_OR_PLAN</x:v>
      </x:c>
      <x:c r="S743" s="238" t="n">
        <x:f>'Model_Calc'!AF128</x:f>
        <x:v>20495.59984612244</x:v>
      </x:c>
      <x:c r="T743" s="238" t="n">
        <x:f>ROUND(S743-O743,4)</x:f>
        <x:v>0</x:v>
      </x:c>
    </x:row>
    <x:row r="744">
      <x:c r="A744" s="187" t="str">
        <x:v>ACTUAL_2026_08_CLOSE_V1</x:v>
      </x:c>
      <x:c r="B744" s="187" t="str">
        <x:v>ACTUAL</x:v>
      </x:c>
      <x:c r="C744" s="187"/>
      <x:c r="D744" s="217" t="n">
        <x:v>46023</x:v>
      </x:c>
      <x:c r="E744" s="187" t="str">
        <x:v>R_FR_FR_A_ROAD</x:v>
      </x:c>
      <x:c r="F744" s="187" t="str">
        <x:v>FR</x:v>
      </x:c>
      <x:c r="G744" s="187" t="str">
        <x:v>FR_FC</x:v>
      </x:c>
      <x:c r="H744" s="187" t="str">
        <x:v>CARRIER_A</x:v>
      </x:c>
      <x:c r="I744" s="187" t="str">
        <x:v>ROAD</x:v>
      </x:c>
      <x:c r="J744" s="187" t="str">
        <x:v>FUEL_SURCHARGE</x:v>
      </x:c>
      <x:c r="K744" s="187" t="str">
        <x:v>EUR</x:v>
      </x:c>
      <x:c r="L744" s="232" t="n">
        <x:v>237.5698192960568</x:v>
      </x:c>
      <x:c r="M744" s="232" t="n">
        <x:v>7.78</x:v>
      </x:c>
      <x:c r="N744" s="187" t="str">
        <x:v>1848.2931941233220107416000000000</x:v>
      </x:c>
      <x:c r="O744" s="235" t="n">
        <x:v>1848.2932</x:v>
      </x:c>
      <x:c r="P744" s="235" t="n">
        <x:v>1848.2932</x:v>
      </x:c>
      <x:c r="Q744" s="235" t="n">
        <x:v>0</x:v>
      </x:c>
      <x:c r="R744" s="235" t="str">
        <x:v>INVOICE_OR_PLAN</x:v>
      </x:c>
      <x:c r="S744" s="238" t="n">
        <x:f>'Model_Calc'!AG128</x:f>
        <x:v>1848.2931941233217</x:v>
      </x:c>
      <x:c r="T744" s="238" t="n">
        <x:f>ROUND(S744-O744,4)</x:f>
        <x:v>0</x:v>
      </x:c>
    </x:row>
    <x:row r="745">
      <x:c r="A745" s="187" t="str">
        <x:v>ACTUAL_2026_08_CLOSE_V1</x:v>
      </x:c>
      <x:c r="B745" s="187" t="str">
        <x:v>ACTUAL</x:v>
      </x:c>
      <x:c r="C745" s="187"/>
      <x:c r="D745" s="217" t="n">
        <x:v>46023</x:v>
      </x:c>
      <x:c r="E745" s="187" t="str">
        <x:v>R_FR_FR_A_ROAD</x:v>
      </x:c>
      <x:c r="F745" s="187" t="str">
        <x:v>FR</x:v>
      </x:c>
      <x:c r="G745" s="187" t="str">
        <x:v>FR_FC</x:v>
      </x:c>
      <x:c r="H745" s="187" t="str">
        <x:v>CARRIER_A</x:v>
      </x:c>
      <x:c r="I745" s="187" t="str">
        <x:v>ROAD</x:v>
      </x:c>
      <x:c r="J745" s="187" t="str">
        <x:v>WAREHOUSE_OPERATION</x:v>
      </x:c>
      <x:c r="K745" s="187" t="str">
        <x:v>EUR</x:v>
      </x:c>
      <x:c r="L745" s="232" t="n">
        <x:v>1626.91746525</x:v>
      </x:c>
      <x:c r="M745" s="232" t="n">
        <x:v>7.78</x:v>
      </x:c>
      <x:c r="N745" s="187" t="str">
        <x:v>12657.417879645000</x:v>
      </x:c>
      <x:c r="O745" s="235" t="n">
        <x:v>12657.4179</x:v>
      </x:c>
      <x:c r="P745" s="235" t="n">
        <x:v>12657.4179</x:v>
      </x:c>
      <x:c r="Q745" s="235" t="n">
        <x:v>0</x:v>
      </x:c>
      <x:c r="R745" s="235" t="str">
        <x:v>INVOICE_OR_PLAN</x:v>
      </x:c>
      <x:c r="S745" s="238" t="n">
        <x:f>'Model_Calc'!AL128</x:f>
        <x:v>12657.417879645</x:v>
      </x:c>
      <x:c r="T745" s="238" t="n">
        <x:f>ROUND(S745-O745,4)</x:f>
        <x:v>0</x:v>
      </x:c>
    </x:row>
    <x:row r="746">
      <x:c r="A746" s="187" t="str">
        <x:v>ACTUAL_2026_08_CLOSE_V1</x:v>
      </x:c>
      <x:c r="B746" s="187" t="str">
        <x:v>ACTUAL</x:v>
      </x:c>
      <x:c r="C746" s="187"/>
      <x:c r="D746" s="217" t="n">
        <x:v>46023</x:v>
      </x:c>
      <x:c r="E746" s="187" t="str">
        <x:v>R_FR_FR_A_ROAD</x:v>
      </x:c>
      <x:c r="F746" s="187" t="str">
        <x:v>FR</x:v>
      </x:c>
      <x:c r="G746" s="187" t="str">
        <x:v>FR_FC</x:v>
      </x:c>
      <x:c r="H746" s="187" t="str">
        <x:v>CARRIER_A</x:v>
      </x:c>
      <x:c r="I746" s="187" t="str">
        <x:v>ROAD</x:v>
      </x:c>
      <x:c r="J746" s="187" t="str">
        <x:v>PACKAGING</x:v>
      </x:c>
      <x:c r="K746" s="187" t="str">
        <x:v>EUR</x:v>
      </x:c>
      <x:c r="L746" s="232" t="n">
        <x:v>624.116528574</x:v>
      </x:c>
      <x:c r="M746" s="232" t="n">
        <x:v>7.78</x:v>
      </x:c>
      <x:c r="N746" s="187" t="str">
        <x:v>4855.62659230572000000</x:v>
      </x:c>
      <x:c r="O746" s="235" t="n">
        <x:v>4855.6266</x:v>
      </x:c>
      <x:c r="P746" s="235" t="n">
        <x:v>4855.6266</x:v>
      </x:c>
      <x:c r="Q746" s="235" t="n">
        <x:v>0</x:v>
      </x:c>
      <x:c r="R746" s="235" t="str">
        <x:v>INVOICE_OR_PLAN</x:v>
      </x:c>
      <x:c r="S746" s="238" t="n">
        <x:f>'Model_Calc'!AQ128</x:f>
        <x:v>4855.626592305719</x:v>
      </x:c>
      <x:c r="T746" s="238" t="n">
        <x:f>ROUND(S746-O746,4)</x:f>
        <x:v>0</x:v>
      </x:c>
    </x:row>
    <x:row r="747">
      <x:c r="A747" s="187" t="str">
        <x:v>ACTUAL_2026_08_CLOSE_V1</x:v>
      </x:c>
      <x:c r="B747" s="187" t="str">
        <x:v>ACTUAL</x:v>
      </x:c>
      <x:c r="C747" s="187"/>
      <x:c r="D747" s="217" t="n">
        <x:v>46023</x:v>
      </x:c>
      <x:c r="E747" s="187" t="str">
        <x:v>R_FR_FR_A_ROAD</x:v>
      </x:c>
      <x:c r="F747" s="187" t="str">
        <x:v>FR</x:v>
      </x:c>
      <x:c r="G747" s="187" t="str">
        <x:v>FR_FC</x:v>
      </x:c>
      <x:c r="H747" s="187" t="str">
        <x:v>CARRIER_A</x:v>
      </x:c>
      <x:c r="I747" s="187" t="str">
        <x:v>ROAD</x:v>
      </x:c>
      <x:c r="J747" s="187" t="str">
        <x:v>RETURN_LOGISTICS</x:v>
      </x:c>
      <x:c r="K747" s="187" t="str">
        <x:v>EUR</x:v>
      </x:c>
      <x:c r="L747" s="232" t="n">
        <x:v>278.9001369</x:v>
      </x:c>
      <x:c r="M747" s="232" t="n">
        <x:v>7.78</x:v>
      </x:c>
      <x:c r="N747" s="187" t="str">
        <x:v>2169.843065082000000</x:v>
      </x:c>
      <x:c r="O747" s="235" t="n">
        <x:v>2169.8431</x:v>
      </x:c>
      <x:c r="P747" s="235" t="n">
        <x:v>2169.8431</x:v>
      </x:c>
      <x:c r="Q747" s="235" t="n">
        <x:v>0</x:v>
      </x:c>
      <x:c r="R747" s="235" t="str">
        <x:v>INVOICE_OR_PLAN</x:v>
      </x:c>
      <x:c r="S747" s="238" t="n">
        <x:f>'Model_Calc'!AV128</x:f>
        <x:v>2169.8430650819996</x:v>
      </x:c>
      <x:c r="T747" s="238" t="n">
        <x:f>ROUND(S747-O747,4)</x:f>
        <x:v>0</x:v>
      </x:c>
    </x:row>
    <x:row r="748">
      <x:c r="A748" s="187" t="str">
        <x:v>ACTUAL_2026_08_CLOSE_V1</x:v>
      </x:c>
      <x:c r="B748" s="187" t="str">
        <x:v>ACTUAL</x:v>
      </x:c>
      <x:c r="C748" s="187"/>
      <x:c r="D748" s="217" t="n">
        <x:v>46023</x:v>
      </x:c>
      <x:c r="E748" s="187" t="str">
        <x:v>R_FR_FR_A_ROAD</x:v>
      </x:c>
      <x:c r="F748" s="187" t="str">
        <x:v>FR</x:v>
      </x:c>
      <x:c r="G748" s="187" t="str">
        <x:v>FR_FC</x:v>
      </x:c>
      <x:c r="H748" s="187" t="str">
        <x:v>CARRIER_A</x:v>
      </x:c>
      <x:c r="I748" s="187" t="str">
        <x:v>ROAD</x:v>
      </x:c>
      <x:c r="J748" s="187" t="str">
        <x:v>BILLABLE_EXCEPTION</x:v>
      </x:c>
      <x:c r="K748" s="187" t="str">
        <x:v>EUR</x:v>
      </x:c>
      <x:c r="L748" s="232" t="n">
        <x:v>65.5026720857586</x:v>
      </x:c>
      <x:c r="M748" s="232" t="n">
        <x:v>7.78</x:v>
      </x:c>
      <x:c r="N748" s="187" t="str">
        <x:v>509.6107888272019080000000</x:v>
      </x:c>
      <x:c r="O748" s="235" t="n">
        <x:v>509.6108</x:v>
      </x:c>
      <x:c r="P748" s="235" t="n">
        <x:v>509.6108</x:v>
      </x:c>
      <x:c r="Q748" s="235" t="n">
        <x:v>0</x:v>
      </x:c>
      <x:c r="R748" s="235" t="str">
        <x:v>INVOICE_OR_PLAN</x:v>
      </x:c>
      <x:c r="S748" s="238" t="n">
        <x:f>'Model_Calc'!BA128</x:f>
        <x:v>509.61078882720193</x:v>
      </x:c>
      <x:c r="T748" s="238" t="n">
        <x:f>ROUND(S748-O748,4)</x:f>
        <x:v>0</x:v>
      </x:c>
    </x:row>
    <x:row r="749">
      <x:c r="A749" s="187" t="str">
        <x:v>ACTUAL_2026_08_CLOSE_V1</x:v>
      </x:c>
      <x:c r="B749" s="187" t="str">
        <x:v>ACTUAL</x:v>
      </x:c>
      <x:c r="C749" s="187"/>
      <x:c r="D749" s="217" t="n">
        <x:v>46023</x:v>
      </x:c>
      <x:c r="E749" s="187" t="str">
        <x:v>R_FR_FR_B_ROAD</x:v>
      </x:c>
      <x:c r="F749" s="187" t="str">
        <x:v>FR</x:v>
      </x:c>
      <x:c r="G749" s="187" t="str">
        <x:v>FR_FC</x:v>
      </x:c>
      <x:c r="H749" s="187" t="str">
        <x:v>CARRIER_B</x:v>
      </x:c>
      <x:c r="I749" s="187" t="str">
        <x:v>ROAD</x:v>
      </x:c>
      <x:c r="J749" s="187" t="str">
        <x:v>BASE_FREIGHT</x:v>
      </x:c>
      <x:c r="K749" s="187" t="str">
        <x:v>EUR</x:v>
      </x:c>
      <x:c r="L749" s="232" t="n">
        <x:v>6296.423061546189</x:v>
      </x:c>
      <x:c r="M749" s="232" t="n">
        <x:v>7.78</x:v>
      </x:c>
      <x:c r="N749" s="187" t="str">
        <x:v>48986.1714188293504200000000</x:v>
      </x:c>
      <x:c r="O749" s="235" t="n">
        <x:v>48986.1714</x:v>
      </x:c>
      <x:c r="P749" s="235" t="n">
        <x:v>48986.1714</x:v>
      </x:c>
      <x:c r="Q749" s="235" t="n">
        <x:v>0</x:v>
      </x:c>
      <x:c r="R749" s="235" t="str">
        <x:v>INVOICE_OR_PLAN</x:v>
      </x:c>
      <x:c r="S749" s="238" t="n">
        <x:f>'Model_Calc'!AF129</x:f>
        <x:v>48986.171418829355</x:v>
      </x:c>
      <x:c r="T749" s="238" t="n">
        <x:f>ROUND(S749-O749,4)</x:f>
        <x:v>0</x:v>
      </x:c>
    </x:row>
    <x:row r="750">
      <x:c r="A750" s="187" t="str">
        <x:v>ACTUAL_2026_08_CLOSE_V1</x:v>
      </x:c>
      <x:c r="B750" s="187" t="str">
        <x:v>ACTUAL</x:v>
      </x:c>
      <x:c r="C750" s="187"/>
      <x:c r="D750" s="217" t="n">
        <x:v>46023</x:v>
      </x:c>
      <x:c r="E750" s="187" t="str">
        <x:v>R_FR_FR_B_ROAD</x:v>
      </x:c>
      <x:c r="F750" s="187" t="str">
        <x:v>FR</x:v>
      </x:c>
      <x:c r="G750" s="187" t="str">
        <x:v>FR_FC</x:v>
      </x:c>
      <x:c r="H750" s="187" t="str">
        <x:v>CARRIER_B</x:v>
      </x:c>
      <x:c r="I750" s="187" t="str">
        <x:v>ROAD</x:v>
      </x:c>
      <x:c r="J750" s="187" t="str">
        <x:v>FUEL_SURCHARGE</x:v>
      </x:c>
      <x:c r="K750" s="187" t="str">
        <x:v>EUR</x:v>
      </x:c>
      <x:c r="L750" s="232" t="n">
        <x:v>484.340235503553</x:v>
      </x:c>
      <x:c r="M750" s="232" t="n">
        <x:v>7.78</x:v>
      </x:c>
      <x:c r="N750" s="187" t="str">
        <x:v>3768.1670322176423400000000</x:v>
      </x:c>
      <x:c r="O750" s="235" t="n">
        <x:v>3768.167</x:v>
      </x:c>
      <x:c r="P750" s="235" t="n">
        <x:v>3768.167</x:v>
      </x:c>
      <x:c r="Q750" s="235" t="n">
        <x:v>0</x:v>
      </x:c>
      <x:c r="R750" s="235" t="str">
        <x:v>INVOICE_OR_PLAN</x:v>
      </x:c>
      <x:c r="S750" s="238" t="n">
        <x:f>'Model_Calc'!AG129</x:f>
        <x:v>3768.1670322176424</x:v>
      </x:c>
      <x:c r="T750" s="238" t="n">
        <x:f>ROUND(S750-O750,4)</x:f>
        <x:v>0</x:v>
      </x:c>
    </x:row>
    <x:row r="751">
      <x:c r="A751" s="187" t="str">
        <x:v>ACTUAL_2026_08_CLOSE_V1</x:v>
      </x:c>
      <x:c r="B751" s="187" t="str">
        <x:v>ACTUAL</x:v>
      </x:c>
      <x:c r="C751" s="187"/>
      <x:c r="D751" s="217" t="n">
        <x:v>46023</x:v>
      </x:c>
      <x:c r="E751" s="187" t="str">
        <x:v>R_FR_FR_B_ROAD</x:v>
      </x:c>
      <x:c r="F751" s="187" t="str">
        <x:v>FR</x:v>
      </x:c>
      <x:c r="G751" s="187" t="str">
        <x:v>FR_FC</x:v>
      </x:c>
      <x:c r="H751" s="187" t="str">
        <x:v>CARRIER_B</x:v>
      </x:c>
      <x:c r="I751" s="187" t="str">
        <x:v>ROAD</x:v>
      </x:c>
      <x:c r="J751" s="187" t="str">
        <x:v>WAREHOUSE_OPERATION</x:v>
      </x:c>
      <x:c r="K751" s="187" t="str">
        <x:v>EUR</x:v>
      </x:c>
      <x:c r="L751" s="232" t="n">
        <x:v>3021.41814975</x:v>
      </x:c>
      <x:c r="M751" s="232" t="n">
        <x:v>7.78</x:v>
      </x:c>
      <x:c r="N751" s="187" t="str">
        <x:v>23506.633205055000</x:v>
      </x:c>
      <x:c r="O751" s="235" t="n">
        <x:v>23506.6332</x:v>
      </x:c>
      <x:c r="P751" s="235" t="n">
        <x:v>23506.6332</x:v>
      </x:c>
      <x:c r="Q751" s="235" t="n">
        <x:v>0</x:v>
      </x:c>
      <x:c r="R751" s="235" t="str">
        <x:v>INVOICE_OR_PLAN</x:v>
      </x:c>
      <x:c r="S751" s="238" t="n">
        <x:f>'Model_Calc'!AL129</x:f>
        <x:v>23506.633205055</x:v>
      </x:c>
      <x:c r="T751" s="238" t="n">
        <x:f>ROUND(S751-O751,4)</x:f>
        <x:v>0</x:v>
      </x:c>
    </x:row>
    <x:row r="752">
      <x:c r="A752" s="187" t="str">
        <x:v>ACTUAL_2026_08_CLOSE_V1</x:v>
      </x:c>
      <x:c r="B752" s="187" t="str">
        <x:v>ACTUAL</x:v>
      </x:c>
      <x:c r="C752" s="187"/>
      <x:c r="D752" s="217" t="n">
        <x:v>46023</x:v>
      </x:c>
      <x:c r="E752" s="187" t="str">
        <x:v>R_FR_FR_B_ROAD</x:v>
      </x:c>
      <x:c r="F752" s="187" t="str">
        <x:v>FR</x:v>
      </x:c>
      <x:c r="G752" s="187" t="str">
        <x:v>FR_FC</x:v>
      </x:c>
      <x:c r="H752" s="187" t="str">
        <x:v>CARRIER_B</x:v>
      </x:c>
      <x:c r="I752" s="187" t="str">
        <x:v>ROAD</x:v>
      </x:c>
      <x:c r="J752" s="187" t="str">
        <x:v>PACKAGING</x:v>
      </x:c>
      <x:c r="K752" s="187" t="str">
        <x:v>EUR</x:v>
      </x:c>
      <x:c r="L752" s="232" t="n">
        <x:v>1159.073553066</x:v>
      </x:c>
      <x:c r="M752" s="232" t="n">
        <x:v>7.78</x:v>
      </x:c>
      <x:c r="N752" s="187" t="str">
        <x:v>9017.59224285348000000</x:v>
      </x:c>
      <x:c r="O752" s="235" t="n">
        <x:v>9017.5922</x:v>
      </x:c>
      <x:c r="P752" s="235" t="n">
        <x:v>9017.5922</x:v>
      </x:c>
      <x:c r="Q752" s="235" t="n">
        <x:v>0</x:v>
      </x:c>
      <x:c r="R752" s="235" t="str">
        <x:v>INVOICE_OR_PLAN</x:v>
      </x:c>
      <x:c r="S752" s="238" t="n">
        <x:f>'Model_Calc'!AQ129</x:f>
        <x:v>9017.59224285348</x:v>
      </x:c>
      <x:c r="T752" s="238" t="n">
        <x:f>ROUND(S752-O752,4)</x:f>
        <x:v>0</x:v>
      </x:c>
    </x:row>
    <x:row r="753">
      <x:c r="A753" s="187" t="str">
        <x:v>ACTUAL_2026_08_CLOSE_V1</x:v>
      </x:c>
      <x:c r="B753" s="187" t="str">
        <x:v>ACTUAL</x:v>
      </x:c>
      <x:c r="C753" s="187"/>
      <x:c r="D753" s="217" t="n">
        <x:v>46023</x:v>
      </x:c>
      <x:c r="E753" s="187" t="str">
        <x:v>R_FR_FR_B_ROAD</x:v>
      </x:c>
      <x:c r="F753" s="187" t="str">
        <x:v>FR</x:v>
      </x:c>
      <x:c r="G753" s="187" t="str">
        <x:v>FR_FC</x:v>
      </x:c>
      <x:c r="H753" s="187" t="str">
        <x:v>CARRIER_B</x:v>
      </x:c>
      <x:c r="I753" s="187" t="str">
        <x:v>ROAD</x:v>
      </x:c>
      <x:c r="J753" s="187" t="str">
        <x:v>RETURN_LOGISTICS</x:v>
      </x:c>
      <x:c r="K753" s="187" t="str">
        <x:v>EUR</x:v>
      </x:c>
      <x:c r="L753" s="232" t="n">
        <x:v>517.9573971</x:v>
      </x:c>
      <x:c r="M753" s="232" t="n">
        <x:v>7.78</x:v>
      </x:c>
      <x:c r="N753" s="187" t="str">
        <x:v>4029.708549438000000</x:v>
      </x:c>
      <x:c r="O753" s="235" t="n">
        <x:v>4029.7085</x:v>
      </x:c>
      <x:c r="P753" s="235" t="n">
        <x:v>4029.7085</x:v>
      </x:c>
      <x:c r="Q753" s="235" t="n">
        <x:v>0</x:v>
      </x:c>
      <x:c r="R753" s="235" t="str">
        <x:v>INVOICE_OR_PLAN</x:v>
      </x:c>
      <x:c r="S753" s="238" t="n">
        <x:f>'Model_Calc'!AV129</x:f>
        <x:v>4029.708549437999</x:v>
      </x:c>
      <x:c r="T753" s="238" t="n">
        <x:f>ROUND(S753-O753,4)</x:f>
        <x:v>0</x:v>
      </x:c>
    </x:row>
    <x:row r="754">
      <x:c r="A754" s="187" t="str">
        <x:v>ACTUAL_2026_08_CLOSE_V1</x:v>
      </x:c>
      <x:c r="B754" s="187" t="str">
        <x:v>ACTUAL</x:v>
      </x:c>
      <x:c r="C754" s="187"/>
      <x:c r="D754" s="217" t="n">
        <x:v>46023</x:v>
      </x:c>
      <x:c r="E754" s="187" t="str">
        <x:v>R_FR_FR_B_ROAD</x:v>
      </x:c>
      <x:c r="F754" s="187" t="str">
        <x:v>FR</x:v>
      </x:c>
      <x:c r="G754" s="187" t="str">
        <x:v>FR_FC</x:v>
      </x:c>
      <x:c r="H754" s="187" t="str">
        <x:v>CARRIER_B</x:v>
      </x:c>
      <x:c r="I754" s="187" t="str">
        <x:v>ROAD</x:v>
      </x:c>
      <x:c r="J754" s="187" t="str">
        <x:v>BILLABLE_EXCEPTION</x:v>
      </x:c>
      <x:c r="K754" s="187" t="str">
        <x:v>EUR</x:v>
      </x:c>
      <x:c r="L754" s="232" t="n">
        <x:v>100.1805573076308</x:v>
      </x:c>
      <x:c r="M754" s="232" t="n">
        <x:v>7.78</x:v>
      </x:c>
      <x:c r="N754" s="187" t="str">
        <x:v>779.4047358533676240000000</x:v>
      </x:c>
      <x:c r="O754" s="235" t="n">
        <x:v>779.4047</x:v>
      </x:c>
      <x:c r="P754" s="235" t="n">
        <x:v>779.4047</x:v>
      </x:c>
      <x:c r="Q754" s="235" t="n">
        <x:v>0</x:v>
      </x:c>
      <x:c r="R754" s="235" t="str">
        <x:v>INVOICE_OR_PLAN</x:v>
      </x:c>
      <x:c r="S754" s="238" t="n">
        <x:f>'Model_Calc'!BA129</x:f>
        <x:v>779.4047358533676</x:v>
      </x:c>
      <x:c r="T754" s="238" t="n">
        <x:f>ROUND(S754-O754,4)</x:f>
        <x:v>0</x:v>
      </x:c>
    </x:row>
    <x:row r="755">
      <x:c r="A755" s="187" t="str">
        <x:v>ACTUAL_2026_08_CLOSE_V1</x:v>
      </x:c>
      <x:c r="B755" s="187" t="str">
        <x:v>ACTUAL</x:v>
      </x:c>
      <x:c r="C755" s="187"/>
      <x:c r="D755" s="217" t="n">
        <x:v>46023</x:v>
      </x:c>
      <x:c r="E755" s="187" t="str">
        <x:v>R_GB_DE_A_ROAD</x:v>
      </x:c>
      <x:c r="F755" s="187" t="str">
        <x:v>GB</x:v>
      </x:c>
      <x:c r="G755" s="187" t="str">
        <x:v>DE_FC</x:v>
      </x:c>
      <x:c r="H755" s="187" t="str">
        <x:v>CARRIER_A</x:v>
      </x:c>
      <x:c r="I755" s="187" t="str">
        <x:v>ROAD</x:v>
      </x:c>
      <x:c r="J755" s="187" t="str">
        <x:v>BASE_FREIGHT</x:v>
      </x:c>
      <x:c r="K755" s="187" t="str">
        <x:v>GBP</x:v>
      </x:c>
      <x:c r="L755" s="232" t="n">
        <x:v>9862.749730816819</x:v>
      </x:c>
      <x:c r="M755" s="232" t="n">
        <x:v>9.05</x:v>
      </x:c>
      <x:c r="N755" s="187" t="str">
        <x:v>89257.885063892213760000000000</x:v>
      </x:c>
      <x:c r="O755" s="235" t="n">
        <x:v>89257.8851</x:v>
      </x:c>
      <x:c r="P755" s="235" t="n">
        <x:v>89257.8851</x:v>
      </x:c>
      <x:c r="Q755" s="235" t="n">
        <x:v>0</x:v>
      </x:c>
      <x:c r="R755" s="235" t="str">
        <x:v>INVOICE_OR_PLAN</x:v>
      </x:c>
      <x:c r="S755" s="238" t="n">
        <x:f>'Model_Calc'!AF130</x:f>
        <x:v>89257.88506389223</x:v>
      </x:c>
      <x:c r="T755" s="238" t="n">
        <x:f>ROUND(S755-O755,4)</x:f>
        <x:v>0</x:v>
      </x:c>
    </x:row>
    <x:row r="756">
      <x:c r="A756" s="187" t="str">
        <x:v>ACTUAL_2026_08_CLOSE_V1</x:v>
      </x:c>
      <x:c r="B756" s="187" t="str">
        <x:v>ACTUAL</x:v>
      </x:c>
      <x:c r="C756" s="187"/>
      <x:c r="D756" s="217" t="n">
        <x:v>46023</x:v>
      </x:c>
      <x:c r="E756" s="187" t="str">
        <x:v>R_GB_DE_A_ROAD</x:v>
      </x:c>
      <x:c r="F756" s="187" t="str">
        <x:v>GB</x:v>
      </x:c>
      <x:c r="G756" s="187" t="str">
        <x:v>DE_FC</x:v>
      </x:c>
      <x:c r="H756" s="187" t="str">
        <x:v>CARRIER_A</x:v>
      </x:c>
      <x:c r="I756" s="187" t="str">
        <x:v>ROAD</x:v>
      </x:c>
      <x:c r="J756" s="187" t="str">
        <x:v>FUEL_SURCHARGE</x:v>
      </x:c>
      <x:c r="K756" s="187" t="str">
        <x:v>GBP</x:v>
      </x:c>
      <x:c r="L756" s="232" t="n">
        <x:v>988.2475230278453</x:v>
      </x:c>
      <x:c r="M756" s="232" t="n">
        <x:v>9.05</x:v>
      </x:c>
      <x:c r="N756" s="187" t="str">
        <x:v>8943.640083401999818752000000000000</x:v>
      </x:c>
      <x:c r="O756" s="235" t="n">
        <x:v>8943.6401</x:v>
      </x:c>
      <x:c r="P756" s="235" t="n">
        <x:v>8943.6401</x:v>
      </x:c>
      <x:c r="Q756" s="235" t="n">
        <x:v>0</x:v>
      </x:c>
      <x:c r="R756" s="235" t="str">
        <x:v>INVOICE_OR_PLAN</x:v>
      </x:c>
      <x:c r="S756" s="238" t="n">
        <x:f>'Model_Calc'!AG130</x:f>
        <x:v>8943.640083402002</x:v>
      </x:c>
      <x:c r="T756" s="238" t="n">
        <x:f>ROUND(S756-O756,4)</x:f>
        <x:v>0</x:v>
      </x:c>
    </x:row>
    <x:row r="757">
      <x:c r="A757" s="187" t="str">
        <x:v>ACTUAL_2026_08_CLOSE_V1</x:v>
      </x:c>
      <x:c r="B757" s="187" t="str">
        <x:v>ACTUAL</x:v>
      </x:c>
      <x:c r="C757" s="187"/>
      <x:c r="D757" s="217" t="n">
        <x:v>46023</x:v>
      </x:c>
      <x:c r="E757" s="187" t="str">
        <x:v>R_GB_DE_A_ROAD</x:v>
      </x:c>
      <x:c r="F757" s="187" t="str">
        <x:v>GB</x:v>
      </x:c>
      <x:c r="G757" s="187" t="str">
        <x:v>DE_FC</x:v>
      </x:c>
      <x:c r="H757" s="187" t="str">
        <x:v>CARRIER_A</x:v>
      </x:c>
      <x:c r="I757" s="187" t="str">
        <x:v>ROAD</x:v>
      </x:c>
      <x:c r="J757" s="187" t="str">
        <x:v>WAREHOUSE_OPERATION</x:v>
      </x:c>
      <x:c r="K757" s="187" t="str">
        <x:v>EUR</x:v>
      </x:c>
      <x:c r="L757" s="232" t="n">
        <x:v>2534.170159872</x:v>
      </x:c>
      <x:c r="M757" s="232" t="n">
        <x:v>7.78</x:v>
      </x:c>
      <x:c r="N757" s="187" t="str">
        <x:v>19715.84384380416000</x:v>
      </x:c>
      <x:c r="O757" s="235" t="n">
        <x:v>19715.8438</x:v>
      </x:c>
      <x:c r="P757" s="235" t="n">
        <x:v>19715.8438</x:v>
      </x:c>
      <x:c r="Q757" s="235" t="n">
        <x:v>0</x:v>
      </x:c>
      <x:c r="R757" s="235" t="str">
        <x:v>INVOICE_OR_PLAN</x:v>
      </x:c>
      <x:c r="S757" s="238" t="n">
        <x:f>'Model_Calc'!AL130</x:f>
        <x:v>19715.843843804163</x:v>
      </x:c>
      <x:c r="T757" s="238" t="n">
        <x:f>ROUND(S757-O757,4)</x:f>
        <x:v>0</x:v>
      </x:c>
    </x:row>
    <x:row r="758">
      <x:c r="A758" s="187" t="str">
        <x:v>ACTUAL_2026_08_CLOSE_V1</x:v>
      </x:c>
      <x:c r="B758" s="187" t="str">
        <x:v>ACTUAL</x:v>
      </x:c>
      <x:c r="C758" s="187"/>
      <x:c r="D758" s="217" t="n">
        <x:v>46023</x:v>
      </x:c>
      <x:c r="E758" s="187" t="str">
        <x:v>R_GB_DE_A_ROAD</x:v>
      </x:c>
      <x:c r="F758" s="187" t="str">
        <x:v>GB</x:v>
      </x:c>
      <x:c r="G758" s="187" t="str">
        <x:v>DE_FC</x:v>
      </x:c>
      <x:c r="H758" s="187" t="str">
        <x:v>CARRIER_A</x:v>
      </x:c>
      <x:c r="I758" s="187" t="str">
        <x:v>ROAD</x:v>
      </x:c>
      <x:c r="J758" s="187" t="str">
        <x:v>PACKAGING</x:v>
      </x:c>
      <x:c r="K758" s="187" t="str">
        <x:v>EUR</x:v>
      </x:c>
      <x:c r="L758" s="232" t="n">
        <x:v>1010.23190102016</x:v>
      </x:c>
      <x:c r="M758" s="232" t="n">
        <x:v>7.78</x:v>
      </x:c>
      <x:c r="N758" s="187" t="str">
        <x:v>7859.6041899368448000000</x:v>
      </x:c>
      <x:c r="O758" s="235" t="n">
        <x:v>7859.6042</x:v>
      </x:c>
      <x:c r="P758" s="235" t="n">
        <x:v>7859.6042</x:v>
      </x:c>
      <x:c r="Q758" s="235" t="n">
        <x:v>0</x:v>
      </x:c>
      <x:c r="R758" s="235" t="str">
        <x:v>INVOICE_OR_PLAN</x:v>
      </x:c>
      <x:c r="S758" s="238" t="n">
        <x:f>'Model_Calc'!AQ130</x:f>
        <x:v>7859.604189936846</x:v>
      </x:c>
      <x:c r="T758" s="238" t="n">
        <x:f>ROUND(S758-O758,4)</x:f>
        <x:v>0</x:v>
      </x:c>
    </x:row>
    <x:row r="759">
      <x:c r="A759" s="187" t="str">
        <x:v>ACTUAL_2026_08_CLOSE_V1</x:v>
      </x:c>
      <x:c r="B759" s="187" t="str">
        <x:v>ACTUAL</x:v>
      </x:c>
      <x:c r="C759" s="187"/>
      <x:c r="D759" s="217" t="n">
        <x:v>46023</x:v>
      </x:c>
      <x:c r="E759" s="187" t="str">
        <x:v>R_GB_DE_A_ROAD</x:v>
      </x:c>
      <x:c r="F759" s="187" t="str">
        <x:v>GB</x:v>
      </x:c>
      <x:c r="G759" s="187" t="str">
        <x:v>DE_FC</x:v>
      </x:c>
      <x:c r="H759" s="187" t="str">
        <x:v>CARRIER_A</x:v>
      </x:c>
      <x:c r="I759" s="187" t="str">
        <x:v>ROAD</x:v>
      </x:c>
      <x:c r="J759" s="187" t="str">
        <x:v>RETURN_LOGISTICS</x:v>
      </x:c>
      <x:c r="K759" s="187" t="str">
        <x:v>GBP</x:v>
      </x:c>
      <x:c r="L759" s="232" t="n">
        <x:v>824.6791028736</x:v>
      </x:c>
      <x:c r="M759" s="232" t="n">
        <x:v>9.05</x:v>
      </x:c>
      <x:c r="N759" s="187" t="str">
        <x:v>7463.34588100608000000</x:v>
      </x:c>
      <x:c r="O759" s="235" t="n">
        <x:v>7463.3459</x:v>
      </x:c>
      <x:c r="P759" s="235" t="n">
        <x:v>7463.3459</x:v>
      </x:c>
      <x:c r="Q759" s="235" t="n">
        <x:v>0</x:v>
      </x:c>
      <x:c r="R759" s="235" t="str">
        <x:v>INVOICE_OR_PLAN</x:v>
      </x:c>
      <x:c r="S759" s="238" t="n">
        <x:f>'Model_Calc'!AV130</x:f>
        <x:v>7463.34588100608</x:v>
      </x:c>
      <x:c r="T759" s="238" t="n">
        <x:f>ROUND(S759-O759,4)</x:f>
        <x:v>0</x:v>
      </x:c>
    </x:row>
    <x:row r="760">
      <x:c r="A760" s="187" t="str">
        <x:v>ACTUAL_2026_08_CLOSE_V1</x:v>
      </x:c>
      <x:c r="B760" s="187" t="str">
        <x:v>ACTUAL</x:v>
      </x:c>
      <x:c r="C760" s="187"/>
      <x:c r="D760" s="217" t="n">
        <x:v>46023</x:v>
      </x:c>
      <x:c r="E760" s="187" t="str">
        <x:v>R_GB_DE_A_ROAD</x:v>
      </x:c>
      <x:c r="F760" s="187" t="str">
        <x:v>GB</x:v>
      </x:c>
      <x:c r="G760" s="187" t="str">
        <x:v>DE_FC</x:v>
      </x:c>
      <x:c r="H760" s="187" t="str">
        <x:v>CARRIER_A</x:v>
      </x:c>
      <x:c r="I760" s="187" t="str">
        <x:v>ROAD</x:v>
      </x:c>
      <x:c r="J760" s="187" t="str">
        <x:v>BILLABLE_EXCEPTION</x:v>
      </x:c>
      <x:c r="K760" s="187" t="str">
        <x:v>GBP</x:v>
      </x:c>
      <x:c r="L760" s="232" t="n">
        <x:v>124.14306875107738</x:v>
      </x:c>
      <x:c r="M760" s="232" t="n">
        <x:v>9.05</x:v>
      </x:c>
      <x:c r="N760" s="187" t="str">
        <x:v>1123.494772197250252800000000</x:v>
      </x:c>
      <x:c r="O760" s="235" t="n">
        <x:v>1123.4948</x:v>
      </x:c>
      <x:c r="P760" s="235" t="n">
        <x:v>1123.4948</x:v>
      </x:c>
      <x:c r="Q760" s="235" t="n">
        <x:v>0</x:v>
      </x:c>
      <x:c r="R760" s="235" t="str">
        <x:v>INVOICE_OR_PLAN</x:v>
      </x:c>
      <x:c r="S760" s="238" t="n">
        <x:f>'Model_Calc'!BA130</x:f>
        <x:v>1123.4947721972508</x:v>
      </x:c>
      <x:c r="T760" s="238" t="n">
        <x:f>ROUND(S760-O760,4)</x:f>
        <x:v>0</x:v>
      </x:c>
    </x:row>
    <x:row r="761">
      <x:c r="A761" s="187" t="str">
        <x:v>ACTUAL_2026_08_CLOSE_V1</x:v>
      </x:c>
      <x:c r="B761" s="187" t="str">
        <x:v>ACTUAL</x:v>
      </x:c>
      <x:c r="C761" s="187"/>
      <x:c r="D761" s="217" t="n">
        <x:v>46023</x:v>
      </x:c>
      <x:c r="E761" s="187" t="str">
        <x:v>R_GB_DE_B_ROAD</x:v>
      </x:c>
      <x:c r="F761" s="187" t="str">
        <x:v>GB</x:v>
      </x:c>
      <x:c r="G761" s="187" t="str">
        <x:v>DE_FC</x:v>
      </x:c>
      <x:c r="H761" s="187" t="str">
        <x:v>CARRIER_B</x:v>
      </x:c>
      <x:c r="I761" s="187" t="str">
        <x:v>ROAD</x:v>
      </x:c>
      <x:c r="J761" s="187" t="str">
        <x:v>BASE_FREIGHT</x:v>
      </x:c>
      <x:c r="K761" s="187" t="str">
        <x:v>GBP</x:v>
      </x:c>
      <x:c r="L761" s="232" t="n">
        <x:v>4581.2503691136</x:v>
      </x:c>
      <x:c r="M761" s="232" t="n">
        <x:v>9.05</x:v>
      </x:c>
      <x:c r="N761" s="187" t="str">
        <x:v>41460.315840478080000000000000</x:v>
      </x:c>
      <x:c r="O761" s="235" t="n">
        <x:v>41460.3158</x:v>
      </x:c>
      <x:c r="P761" s="235" t="n">
        <x:v>41460.3158</x:v>
      </x:c>
      <x:c r="Q761" s="235" t="n">
        <x:v>0</x:v>
      </x:c>
      <x:c r="R761" s="235" t="str">
        <x:v>INVOICE_OR_PLAN</x:v>
      </x:c>
      <x:c r="S761" s="238" t="n">
        <x:f>'Model_Calc'!AF131</x:f>
        <x:v>41460.315840478084</x:v>
      </x:c>
      <x:c r="T761" s="238" t="n">
        <x:f>ROUND(S761-O761,4)</x:f>
        <x:v>0</x:v>
      </x:c>
    </x:row>
    <x:row r="762">
      <x:c r="A762" s="187" t="str">
        <x:v>ACTUAL_2026_08_CLOSE_V1</x:v>
      </x:c>
      <x:c r="B762" s="187" t="str">
        <x:v>ACTUAL</x:v>
      </x:c>
      <x:c r="C762" s="187"/>
      <x:c r="D762" s="217" t="n">
        <x:v>46023</x:v>
      </x:c>
      <x:c r="E762" s="187" t="str">
        <x:v>R_GB_DE_B_ROAD</x:v>
      </x:c>
      <x:c r="F762" s="187" t="str">
        <x:v>GB</x:v>
      </x:c>
      <x:c r="G762" s="187" t="str">
        <x:v>DE_FC</x:v>
      </x:c>
      <x:c r="H762" s="187" t="str">
        <x:v>CARRIER_B</x:v>
      </x:c>
      <x:c r="I762" s="187" t="str">
        <x:v>ROAD</x:v>
      </x:c>
      <x:c r="J762" s="187" t="str">
        <x:v>FUEL_SURCHARGE</x:v>
      </x:c>
      <x:c r="K762" s="187" t="str">
        <x:v>GBP</x:v>
      </x:c>
      <x:c r="L762" s="232" t="n">
        <x:v>321.66225995904</x:v>
      </x:c>
      <x:c r="M762" s="232" t="n">
        <x:v>9.05</x:v>
      </x:c>
      <x:c r="N762" s="187" t="str">
        <x:v>2911.043452629312000000000000</x:v>
      </x:c>
      <x:c r="O762" s="235" t="n">
        <x:v>2911.0435</x:v>
      </x:c>
      <x:c r="P762" s="235" t="n">
        <x:v>2911.0435</x:v>
      </x:c>
      <x:c r="Q762" s="235" t="n">
        <x:v>0</x:v>
      </x:c>
      <x:c r="R762" s="235" t="str">
        <x:v>INVOICE_OR_PLAN</x:v>
      </x:c>
      <x:c r="S762" s="238" t="n">
        <x:f>'Model_Calc'!AG131</x:f>
        <x:v>2911.043452629312</x:v>
      </x:c>
      <x:c r="T762" s="238" t="n">
        <x:f>ROUND(S762-O762,4)</x:f>
        <x:v>0</x:v>
      </x:c>
    </x:row>
    <x:row r="763">
      <x:c r="A763" s="187" t="str">
        <x:v>ACTUAL_2026_08_CLOSE_V1</x:v>
      </x:c>
      <x:c r="B763" s="187" t="str">
        <x:v>ACTUAL</x:v>
      </x:c>
      <x:c r="C763" s="187"/>
      <x:c r="D763" s="217" t="n">
        <x:v>46023</x:v>
      </x:c>
      <x:c r="E763" s="187" t="str">
        <x:v>R_GB_DE_B_ROAD</x:v>
      </x:c>
      <x:c r="F763" s="187" t="str">
        <x:v>GB</x:v>
      </x:c>
      <x:c r="G763" s="187" t="str">
        <x:v>DE_FC</x:v>
      </x:c>
      <x:c r="H763" s="187" t="str">
        <x:v>CARRIER_B</x:v>
      </x:c>
      <x:c r="I763" s="187" t="str">
        <x:v>ROAD</x:v>
      </x:c>
      <x:c r="J763" s="187" t="str">
        <x:v>WAREHOUSE_OPERATION</x:v>
      </x:c>
      <x:c r="K763" s="187" t="str">
        <x:v>EUR</x:v>
      </x:c>
      <x:c r="L763" s="232" t="n">
        <x:v>1021.8428064</x:v>
      </x:c>
      <x:c r="M763" s="232" t="n">
        <x:v>7.78</x:v>
      </x:c>
      <x:c r="N763" s="187" t="str">
        <x:v>7949.93703379200000</x:v>
      </x:c>
      <x:c r="O763" s="235" t="n">
        <x:v>7949.937</x:v>
      </x:c>
      <x:c r="P763" s="235" t="n">
        <x:v>7949.937</x:v>
      </x:c>
      <x:c r="Q763" s="235" t="n">
        <x:v>0</x:v>
      </x:c>
      <x:c r="R763" s="235" t="str">
        <x:v>INVOICE_OR_PLAN</x:v>
      </x:c>
      <x:c r="S763" s="238" t="n">
        <x:f>'Model_Calc'!AL131</x:f>
        <x:v>7949.937033792001</x:v>
      </x:c>
      <x:c r="T763" s="238" t="n">
        <x:f>ROUND(S763-O763,4)</x:f>
        <x:v>0</x:v>
      </x:c>
    </x:row>
    <x:row r="764">
      <x:c r="A764" s="187" t="str">
        <x:v>ACTUAL_2026_08_CLOSE_V1</x:v>
      </x:c>
      <x:c r="B764" s="187" t="str">
        <x:v>ACTUAL</x:v>
      </x:c>
      <x:c r="C764" s="187"/>
      <x:c r="D764" s="217" t="n">
        <x:v>46023</x:v>
      </x:c>
      <x:c r="E764" s="187" t="str">
        <x:v>R_GB_DE_B_ROAD</x:v>
      </x:c>
      <x:c r="F764" s="187" t="str">
        <x:v>GB</x:v>
      </x:c>
      <x:c r="G764" s="187" t="str">
        <x:v>DE_FC</x:v>
      </x:c>
      <x:c r="H764" s="187" t="str">
        <x:v>CARRIER_B</x:v>
      </x:c>
      <x:c r="I764" s="187" t="str">
        <x:v>ROAD</x:v>
      </x:c>
      <x:c r="J764" s="187" t="str">
        <x:v>PACKAGING</x:v>
      </x:c>
      <x:c r="K764" s="187" t="str">
        <x:v>EUR</x:v>
      </x:c>
      <x:c r="L764" s="232" t="n">
        <x:v>407.351572992</x:v>
      </x:c>
      <x:c r="M764" s="232" t="n">
        <x:v>7.78</x:v>
      </x:c>
      <x:c r="N764" s="187" t="str">
        <x:v>3169.1952378777600000000</x:v>
      </x:c>
      <x:c r="O764" s="235" t="n">
        <x:v>3169.1952</x:v>
      </x:c>
      <x:c r="P764" s="235" t="n">
        <x:v>3169.1952</x:v>
      </x:c>
      <x:c r="Q764" s="235" t="n">
        <x:v>0</x:v>
      </x:c>
      <x:c r="R764" s="235" t="str">
        <x:v>INVOICE_OR_PLAN</x:v>
      </x:c>
      <x:c r="S764" s="238" t="n">
        <x:f>'Model_Calc'!AQ131</x:f>
        <x:v>3169.1952378777605</x:v>
      </x:c>
      <x:c r="T764" s="238" t="n">
        <x:f>ROUND(S764-O764,4)</x:f>
        <x:v>0</x:v>
      </x:c>
    </x:row>
    <x:row r="765">
      <x:c r="A765" s="187" t="str">
        <x:v>ACTUAL_2026_08_CLOSE_V1</x:v>
      </x:c>
      <x:c r="B765" s="187" t="str">
        <x:v>ACTUAL</x:v>
      </x:c>
      <x:c r="C765" s="187"/>
      <x:c r="D765" s="217" t="n">
        <x:v>46023</x:v>
      </x:c>
      <x:c r="E765" s="187" t="str">
        <x:v>R_GB_DE_B_ROAD</x:v>
      </x:c>
      <x:c r="F765" s="187" t="str">
        <x:v>GB</x:v>
      </x:c>
      <x:c r="G765" s="187" t="str">
        <x:v>DE_FC</x:v>
      </x:c>
      <x:c r="H765" s="187" t="str">
        <x:v>CARRIER_B</x:v>
      </x:c>
      <x:c r="I765" s="187" t="str">
        <x:v>ROAD</x:v>
      </x:c>
      <x:c r="J765" s="187" t="str">
        <x:v>RETURN_LOGISTICS</x:v>
      </x:c>
      <x:c r="K765" s="187" t="str">
        <x:v>GBP</x:v>
      </x:c>
      <x:c r="L765" s="232" t="n">
        <x:v>332.53189632</x:v>
      </x:c>
      <x:c r="M765" s="232" t="n">
        <x:v>9.05</x:v>
      </x:c>
      <x:c r="N765" s="187" t="str">
        <x:v>3009.41366169600000000</x:v>
      </x:c>
      <x:c r="O765" s="235" t="n">
        <x:v>3009.4137</x:v>
      </x:c>
      <x:c r="P765" s="235" t="n">
        <x:v>3009.4137</x:v>
      </x:c>
      <x:c r="Q765" s="235" t="n">
        <x:v>0</x:v>
      </x:c>
      <x:c r="R765" s="235" t="str">
        <x:v>INVOICE_OR_PLAN</x:v>
      </x:c>
      <x:c r="S765" s="238" t="n">
        <x:f>'Model_Calc'!AV131</x:f>
        <x:v>3009.413661696</x:v>
      </x:c>
      <x:c r="T765" s="238" t="n">
        <x:f>ROUND(S765-O765,4)</x:f>
        <x:v>0</x:v>
      </x:c>
    </x:row>
    <x:row r="766">
      <x:c r="A766" s="187" t="str">
        <x:v>ACTUAL_2026_08_CLOSE_V1</x:v>
      </x:c>
      <x:c r="B766" s="187" t="str">
        <x:v>ACTUAL</x:v>
      </x:c>
      <x:c r="C766" s="187"/>
      <x:c r="D766" s="217" t="n">
        <x:v>46023</x:v>
      </x:c>
      <x:c r="E766" s="187" t="str">
        <x:v>R_GB_DE_B_ROAD</x:v>
      </x:c>
      <x:c r="F766" s="187" t="str">
        <x:v>GB</x:v>
      </x:c>
      <x:c r="G766" s="187" t="str">
        <x:v>DE_FC</x:v>
      </x:c>
      <x:c r="H766" s="187" t="str">
        <x:v>CARRIER_B</x:v>
      </x:c>
      <x:c r="I766" s="187" t="str">
        <x:v>ROAD</x:v>
      </x:c>
      <x:c r="J766" s="187" t="str">
        <x:v>BILLABLE_EXCEPTION</x:v>
      </x:c>
      <x:c r="K766" s="187" t="str">
        <x:v>GBP</x:v>
      </x:c>
      <x:c r="L766" s="232" t="n">
        <x:v>38.6809415096832</x:v>
      </x:c>
      <x:c r="M766" s="232" t="n">
        <x:v>9.05</x:v>
      </x:c>
      <x:c r="N766" s="187" t="str">
        <x:v>350.062520662632960000000000</x:v>
      </x:c>
      <x:c r="O766" s="235" t="n">
        <x:v>350.0625</x:v>
      </x:c>
      <x:c r="P766" s="235" t="n">
        <x:v>350.0625</x:v>
      </x:c>
      <x:c r="Q766" s="235" t="n">
        <x:v>0</x:v>
      </x:c>
      <x:c r="R766" s="235" t="str">
        <x:v>INVOICE_OR_PLAN</x:v>
      </x:c>
      <x:c r="S766" s="238" t="n">
        <x:f>'Model_Calc'!BA131</x:f>
        <x:v>350.0625206626331</x:v>
      </x:c>
      <x:c r="T766" s="238" t="n">
        <x:f>ROUND(S766-O766,4)</x:f>
        <x:v>0</x:v>
      </x:c>
    </x:row>
    <x:row r="767">
      <x:c r="A767" s="187" t="str">
        <x:v>ACTUAL_2026_08_CLOSE_V1</x:v>
      </x:c>
      <x:c r="B767" s="187" t="str">
        <x:v>ACTUAL</x:v>
      </x:c>
      <x:c r="C767" s="187"/>
      <x:c r="D767" s="217" t="n">
        <x:v>46023</x:v>
      </x:c>
      <x:c r="E767" s="187" t="str">
        <x:v>R_GB_DE_B_AIR</x:v>
      </x:c>
      <x:c r="F767" s="187" t="str">
        <x:v>GB</x:v>
      </x:c>
      <x:c r="G767" s="187" t="str">
        <x:v>DE_FC</x:v>
      </x:c>
      <x:c r="H767" s="187" t="str">
        <x:v>CARRIER_B</x:v>
      </x:c>
      <x:c r="I767" s="187" t="str">
        <x:v>AIR</x:v>
      </x:c>
      <x:c r="J767" s="187" t="str">
        <x:v>BASE_FREIGHT</x:v>
      </x:c>
      <x:c r="K767" s="187" t="str">
        <x:v>GBP</x:v>
      </x:c>
      <x:c r="L767" s="232" t="n">
        <x:v>2045.070164772311</x:v>
      </x:c>
      <x:c r="M767" s="232" t="n">
        <x:v>9.05</x:v>
      </x:c>
      <x:c r="N767" s="187" t="str">
        <x:v>18507.884991189414912000000000</x:v>
      </x:c>
      <x:c r="O767" s="235" t="n">
        <x:v>18507.885</x:v>
      </x:c>
      <x:c r="P767" s="235" t="n">
        <x:v>18507.885</x:v>
      </x:c>
      <x:c r="Q767" s="235" t="n">
        <x:v>0</x:v>
      </x:c>
      <x:c r="R767" s="235" t="str">
        <x:v>INVOICE_OR_PLAN</x:v>
      </x:c>
      <x:c r="S767" s="238" t="n">
        <x:f>'Model_Calc'!AF132</x:f>
        <x:v>18507.884991189414</x:v>
      </x:c>
      <x:c r="T767" s="238" t="n">
        <x:f>ROUND(S767-O767,4)</x:f>
        <x:v>0</x:v>
      </x:c>
    </x:row>
    <x:row r="768">
      <x:c r="A768" s="187" t="str">
        <x:v>ACTUAL_2026_08_CLOSE_V1</x:v>
      </x:c>
      <x:c r="B768" s="187" t="str">
        <x:v>ACTUAL</x:v>
      </x:c>
      <x:c r="C768" s="187"/>
      <x:c r="D768" s="217" t="n">
        <x:v>46023</x:v>
      </x:c>
      <x:c r="E768" s="187" t="str">
        <x:v>R_GB_DE_B_AIR</x:v>
      </x:c>
      <x:c r="F768" s="187" t="str">
        <x:v>GB</x:v>
      </x:c>
      <x:c r="G768" s="187" t="str">
        <x:v>DE_FC</x:v>
      </x:c>
      <x:c r="H768" s="187" t="str">
        <x:v>CARRIER_B</x:v>
      </x:c>
      <x:c r="I768" s="187" t="str">
        <x:v>AIR</x:v>
      </x:c>
      <x:c r="J768" s="187" t="str">
        <x:v>FUEL_SURCHARGE</x:v>
      </x:c>
      <x:c r="K768" s="187" t="str">
        <x:v>GBP</x:v>
      </x:c>
      <x:c r="L768" s="232" t="n">
        <x:v>235.65343508671342</x:v>
      </x:c>
      <x:c r="M768" s="232" t="n">
        <x:v>9.05</x:v>
      </x:c>
      <x:c r="N768" s="187" t="str">
        <x:v>2132.663587534756280309760000000000</x:v>
      </x:c>
      <x:c r="O768" s="235" t="n">
        <x:v>2132.6636</x:v>
      </x:c>
      <x:c r="P768" s="235" t="n">
        <x:v>2132.6636</x:v>
      </x:c>
      <x:c r="Q768" s="235" t="n">
        <x:v>0</x:v>
      </x:c>
      <x:c r="R768" s="235" t="str">
        <x:v>INVOICE_OR_PLAN</x:v>
      </x:c>
      <x:c r="S768" s="238" t="n">
        <x:f>'Model_Calc'!AG132</x:f>
        <x:v>2132.6635875347565</x:v>
      </x:c>
      <x:c r="T768" s="238" t="n">
        <x:f>ROUND(S768-O768,4)</x:f>
        <x:v>0</x:v>
      </x:c>
    </x:row>
    <x:row r="769">
      <x:c r="A769" s="187" t="str">
        <x:v>ACTUAL_2026_08_CLOSE_V1</x:v>
      </x:c>
      <x:c r="B769" s="187" t="str">
        <x:v>ACTUAL</x:v>
      </x:c>
      <x:c r="C769" s="187"/>
      <x:c r="D769" s="217" t="n">
        <x:v>46023</x:v>
      </x:c>
      <x:c r="E769" s="187" t="str">
        <x:v>R_GB_DE_B_AIR</x:v>
      </x:c>
      <x:c r="F769" s="187" t="str">
        <x:v>GB</x:v>
      </x:c>
      <x:c r="G769" s="187" t="str">
        <x:v>DE_FC</x:v>
      </x:c>
      <x:c r="H769" s="187" t="str">
        <x:v>CARRIER_B</x:v>
      </x:c>
      <x:c r="I769" s="187" t="str">
        <x:v>AIR</x:v>
      </x:c>
      <x:c r="J769" s="187" t="str">
        <x:v>WAREHOUSE_OPERATION</x:v>
      </x:c>
      <x:c r="K769" s="187" t="str">
        <x:v>EUR</x:v>
      </x:c>
      <x:c r="L769" s="232" t="n">
        <x:v>367.863410304</x:v>
      </x:c>
      <x:c r="M769" s="232" t="n">
        <x:v>7.78</x:v>
      </x:c>
      <x:c r="N769" s="187" t="str">
        <x:v>2861.97733216512000</x:v>
      </x:c>
      <x:c r="O769" s="235" t="n">
        <x:v>2861.9773</x:v>
      </x:c>
      <x:c r="P769" s="235" t="n">
        <x:v>2861.9773</x:v>
      </x:c>
      <x:c r="Q769" s="235" t="n">
        <x:v>0</x:v>
      </x:c>
      <x:c r="R769" s="235" t="str">
        <x:v>INVOICE_OR_PLAN</x:v>
      </x:c>
      <x:c r="S769" s="238" t="n">
        <x:f>'Model_Calc'!AL132</x:f>
        <x:v>2861.97733216512</x:v>
      </x:c>
      <x:c r="T769" s="238" t="n">
        <x:f>ROUND(S769-O769,4)</x:f>
        <x:v>0</x:v>
      </x:c>
    </x:row>
    <x:row r="770">
      <x:c r="A770" s="187" t="str">
        <x:v>ACTUAL_2026_08_CLOSE_V1</x:v>
      </x:c>
      <x:c r="B770" s="187" t="str">
        <x:v>ACTUAL</x:v>
      </x:c>
      <x:c r="C770" s="187"/>
      <x:c r="D770" s="217" t="n">
        <x:v>46023</x:v>
      </x:c>
      <x:c r="E770" s="187" t="str">
        <x:v>R_GB_DE_B_AIR</x:v>
      </x:c>
      <x:c r="F770" s="187" t="str">
        <x:v>GB</x:v>
      </x:c>
      <x:c r="G770" s="187" t="str">
        <x:v>DE_FC</x:v>
      </x:c>
      <x:c r="H770" s="187" t="str">
        <x:v>CARRIER_B</x:v>
      </x:c>
      <x:c r="I770" s="187" t="str">
        <x:v>AIR</x:v>
      </x:c>
      <x:c r="J770" s="187" t="str">
        <x:v>PACKAGING</x:v>
      </x:c>
      <x:c r="K770" s="187" t="str">
        <x:v>EUR</x:v>
      </x:c>
      <x:c r="L770" s="232" t="n">
        <x:v>146.64656627712</x:v>
      </x:c>
      <x:c r="M770" s="232" t="n">
        <x:v>7.78</x:v>
      </x:c>
      <x:c r="N770" s="187" t="str">
        <x:v>1140.9102856359936000000</x:v>
      </x:c>
      <x:c r="O770" s="235" t="n">
        <x:v>1140.9103</x:v>
      </x:c>
      <x:c r="P770" s="235" t="n">
        <x:v>1140.9103</x:v>
      </x:c>
      <x:c r="Q770" s="235" t="n">
        <x:v>0</x:v>
      </x:c>
      <x:c r="R770" s="235" t="str">
        <x:v>INVOICE_OR_PLAN</x:v>
      </x:c>
      <x:c r="S770" s="238" t="n">
        <x:f>'Model_Calc'!AQ132</x:f>
        <x:v>1140.9102856359937</x:v>
      </x:c>
      <x:c r="T770" s="238" t="n">
        <x:f>ROUND(S770-O770,4)</x:f>
        <x:v>0</x:v>
      </x:c>
    </x:row>
    <x:row r="771">
      <x:c r="A771" s="187" t="str">
        <x:v>ACTUAL_2026_08_CLOSE_V1</x:v>
      </x:c>
      <x:c r="B771" s="187" t="str">
        <x:v>ACTUAL</x:v>
      </x:c>
      <x:c r="C771" s="187"/>
      <x:c r="D771" s="217" t="n">
        <x:v>46023</x:v>
      </x:c>
      <x:c r="E771" s="187" t="str">
        <x:v>R_GB_DE_B_AIR</x:v>
      </x:c>
      <x:c r="F771" s="187" t="str">
        <x:v>GB</x:v>
      </x:c>
      <x:c r="G771" s="187" t="str">
        <x:v>DE_FC</x:v>
      </x:c>
      <x:c r="H771" s="187" t="str">
        <x:v>CARRIER_B</x:v>
      </x:c>
      <x:c r="I771" s="187" t="str">
        <x:v>AIR</x:v>
      </x:c>
      <x:c r="J771" s="187" t="str">
        <x:v>RETURN_LOGISTICS</x:v>
      </x:c>
      <x:c r="K771" s="187" t="str">
        <x:v>GBP</x:v>
      </x:c>
      <x:c r="L771" s="232" t="n">
        <x:v>119.7114826752</x:v>
      </x:c>
      <x:c r="M771" s="232" t="n">
        <x:v>9.05</x:v>
      </x:c>
      <x:c r="N771" s="187" t="str">
        <x:v>1083.38891821056000000</x:v>
      </x:c>
      <x:c r="O771" s="235" t="n">
        <x:v>1083.3889</x:v>
      </x:c>
      <x:c r="P771" s="235" t="n">
        <x:v>1083.3889</x:v>
      </x:c>
      <x:c r="Q771" s="235" t="n">
        <x:v>0</x:v>
      </x:c>
      <x:c r="R771" s="235" t="str">
        <x:v>INVOICE_OR_PLAN</x:v>
      </x:c>
      <x:c r="S771" s="238" t="n">
        <x:f>'Model_Calc'!AV132</x:f>
        <x:v>1083.38891821056</x:v>
      </x:c>
      <x:c r="T771" s="238" t="n">
        <x:f>ROUND(S771-O771,4)</x:f>
        <x:v>0</x:v>
      </x:c>
    </x:row>
    <x:row r="772">
      <x:c r="A772" s="187" t="str">
        <x:v>ACTUAL_2026_08_CLOSE_V1</x:v>
      </x:c>
      <x:c r="B772" s="187" t="str">
        <x:v>ACTUAL</x:v>
      </x:c>
      <x:c r="C772" s="187"/>
      <x:c r="D772" s="217" t="n">
        <x:v>46023</x:v>
      </x:c>
      <x:c r="E772" s="187" t="str">
        <x:v>R_GB_DE_B_AIR</x:v>
      </x:c>
      <x:c r="F772" s="187" t="str">
        <x:v>GB</x:v>
      </x:c>
      <x:c r="G772" s="187" t="str">
        <x:v>DE_FC</x:v>
      </x:c>
      <x:c r="H772" s="187" t="str">
        <x:v>CARRIER_B</x:v>
      </x:c>
      <x:c r="I772" s="187" t="str">
        <x:v>AIR</x:v>
      </x:c>
      <x:c r="J772" s="187" t="str">
        <x:v>BILLABLE_EXCEPTION</x:v>
      </x:c>
      <x:c r="K772" s="187" t="str">
        <x:v>GBP</x:v>
      </x:c>
      <x:c r="L772" s="232" t="n">
        <x:v>12.963556458897408</x:v>
      </x:c>
      <x:c r="M772" s="232" t="n">
        <x:v>9.05</x:v>
      </x:c>
      <x:c r="N772" s="187" t="str">
        <x:v>117.320185953021542400000000</x:v>
      </x:c>
      <x:c r="O772" s="235" t="n">
        <x:v>117.3202</x:v>
      </x:c>
      <x:c r="P772" s="235" t="n">
        <x:v>117.3202</x:v>
      </x:c>
      <x:c r="Q772" s="235" t="n">
        <x:v>0</x:v>
      </x:c>
      <x:c r="R772" s="235" t="str">
        <x:v>INVOICE_OR_PLAN</x:v>
      </x:c>
      <x:c r="S772" s="238" t="n">
        <x:f>'Model_Calc'!BA132</x:f>
        <x:v>117.32018595302155</x:v>
      </x:c>
      <x:c r="T772" s="238" t="n">
        <x:f>ROUND(S772-O772,4)</x:f>
        <x:v>0</x:v>
      </x:c>
    </x:row>
    <x:row r="773">
      <x:c r="A773" s="187" t="str">
        <x:v>ACTUAL_2026_08_CLOSE_V1</x:v>
      </x:c>
      <x:c r="B773" s="187" t="str">
        <x:v>ACTUAL</x:v>
      </x:c>
      <x:c r="C773" s="187"/>
      <x:c r="D773" s="217" t="n">
        <x:v>46023</x:v>
      </x:c>
      <x:c r="E773" s="187" t="str">
        <x:v>R_GB_DE_C_AIR</x:v>
      </x:c>
      <x:c r="F773" s="187" t="str">
        <x:v>GB</x:v>
      </x:c>
      <x:c r="G773" s="187" t="str">
        <x:v>DE_FC</x:v>
      </x:c>
      <x:c r="H773" s="187" t="str">
        <x:v>CARRIER_C</x:v>
      </x:c>
      <x:c r="I773" s="187" t="str">
        <x:v>AIR</x:v>
      </x:c>
      <x:c r="J773" s="187" t="str">
        <x:v>BASE_FREIGHT</x:v>
      </x:c>
      <x:c r="K773" s="187" t="str">
        <x:v>GBP</x:v>
      </x:c>
      <x:c r="L773" s="232" t="n">
        <x:v>1076.106469681152</x:v>
      </x:c>
      <x:c r="M773" s="232" t="n">
        <x:v>9.05</x:v>
      </x:c>
      <x:c r="N773" s="187" t="str">
        <x:v>9738.763550614425600000000000</x:v>
      </x:c>
      <x:c r="O773" s="235" t="n">
        <x:v>9738.7636</x:v>
      </x:c>
      <x:c r="P773" s="235" t="n">
        <x:v>9738.7636</x:v>
      </x:c>
      <x:c r="Q773" s="235" t="n">
        <x:v>0</x:v>
      </x:c>
      <x:c r="R773" s="235" t="str">
        <x:v>INVOICE_OR_PLAN</x:v>
      </x:c>
      <x:c r="S773" s="238" t="n">
        <x:f>'Model_Calc'!AF133</x:f>
        <x:v>9738.763550614427</x:v>
      </x:c>
      <x:c r="T773" s="238" t="n">
        <x:f>ROUND(S773-O773,4)</x:f>
        <x:v>0</x:v>
      </x:c>
    </x:row>
    <x:row r="774">
      <x:c r="A774" s="187" t="str">
        <x:v>ACTUAL_2026_08_CLOSE_V1</x:v>
      </x:c>
      <x:c r="B774" s="187" t="str">
        <x:v>ACTUAL</x:v>
      </x:c>
      <x:c r="C774" s="187"/>
      <x:c r="D774" s="217" t="n">
        <x:v>46023</x:v>
      </x:c>
      <x:c r="E774" s="187" t="str">
        <x:v>R_GB_DE_C_AIR</x:v>
      </x:c>
      <x:c r="F774" s="187" t="str">
        <x:v>GB</x:v>
      </x:c>
      <x:c r="G774" s="187" t="str">
        <x:v>DE_FC</x:v>
      </x:c>
      <x:c r="H774" s="187" t="str">
        <x:v>CARRIER_C</x:v>
      </x:c>
      <x:c r="I774" s="187" t="str">
        <x:v>AIR</x:v>
      </x:c>
      <x:c r="J774" s="187" t="str">
        <x:v>FUEL_SURCHARGE</x:v>
      </x:c>
      <x:c r="K774" s="187" t="str">
        <x:v>GBP</x:v>
      </x:c>
      <x:c r="L774" s="232" t="n">
        <x:v>83.21890032200909</x:v>
      </x:c>
      <x:c r="M774" s="232" t="n">
        <x:v>9.05</x:v>
      </x:c>
      <x:c r="N774" s="187" t="str">
        <x:v>753.131047914182246400000000</x:v>
      </x:c>
      <x:c r="O774" s="235" t="n">
        <x:v>753.131</x:v>
      </x:c>
      <x:c r="P774" s="235" t="n">
        <x:v>753.131</x:v>
      </x:c>
      <x:c r="Q774" s="235" t="n">
        <x:v>0</x:v>
      </x:c>
      <x:c r="R774" s="235" t="str">
        <x:v>INVOICE_OR_PLAN</x:v>
      </x:c>
      <x:c r="S774" s="238" t="n">
        <x:f>'Model_Calc'!AG133</x:f>
        <x:v>753.1310479141824</x:v>
      </x:c>
      <x:c r="T774" s="238" t="n">
        <x:f>ROUND(S774-O774,4)</x:f>
        <x:v>0</x:v>
      </x:c>
    </x:row>
    <x:row r="775">
      <x:c r="A775" s="187" t="str">
        <x:v>ACTUAL_2026_08_CLOSE_V1</x:v>
      </x:c>
      <x:c r="B775" s="187" t="str">
        <x:v>ACTUAL</x:v>
      </x:c>
      <x:c r="C775" s="187"/>
      <x:c r="D775" s="217" t="n">
        <x:v>46023</x:v>
      </x:c>
      <x:c r="E775" s="187" t="str">
        <x:v>R_GB_DE_C_AIR</x:v>
      </x:c>
      <x:c r="F775" s="187" t="str">
        <x:v>GB</x:v>
      </x:c>
      <x:c r="G775" s="187" t="str">
        <x:v>DE_FC</x:v>
      </x:c>
      <x:c r="H775" s="187" t="str">
        <x:v>CARRIER_C</x:v>
      </x:c>
      <x:c r="I775" s="187" t="str">
        <x:v>AIR</x:v>
      </x:c>
      <x:c r="J775" s="187" t="str">
        <x:v>WAREHOUSE_OPERATION</x:v>
      </x:c>
      <x:c r="K775" s="187" t="str">
        <x:v>EUR</x:v>
      </x:c>
      <x:c r="L775" s="232" t="n">
        <x:v>163.494849024</x:v>
      </x:c>
      <x:c r="M775" s="232" t="n">
        <x:v>7.78</x:v>
      </x:c>
      <x:c r="N775" s="187" t="str">
        <x:v>1271.98992540672000</x:v>
      </x:c>
      <x:c r="O775" s="235" t="n">
        <x:v>1271.9899</x:v>
      </x:c>
      <x:c r="P775" s="235" t="n">
        <x:v>1271.9899</x:v>
      </x:c>
      <x:c r="Q775" s="235" t="n">
        <x:v>0</x:v>
      </x:c>
      <x:c r="R775" s="235" t="str">
        <x:v>INVOICE_OR_PLAN</x:v>
      </x:c>
      <x:c r="S775" s="238" t="n">
        <x:f>'Model_Calc'!AL133</x:f>
        <x:v>1271.9899254067202</x:v>
      </x:c>
      <x:c r="T775" s="238" t="n">
        <x:f>ROUND(S775-O775,4)</x:f>
        <x:v>0</x:v>
      </x:c>
    </x:row>
    <x:row r="776">
      <x:c r="A776" s="187" t="str">
        <x:v>ACTUAL_2026_08_CLOSE_V1</x:v>
      </x:c>
      <x:c r="B776" s="187" t="str">
        <x:v>ACTUAL</x:v>
      </x:c>
      <x:c r="C776" s="187"/>
      <x:c r="D776" s="217" t="n">
        <x:v>46023</x:v>
      </x:c>
      <x:c r="E776" s="187" t="str">
        <x:v>R_GB_DE_C_AIR</x:v>
      </x:c>
      <x:c r="F776" s="187" t="str">
        <x:v>GB</x:v>
      </x:c>
      <x:c r="G776" s="187" t="str">
        <x:v>DE_FC</x:v>
      </x:c>
      <x:c r="H776" s="187" t="str">
        <x:v>CARRIER_C</x:v>
      </x:c>
      <x:c r="I776" s="187" t="str">
        <x:v>AIR</x:v>
      </x:c>
      <x:c r="J776" s="187" t="str">
        <x:v>PACKAGING</x:v>
      </x:c>
      <x:c r="K776" s="187" t="str">
        <x:v>EUR</x:v>
      </x:c>
      <x:c r="L776" s="232" t="n">
        <x:v>65.17625167872</x:v>
      </x:c>
      <x:c r="M776" s="232" t="n">
        <x:v>7.78</x:v>
      </x:c>
      <x:c r="N776" s="187" t="str">
        <x:v>507.0712380604416000000</x:v>
      </x:c>
      <x:c r="O776" s="235" t="n">
        <x:v>507.0712</x:v>
      </x:c>
      <x:c r="P776" s="235" t="n">
        <x:v>507.0712</x:v>
      </x:c>
      <x:c r="Q776" s="235" t="n">
        <x:v>0</x:v>
      </x:c>
      <x:c r="R776" s="235" t="str">
        <x:v>INVOICE_OR_PLAN</x:v>
      </x:c>
      <x:c r="S776" s="238" t="n">
        <x:f>'Model_Calc'!AQ133</x:f>
        <x:v>507.07123806044166</x:v>
      </x:c>
      <x:c r="T776" s="238" t="n">
        <x:f>ROUND(S776-O776,4)</x:f>
        <x:v>0</x:v>
      </x:c>
    </x:row>
    <x:row r="777">
      <x:c r="A777" s="187" t="str">
        <x:v>ACTUAL_2026_08_CLOSE_V1</x:v>
      </x:c>
      <x:c r="B777" s="187" t="str">
        <x:v>ACTUAL</x:v>
      </x:c>
      <x:c r="C777" s="187"/>
      <x:c r="D777" s="217" t="n">
        <x:v>46023</x:v>
      </x:c>
      <x:c r="E777" s="187" t="str">
        <x:v>R_GB_DE_C_AIR</x:v>
      </x:c>
      <x:c r="F777" s="187" t="str">
        <x:v>GB</x:v>
      </x:c>
      <x:c r="G777" s="187" t="str">
        <x:v>DE_FC</x:v>
      </x:c>
      <x:c r="H777" s="187" t="str">
        <x:v>CARRIER_C</x:v>
      </x:c>
      <x:c r="I777" s="187" t="str">
        <x:v>AIR</x:v>
      </x:c>
      <x:c r="J777" s="187" t="str">
        <x:v>RETURN_LOGISTICS</x:v>
      </x:c>
      <x:c r="K777" s="187" t="str">
        <x:v>GBP</x:v>
      </x:c>
      <x:c r="L777" s="232" t="n">
        <x:v>53.2051034112</x:v>
      </x:c>
      <x:c r="M777" s="232" t="n">
        <x:v>9.05</x:v>
      </x:c>
      <x:c r="N777" s="187" t="str">
        <x:v>481.50618587136000000</x:v>
      </x:c>
      <x:c r="O777" s="235" t="n">
        <x:v>481.5062</x:v>
      </x:c>
      <x:c r="P777" s="235" t="n">
        <x:v>481.5062</x:v>
      </x:c>
      <x:c r="Q777" s="235" t="n">
        <x:v>0</x:v>
      </x:c>
      <x:c r="R777" s="235" t="str">
        <x:v>INVOICE_OR_PLAN</x:v>
      </x:c>
      <x:c r="S777" s="238" t="n">
        <x:f>'Model_Calc'!AV133</x:f>
        <x:v>481.50618587136006</x:v>
      </x:c>
      <x:c r="T777" s="238" t="n">
        <x:f>ROUND(S777-O777,4)</x:f>
        <x:v>0</x:v>
      </x:c>
    </x:row>
    <x:row r="778">
      <x:c r="A778" s="187" t="str">
        <x:v>ACTUAL_2026_08_CLOSE_V1</x:v>
      </x:c>
      <x:c r="B778" s="187" t="str">
        <x:v>ACTUAL</x:v>
      </x:c>
      <x:c r="C778" s="187"/>
      <x:c r="D778" s="217" t="n">
        <x:v>46023</x:v>
      </x:c>
      <x:c r="E778" s="187" t="str">
        <x:v>R_GB_DE_C_AIR</x:v>
      </x:c>
      <x:c r="F778" s="187" t="str">
        <x:v>GB</x:v>
      </x:c>
      <x:c r="G778" s="187" t="str">
        <x:v>DE_FC</x:v>
      </x:c>
      <x:c r="H778" s="187" t="str">
        <x:v>CARRIER_C</x:v>
      </x:c>
      <x:c r="I778" s="187" t="str">
        <x:v>AIR</x:v>
      </x:c>
      <x:c r="J778" s="187" t="str">
        <x:v>BILLABLE_EXCEPTION</x:v>
      </x:c>
      <x:c r="K778" s="187" t="str">
        <x:v>GBP</x:v>
      </x:c>
      <x:c r="L778" s="232" t="n">
        <x:v>5.128439917805568</x:v>
      </x:c>
      <x:c r="M778" s="232" t="n">
        <x:v>9.05</x:v>
      </x:c>
      <x:c r="N778" s="187" t="str">
        <x:v>46.412381256140390400000000</x:v>
      </x:c>
      <x:c r="O778" s="235" t="n">
        <x:v>46.4124</x:v>
      </x:c>
      <x:c r="P778" s="235" t="n">
        <x:v>46.4124</x:v>
      </x:c>
      <x:c r="Q778" s="235" t="n">
        <x:v>0</x:v>
      </x:c>
      <x:c r="R778" s="235" t="str">
        <x:v>INVOICE_OR_PLAN</x:v>
      </x:c>
      <x:c r="S778" s="238" t="n">
        <x:f>'Model_Calc'!BA133</x:f>
        <x:v>46.4123812561404</x:v>
      </x:c>
      <x:c r="T778" s="238" t="n">
        <x:f>ROUND(S778-O778,4)</x:f>
        <x:v>0</x:v>
      </x:c>
    </x:row>
    <x:row r="779">
      <x:c r="A779" s="187" t="str">
        <x:v>ACTUAL_2026_08_CLOSE_V1</x:v>
      </x:c>
      <x:c r="B779" s="187" t="str">
        <x:v>ACTUAL</x:v>
      </x:c>
      <x:c r="C779" s="187"/>
      <x:c r="D779" s="217" t="n">
        <x:v>46023</x:v>
      </x:c>
      <x:c r="E779" s="187" t="str">
        <x:v>R_GB_FR_B_AIR</x:v>
      </x:c>
      <x:c r="F779" s="187" t="str">
        <x:v>GB</x:v>
      </x:c>
      <x:c r="G779" s="187" t="str">
        <x:v>FR_FC</x:v>
      </x:c>
      <x:c r="H779" s="187" t="str">
        <x:v>CARRIER_B</x:v>
      </x:c>
      <x:c r="I779" s="187" t="str">
        <x:v>AIR</x:v>
      </x:c>
      <x:c r="J779" s="187" t="str">
        <x:v>BASE_FREIGHT</x:v>
      </x:c>
      <x:c r="K779" s="187" t="str">
        <x:v>EUR</x:v>
      </x:c>
      <x:c r="L779" s="232" t="n">
        <x:v>1005.8472861138</x:v>
      </x:c>
      <x:c r="M779" s="232" t="n">
        <x:v>7.78</x:v>
      </x:c>
      <x:c r="N779" s="187" t="str">
        <x:v>7825.4918859653640000000000</x:v>
      </x:c>
      <x:c r="O779" s="235" t="n">
        <x:v>7825.4919</x:v>
      </x:c>
      <x:c r="P779" s="235" t="n">
        <x:v>7825.4919</x:v>
      </x:c>
      <x:c r="Q779" s="235" t="n">
        <x:v>0</x:v>
      </x:c>
      <x:c r="R779" s="235" t="str">
        <x:v>INVOICE_OR_PLAN</x:v>
      </x:c>
      <x:c r="S779" s="238" t="n">
        <x:f>'Model_Calc'!AF134</x:f>
        <x:v>7825.491885965363</x:v>
      </x:c>
      <x:c r="T779" s="238" t="n">
        <x:f>ROUND(S779-O779,4)</x:f>
        <x:v>0</x:v>
      </x:c>
    </x:row>
    <x:row r="780">
      <x:c r="A780" s="187" t="str">
        <x:v>ACTUAL_2026_08_CLOSE_V1</x:v>
      </x:c>
      <x:c r="B780" s="187" t="str">
        <x:v>ACTUAL</x:v>
      </x:c>
      <x:c r="C780" s="187"/>
      <x:c r="D780" s="217" t="n">
        <x:v>46023</x:v>
      </x:c>
      <x:c r="E780" s="187" t="str">
        <x:v>R_GB_FR_B_AIR</x:v>
      </x:c>
      <x:c r="F780" s="187" t="str">
        <x:v>GB</x:v>
      </x:c>
      <x:c r="G780" s="187" t="str">
        <x:v>FR_FC</x:v>
      </x:c>
      <x:c r="H780" s="187" t="str">
        <x:v>CARRIER_B</x:v>
      </x:c>
      <x:c r="I780" s="187" t="str">
        <x:v>AIR</x:v>
      </x:c>
      <x:c r="J780" s="187" t="str">
        <x:v>FUEL_SURCHARGE</x:v>
      </x:c>
      <x:c r="K780" s="187" t="str">
        <x:v>EUR</x:v>
      </x:c>
      <x:c r="L780" s="232" t="n">
        <x:v>105.8251929720329</x:v>
      </x:c>
      <x:c r="M780" s="232" t="n">
        <x:v>7.78</x:v>
      </x:c>
      <x:c r="N780" s="187" t="str">
        <x:v>823.3200013224159464400000000000</x:v>
      </x:c>
      <x:c r="O780" s="235" t="n">
        <x:v>823.32</x:v>
      </x:c>
      <x:c r="P780" s="235" t="n">
        <x:v>823.32</x:v>
      </x:c>
      <x:c r="Q780" s="235" t="n">
        <x:v>0</x:v>
      </x:c>
      <x:c r="R780" s="235" t="str">
        <x:v>INVOICE_OR_PLAN</x:v>
      </x:c>
      <x:c r="S780" s="238" t="n">
        <x:f>'Model_Calc'!AG134</x:f>
        <x:v>823.3200013224157</x:v>
      </x:c>
      <x:c r="T780" s="238" t="n">
        <x:f>ROUND(S780-O780,4)</x:f>
        <x:v>0</x:v>
      </x:c>
    </x:row>
    <x:row r="781">
      <x:c r="A781" s="187" t="str">
        <x:v>ACTUAL_2026_08_CLOSE_V1</x:v>
      </x:c>
      <x:c r="B781" s="187" t="str">
        <x:v>ACTUAL</x:v>
      </x:c>
      <x:c r="C781" s="187"/>
      <x:c r="D781" s="217" t="n">
        <x:v>46023</x:v>
      </x:c>
      <x:c r="E781" s="187" t="str">
        <x:v>R_GB_FR_B_AIR</x:v>
      </x:c>
      <x:c r="F781" s="187" t="str">
        <x:v>GB</x:v>
      </x:c>
      <x:c r="G781" s="187" t="str">
        <x:v>FR_FC</x:v>
      </x:c>
      <x:c r="H781" s="187" t="str">
        <x:v>CARRIER_B</x:v>
      </x:c>
      <x:c r="I781" s="187" t="str">
        <x:v>AIR</x:v>
      </x:c>
      <x:c r="J781" s="187" t="str">
        <x:v>WAREHOUSE_OPERATION</x:v>
      </x:c>
      <x:c r="K781" s="187" t="str">
        <x:v>EUR</x:v>
      </x:c>
      <x:c r="L781" s="232" t="n">
        <x:v>151.544484</x:v>
      </x:c>
      <x:c r="M781" s="232" t="n">
        <x:v>7.78</x:v>
      </x:c>
      <x:c r="N781" s="187" t="str">
        <x:v>1179.016085520000</x:v>
      </x:c>
      <x:c r="O781" s="235" t="n">
        <x:v>1179.0161</x:v>
      </x:c>
      <x:c r="P781" s="235" t="n">
        <x:v>1179.0161</x:v>
      </x:c>
      <x:c r="Q781" s="235" t="n">
        <x:v>0</x:v>
      </x:c>
      <x:c r="R781" s="235" t="str">
        <x:v>INVOICE_OR_PLAN</x:v>
      </x:c>
      <x:c r="S781" s="238" t="n">
        <x:f>'Model_Calc'!AL134</x:f>
        <x:v>1179.01608552</x:v>
      </x:c>
      <x:c r="T781" s="238" t="n">
        <x:f>ROUND(S781-O781,4)</x:f>
        <x:v>0</x:v>
      </x:c>
    </x:row>
    <x:row r="782">
      <x:c r="A782" s="187" t="str">
        <x:v>ACTUAL_2026_08_CLOSE_V1</x:v>
      </x:c>
      <x:c r="B782" s="187" t="str">
        <x:v>ACTUAL</x:v>
      </x:c>
      <x:c r="C782" s="187"/>
      <x:c r="D782" s="217" t="n">
        <x:v>46023</x:v>
      </x:c>
      <x:c r="E782" s="187" t="str">
        <x:v>R_GB_FR_B_AIR</x:v>
      </x:c>
      <x:c r="F782" s="187" t="str">
        <x:v>GB</x:v>
      </x:c>
      <x:c r="G782" s="187" t="str">
        <x:v>FR_FC</x:v>
      </x:c>
      <x:c r="H782" s="187" t="str">
        <x:v>CARRIER_B</x:v>
      </x:c>
      <x:c r="I782" s="187" t="str">
        <x:v>AIR</x:v>
      </x:c>
      <x:c r="J782" s="187" t="str">
        <x:v>PACKAGING</x:v>
      </x:c>
      <x:c r="K782" s="187" t="str">
        <x:v>EUR</x:v>
      </x:c>
      <x:c r="L782" s="232" t="n">
        <x:v>63.07137096</x:v>
      </x:c>
      <x:c r="M782" s="232" t="n">
        <x:v>7.78</x:v>
      </x:c>
      <x:c r="N782" s="187" t="str">
        <x:v>490.69526606880000000</x:v>
      </x:c>
      <x:c r="O782" s="235" t="n">
        <x:v>490.6953</x:v>
      </x:c>
      <x:c r="P782" s="235" t="n">
        <x:v>490.6953</x:v>
      </x:c>
      <x:c r="Q782" s="235" t="n">
        <x:v>0</x:v>
      </x:c>
      <x:c r="R782" s="235" t="str">
        <x:v>INVOICE_OR_PLAN</x:v>
      </x:c>
      <x:c r="S782" s="238" t="n">
        <x:f>'Model_Calc'!AQ134</x:f>
        <x:v>490.6952660688</x:v>
      </x:c>
      <x:c r="T782" s="238" t="n">
        <x:f>ROUND(S782-O782,4)</x:f>
        <x:v>0</x:v>
      </x:c>
    </x:row>
    <x:row r="783">
      <x:c r="A783" s="187" t="str">
        <x:v>ACTUAL_2026_08_CLOSE_V1</x:v>
      </x:c>
      <x:c r="B783" s="187" t="str">
        <x:v>ACTUAL</x:v>
      </x:c>
      <x:c r="C783" s="187"/>
      <x:c r="D783" s="217" t="n">
        <x:v>46023</x:v>
      </x:c>
      <x:c r="E783" s="187" t="str">
        <x:v>R_GB_FR_B_AIR</x:v>
      </x:c>
      <x:c r="F783" s="187" t="str">
        <x:v>GB</x:v>
      </x:c>
      <x:c r="G783" s="187" t="str">
        <x:v>FR_FC</x:v>
      </x:c>
      <x:c r="H783" s="187" t="str">
        <x:v>CARRIER_B</x:v>
      </x:c>
      <x:c r="I783" s="187" t="str">
        <x:v>AIR</x:v>
      </x:c>
      <x:c r="J783" s="187" t="str">
        <x:v>RETURN_LOGISTICS</x:v>
      </x:c>
      <x:c r="K783" s="187" t="str">
        <x:v>EUR</x:v>
      </x:c>
      <x:c r="L783" s="232" t="n">
        <x:v>60.04048128</x:v>
      </x:c>
      <x:c r="M783" s="232" t="n">
        <x:v>7.78</x:v>
      </x:c>
      <x:c r="N783" s="187" t="str">
        <x:v>467.114944358400000</x:v>
      </x:c>
      <x:c r="O783" s="235" t="n">
        <x:v>467.1149</x:v>
      </x:c>
      <x:c r="P783" s="235" t="n">
        <x:v>467.1149</x:v>
      </x:c>
      <x:c r="Q783" s="235" t="n">
        <x:v>0</x:v>
      </x:c>
      <x:c r="R783" s="235" t="str">
        <x:v>INVOICE_OR_PLAN</x:v>
      </x:c>
      <x:c r="S783" s="238" t="n">
        <x:f>'Model_Calc'!AV134</x:f>
        <x:v>467.11494435839995</x:v>
      </x:c>
      <x:c r="T783" s="238" t="n">
        <x:f>ROUND(S783-O783,4)</x:f>
        <x:v>0</x:v>
      </x:c>
    </x:row>
    <x:row r="784">
      <x:c r="A784" s="187" t="str">
        <x:v>ACTUAL_2026_08_CLOSE_V1</x:v>
      </x:c>
      <x:c r="B784" s="187" t="str">
        <x:v>ACTUAL</x:v>
      </x:c>
      <x:c r="C784" s="187"/>
      <x:c r="D784" s="217" t="n">
        <x:v>46023</x:v>
      </x:c>
      <x:c r="E784" s="187" t="str">
        <x:v>R_GB_FR_B_AIR</x:v>
      </x:c>
      <x:c r="F784" s="187" t="str">
        <x:v>GB</x:v>
      </x:c>
      <x:c r="G784" s="187" t="str">
        <x:v>FR_FC</x:v>
      </x:c>
      <x:c r="H784" s="187" t="str">
        <x:v>CARRIER_B</x:v>
      </x:c>
      <x:c r="I784" s="187" t="str">
        <x:v>AIR</x:v>
      </x:c>
      <x:c r="J784" s="187" t="str">
        <x:v>BILLABLE_EXCEPTION</x:v>
      </x:c>
      <x:c r="K784" s="187" t="str">
        <x:v>EUR</x:v>
      </x:c>
      <x:c r="L784" s="232" t="n">
        <x:v>5.688373751424</x:v>
      </x:c>
      <x:c r="M784" s="232" t="n">
        <x:v>7.78</x:v>
      </x:c>
      <x:c r="N784" s="187" t="str">
        <x:v>44.2555477860787200000000</x:v>
      </x:c>
      <x:c r="O784" s="235" t="n">
        <x:v>44.2555</x:v>
      </x:c>
      <x:c r="P784" s="235" t="n">
        <x:v>44.2555</x:v>
      </x:c>
      <x:c r="Q784" s="235" t="n">
        <x:v>0</x:v>
      </x:c>
      <x:c r="R784" s="235" t="str">
        <x:v>INVOICE_OR_PLAN</x:v>
      </x:c>
      <x:c r="S784" s="238" t="n">
        <x:f>'Model_Calc'!BA134</x:f>
        <x:v>44.255547786078715</x:v>
      </x:c>
      <x:c r="T784" s="238" t="n">
        <x:f>ROUND(S784-O784,4)</x:f>
        <x:v>0</x:v>
      </x:c>
    </x:row>
    <x:row r="785">
      <x:c r="A785" s="187" t="str">
        <x:v>ACTUAL_2026_08_CLOSE_V1</x:v>
      </x:c>
      <x:c r="B785" s="187" t="str">
        <x:v>ACTUAL</x:v>
      </x:c>
      <x:c r="C785" s="187"/>
      <x:c r="D785" s="217" t="n">
        <x:v>46054</x:v>
      </x:c>
      <x:c r="E785" s="187" t="str">
        <x:v>R_DE_DE_A_ROAD</x:v>
      </x:c>
      <x:c r="F785" s="187" t="str">
        <x:v>DE</x:v>
      </x:c>
      <x:c r="G785" s="187" t="str">
        <x:v>DE_FC</x:v>
      </x:c>
      <x:c r="H785" s="187" t="str">
        <x:v>CARRIER_A</x:v>
      </x:c>
      <x:c r="I785" s="187" t="str">
        <x:v>ROAD</x:v>
      </x:c>
      <x:c r="J785" s="187" t="str">
        <x:v>BASE_FREIGHT</x:v>
      </x:c>
      <x:c r="K785" s="187" t="str">
        <x:v>EUR</x:v>
      </x:c>
      <x:c r="L785" s="232" t="n">
        <x:v>5998.599372951264</x:v>
      </x:c>
      <x:c r="M785" s="232" t="n">
        <x:v>7.76</x:v>
      </x:c>
      <x:c r="N785" s="187" t="str">
        <x:v>46549.131134101809563750400000</x:v>
      </x:c>
      <x:c r="O785" s="235" t="n">
        <x:v>46549.1311</x:v>
      </x:c>
      <x:c r="P785" s="235" t="n">
        <x:v>46549.1311</x:v>
      </x:c>
      <x:c r="Q785" s="235" t="n">
        <x:v>0</x:v>
      </x:c>
      <x:c r="R785" s="235" t="str">
        <x:v>INVOICE_OR_PLAN</x:v>
      </x:c>
      <x:c r="S785" s="238" t="n">
        <x:f>'Model_Calc'!AF135</x:f>
        <x:v>46549.13113410181</x:v>
      </x:c>
      <x:c r="T785" s="238" t="n">
        <x:f>ROUND(S785-O785,4)</x:f>
        <x:v>0</x:v>
      </x:c>
    </x:row>
    <x:row r="786">
      <x:c r="A786" s="187" t="str">
        <x:v>ACTUAL_2026_08_CLOSE_V1</x:v>
      </x:c>
      <x:c r="B786" s="187" t="str">
        <x:v>ACTUAL</x:v>
      </x:c>
      <x:c r="C786" s="187"/>
      <x:c r="D786" s="217" t="n">
        <x:v>46054</x:v>
      </x:c>
      <x:c r="E786" s="187" t="str">
        <x:v>R_DE_DE_A_ROAD</x:v>
      </x:c>
      <x:c r="F786" s="187" t="str">
        <x:v>DE</x:v>
      </x:c>
      <x:c r="G786" s="187" t="str">
        <x:v>DE_FC</x:v>
      </x:c>
      <x:c r="H786" s="187" t="str">
        <x:v>CARRIER_A</x:v>
      </x:c>
      <x:c r="I786" s="187" t="str">
        <x:v>ROAD</x:v>
      </x:c>
      <x:c r="J786" s="187" t="str">
        <x:v>FUEL_SURCHARGE</x:v>
      </x:c>
      <x:c r="K786" s="187" t="str">
        <x:v>EUR</x:v>
      </x:c>
      <x:c r="L786" s="232" t="n">
        <x:v>572.1464081920916</x:v>
      </x:c>
      <x:c r="M786" s="232" t="n">
        <x:v>7.76</x:v>
      </x:c>
      <x:c r="N786" s="187" t="str">
        <x:v>4439.856127570630596190513152000000</x:v>
      </x:c>
      <x:c r="O786" s="235" t="n">
        <x:v>4439.8561</x:v>
      </x:c>
      <x:c r="P786" s="235" t="n">
        <x:v>4439.8561</x:v>
      </x:c>
      <x:c r="Q786" s="235" t="n">
        <x:v>0</x:v>
      </x:c>
      <x:c r="R786" s="235" t="str">
        <x:v>INVOICE_OR_PLAN</x:v>
      </x:c>
      <x:c r="S786" s="238" t="n">
        <x:f>'Model_Calc'!AG135</x:f>
        <x:v>4439.856127570631</x:v>
      </x:c>
      <x:c r="T786" s="238" t="n">
        <x:f>ROUND(S786-O786,4)</x:f>
        <x:v>0</x:v>
      </x:c>
    </x:row>
    <x:row r="787">
      <x:c r="A787" s="187" t="str">
        <x:v>ACTUAL_2026_08_CLOSE_V1</x:v>
      </x:c>
      <x:c r="B787" s="187" t="str">
        <x:v>ACTUAL</x:v>
      </x:c>
      <x:c r="C787" s="187"/>
      <x:c r="D787" s="217" t="n">
        <x:v>46054</x:v>
      </x:c>
      <x:c r="E787" s="187" t="str">
        <x:v>R_DE_DE_A_ROAD</x:v>
      </x:c>
      <x:c r="F787" s="187" t="str">
        <x:v>DE</x:v>
      </x:c>
      <x:c r="G787" s="187" t="str">
        <x:v>DE_FC</x:v>
      </x:c>
      <x:c r="H787" s="187" t="str">
        <x:v>CARRIER_A</x:v>
      </x:c>
      <x:c r="I787" s="187" t="str">
        <x:v>ROAD</x:v>
      </x:c>
      <x:c r="J787" s="187" t="str">
        <x:v>WAREHOUSE_OPERATION</x:v>
      </x:c>
      <x:c r="K787" s="187" t="str">
        <x:v>EUR</x:v>
      </x:c>
      <x:c r="L787" s="232" t="n">
        <x:v>3905.0369111808</x:v>
      </x:c>
      <x:c r="M787" s="232" t="n">
        <x:v>7.76</x:v>
      </x:c>
      <x:c r="N787" s="187" t="str">
        <x:v>30303.08643076300800</x:v>
      </x:c>
      <x:c r="O787" s="235" t="n">
        <x:v>30303.0864</x:v>
      </x:c>
      <x:c r="P787" s="235" t="n">
        <x:v>30303.0864</x:v>
      </x:c>
      <x:c r="Q787" s="235" t="n">
        <x:v>0</x:v>
      </x:c>
      <x:c r="R787" s="235" t="str">
        <x:v>INVOICE_OR_PLAN</x:v>
      </x:c>
      <x:c r="S787" s="238" t="n">
        <x:f>'Model_Calc'!AL135</x:f>
        <x:v>30303.086430763004</x:v>
      </x:c>
      <x:c r="T787" s="238" t="n">
        <x:f>ROUND(S787-O787,4)</x:f>
        <x:v>0</x:v>
      </x:c>
    </x:row>
    <x:row r="788">
      <x:c r="A788" s="187" t="str">
        <x:v>ACTUAL_2026_08_CLOSE_V1</x:v>
      </x:c>
      <x:c r="B788" s="187" t="str">
        <x:v>ACTUAL</x:v>
      </x:c>
      <x:c r="C788" s="187"/>
      <x:c r="D788" s="217" t="n">
        <x:v>46054</x:v>
      </x:c>
      <x:c r="E788" s="187" t="str">
        <x:v>R_DE_DE_A_ROAD</x:v>
      </x:c>
      <x:c r="F788" s="187" t="str">
        <x:v>DE</x:v>
      </x:c>
      <x:c r="G788" s="187" t="str">
        <x:v>DE_FC</x:v>
      </x:c>
      <x:c r="H788" s="187" t="str">
        <x:v>CARRIER_A</x:v>
      </x:c>
      <x:c r="I788" s="187" t="str">
        <x:v>ROAD</x:v>
      </x:c>
      <x:c r="J788" s="187" t="str">
        <x:v>PACKAGING</x:v>
      </x:c>
      <x:c r="K788" s="187" t="str">
        <x:v>EUR</x:v>
      </x:c>
      <x:c r="L788" s="232" t="n">
        <x:v>1460.884236532681</x:v>
      </x:c>
      <x:c r="M788" s="232" t="n">
        <x:v>7.76</x:v>
      </x:c>
      <x:c r="N788" s="187" t="str">
        <x:v>11336.4616754936042496000</x:v>
      </x:c>
      <x:c r="O788" s="235" t="n">
        <x:v>11336.4617</x:v>
      </x:c>
      <x:c r="P788" s="235" t="n">
        <x:v>11336.4617</x:v>
      </x:c>
      <x:c r="Q788" s="235" t="n">
        <x:v>0</x:v>
      </x:c>
      <x:c r="R788" s="235" t="str">
        <x:v>INVOICE_OR_PLAN</x:v>
      </x:c>
      <x:c r="S788" s="238" t="n">
        <x:f>'Model_Calc'!AQ135</x:f>
        <x:v>11336.461675493601</x:v>
      </x:c>
      <x:c r="T788" s="238" t="n">
        <x:f>ROUND(S788-O788,4)</x:f>
        <x:v>0</x:v>
      </x:c>
    </x:row>
    <x:row r="789">
      <x:c r="A789" s="187" t="str">
        <x:v>ACTUAL_2026_08_CLOSE_V1</x:v>
      </x:c>
      <x:c r="B789" s="187" t="str">
        <x:v>ACTUAL</x:v>
      </x:c>
      <x:c r="C789" s="187"/>
      <x:c r="D789" s="217" t="n">
        <x:v>46054</x:v>
      </x:c>
      <x:c r="E789" s="187" t="str">
        <x:v>R_DE_DE_A_ROAD</x:v>
      </x:c>
      <x:c r="F789" s="187" t="str">
        <x:v>DE</x:v>
      </x:c>
      <x:c r="G789" s="187" t="str">
        <x:v>DE_FC</x:v>
      </x:c>
      <x:c r="H789" s="187" t="str">
        <x:v>CARRIER_A</x:v>
      </x:c>
      <x:c r="I789" s="187" t="str">
        <x:v>ROAD</x:v>
      </x:c>
      <x:c r="J789" s="187" t="str">
        <x:v>RETURN_LOGISTICS</x:v>
      </x:c>
      <x:c r="K789" s="187" t="str">
        <x:v>EUR</x:v>
      </x:c>
      <x:c r="L789" s="232" t="n">
        <x:v>529.4965303296</x:v>
      </x:c>
      <x:c r="M789" s="232" t="n">
        <x:v>7.76</x:v>
      </x:c>
      <x:c r="N789" s="187" t="str">
        <x:v>4108.89307535769600000</x:v>
      </x:c>
      <x:c r="O789" s="235" t="n">
        <x:v>4108.8931</x:v>
      </x:c>
      <x:c r="P789" s="235" t="n">
        <x:v>4108.8931</x:v>
      </x:c>
      <x:c r="Q789" s="235" t="n">
        <x:v>0</x:v>
      </x:c>
      <x:c r="R789" s="235" t="str">
        <x:v>INVOICE_OR_PLAN</x:v>
      </x:c>
      <x:c r="S789" s="238" t="n">
        <x:f>'Model_Calc'!AV135</x:f>
        <x:v>4108.893075357696</x:v>
      </x:c>
      <x:c r="T789" s="238" t="n">
        <x:f>ROUND(S789-O789,4)</x:f>
        <x:v>0</x:v>
      </x:c>
    </x:row>
    <x:row r="790">
      <x:c r="A790" s="187" t="str">
        <x:v>ACTUAL_2026_08_CLOSE_V1</x:v>
      </x:c>
      <x:c r="B790" s="187" t="str">
        <x:v>ACTUAL</x:v>
      </x:c>
      <x:c r="C790" s="187"/>
      <x:c r="D790" s="217" t="n">
        <x:v>46054</x:v>
      </x:c>
      <x:c r="E790" s="187" t="str">
        <x:v>R_DE_DE_A_ROAD</x:v>
      </x:c>
      <x:c r="F790" s="187" t="str">
        <x:v>DE</x:v>
      </x:c>
      <x:c r="G790" s="187" t="str">
        <x:v>DE_FC</x:v>
      </x:c>
      <x:c r="H790" s="187" t="str">
        <x:v>CARRIER_A</x:v>
      </x:c>
      <x:c r="I790" s="187" t="str">
        <x:v>ROAD</x:v>
      </x:c>
      <x:c r="J790" s="187" t="str">
        <x:v>BILLABLE_EXCEPTION</x:v>
      </x:c>
      <x:c r="K790" s="187" t="str">
        <x:v>EUR</x:v>
      </x:c>
      <x:c r="L790" s="232" t="n">
        <x:v>130.56131119640645</x:v>
      </x:c>
      <x:c r="M790" s="232" t="n">
        <x:v>7.76</x:v>
      </x:c>
      <x:c r="N790" s="187" t="str">
        <x:v>1013.155774884114116935680000</x:v>
      </x:c>
      <x:c r="O790" s="235" t="n">
        <x:v>1013.1558</x:v>
      </x:c>
      <x:c r="P790" s="235" t="n">
        <x:v>1013.1558</x:v>
      </x:c>
      <x:c r="Q790" s="235" t="n">
        <x:v>0</x:v>
      </x:c>
      <x:c r="R790" s="235" t="str">
        <x:v>INVOICE_OR_PLAN</x:v>
      </x:c>
      <x:c r="S790" s="238" t="n">
        <x:f>'Model_Calc'!BA135</x:f>
        <x:v>1013.1557748841141</x:v>
      </x:c>
      <x:c r="T790" s="238" t="n">
        <x:f>ROUND(S790-O790,4)</x:f>
        <x:v>0</x:v>
      </x:c>
    </x:row>
    <x:row r="791">
      <x:c r="A791" s="187" t="str">
        <x:v>ACTUAL_2026_08_CLOSE_V1</x:v>
      </x:c>
      <x:c r="B791" s="187" t="str">
        <x:v>ACTUAL</x:v>
      </x:c>
      <x:c r="C791" s="187"/>
      <x:c r="D791" s="217" t="n">
        <x:v>46054</x:v>
      </x:c>
      <x:c r="E791" s="187" t="str">
        <x:v>R_DE_DE_B_ROAD</x:v>
      </x:c>
      <x:c r="F791" s="187" t="str">
        <x:v>DE</x:v>
      </x:c>
      <x:c r="G791" s="187" t="str">
        <x:v>DE_FC</x:v>
      </x:c>
      <x:c r="H791" s="187" t="str">
        <x:v>CARRIER_B</x:v>
      </x:c>
      <x:c r="I791" s="187" t="str">
        <x:v>ROAD</x:v>
      </x:c>
      <x:c r="J791" s="187" t="str">
        <x:v>BASE_FREIGHT</x:v>
      </x:c>
      <x:c r="K791" s="187" t="str">
        <x:v>EUR</x:v>
      </x:c>
      <x:c r="L791" s="232" t="n">
        <x:v>5127.008011069456</x:v>
      </x:c>
      <x:c r="M791" s="232" t="n">
        <x:v>7.76</x:v>
      </x:c>
      <x:c r="N791" s="187" t="str">
        <x:v>39785.582165898982533120000000</x:v>
      </x:c>
      <x:c r="O791" s="235" t="n">
        <x:v>39785.5822</x:v>
      </x:c>
      <x:c r="P791" s="235" t="n">
        <x:v>39785.5822</x:v>
      </x:c>
      <x:c r="Q791" s="235" t="n">
        <x:v>0</x:v>
      </x:c>
      <x:c r="R791" s="235" t="str">
        <x:v>INVOICE_OR_PLAN</x:v>
      </x:c>
      <x:c r="S791" s="238" t="n">
        <x:f>'Model_Calc'!AF136</x:f>
        <x:v>39785.58216589899</x:v>
      </x:c>
      <x:c r="T791" s="238" t="n">
        <x:f>ROUND(S791-O791,4)</x:f>
        <x:v>0</x:v>
      </x:c>
    </x:row>
    <x:row r="792">
      <x:c r="A792" s="187" t="str">
        <x:v>ACTUAL_2026_08_CLOSE_V1</x:v>
      </x:c>
      <x:c r="B792" s="187" t="str">
        <x:v>ACTUAL</x:v>
      </x:c>
      <x:c r="C792" s="187"/>
      <x:c r="D792" s="217" t="n">
        <x:v>46054</x:v>
      </x:c>
      <x:c r="E792" s="187" t="str">
        <x:v>R_DE_DE_B_ROAD</x:v>
      </x:c>
      <x:c r="F792" s="187" t="str">
        <x:v>DE</x:v>
      </x:c>
      <x:c r="G792" s="187" t="str">
        <x:v>DE_FC</x:v>
      </x:c>
      <x:c r="H792" s="187" t="str">
        <x:v>CARRIER_B</x:v>
      </x:c>
      <x:c r="I792" s="187" t="str">
        <x:v>ROAD</x:v>
      </x:c>
      <x:c r="J792" s="187" t="str">
        <x:v>FUEL_SURCHARGE</x:v>
      </x:c>
      <x:c r="K792" s="187" t="str">
        <x:v>EUR</x:v>
      </x:c>
      <x:c r="L792" s="232" t="n">
        <x:v>391.5169753907585</x:v>
      </x:c>
      <x:c r="M792" s="232" t="n">
        <x:v>7.76</x:v>
      </x:c>
      <x:c r="N792" s="187" t="str">
        <x:v>3038.171729032285938892800000</x:v>
      </x:c>
      <x:c r="O792" s="235" t="n">
        <x:v>3038.1717</x:v>
      </x:c>
      <x:c r="P792" s="235" t="n">
        <x:v>3038.1717</x:v>
      </x:c>
      <x:c r="Q792" s="235" t="n">
        <x:v>0</x:v>
      </x:c>
      <x:c r="R792" s="235" t="str">
        <x:v>INVOICE_OR_PLAN</x:v>
      </x:c>
      <x:c r="S792" s="238" t="n">
        <x:f>'Model_Calc'!AG136</x:f>
        <x:v>3038.1717290322863</x:v>
      </x:c>
      <x:c r="T792" s="238" t="n">
        <x:f>ROUND(S792-O792,4)</x:f>
        <x:v>0</x:v>
      </x:c>
    </x:row>
    <x:row r="793">
      <x:c r="A793" s="187" t="str">
        <x:v>ACTUAL_2026_08_CLOSE_V1</x:v>
      </x:c>
      <x:c r="B793" s="187" t="str">
        <x:v>ACTUAL</x:v>
      </x:c>
      <x:c r="C793" s="187"/>
      <x:c r="D793" s="217" t="n">
        <x:v>46054</x:v>
      </x:c>
      <x:c r="E793" s="187" t="str">
        <x:v>R_DE_DE_B_ROAD</x:v>
      </x:c>
      <x:c r="F793" s="187" t="str">
        <x:v>DE</x:v>
      </x:c>
      <x:c r="G793" s="187" t="str">
        <x:v>DE_FC</x:v>
      </x:c>
      <x:c r="H793" s="187" t="str">
        <x:v>CARRIER_B</x:v>
      </x:c>
      <x:c r="I793" s="187" t="str">
        <x:v>ROAD</x:v>
      </x:c>
      <x:c r="J793" s="187" t="str">
        <x:v>WAREHOUSE_OPERATION</x:v>
      </x:c>
      <x:c r="K793" s="187" t="str">
        <x:v>EUR</x:v>
      </x:c>
      <x:c r="L793" s="232" t="n">
        <x:v>2603.3579407872</x:v>
      </x:c>
      <x:c r="M793" s="232" t="n">
        <x:v>7.76</x:v>
      </x:c>
      <x:c r="N793" s="187" t="str">
        <x:v>20202.05762050867200</x:v>
      </x:c>
      <x:c r="O793" s="235" t="n">
        <x:v>20202.0576</x:v>
      </x:c>
      <x:c r="P793" s="235" t="n">
        <x:v>20202.0576</x:v>
      </x:c>
      <x:c r="Q793" s="235" t="n">
        <x:v>0</x:v>
      </x:c>
      <x:c r="R793" s="235" t="str">
        <x:v>INVOICE_OR_PLAN</x:v>
      </x:c>
      <x:c r="S793" s="238" t="n">
        <x:f>'Model_Calc'!AL136</x:f>
        <x:v>20202.057620508673</x:v>
      </x:c>
      <x:c r="T793" s="238" t="n">
        <x:f>ROUND(S793-O793,4)</x:f>
        <x:v>0</x:v>
      </x:c>
    </x:row>
    <x:row r="794">
      <x:c r="A794" s="187" t="str">
        <x:v>ACTUAL_2026_08_CLOSE_V1</x:v>
      </x:c>
      <x:c r="B794" s="187" t="str">
        <x:v>ACTUAL</x:v>
      </x:c>
      <x:c r="C794" s="187"/>
      <x:c r="D794" s="217" t="n">
        <x:v>46054</x:v>
      </x:c>
      <x:c r="E794" s="187" t="str">
        <x:v>R_DE_DE_B_ROAD</x:v>
      </x:c>
      <x:c r="F794" s="187" t="str">
        <x:v>DE</x:v>
      </x:c>
      <x:c r="G794" s="187" t="str">
        <x:v>DE_FC</x:v>
      </x:c>
      <x:c r="H794" s="187" t="str">
        <x:v>CARRIER_B</x:v>
      </x:c>
      <x:c r="I794" s="187" t="str">
        <x:v>ROAD</x:v>
      </x:c>
      <x:c r="J794" s="187" t="str">
        <x:v>PACKAGING</x:v>
      </x:c>
      <x:c r="K794" s="187" t="str">
        <x:v>EUR</x:v>
      </x:c>
      <x:c r="L794" s="232" t="n">
        <x:v>973.9228243551206</x:v>
      </x:c>
      <x:c r="M794" s="232" t="n">
        <x:v>7.76</x:v>
      </x:c>
      <x:c r="N794" s="187" t="str">
        <x:v>7557.6411169957361664000</x:v>
      </x:c>
      <x:c r="O794" s="235" t="n">
        <x:v>7557.6411</x:v>
      </x:c>
      <x:c r="P794" s="235" t="n">
        <x:v>7557.6411</x:v>
      </x:c>
      <x:c r="Q794" s="235" t="n">
        <x:v>0</x:v>
      </x:c>
      <x:c r="R794" s="235" t="str">
        <x:v>INVOICE_OR_PLAN</x:v>
      </x:c>
      <x:c r="S794" s="238" t="n">
        <x:f>'Model_Calc'!AQ136</x:f>
        <x:v>7557.641116995736</x:v>
      </x:c>
      <x:c r="T794" s="238" t="n">
        <x:f>ROUND(S794-O794,4)</x:f>
        <x:v>0</x:v>
      </x:c>
    </x:row>
    <x:row r="795">
      <x:c r="A795" s="187" t="str">
        <x:v>ACTUAL_2026_08_CLOSE_V1</x:v>
      </x:c>
      <x:c r="B795" s="187" t="str">
        <x:v>ACTUAL</x:v>
      </x:c>
      <x:c r="C795" s="187"/>
      <x:c r="D795" s="217" t="n">
        <x:v>46054</x:v>
      </x:c>
      <x:c r="E795" s="187" t="str">
        <x:v>R_DE_DE_B_ROAD</x:v>
      </x:c>
      <x:c r="F795" s="187" t="str">
        <x:v>DE</x:v>
      </x:c>
      <x:c r="G795" s="187" t="str">
        <x:v>DE_FC</x:v>
      </x:c>
      <x:c r="H795" s="187" t="str">
        <x:v>CARRIER_B</x:v>
      </x:c>
      <x:c r="I795" s="187" t="str">
        <x:v>ROAD</x:v>
      </x:c>
      <x:c r="J795" s="187" t="str">
        <x:v>RETURN_LOGISTICS</x:v>
      </x:c>
      <x:c r="K795" s="187" t="str">
        <x:v>EUR</x:v>
      </x:c>
      <x:c r="L795" s="232" t="n">
        <x:v>352.9976868864</x:v>
      </x:c>
      <x:c r="M795" s="232" t="n">
        <x:v>7.76</x:v>
      </x:c>
      <x:c r="N795" s="187" t="str">
        <x:v>2739.26205023846400000</x:v>
      </x:c>
      <x:c r="O795" s="235" t="n">
        <x:v>2739.2621</x:v>
      </x:c>
      <x:c r="P795" s="235" t="n">
        <x:v>2739.2621</x:v>
      </x:c>
      <x:c r="Q795" s="235" t="n">
        <x:v>0</x:v>
      </x:c>
      <x:c r="R795" s="235" t="str">
        <x:v>INVOICE_OR_PLAN</x:v>
      </x:c>
      <x:c r="S795" s="238" t="n">
        <x:f>'Model_Calc'!AV136</x:f>
        <x:v>2739.2620502384643</x:v>
      </x:c>
      <x:c r="T795" s="238" t="n">
        <x:f>ROUND(S795-O795,4)</x:f>
        <x:v>0</x:v>
      </x:c>
    </x:row>
    <x:row r="796">
      <x:c r="A796" s="187" t="str">
        <x:v>ACTUAL_2026_08_CLOSE_V1</x:v>
      </x:c>
      <x:c r="B796" s="187" t="str">
        <x:v>ACTUAL</x:v>
      </x:c>
      <x:c r="C796" s="187"/>
      <x:c r="D796" s="217" t="n">
        <x:v>46054</x:v>
      </x:c>
      <x:c r="E796" s="187" t="str">
        <x:v>R_DE_DE_B_ROAD</x:v>
      </x:c>
      <x:c r="F796" s="187" t="str">
        <x:v>DE</x:v>
      </x:c>
      <x:c r="G796" s="187" t="str">
        <x:v>DE_FC</x:v>
      </x:c>
      <x:c r="H796" s="187" t="str">
        <x:v>CARRIER_B</x:v>
      </x:c>
      <x:c r="I796" s="187" t="str">
        <x:v>ROAD</x:v>
      </x:c>
      <x:c r="J796" s="187" t="str">
        <x:v>BILLABLE_EXCEPTION</x:v>
      </x:c>
      <x:c r="K796" s="187" t="str">
        <x:v>EUR</x:v>
      </x:c>
      <x:c r="L796" s="232" t="n">
        <x:v>70.72071023138683</x:v>
      </x:c>
      <x:c r="M796" s="232" t="n">
        <x:v>7.76</x:v>
      </x:c>
      <x:c r="N796" s="187" t="str">
        <x:v>548.792711395561813340160000</x:v>
      </x:c>
      <x:c r="O796" s="235" t="n">
        <x:v>548.7927</x:v>
      </x:c>
      <x:c r="P796" s="235" t="n">
        <x:v>548.7927</x:v>
      </x:c>
      <x:c r="Q796" s="235" t="n">
        <x:v>0</x:v>
      </x:c>
      <x:c r="R796" s="235" t="str">
        <x:v>INVOICE_OR_PLAN</x:v>
      </x:c>
      <x:c r="S796" s="238" t="n">
        <x:f>'Model_Calc'!BA136</x:f>
        <x:v>548.7927113955618</x:v>
      </x:c>
      <x:c r="T796" s="238" t="n">
        <x:f>ROUND(S796-O796,4)</x:f>
        <x:v>0</x:v>
      </x:c>
    </x:row>
    <x:row r="797">
      <x:c r="A797" s="187" t="str">
        <x:v>ACTUAL_2026_08_CLOSE_V1</x:v>
      </x:c>
      <x:c r="B797" s="187" t="str">
        <x:v>ACTUAL</x:v>
      </x:c>
      <x:c r="C797" s="187"/>
      <x:c r="D797" s="217" t="n">
        <x:v>46054</x:v>
      </x:c>
      <x:c r="E797" s="187" t="str">
        <x:v>R_DE_FR_B_ROAD</x:v>
      </x:c>
      <x:c r="F797" s="187" t="str">
        <x:v>DE</x:v>
      </x:c>
      <x:c r="G797" s="187" t="str">
        <x:v>FR_FC</x:v>
      </x:c>
      <x:c r="H797" s="187" t="str">
        <x:v>CARRIER_B</x:v>
      </x:c>
      <x:c r="I797" s="187" t="str">
        <x:v>ROAD</x:v>
      </x:c>
      <x:c r="J797" s="187" t="str">
        <x:v>BASE_FREIGHT</x:v>
      </x:c>
      <x:c r="K797" s="187" t="str">
        <x:v>EUR</x:v>
      </x:c>
      <x:c r="L797" s="232" t="n">
        <x:v>525.9902474979357</x:v>
      </x:c>
      <x:c r="M797" s="232" t="n">
        <x:v>7.76</x:v>
      </x:c>
      <x:c r="N797" s="187" t="str">
        <x:v>4081.6843205839810357248000</x:v>
      </x:c>
      <x:c r="O797" s="235" t="n">
        <x:v>4081.6843</x:v>
      </x:c>
      <x:c r="P797" s="235" t="n">
        <x:v>4081.6843</x:v>
      </x:c>
      <x:c r="Q797" s="235" t="n">
        <x:v>0</x:v>
      </x:c>
      <x:c r="R797" s="235" t="str">
        <x:v>INVOICE_OR_PLAN</x:v>
      </x:c>
      <x:c r="S797" s="238" t="n">
        <x:f>'Model_Calc'!AF137</x:f>
        <x:v>4081.684320583981</x:v>
      </x:c>
      <x:c r="T797" s="238" t="n">
        <x:f>ROUND(S797-O797,4)</x:f>
        <x:v>0</x:v>
      </x:c>
    </x:row>
    <x:row r="798">
      <x:c r="A798" s="187" t="str">
        <x:v>ACTUAL_2026_08_CLOSE_V1</x:v>
      </x:c>
      <x:c r="B798" s="187" t="str">
        <x:v>ACTUAL</x:v>
      </x:c>
      <x:c r="C798" s="187"/>
      <x:c r="D798" s="217" t="n">
        <x:v>46054</x:v>
      </x:c>
      <x:c r="E798" s="187" t="str">
        <x:v>R_DE_FR_B_ROAD</x:v>
      </x:c>
      <x:c r="F798" s="187" t="str">
        <x:v>DE</x:v>
      </x:c>
      <x:c r="G798" s="187" t="str">
        <x:v>FR_FC</x:v>
      </x:c>
      <x:c r="H798" s="187" t="str">
        <x:v>CARRIER_B</x:v>
      </x:c>
      <x:c r="I798" s="187" t="str">
        <x:v>ROAD</x:v>
      </x:c>
      <x:c r="J798" s="187" t="str">
        <x:v>FUEL_SURCHARGE</x:v>
      </x:c>
      <x:c r="K798" s="187" t="str">
        <x:v>EUR</x:v>
      </x:c>
      <x:c r="L798" s="232" t="n">
        <x:v>38.25383618166805</x:v>
      </x:c>
      <x:c r="M798" s="232" t="n">
        <x:v>7.76</x:v>
      </x:c>
      <x:c r="N798" s="187" t="str">
        <x:v>296.8497687697440753254400</x:v>
      </x:c>
      <x:c r="O798" s="235" t="n">
        <x:v>296.8498</x:v>
      </x:c>
      <x:c r="P798" s="235" t="n">
        <x:v>296.8498</x:v>
      </x:c>
      <x:c r="Q798" s="235" t="n">
        <x:v>0</x:v>
      </x:c>
      <x:c r="R798" s="235" t="str">
        <x:v>INVOICE_OR_PLAN</x:v>
      </x:c>
      <x:c r="S798" s="238" t="n">
        <x:f>'Model_Calc'!AG137</x:f>
        <x:v>296.8497687697441</x:v>
      </x:c>
      <x:c r="T798" s="238" t="n">
        <x:f>ROUND(S798-O798,4)</x:f>
        <x:v>0</x:v>
      </x:c>
    </x:row>
    <x:row r="799">
      <x:c r="A799" s="187" t="str">
        <x:v>ACTUAL_2026_08_CLOSE_V1</x:v>
      </x:c>
      <x:c r="B799" s="187" t="str">
        <x:v>ACTUAL</x:v>
      </x:c>
      <x:c r="C799" s="187"/>
      <x:c r="D799" s="217" t="n">
        <x:v>46054</x:v>
      </x:c>
      <x:c r="E799" s="187" t="str">
        <x:v>R_DE_FR_B_ROAD</x:v>
      </x:c>
      <x:c r="F799" s="187" t="str">
        <x:v>DE</x:v>
      </x:c>
      <x:c r="G799" s="187" t="str">
        <x:v>FR_FC</x:v>
      </x:c>
      <x:c r="H799" s="187" t="str">
        <x:v>CARRIER_B</x:v>
      </x:c>
      <x:c r="I799" s="187" t="str">
        <x:v>ROAD</x:v>
      </x:c>
      <x:c r="J799" s="187" t="str">
        <x:v>WAREHOUSE_OPERATION</x:v>
      </x:c>
      <x:c r="K799" s="187" t="str">
        <x:v>EUR</x:v>
      </x:c>
      <x:c r="L799" s="232" t="n">
        <x:v>179.11448352</x:v>
      </x:c>
      <x:c r="M799" s="232" t="n">
        <x:v>7.76</x:v>
      </x:c>
      <x:c r="N799" s="187" t="str">
        <x:v>1389.928392115200</x:v>
      </x:c>
      <x:c r="O799" s="235" t="n">
        <x:v>1389.9284</x:v>
      </x:c>
      <x:c r="P799" s="235" t="n">
        <x:v>1389.9284</x:v>
      </x:c>
      <x:c r="Q799" s="235" t="n">
        <x:v>0</x:v>
      </x:c>
      <x:c r="R799" s="235" t="str">
        <x:v>INVOICE_OR_PLAN</x:v>
      </x:c>
      <x:c r="S799" s="238" t="n">
        <x:f>'Model_Calc'!AL137</x:f>
        <x:v>1389.9283921151998</x:v>
      </x:c>
      <x:c r="T799" s="238" t="n">
        <x:f>ROUND(S799-O799,4)</x:f>
        <x:v>0</x:v>
      </x:c>
    </x:row>
    <x:row r="800">
      <x:c r="A800" s="187" t="str">
        <x:v>ACTUAL_2026_08_CLOSE_V1</x:v>
      </x:c>
      <x:c r="B800" s="187" t="str">
        <x:v>ACTUAL</x:v>
      </x:c>
      <x:c r="C800" s="187"/>
      <x:c r="D800" s="217" t="n">
        <x:v>46054</x:v>
      </x:c>
      <x:c r="E800" s="187" t="str">
        <x:v>R_DE_FR_B_ROAD</x:v>
      </x:c>
      <x:c r="F800" s="187" t="str">
        <x:v>DE</x:v>
      </x:c>
      <x:c r="G800" s="187" t="str">
        <x:v>FR_FC</x:v>
      </x:c>
      <x:c r="H800" s="187" t="str">
        <x:v>CARRIER_B</x:v>
      </x:c>
      <x:c r="I800" s="187" t="str">
        <x:v>ROAD</x:v>
      </x:c>
      <x:c r="J800" s="187" t="str">
        <x:v>PACKAGING</x:v>
      </x:c>
      <x:c r="K800" s="187" t="str">
        <x:v>EUR</x:v>
      </x:c>
      <x:c r="L800" s="232" t="n">
        <x:v>70.07818344823296</x:v>
      </x:c>
      <x:c r="M800" s="232" t="n">
        <x:v>7.76</x:v>
      </x:c>
      <x:c r="N800" s="187" t="str">
        <x:v>543.80670355828776960</x:v>
      </x:c>
      <x:c r="O800" s="235" t="n">
        <x:v>543.8067</x:v>
      </x:c>
      <x:c r="P800" s="235" t="n">
        <x:v>543.8067</x:v>
      </x:c>
      <x:c r="Q800" s="235" t="n">
        <x:v>0</x:v>
      </x:c>
      <x:c r="R800" s="235" t="str">
        <x:v>INVOICE_OR_PLAN</x:v>
      </x:c>
      <x:c r="S800" s="238" t="n">
        <x:f>'Model_Calc'!AQ137</x:f>
        <x:v>543.8067035582877</x:v>
      </x:c>
      <x:c r="T800" s="238" t="n">
        <x:f>ROUND(S800-O800,4)</x:f>
        <x:v>0</x:v>
      </x:c>
    </x:row>
    <x:row r="801">
      <x:c r="A801" s="187" t="str">
        <x:v>ACTUAL_2026_08_CLOSE_V1</x:v>
      </x:c>
      <x:c r="B801" s="187" t="str">
        <x:v>ACTUAL</x:v>
      </x:c>
      <x:c r="C801" s="187"/>
      <x:c r="D801" s="217" t="n">
        <x:v>46054</x:v>
      </x:c>
      <x:c r="E801" s="187" t="str">
        <x:v>R_DE_FR_B_ROAD</x:v>
      </x:c>
      <x:c r="F801" s="187" t="str">
        <x:v>DE</x:v>
      </x:c>
      <x:c r="G801" s="187" t="str">
        <x:v>FR_FC</x:v>
      </x:c>
      <x:c r="H801" s="187" t="str">
        <x:v>CARRIER_B</x:v>
      </x:c>
      <x:c r="I801" s="187" t="str">
        <x:v>ROAD</x:v>
      </x:c>
      <x:c r="J801" s="187" t="str">
        <x:v>RETURN_LOGISTICS</x:v>
      </x:c>
      <x:c r="K801" s="187" t="str">
        <x:v>EUR</x:v>
      </x:c>
      <x:c r="L801" s="232" t="n">
        <x:v>32.411192256</x:v>
      </x:c>
      <x:c r="M801" s="232" t="n">
        <x:v>7.76</x:v>
      </x:c>
      <x:c r="N801" s="187" t="str">
        <x:v>251.510851906560000</x:v>
      </x:c>
      <x:c r="O801" s="235" t="n">
        <x:v>251.5109</x:v>
      </x:c>
      <x:c r="P801" s="235" t="n">
        <x:v>251.5109</x:v>
      </x:c>
      <x:c r="Q801" s="235" t="n">
        <x:v>0</x:v>
      </x:c>
      <x:c r="R801" s="235" t="str">
        <x:v>INVOICE_OR_PLAN</x:v>
      </x:c>
      <x:c r="S801" s="238" t="n">
        <x:f>'Model_Calc'!AV137</x:f>
        <x:v>251.51085190656</x:v>
      </x:c>
      <x:c r="T801" s="238" t="n">
        <x:f>ROUND(S801-O801,4)</x:f>
        <x:v>0</x:v>
      </x:c>
    </x:row>
    <x:row r="802">
      <x:c r="A802" s="187" t="str">
        <x:v>ACTUAL_2026_08_CLOSE_V1</x:v>
      </x:c>
      <x:c r="B802" s="187" t="str">
        <x:v>ACTUAL</x:v>
      </x:c>
      <x:c r="C802" s="187"/>
      <x:c r="D802" s="217" t="n">
        <x:v>46054</x:v>
      </x:c>
      <x:c r="E802" s="187" t="str">
        <x:v>R_DE_FR_B_ROAD</x:v>
      </x:c>
      <x:c r="F802" s="187" t="str">
        <x:v>DE</x:v>
      </x:c>
      <x:c r="G802" s="187" t="str">
        <x:v>FR_FC</x:v>
      </x:c>
      <x:c r="H802" s="187" t="str">
        <x:v>CARRIER_B</x:v>
      </x:c>
      <x:c r="I802" s="187" t="str">
        <x:v>ROAD</x:v>
      </x:c>
      <x:c r="J802" s="187" t="str">
        <x:v>BILLABLE_EXCEPTION</x:v>
      </x:c>
      <x:c r="K802" s="187" t="str">
        <x:v>EUR</x:v>
      </x:c>
      <x:c r="L802" s="232" t="n">
        <x:v>6.056968045194114</x:v>
      </x:c>
      <x:c r="M802" s="232" t="n">
        <x:v>7.76</x:v>
      </x:c>
      <x:c r="N802" s="187" t="str">
        <x:v>47.0020720307063250124800</x:v>
      </x:c>
      <x:c r="O802" s="235" t="n">
        <x:v>47.0021</x:v>
      </x:c>
      <x:c r="P802" s="235" t="n">
        <x:v>47.0021</x:v>
      </x:c>
      <x:c r="Q802" s="235" t="n">
        <x:v>0</x:v>
      </x:c>
      <x:c r="R802" s="235" t="str">
        <x:v>INVOICE_OR_PLAN</x:v>
      </x:c>
      <x:c r="S802" s="238" t="n">
        <x:f>'Model_Calc'!BA137</x:f>
        <x:v>47.00207203070633</x:v>
      </x:c>
      <x:c r="T802" s="238" t="n">
        <x:f>ROUND(S802-O802,4)</x:f>
        <x:v>0</x:v>
      </x:c>
    </x:row>
    <x:row r="803">
      <x:c r="A803" s="187" t="str">
        <x:v>ACTUAL_2026_08_CLOSE_V1</x:v>
      </x:c>
      <x:c r="B803" s="187" t="str">
        <x:v>ACTUAL</x:v>
      </x:c>
      <x:c r="C803" s="187"/>
      <x:c r="D803" s="217" t="n">
        <x:v>46054</x:v>
      </x:c>
      <x:c r="E803" s="187" t="str">
        <x:v>R_FR_FR_A_ROAD</x:v>
      </x:c>
      <x:c r="F803" s="187" t="str">
        <x:v>FR</x:v>
      </x:c>
      <x:c r="G803" s="187" t="str">
        <x:v>FR_FC</x:v>
      </x:c>
      <x:c r="H803" s="187" t="str">
        <x:v>CARRIER_A</x:v>
      </x:c>
      <x:c r="I803" s="187" t="str">
        <x:v>ROAD</x:v>
      </x:c>
      <x:c r="J803" s="187" t="str">
        <x:v>BASE_FREIGHT</x:v>
      </x:c>
      <x:c r="K803" s="187" t="str">
        <x:v>EUR</x:v>
      </x:c>
      <x:c r="L803" s="232" t="n">
        <x:v>2642.586843065174</x:v>
      </x:c>
      <x:c r="M803" s="232" t="n">
        <x:v>7.76</x:v>
      </x:c>
      <x:c r="N803" s="187" t="str">
        <x:v>20506.4739021857487252480000</x:v>
      </x:c>
      <x:c r="O803" s="235" t="n">
        <x:v>20506.4739</x:v>
      </x:c>
      <x:c r="P803" s="235" t="n">
        <x:v>20506.4739</x:v>
      </x:c>
      <x:c r="Q803" s="235" t="n">
        <x:v>0</x:v>
      </x:c>
      <x:c r="R803" s="235" t="str">
        <x:v>INVOICE_OR_PLAN</x:v>
      </x:c>
      <x:c r="S803" s="238" t="n">
        <x:f>'Model_Calc'!AF138</x:f>
        <x:v>20506.473902185746</x:v>
      </x:c>
      <x:c r="T803" s="238" t="n">
        <x:f>ROUND(S803-O803,4)</x:f>
        <x:v>0</x:v>
      </x:c>
    </x:row>
    <x:row r="804">
      <x:c r="A804" s="187" t="str">
        <x:v>ACTUAL_2026_08_CLOSE_V1</x:v>
      </x:c>
      <x:c r="B804" s="187" t="str">
        <x:v>ACTUAL</x:v>
      </x:c>
      <x:c r="C804" s="187"/>
      <x:c r="D804" s="217" t="n">
        <x:v>46054</x:v>
      </x:c>
      <x:c r="E804" s="187" t="str">
        <x:v>R_FR_FR_A_ROAD</x:v>
      </x:c>
      <x:c r="F804" s="187" t="str">
        <x:v>FR</x:v>
      </x:c>
      <x:c r="G804" s="187" t="str">
        <x:v>FR_FC</x:v>
      </x:c>
      <x:c r="H804" s="187" t="str">
        <x:v>CARRIER_A</x:v>
      </x:c>
      <x:c r="I804" s="187" t="str">
        <x:v>ROAD</x:v>
      </x:c>
      <x:c r="J804" s="187" t="str">
        <x:v>FUEL_SURCHARGE</x:v>
      </x:c>
      <x:c r="K804" s="187" t="str">
        <x:v>EUR</x:v>
      </x:c>
      <x:c r="L804" s="232" t="n">
        <x:v>238.7841471393691</x:v>
      </x:c>
      <x:c r="M804" s="232" t="n">
        <x:v>7.76</x:v>
      </x:c>
      <x:c r="N804" s="187" t="str">
        <x:v>1852.9649818015042548134092800000</x:v>
      </x:c>
      <x:c r="O804" s="235" t="n">
        <x:v>1852.965</x:v>
      </x:c>
      <x:c r="P804" s="235" t="n">
        <x:v>1852.965</x:v>
      </x:c>
      <x:c r="Q804" s="235" t="n">
        <x:v>0</x:v>
      </x:c>
      <x:c r="R804" s="235" t="str">
        <x:v>INVOICE_OR_PLAN</x:v>
      </x:c>
      <x:c r="S804" s="238" t="n">
        <x:f>'Model_Calc'!AG138</x:f>
        <x:v>1852.964981801504</x:v>
      </x:c>
      <x:c r="T804" s="238" t="n">
        <x:f>ROUND(S804-O804,4)</x:f>
        <x:v>0</x:v>
      </x:c>
    </x:row>
    <x:row r="805">
      <x:c r="A805" s="187" t="str">
        <x:v>ACTUAL_2026_08_CLOSE_V1</x:v>
      </x:c>
      <x:c r="B805" s="187" t="str">
        <x:v>ACTUAL</x:v>
      </x:c>
      <x:c r="C805" s="187"/>
      <x:c r="D805" s="217" t="n">
        <x:v>46054</x:v>
      </x:c>
      <x:c r="E805" s="187" t="str">
        <x:v>R_FR_FR_A_ROAD</x:v>
      </x:c>
      <x:c r="F805" s="187" t="str">
        <x:v>FR</x:v>
      </x:c>
      <x:c r="G805" s="187" t="str">
        <x:v>FR_FC</x:v>
      </x:c>
      <x:c r="H805" s="187" t="str">
        <x:v>CARRIER_A</x:v>
      </x:c>
      <x:c r="I805" s="187" t="str">
        <x:v>ROAD</x:v>
      </x:c>
      <x:c r="J805" s="187" t="str">
        <x:v>WAREHOUSE_OPERATION</x:v>
      </x:c>
      <x:c r="K805" s="187" t="str">
        <x:v>EUR</x:v>
      </x:c>
      <x:c r="L805" s="232" t="n">
        <x:v>1630.3456008</x:v>
      </x:c>
      <x:c r="M805" s="232" t="n">
        <x:v>7.76</x:v>
      </x:c>
      <x:c r="N805" s="187" t="str">
        <x:v>12651.481862208000</x:v>
      </x:c>
      <x:c r="O805" s="235" t="n">
        <x:v>12651.4819</x:v>
      </x:c>
      <x:c r="P805" s="235" t="n">
        <x:v>12651.4819</x:v>
      </x:c>
      <x:c r="Q805" s="235" t="n">
        <x:v>0</x:v>
      </x:c>
      <x:c r="R805" s="235" t="str">
        <x:v>INVOICE_OR_PLAN</x:v>
      </x:c>
      <x:c r="S805" s="238" t="n">
        <x:f>'Model_Calc'!AL138</x:f>
        <x:v>12651.481862208</x:v>
      </x:c>
      <x:c r="T805" s="238" t="n">
        <x:f>ROUND(S805-O805,4)</x:f>
        <x:v>0</x:v>
      </x:c>
    </x:row>
    <x:row r="806">
      <x:c r="A806" s="187" t="str">
        <x:v>ACTUAL_2026_08_CLOSE_V1</x:v>
      </x:c>
      <x:c r="B806" s="187" t="str">
        <x:v>ACTUAL</x:v>
      </x:c>
      <x:c r="C806" s="187"/>
      <x:c r="D806" s="217" t="n">
        <x:v>46054</x:v>
      </x:c>
      <x:c r="E806" s="187" t="str">
        <x:v>R_FR_FR_A_ROAD</x:v>
      </x:c>
      <x:c r="F806" s="187" t="str">
        <x:v>FR</x:v>
      </x:c>
      <x:c r="G806" s="187" t="str">
        <x:v>FR_FC</x:v>
      </x:c>
      <x:c r="H806" s="187" t="str">
        <x:v>CARRIER_A</x:v>
      </x:c>
      <x:c r="I806" s="187" t="str">
        <x:v>ROAD</x:v>
      </x:c>
      <x:c r="J806" s="187" t="str">
        <x:v>PACKAGING</x:v>
      </x:c>
      <x:c r="K806" s="187" t="str">
        <x:v>EUR</x:v>
      </x:c>
      <x:c r="L806" s="232" t="n">
        <x:v>626.0570582954688</x:v>
      </x:c>
      <x:c r="M806" s="232" t="n">
        <x:v>7.76</x:v>
      </x:c>
      <x:c r="N806" s="187" t="str">
        <x:v>4858.20277237283788800</x:v>
      </x:c>
      <x:c r="O806" s="235" t="n">
        <x:v>4858.2028</x:v>
      </x:c>
      <x:c r="P806" s="235" t="n">
        <x:v>4858.2028</x:v>
      </x:c>
      <x:c r="Q806" s="235" t="n">
        <x:v>0</x:v>
      </x:c>
      <x:c r="R806" s="235" t="str">
        <x:v>INVOICE_OR_PLAN</x:v>
      </x:c>
      <x:c r="S806" s="238" t="n">
        <x:f>'Model_Calc'!AQ138</x:f>
        <x:v>4858.202772372838</x:v>
      </x:c>
      <x:c r="T806" s="238" t="n">
        <x:f>ROUND(S806-O806,4)</x:f>
        <x:v>0</x:v>
      </x:c>
    </x:row>
    <x:row r="807">
      <x:c r="A807" s="187" t="str">
        <x:v>ACTUAL_2026_08_CLOSE_V1</x:v>
      </x:c>
      <x:c r="B807" s="187" t="str">
        <x:v>ACTUAL</x:v>
      </x:c>
      <x:c r="C807" s="187"/>
      <x:c r="D807" s="217" t="n">
        <x:v>46054</x:v>
      </x:c>
      <x:c r="E807" s="187" t="str">
        <x:v>R_FR_FR_A_ROAD</x:v>
      </x:c>
      <x:c r="F807" s="187" t="str">
        <x:v>FR</x:v>
      </x:c>
      <x:c r="G807" s="187" t="str">
        <x:v>FR_FC</x:v>
      </x:c>
      <x:c r="H807" s="187" t="str">
        <x:v>CARRIER_A</x:v>
      </x:c>
      <x:c r="I807" s="187" t="str">
        <x:v>ROAD</x:v>
      </x:c>
      <x:c r="J807" s="187" t="str">
        <x:v>RETURN_LOGISTICS</x:v>
      </x:c>
      <x:c r="K807" s="187" t="str">
        <x:v>EUR</x:v>
      </x:c>
      <x:c r="L807" s="232" t="n">
        <x:v>279.48781728</x:v>
      </x:c>
      <x:c r="M807" s="232" t="n">
        <x:v>7.76</x:v>
      </x:c>
      <x:c r="N807" s="187" t="str">
        <x:v>2168.825462092800000</x:v>
      </x:c>
      <x:c r="O807" s="235" t="n">
        <x:v>2168.8255</x:v>
      </x:c>
      <x:c r="P807" s="235" t="n">
        <x:v>2168.8255</x:v>
      </x:c>
      <x:c r="Q807" s="235" t="n">
        <x:v>0</x:v>
      </x:c>
      <x:c r="R807" s="235" t="str">
        <x:v>INVOICE_OR_PLAN</x:v>
      </x:c>
      <x:c r="S807" s="238" t="n">
        <x:f>'Model_Calc'!AV138</x:f>
        <x:v>2168.8254620928</x:v>
      </x:c>
      <x:c r="T807" s="238" t="n">
        <x:f>ROUND(S807-O807,4)</x:f>
        <x:v>0</x:v>
      </x:c>
    </x:row>
    <x:row r="808">
      <x:c r="A808" s="187" t="str">
        <x:v>ACTUAL_2026_08_CLOSE_V1</x:v>
      </x:c>
      <x:c r="B808" s="187" t="str">
        <x:v>ACTUAL</x:v>
      </x:c>
      <x:c r="C808" s="187"/>
      <x:c r="D808" s="217" t="n">
        <x:v>46054</x:v>
      </x:c>
      <x:c r="E808" s="187" t="str">
        <x:v>R_FR_FR_A_ROAD</x:v>
      </x:c>
      <x:c r="F808" s="187" t="str">
        <x:v>FR</x:v>
      </x:c>
      <x:c r="G808" s="187" t="str">
        <x:v>FR_FC</x:v>
      </x:c>
      <x:c r="H808" s="187" t="str">
        <x:v>CARRIER_A</x:v>
      </x:c>
      <x:c r="I808" s="187" t="str">
        <x:v>ROAD</x:v>
      </x:c>
      <x:c r="J808" s="187" t="str">
        <x:v>BILLABLE_EXCEPTION</x:v>
      </x:c>
      <x:c r="K808" s="187" t="str">
        <x:v>EUR</x:v>
      </x:c>
      <x:c r="L808" s="232" t="n">
        <x:v>65.70633578668391</x:v>
      </x:c>
      <x:c r="M808" s="232" t="n">
        <x:v>7.76</x:v>
      </x:c>
      <x:c r="N808" s="187" t="str">
        <x:v>509.8811657046671596032000</x:v>
      </x:c>
      <x:c r="O808" s="235" t="n">
        <x:v>509.8812</x:v>
      </x:c>
      <x:c r="P808" s="235" t="n">
        <x:v>509.8812</x:v>
      </x:c>
      <x:c r="Q808" s="235" t="n">
        <x:v>0</x:v>
      </x:c>
      <x:c r="R808" s="235" t="str">
        <x:v>INVOICE_OR_PLAN</x:v>
      </x:c>
      <x:c r="S808" s="238" t="n">
        <x:f>'Model_Calc'!BA138</x:f>
        <x:v>509.8811657046671</x:v>
      </x:c>
      <x:c r="T808" s="238" t="n">
        <x:f>ROUND(S808-O808,4)</x:f>
        <x:v>0</x:v>
      </x:c>
    </x:row>
    <x:row r="809">
      <x:c r="A809" s="187" t="str">
        <x:v>ACTUAL_2026_08_CLOSE_V1</x:v>
      </x:c>
      <x:c r="B809" s="187" t="str">
        <x:v>ACTUAL</x:v>
      </x:c>
      <x:c r="C809" s="187"/>
      <x:c r="D809" s="217" t="n">
        <x:v>46054</x:v>
      </x:c>
      <x:c r="E809" s="187" t="str">
        <x:v>R_FR_FR_B_ROAD</x:v>
      </x:c>
      <x:c r="F809" s="187" t="str">
        <x:v>FR</x:v>
      </x:c>
      <x:c r="G809" s="187" t="str">
        <x:v>FR_FC</x:v>
      </x:c>
      <x:c r="H809" s="187" t="str">
        <x:v>CARRIER_B</x:v>
      </x:c>
      <x:c r="I809" s="187" t="str">
        <x:v>ROAD</x:v>
      </x:c>
      <x:c r="J809" s="187" t="str">
        <x:v>BASE_FREIGHT</x:v>
      </x:c>
      <x:c r="K809" s="187" t="str">
        <x:v>EUR</x:v>
      </x:c>
      <x:c r="L809" s="232" t="n">
        <x:v>6316.000168593472</x:v>
      </x:c>
      <x:c r="M809" s="232" t="n">
        <x:v>7.76</x:v>
      </x:c>
      <x:c r="N809" s="187" t="str">
        <x:v>49012.1613082853439367680000</x:v>
      </x:c>
      <x:c r="O809" s="235" t="n">
        <x:v>49012.1613</x:v>
      </x:c>
      <x:c r="P809" s="235" t="n">
        <x:v>49012.1613</x:v>
      </x:c>
      <x:c r="Q809" s="235" t="n">
        <x:v>0</x:v>
      </x:c>
      <x:c r="R809" s="235" t="str">
        <x:v>INVOICE_OR_PLAN</x:v>
      </x:c>
      <x:c r="S809" s="238" t="n">
        <x:f>'Model_Calc'!AF139</x:f>
        <x:v>49012.161308285344</x:v>
      </x:c>
      <x:c r="T809" s="238" t="n">
        <x:f>ROUND(S809-O809,4)</x:f>
        <x:v>0</x:v>
      </x:c>
    </x:row>
    <x:row r="810">
      <x:c r="A810" s="187" t="str">
        <x:v>ACTUAL_2026_08_CLOSE_V1</x:v>
      </x:c>
      <x:c r="B810" s="187" t="str">
        <x:v>ACTUAL</x:v>
      </x:c>
      <x:c r="C810" s="187"/>
      <x:c r="D810" s="217" t="n">
        <x:v>46054</x:v>
      </x:c>
      <x:c r="E810" s="187" t="str">
        <x:v>R_FR_FR_B_ROAD</x:v>
      </x:c>
      <x:c r="F810" s="187" t="str">
        <x:v>FR</x:v>
      </x:c>
      <x:c r="G810" s="187" t="str">
        <x:v>FR_FC</x:v>
      </x:c>
      <x:c r="H810" s="187" t="str">
        <x:v>CARRIER_B</x:v>
      </x:c>
      <x:c r="I810" s="187" t="str">
        <x:v>ROAD</x:v>
      </x:c>
      <x:c r="J810" s="187" t="str">
        <x:v>FUEL_SURCHARGE</x:v>
      </x:c>
      <x:c r="K810" s="187" t="str">
        <x:v>EUR</x:v>
      </x:c>
      <x:c r="L810" s="232" t="n">
        <x:v>485.84616681488245</x:v>
      </x:c>
      <x:c r="M810" s="232" t="n">
        <x:v>7.76</x:v>
      </x:c>
      <x:c r="N810" s="187" t="str">
        <x:v>3770.1662544834879951360000</x:v>
      </x:c>
      <x:c r="O810" s="235" t="n">
        <x:v>3770.1663</x:v>
      </x:c>
      <x:c r="P810" s="235" t="n">
        <x:v>3770.1663</x:v>
      </x:c>
      <x:c r="Q810" s="235" t="n">
        <x:v>0</x:v>
      </x:c>
      <x:c r="R810" s="235" t="str">
        <x:v>INVOICE_OR_PLAN</x:v>
      </x:c>
      <x:c r="S810" s="238" t="n">
        <x:f>'Model_Calc'!AG139</x:f>
        <x:v>3770.166254483488</x:v>
      </x:c>
      <x:c r="T810" s="238" t="n">
        <x:f>ROUND(S810-O810,4)</x:f>
        <x:v>0</x:v>
      </x:c>
    </x:row>
    <x:row r="811">
      <x:c r="A811" s="187" t="str">
        <x:v>ACTUAL_2026_08_CLOSE_V1</x:v>
      </x:c>
      <x:c r="B811" s="187" t="str">
        <x:v>ACTUAL</x:v>
      </x:c>
      <x:c r="C811" s="187"/>
      <x:c r="D811" s="217" t="n">
        <x:v>46054</x:v>
      </x:c>
      <x:c r="E811" s="187" t="str">
        <x:v>R_FR_FR_B_ROAD</x:v>
      </x:c>
      <x:c r="F811" s="187" t="str">
        <x:v>FR</x:v>
      </x:c>
      <x:c r="G811" s="187" t="str">
        <x:v>FR_FC</x:v>
      </x:c>
      <x:c r="H811" s="187" t="str">
        <x:v>CARRIER_B</x:v>
      </x:c>
      <x:c r="I811" s="187" t="str">
        <x:v>ROAD</x:v>
      </x:c>
      <x:c r="J811" s="187" t="str">
        <x:v>WAREHOUSE_OPERATION</x:v>
      </x:c>
      <x:c r="K811" s="187" t="str">
        <x:v>EUR</x:v>
      </x:c>
      <x:c r="L811" s="232" t="n">
        <x:v>3027.7846872</x:v>
      </x:c>
      <x:c r="M811" s="232" t="n">
        <x:v>7.76</x:v>
      </x:c>
      <x:c r="N811" s="187" t="str">
        <x:v>23495.609172672000</x:v>
      </x:c>
      <x:c r="O811" s="235" t="n">
        <x:v>23495.6092</x:v>
      </x:c>
      <x:c r="P811" s="235" t="n">
        <x:v>23495.6092</x:v>
      </x:c>
      <x:c r="Q811" s="235" t="n">
        <x:v>0</x:v>
      </x:c>
      <x:c r="R811" s="235" t="str">
        <x:v>INVOICE_OR_PLAN</x:v>
      </x:c>
      <x:c r="S811" s="238" t="n">
        <x:f>'Model_Calc'!AL139</x:f>
        <x:v>23495.609172672004</x:v>
      </x:c>
      <x:c r="T811" s="238" t="n">
        <x:f>ROUND(S811-O811,4)</x:f>
        <x:v>0</x:v>
      </x:c>
    </x:row>
    <x:row r="812">
      <x:c r="A812" s="187" t="str">
        <x:v>ACTUAL_2026_08_CLOSE_V1</x:v>
      </x:c>
      <x:c r="B812" s="187" t="str">
        <x:v>ACTUAL</x:v>
      </x:c>
      <x:c r="C812" s="187"/>
      <x:c r="D812" s="217" t="n">
        <x:v>46054</x:v>
      </x:c>
      <x:c r="E812" s="187" t="str">
        <x:v>R_FR_FR_B_ROAD</x:v>
      </x:c>
      <x:c r="F812" s="187" t="str">
        <x:v>FR</x:v>
      </x:c>
      <x:c r="G812" s="187" t="str">
        <x:v>FR_FC</x:v>
      </x:c>
      <x:c r="H812" s="187" t="str">
        <x:v>CARRIER_B</x:v>
      </x:c>
      <x:c r="I812" s="187" t="str">
        <x:v>ROAD</x:v>
      </x:c>
      <x:c r="J812" s="187" t="str">
        <x:v>PACKAGING</x:v>
      </x:c>
      <x:c r="K812" s="187" t="str">
        <x:v>EUR</x:v>
      </x:c>
      <x:c r="L812" s="232" t="n">
        <x:v>1162.6773939772993</x:v>
      </x:c>
      <x:c r="M812" s="232" t="n">
        <x:v>7.76</x:v>
      </x:c>
      <x:c r="N812" s="187" t="str">
        <x:v>9022.37657726384179200</x:v>
      </x:c>
      <x:c r="O812" s="235" t="n">
        <x:v>9022.3766</x:v>
      </x:c>
      <x:c r="P812" s="235" t="n">
        <x:v>9022.3766</x:v>
      </x:c>
      <x:c r="Q812" s="235" t="n">
        <x:v>0</x:v>
      </x:c>
      <x:c r="R812" s="235" t="str">
        <x:v>INVOICE_OR_PLAN</x:v>
      </x:c>
      <x:c r="S812" s="238" t="n">
        <x:f>'Model_Calc'!AQ139</x:f>
        <x:v>9022.376577263842</x:v>
      </x:c>
      <x:c r="T812" s="238" t="n">
        <x:f>ROUND(S812-O812,4)</x:f>
        <x:v>0</x:v>
      </x:c>
    </x:row>
    <x:row r="813">
      <x:c r="A813" s="187" t="str">
        <x:v>ACTUAL_2026_08_CLOSE_V1</x:v>
      </x:c>
      <x:c r="B813" s="187" t="str">
        <x:v>ACTUAL</x:v>
      </x:c>
      <x:c r="C813" s="187"/>
      <x:c r="D813" s="217" t="n">
        <x:v>46054</x:v>
      </x:c>
      <x:c r="E813" s="187" t="str">
        <x:v>R_FR_FR_B_ROAD</x:v>
      </x:c>
      <x:c r="F813" s="187" t="str">
        <x:v>FR</x:v>
      </x:c>
      <x:c r="G813" s="187" t="str">
        <x:v>FR_FC</x:v>
      </x:c>
      <x:c r="H813" s="187" t="str">
        <x:v>CARRIER_B</x:v>
      </x:c>
      <x:c r="I813" s="187" t="str">
        <x:v>ROAD</x:v>
      </x:c>
      <x:c r="J813" s="187" t="str">
        <x:v>RETURN_LOGISTICS</x:v>
      </x:c>
      <x:c r="K813" s="187" t="str">
        <x:v>EUR</x:v>
      </x:c>
      <x:c r="L813" s="232" t="n">
        <x:v>519.04880352</x:v>
      </x:c>
      <x:c r="M813" s="232" t="n">
        <x:v>7.76</x:v>
      </x:c>
      <x:c r="N813" s="187" t="str">
        <x:v>4027.818715315200000</x:v>
      </x:c>
      <x:c r="O813" s="235" t="n">
        <x:v>4027.8187</x:v>
      </x:c>
      <x:c r="P813" s="235" t="n">
        <x:v>4027.8187</x:v>
      </x:c>
      <x:c r="Q813" s="235" t="n">
        <x:v>0</x:v>
      </x:c>
      <x:c r="R813" s="235" t="str">
        <x:v>INVOICE_OR_PLAN</x:v>
      </x:c>
      <x:c r="S813" s="238" t="n">
        <x:f>'Model_Calc'!AV139</x:f>
        <x:v>4027.8187153152007</x:v>
      </x:c>
      <x:c r="T813" s="238" t="n">
        <x:f>ROUND(S813-O813,4)</x:f>
        <x:v>0</x:v>
      </x:c>
    </x:row>
    <x:row r="814">
      <x:c r="A814" s="187" t="str">
        <x:v>ACTUAL_2026_08_CLOSE_V1</x:v>
      </x:c>
      <x:c r="B814" s="187" t="str">
        <x:v>ACTUAL</x:v>
      </x:c>
      <x:c r="C814" s="187"/>
      <x:c r="D814" s="217" t="n">
        <x:v>46054</x:v>
      </x:c>
      <x:c r="E814" s="187" t="str">
        <x:v>R_FR_FR_B_ROAD</x:v>
      </x:c>
      <x:c r="F814" s="187" t="str">
        <x:v>FR</x:v>
      </x:c>
      <x:c r="G814" s="187" t="str">
        <x:v>FR_FC</x:v>
      </x:c>
      <x:c r="H814" s="187" t="str">
        <x:v>CARRIER_B</x:v>
      </x:c>
      <x:c r="I814" s="187" t="str">
        <x:v>ROAD</x:v>
      </x:c>
      <x:c r="J814" s="187" t="str">
        <x:v>BILLABLE_EXCEPTION</x:v>
      </x:c>
      <x:c r="K814" s="187" t="str">
        <x:v>EUR</x:v>
      </x:c>
      <x:c r="L814" s="232" t="n">
        <x:v>100.49204296786951</x:v>
      </x:c>
      <x:c r="M814" s="232" t="n">
        <x:v>7.76</x:v>
      </x:c>
      <x:c r="N814" s="187" t="str">
        <x:v>779.8182534306674205696000</x:v>
      </x:c>
      <x:c r="O814" s="235" t="n">
        <x:v>779.8183</x:v>
      </x:c>
      <x:c r="P814" s="235" t="n">
        <x:v>779.8183</x:v>
      </x:c>
      <x:c r="Q814" s="235" t="n">
        <x:v>0</x:v>
      </x:c>
      <x:c r="R814" s="235" t="str">
        <x:v>INVOICE_OR_PLAN</x:v>
      </x:c>
      <x:c r="S814" s="238" t="n">
        <x:f>'Model_Calc'!BA139</x:f>
        <x:v>779.8182534306674</x:v>
      </x:c>
      <x:c r="T814" s="238" t="n">
        <x:f>ROUND(S814-O814,4)</x:f>
        <x:v>0</x:v>
      </x:c>
    </x:row>
    <x:row r="815">
      <x:c r="A815" s="187" t="str">
        <x:v>ACTUAL_2026_08_CLOSE_V1</x:v>
      </x:c>
      <x:c r="B815" s="187" t="str">
        <x:v>ACTUAL</x:v>
      </x:c>
      <x:c r="C815" s="187"/>
      <x:c r="D815" s="217" t="n">
        <x:v>46054</x:v>
      </x:c>
      <x:c r="E815" s="187" t="str">
        <x:v>R_GB_DE_A_ROAD</x:v>
      </x:c>
      <x:c r="F815" s="187" t="str">
        <x:v>GB</x:v>
      </x:c>
      <x:c r="G815" s="187" t="str">
        <x:v>DE_FC</x:v>
      </x:c>
      <x:c r="H815" s="187" t="str">
        <x:v>CARRIER_A</x:v>
      </x:c>
      <x:c r="I815" s="187" t="str">
        <x:v>ROAD</x:v>
      </x:c>
      <x:c r="J815" s="187" t="str">
        <x:v>BASE_FREIGHT</x:v>
      </x:c>
      <x:c r="K815" s="187" t="str">
        <x:v>GBP</x:v>
      </x:c>
      <x:c r="L815" s="232" t="n">
        <x:v>9883.63744805905</x:v>
      </x:c>
      <x:c r="M815" s="232" t="n">
        <x:v>9.02</x:v>
      </x:c>
      <x:c r="N815" s="187" t="str">
        <x:v>89150.409781492632185733120000</x:v>
      </x:c>
      <x:c r="O815" s="235" t="n">
        <x:v>89150.4098</x:v>
      </x:c>
      <x:c r="P815" s="235" t="n">
        <x:v>89150.4098</x:v>
      </x:c>
      <x:c r="Q815" s="235" t="n">
        <x:v>0</x:v>
      </x:c>
      <x:c r="R815" s="235" t="str">
        <x:v>INVOICE_OR_PLAN</x:v>
      </x:c>
      <x:c r="S815" s="238" t="n">
        <x:f>'Model_Calc'!AF140</x:f>
        <x:v>89150.4097814926</x:v>
      </x:c>
      <x:c r="T815" s="238" t="n">
        <x:f>ROUND(S815-O815,4)</x:f>
        <x:v>0</x:v>
      </x:c>
    </x:row>
    <x:row r="816">
      <x:c r="A816" s="187" t="str">
        <x:v>ACTUAL_2026_08_CLOSE_V1</x:v>
      </x:c>
      <x:c r="B816" s="187" t="str">
        <x:v>ACTUAL</x:v>
      </x:c>
      <x:c r="C816" s="187"/>
      <x:c r="D816" s="217" t="n">
        <x:v>46054</x:v>
      </x:c>
      <x:c r="E816" s="187" t="str">
        <x:v>R_GB_DE_A_ROAD</x:v>
      </x:c>
      <x:c r="F816" s="187" t="str">
        <x:v>GB</x:v>
      </x:c>
      <x:c r="G816" s="187" t="str">
        <x:v>DE_FC</x:v>
      </x:c>
      <x:c r="H816" s="187" t="str">
        <x:v>CARRIER_A</x:v>
      </x:c>
      <x:c r="I816" s="187" t="str">
        <x:v>ROAD</x:v>
      </x:c>
      <x:c r="J816" s="187" t="str">
        <x:v>FUEL_SURCHARGE</x:v>
      </x:c>
      <x:c r="K816" s="187" t="str">
        <x:v>GBP</x:v>
      </x:c>
      <x:c r="L816" s="232" t="n">
        <x:v>992.3171997851287</x:v>
      </x:c>
      <x:c r="M816" s="232" t="n">
        <x:v>9.02</x:v>
      </x:c>
      <x:c r="N816" s="187" t="str">
        <x:v>8950.701142061860271447605248000000</x:v>
      </x:c>
      <x:c r="O816" s="235" t="n">
        <x:v>8950.7011</x:v>
      </x:c>
      <x:c r="P816" s="235" t="n">
        <x:v>8950.7011</x:v>
      </x:c>
      <x:c r="Q816" s="235" t="n">
        <x:v>0</x:v>
      </x:c>
      <x:c r="R816" s="235" t="str">
        <x:v>INVOICE_OR_PLAN</x:v>
      </x:c>
      <x:c r="S816" s="238" t="n">
        <x:f>'Model_Calc'!AG140</x:f>
        <x:v>8950.701142061858</x:v>
      </x:c>
      <x:c r="T816" s="238" t="n">
        <x:f>ROUND(S816-O816,4)</x:f>
        <x:v>0</x:v>
      </x:c>
    </x:row>
    <x:row r="817">
      <x:c r="A817" s="187" t="str">
        <x:v>ACTUAL_2026_08_CLOSE_V1</x:v>
      </x:c>
      <x:c r="B817" s="187" t="str">
        <x:v>ACTUAL</x:v>
      </x:c>
      <x:c r="C817" s="187"/>
      <x:c r="D817" s="217" t="n">
        <x:v>46054</x:v>
      </x:c>
      <x:c r="E817" s="187" t="str">
        <x:v>R_GB_DE_A_ROAD</x:v>
      </x:c>
      <x:c r="F817" s="187" t="str">
        <x:v>GB</x:v>
      </x:c>
      <x:c r="G817" s="187" t="str">
        <x:v>DE_FC</x:v>
      </x:c>
      <x:c r="H817" s="187" t="str">
        <x:v>CARRIER_A</x:v>
      </x:c>
      <x:c r="I817" s="187" t="str">
        <x:v>ROAD</x:v>
      </x:c>
      <x:c r="J817" s="187" t="str">
        <x:v>WAREHOUSE_OPERATION</x:v>
      </x:c>
      <x:c r="K817" s="187" t="str">
        <x:v>EUR</x:v>
      </x:c>
      <x:c r="L817" s="232" t="n">
        <x:v>2537.00012445696</x:v>
      </x:c>
      <x:c r="M817" s="232" t="n">
        <x:v>7.76</x:v>
      </x:c>
      <x:c r="N817" s="187" t="str">
        <x:v>19687.12096578600960</x:v>
      </x:c>
      <x:c r="O817" s="235" t="n">
        <x:v>19687.121</x:v>
      </x:c>
      <x:c r="P817" s="235" t="n">
        <x:v>19687.121</x:v>
      </x:c>
      <x:c r="Q817" s="235" t="n">
        <x:v>0</x:v>
      </x:c>
      <x:c r="R817" s="235" t="str">
        <x:v>INVOICE_OR_PLAN</x:v>
      </x:c>
      <x:c r="S817" s="238" t="n">
        <x:f>'Model_Calc'!AL140</x:f>
        <x:v>19687.12096578601</x:v>
      </x:c>
      <x:c r="T817" s="238" t="n">
        <x:f>ROUND(S817-O817,4)</x:f>
        <x:v>0</x:v>
      </x:c>
    </x:row>
    <x:row r="818">
      <x:c r="A818" s="187" t="str">
        <x:v>ACTUAL_2026_08_CLOSE_V1</x:v>
      </x:c>
      <x:c r="B818" s="187" t="str">
        <x:v>ACTUAL</x:v>
      </x:c>
      <x:c r="C818" s="187"/>
      <x:c r="D818" s="217" t="n">
        <x:v>46054</x:v>
      </x:c>
      <x:c r="E818" s="187" t="str">
        <x:v>R_GB_DE_A_ROAD</x:v>
      </x:c>
      <x:c r="F818" s="187" t="str">
        <x:v>GB</x:v>
      </x:c>
      <x:c r="G818" s="187" t="str">
        <x:v>DE_FC</x:v>
      </x:c>
      <x:c r="H818" s="187" t="str">
        <x:v>CARRIER_A</x:v>
      </x:c>
      <x:c r="I818" s="187" t="str">
        <x:v>ROAD</x:v>
      </x:c>
      <x:c r="J818" s="187" t="str">
        <x:v>PACKAGING</x:v>
      </x:c>
      <x:c r="K818" s="187" t="str">
        <x:v>EUR</x:v>
      </x:c>
      <x:c r="L818" s="232" t="n">
        <x:v>1012.3714096636428</x:v>
      </x:c>
      <x:c r="M818" s="232" t="n">
        <x:v>7.76</x:v>
      </x:c>
      <x:c r="N818" s="187" t="str">
        <x:v>7856.0021389898683514880</x:v>
      </x:c>
      <x:c r="O818" s="235" t="n">
        <x:v>7856.0021</x:v>
      </x:c>
      <x:c r="P818" s="235" t="n">
        <x:v>7856.0021</x:v>
      </x:c>
      <x:c r="Q818" s="235" t="n">
        <x:v>0</x:v>
      </x:c>
      <x:c r="R818" s="235" t="str">
        <x:v>INVOICE_OR_PLAN</x:v>
      </x:c>
      <x:c r="S818" s="238" t="n">
        <x:f>'Model_Calc'!AQ140</x:f>
        <x:v>7856.002138989866</x:v>
      </x:c>
      <x:c r="T818" s="238" t="n">
        <x:f>ROUND(S818-O818,4)</x:f>
        <x:v>0</x:v>
      </x:c>
    </x:row>
    <x:row r="819">
      <x:c r="A819" s="187" t="str">
        <x:v>ACTUAL_2026_08_CLOSE_V1</x:v>
      </x:c>
      <x:c r="B819" s="187" t="str">
        <x:v>ACTUAL</x:v>
      </x:c>
      <x:c r="C819" s="187"/>
      <x:c r="D819" s="217" t="n">
        <x:v>46054</x:v>
      </x:c>
      <x:c r="E819" s="187" t="str">
        <x:v>R_GB_DE_A_ROAD</x:v>
      </x:c>
      <x:c r="F819" s="187" t="str">
        <x:v>GB</x:v>
      </x:c>
      <x:c r="G819" s="187" t="str">
        <x:v>DE_FC</x:v>
      </x:c>
      <x:c r="H819" s="187" t="str">
        <x:v>CARRIER_A</x:v>
      </x:c>
      <x:c r="I819" s="187" t="str">
        <x:v>ROAD</x:v>
      </x:c>
      <x:c r="J819" s="187" t="str">
        <x:v>RETURN_LOGISTICS</x:v>
      </x:c>
      <x:c r="K819" s="187" t="str">
        <x:v>GBP</x:v>
      </x:c>
      <x:c r="L819" s="232" t="n">
        <x:v>825.600040501248</x:v>
      </x:c>
      <x:c r="M819" s="232" t="n">
        <x:v>9.02</x:v>
      </x:c>
      <x:c r="N819" s="187" t="str">
        <x:v>7446.91236532125696000</x:v>
      </x:c>
      <x:c r="O819" s="235" t="n">
        <x:v>7446.9124</x:v>
      </x:c>
      <x:c r="P819" s="235" t="n">
        <x:v>7446.9124</x:v>
      </x:c>
      <x:c r="Q819" s="235" t="n">
        <x:v>0</x:v>
      </x:c>
      <x:c r="R819" s="235" t="str">
        <x:v>INVOICE_OR_PLAN</x:v>
      </x:c>
      <x:c r="S819" s="238" t="n">
        <x:f>'Model_Calc'!AV140</x:f>
        <x:v>7446.912365321257</x:v>
      </x:c>
      <x:c r="T819" s="238" t="n">
        <x:f>ROUND(S819-O819,4)</x:f>
        <x:v>0</x:v>
      </x:c>
    </x:row>
    <x:row r="820">
      <x:c r="A820" s="187" t="str">
        <x:v>ACTUAL_2026_08_CLOSE_V1</x:v>
      </x:c>
      <x:c r="B820" s="187" t="str">
        <x:v>ACTUAL</x:v>
      </x:c>
      <x:c r="C820" s="187"/>
      <x:c r="D820" s="217" t="n">
        <x:v>46054</x:v>
      </x:c>
      <x:c r="E820" s="187" t="str">
        <x:v>R_GB_DE_A_ROAD</x:v>
      </x:c>
      <x:c r="F820" s="187" t="str">
        <x:v>GB</x:v>
      </x:c>
      <x:c r="G820" s="187" t="str">
        <x:v>DE_FC</x:v>
      </x:c>
      <x:c r="H820" s="187" t="str">
        <x:v>CARRIER_A</x:v>
      </x:c>
      <x:c r="I820" s="187" t="str">
        <x:v>ROAD</x:v>
      </x:c>
      <x:c r="J820" s="187" t="str">
        <x:v>BILLABLE_EXCEPTION</x:v>
      </x:c>
      <x:c r="K820" s="187" t="str">
        <x:v>GBP</x:v>
      </x:c>
      <x:c r="L820" s="232" t="n">
        <x:v>124.40598379895222</x:v>
      </x:c>
      <x:c r="M820" s="232" t="n">
        <x:v>9.02</x:v>
      </x:c>
      <x:c r="N820" s="187" t="str">
        <x:v>1122.141973866549051890073600</x:v>
      </x:c>
      <x:c r="O820" s="235" t="n">
        <x:v>1122.142</x:v>
      </x:c>
      <x:c r="P820" s="235" t="n">
        <x:v>1122.142</x:v>
      </x:c>
      <x:c r="Q820" s="235" t="n">
        <x:v>0</x:v>
      </x:c>
      <x:c r="R820" s="235" t="str">
        <x:v>INVOICE_OR_PLAN</x:v>
      </x:c>
      <x:c r="S820" s="238" t="n">
        <x:f>'Model_Calc'!BA140</x:f>
        <x:v>1122.1419738665488</x:v>
      </x:c>
      <x:c r="T820" s="238" t="n">
        <x:f>ROUND(S820-O820,4)</x:f>
        <x:v>0</x:v>
      </x:c>
    </x:row>
    <x:row r="821">
      <x:c r="A821" s="187" t="str">
        <x:v>ACTUAL_2026_08_CLOSE_V1</x:v>
      </x:c>
      <x:c r="B821" s="187" t="str">
        <x:v>ACTUAL</x:v>
      </x:c>
      <x:c r="C821" s="187"/>
      <x:c r="D821" s="217" t="n">
        <x:v>46054</x:v>
      </x:c>
      <x:c r="E821" s="187" t="str">
        <x:v>R_GB_DE_B_ROAD</x:v>
      </x:c>
      <x:c r="F821" s="187" t="str">
        <x:v>GB</x:v>
      </x:c>
      <x:c r="G821" s="187" t="str">
        <x:v>DE_FC</x:v>
      </x:c>
      <x:c r="H821" s="187" t="str">
        <x:v>CARRIER_B</x:v>
      </x:c>
      <x:c r="I821" s="187" t="str">
        <x:v>ROAD</x:v>
      </x:c>
      <x:c r="J821" s="187" t="str">
        <x:v>BASE_FREIGHT</x:v>
      </x:c>
      <x:c r="K821" s="187" t="str">
        <x:v>GBP</x:v>
      </x:c>
      <x:c r="L821" s="232" t="n">
        <x:v>4590.952720378473</x:v>
      </x:c>
      <x:c r="M821" s="232" t="n">
        <x:v>9.02</x:v>
      </x:c>
      <x:c r="N821" s="187" t="str">
        <x:v>41410.393537813821480960000000</x:v>
      </x:c>
      <x:c r="O821" s="235" t="n">
        <x:v>41410.3935</x:v>
      </x:c>
      <x:c r="P821" s="235" t="n">
        <x:v>41410.3935</x:v>
      </x:c>
      <x:c r="Q821" s="235" t="n">
        <x:v>0</x:v>
      </x:c>
      <x:c r="R821" s="235" t="str">
        <x:v>INVOICE_OR_PLAN</x:v>
      </x:c>
      <x:c r="S821" s="238" t="n">
        <x:f>'Model_Calc'!AF141</x:f>
        <x:v>41410.393537813805</x:v>
      </x:c>
      <x:c r="T821" s="238" t="n">
        <x:f>ROUND(S821-O821,4)</x:f>
        <x:v>0</x:v>
      </x:c>
    </x:row>
    <x:row r="822">
      <x:c r="A822" s="187" t="str">
        <x:v>ACTUAL_2026_08_CLOSE_V1</x:v>
      </x:c>
      <x:c r="B822" s="187" t="str">
        <x:v>ACTUAL</x:v>
      </x:c>
      <x:c r="C822" s="187"/>
      <x:c r="D822" s="217" t="n">
        <x:v>46054</x:v>
      </x:c>
      <x:c r="E822" s="187" t="str">
        <x:v>R_GB_DE_B_ROAD</x:v>
      </x:c>
      <x:c r="F822" s="187" t="str">
        <x:v>GB</x:v>
      </x:c>
      <x:c r="G822" s="187" t="str">
        <x:v>DE_FC</x:v>
      </x:c>
      <x:c r="H822" s="187" t="str">
        <x:v>CARRIER_B</x:v>
      </x:c>
      <x:c r="I822" s="187" t="str">
        <x:v>ROAD</x:v>
      </x:c>
      <x:c r="J822" s="187" t="str">
        <x:v>FUEL_SURCHARGE</x:v>
      </x:c>
      <x:c r="K822" s="187" t="str">
        <x:v>GBP</x:v>
      </x:c>
      <x:c r="L822" s="232" t="n">
        <x:v>322.3434888776374</x:v>
      </x:c>
      <x:c r="M822" s="232" t="n">
        <x:v>9.02</x:v>
      </x:c>
      <x:c r="N822" s="187" t="str">
        <x:v>2907.538269676289593344000000</x:v>
      </x:c>
      <x:c r="O822" s="235" t="n">
        <x:v>2907.5383</x:v>
      </x:c>
      <x:c r="P822" s="235" t="n">
        <x:v>2907.5383</x:v>
      </x:c>
      <x:c r="Q822" s="235" t="n">
        <x:v>0</x:v>
      </x:c>
      <x:c r="R822" s="235" t="str">
        <x:v>INVOICE_OR_PLAN</x:v>
      </x:c>
      <x:c r="S822" s="238" t="n">
        <x:f>'Model_Calc'!AG141</x:f>
        <x:v>2907.538269676289</x:v>
      </x:c>
      <x:c r="T822" s="238" t="n">
        <x:f>ROUND(S822-O822,4)</x:f>
        <x:v>0</x:v>
      </x:c>
    </x:row>
    <x:row r="823">
      <x:c r="A823" s="187" t="str">
        <x:v>ACTUAL_2026_08_CLOSE_V1</x:v>
      </x:c>
      <x:c r="B823" s="187" t="str">
        <x:v>ACTUAL</x:v>
      </x:c>
      <x:c r="C823" s="187"/>
      <x:c r="D823" s="217" t="n">
        <x:v>46054</x:v>
      </x:c>
      <x:c r="E823" s="187" t="str">
        <x:v>R_GB_DE_B_ROAD</x:v>
      </x:c>
      <x:c r="F823" s="187" t="str">
        <x:v>GB</x:v>
      </x:c>
      <x:c r="G823" s="187" t="str">
        <x:v>DE_FC</x:v>
      </x:c>
      <x:c r="H823" s="187" t="str">
        <x:v>CARRIER_B</x:v>
      </x:c>
      <x:c r="I823" s="187" t="str">
        <x:v>ROAD</x:v>
      </x:c>
      <x:c r="J823" s="187" t="str">
        <x:v>WAREHOUSE_OPERATION</x:v>
      </x:c>
      <x:c r="K823" s="187" t="str">
        <x:v>EUR</x:v>
      </x:c>
      <x:c r="L823" s="232" t="n">
        <x:v>1022.983921152</x:v>
      </x:c>
      <x:c r="M823" s="232" t="n">
        <x:v>7.76</x:v>
      </x:c>
      <x:c r="N823" s="187" t="str">
        <x:v>7938.35522813952000</x:v>
      </x:c>
      <x:c r="O823" s="235" t="n">
        <x:v>7938.3552</x:v>
      </x:c>
      <x:c r="P823" s="235" t="n">
        <x:v>7938.3552</x:v>
      </x:c>
      <x:c r="Q823" s="235" t="n">
        <x:v>0</x:v>
      </x:c>
      <x:c r="R823" s="235" t="str">
        <x:v>INVOICE_OR_PLAN</x:v>
      </x:c>
      <x:c r="S823" s="238" t="n">
        <x:f>'Model_Calc'!AL141</x:f>
        <x:v>7938.35522813952</x:v>
      </x:c>
      <x:c r="T823" s="238" t="n">
        <x:f>ROUND(S823-O823,4)</x:f>
        <x:v>0</x:v>
      </x:c>
    </x:row>
    <x:row r="824">
      <x:c r="A824" s="187" t="str">
        <x:v>ACTUAL_2026_08_CLOSE_V1</x:v>
      </x:c>
      <x:c r="B824" s="187" t="str">
        <x:v>ACTUAL</x:v>
      </x:c>
      <x:c r="C824" s="187"/>
      <x:c r="D824" s="217" t="n">
        <x:v>46054</x:v>
      </x:c>
      <x:c r="E824" s="187" t="str">
        <x:v>R_GB_DE_B_ROAD</x:v>
      </x:c>
      <x:c r="F824" s="187" t="str">
        <x:v>GB</x:v>
      </x:c>
      <x:c r="G824" s="187" t="str">
        <x:v>DE_FC</x:v>
      </x:c>
      <x:c r="H824" s="187" t="str">
        <x:v>CARRIER_B</x:v>
      </x:c>
      <x:c r="I824" s="187" t="str">
        <x:v>ROAD</x:v>
      </x:c>
      <x:c r="J824" s="187" t="str">
        <x:v>PACKAGING</x:v>
      </x:c>
      <x:c r="K824" s="187" t="str">
        <x:v>EUR</x:v>
      </x:c>
      <x:c r="L824" s="232" t="n">
        <x:v>408.21427809017854</x:v>
      </x:c>
      <x:c r="M824" s="232" t="n">
        <x:v>7.76</x:v>
      </x:c>
      <x:c r="N824" s="187" t="str">
        <x:v>3167.7427979797856256000</x:v>
      </x:c>
      <x:c r="O824" s="235" t="n">
        <x:v>3167.7428</x:v>
      </x:c>
      <x:c r="P824" s="235" t="n">
        <x:v>3167.7428</x:v>
      </x:c>
      <x:c r="Q824" s="235" t="n">
        <x:v>0</x:v>
      </x:c>
      <x:c r="R824" s="235" t="str">
        <x:v>INVOICE_OR_PLAN</x:v>
      </x:c>
      <x:c r="S824" s="238" t="n">
        <x:f>'Model_Calc'!AQ141</x:f>
        <x:v>3167.742797979785</x:v>
      </x:c>
      <x:c r="T824" s="238" t="n">
        <x:f>ROUND(S824-O824,4)</x:f>
        <x:v>0</x:v>
      </x:c>
    </x:row>
    <x:row r="825">
      <x:c r="A825" s="187" t="str">
        <x:v>ACTUAL_2026_08_CLOSE_V1</x:v>
      </x:c>
      <x:c r="B825" s="187" t="str">
        <x:v>ACTUAL</x:v>
      </x:c>
      <x:c r="C825" s="187"/>
      <x:c r="D825" s="217" t="n">
        <x:v>46054</x:v>
      </x:c>
      <x:c r="E825" s="187" t="str">
        <x:v>R_GB_DE_B_ROAD</x:v>
      </x:c>
      <x:c r="F825" s="187" t="str">
        <x:v>GB</x:v>
      </x:c>
      <x:c r="G825" s="187" t="str">
        <x:v>DE_FC</x:v>
      </x:c>
      <x:c r="H825" s="187" t="str">
        <x:v>CARRIER_B</x:v>
      </x:c>
      <x:c r="I825" s="187" t="str">
        <x:v>ROAD</x:v>
      </x:c>
      <x:c r="J825" s="187" t="str">
        <x:v>RETURN_LOGISTICS</x:v>
      </x:c>
      <x:c r="K825" s="187" t="str">
        <x:v>GBP</x:v>
      </x:c>
      <x:c r="L825" s="232" t="n">
        <x:v>332.9032421376</x:v>
      </x:c>
      <x:c r="M825" s="232" t="n">
        <x:v>9.02</x:v>
      </x:c>
      <x:c r="N825" s="187" t="str">
        <x:v>3002.78724408115200000</x:v>
      </x:c>
      <x:c r="O825" s="235" t="n">
        <x:v>3002.7872</x:v>
      </x:c>
      <x:c r="P825" s="235" t="n">
        <x:v>3002.7872</x:v>
      </x:c>
      <x:c r="Q825" s="235" t="n">
        <x:v>0</x:v>
      </x:c>
      <x:c r="R825" s="235" t="str">
        <x:v>INVOICE_OR_PLAN</x:v>
      </x:c>
      <x:c r="S825" s="238" t="n">
        <x:f>'Model_Calc'!AV141</x:f>
        <x:v>3002.7872440811516</x:v>
      </x:c>
      <x:c r="T825" s="238" t="n">
        <x:f>ROUND(S825-O825,4)</x:f>
        <x:v>0</x:v>
      </x:c>
    </x:row>
    <x:row r="826">
      <x:c r="A826" s="187" t="str">
        <x:v>ACTUAL_2026_08_CLOSE_V1</x:v>
      </x:c>
      <x:c r="B826" s="187" t="str">
        <x:v>ACTUAL</x:v>
      </x:c>
      <x:c r="C826" s="187"/>
      <x:c r="D826" s="217" t="n">
        <x:v>46054</x:v>
      </x:c>
      <x:c r="E826" s="187" t="str">
        <x:v>R_GB_DE_B_ROAD</x:v>
      </x:c>
      <x:c r="F826" s="187" t="str">
        <x:v>GB</x:v>
      </x:c>
      <x:c r="G826" s="187" t="str">
        <x:v>DE_FC</x:v>
      </x:c>
      <x:c r="H826" s="187" t="str">
        <x:v>CARRIER_B</x:v>
      </x:c>
      <x:c r="I826" s="187" t="str">
        <x:v>ROAD</x:v>
      </x:c>
      <x:c r="J826" s="187" t="str">
        <x:v>BILLABLE_EXCEPTION</x:v>
      </x:c>
      <x:c r="K826" s="187" t="str">
        <x:v>GBP</x:v>
      </x:c>
      <x:c r="L826" s="232" t="n">
        <x:v>38.76286152093453</x:v>
      </x:c>
      <x:c r="M826" s="232" t="n">
        <x:v>9.02</x:v>
      </x:c>
      <x:c r="N826" s="187" t="str">
        <x:v>349.641010918829433323520000</x:v>
      </x:c>
      <x:c r="O826" s="235" t="n">
        <x:v>349.641</x:v>
      </x:c>
      <x:c r="P826" s="235" t="n">
        <x:v>349.641</x:v>
      </x:c>
      <x:c r="Q826" s="235" t="n">
        <x:v>0</x:v>
      </x:c>
      <x:c r="R826" s="235" t="str">
        <x:v>INVOICE_OR_PLAN</x:v>
      </x:c>
      <x:c r="S826" s="238" t="n">
        <x:f>'Model_Calc'!BA141</x:f>
        <x:v>349.6410109188294</x:v>
      </x:c>
      <x:c r="T826" s="238" t="n">
        <x:f>ROUND(S826-O826,4)</x:f>
        <x:v>0</x:v>
      </x:c>
    </x:row>
    <x:row r="827">
      <x:c r="A827" s="187" t="str">
        <x:v>ACTUAL_2026_08_CLOSE_V1</x:v>
      </x:c>
      <x:c r="B827" s="187" t="str">
        <x:v>ACTUAL</x:v>
      </x:c>
      <x:c r="C827" s="187"/>
      <x:c r="D827" s="217" t="n">
        <x:v>46054</x:v>
      </x:c>
      <x:c r="E827" s="187" t="str">
        <x:v>R_GB_DE_B_AIR</x:v>
      </x:c>
      <x:c r="F827" s="187" t="str">
        <x:v>GB</x:v>
      </x:c>
      <x:c r="G827" s="187" t="str">
        <x:v>DE_FC</x:v>
      </x:c>
      <x:c r="H827" s="187" t="str">
        <x:v>CARRIER_B</x:v>
      </x:c>
      <x:c r="I827" s="187" t="str">
        <x:v>AIR</x:v>
      </x:c>
      <x:c r="J827" s="187" t="str">
        <x:v>BASE_FREIGHT</x:v>
      </x:c>
      <x:c r="K827" s="187" t="str">
        <x:v>GBP</x:v>
      </x:c>
      <x:c r="L827" s="232" t="n">
        <x:v>2049.4012943769503</x:v>
      </x:c>
      <x:c r="M827" s="232" t="n">
        <x:v>9.02</x:v>
      </x:c>
      <x:c r="N827" s="187" t="str">
        <x:v>18485.599675280089909100544000</x:v>
      </x:c>
      <x:c r="O827" s="235" t="n">
        <x:v>18485.5997</x:v>
      </x:c>
      <x:c r="P827" s="235" t="n">
        <x:v>18485.5997</x:v>
      </x:c>
      <x:c r="Q827" s="235" t="n">
        <x:v>0</x:v>
      </x:c>
      <x:c r="R827" s="235" t="str">
        <x:v>INVOICE_OR_PLAN</x:v>
      </x:c>
      <x:c r="S827" s="238" t="n">
        <x:f>'Model_Calc'!AF142</x:f>
        <x:v>18485.599675280086</x:v>
      </x:c>
      <x:c r="T827" s="238" t="n">
        <x:f>ROUND(S827-O827,4)</x:f>
        <x:v>0</x:v>
      </x:c>
    </x:row>
    <x:row r="828">
      <x:c r="A828" s="187" t="str">
        <x:v>ACTUAL_2026_08_CLOSE_V1</x:v>
      </x:c>
      <x:c r="B828" s="187" t="str">
        <x:v>ACTUAL</x:v>
      </x:c>
      <x:c r="C828" s="187"/>
      <x:c r="D828" s="217" t="n">
        <x:v>46054</x:v>
      </x:c>
      <x:c r="E828" s="187" t="str">
        <x:v>R_GB_DE_B_AIR</x:v>
      </x:c>
      <x:c r="F828" s="187" t="str">
        <x:v>GB</x:v>
      </x:c>
      <x:c r="G828" s="187" t="str">
        <x:v>DE_FC</x:v>
      </x:c>
      <x:c r="H828" s="187" t="str">
        <x:v>CARRIER_B</x:v>
      </x:c>
      <x:c r="I828" s="187" t="str">
        <x:v>AIR</x:v>
      </x:c>
      <x:c r="J828" s="187" t="str">
        <x:v>FUEL_SURCHARGE</x:v>
      </x:c>
      <x:c r="K828" s="187" t="str">
        <x:v>GBP</x:v>
      </x:c>
      <x:c r="L828" s="232" t="n">
        <x:v>236.62387344876265</x:v>
      </x:c>
      <x:c r="M828" s="232" t="n">
        <x:v>9.02</x:v>
      </x:c>
      <x:c r="N828" s="187" t="str">
        <x:v>2134.347338507839180904748810240000</x:v>
      </x:c>
      <x:c r="O828" s="235" t="n">
        <x:v>2134.3473</x:v>
      </x:c>
      <x:c r="P828" s="235" t="n">
        <x:v>2134.3473</x:v>
      </x:c>
      <x:c r="Q828" s="235" t="n">
        <x:v>0</x:v>
      </x:c>
      <x:c r="R828" s="235" t="str">
        <x:v>INVOICE_OR_PLAN</x:v>
      </x:c>
      <x:c r="S828" s="238" t="n">
        <x:f>'Model_Calc'!AG142</x:f>
        <x:v>2134.3473385078387</x:v>
      </x:c>
      <x:c r="T828" s="238" t="n">
        <x:f>ROUND(S828-O828,4)</x:f>
        <x:v>0</x:v>
      </x:c>
    </x:row>
    <x:row r="829">
      <x:c r="A829" s="187" t="str">
        <x:v>ACTUAL_2026_08_CLOSE_V1</x:v>
      </x:c>
      <x:c r="B829" s="187" t="str">
        <x:v>ACTUAL</x:v>
      </x:c>
      <x:c r="C829" s="187"/>
      <x:c r="D829" s="217" t="n">
        <x:v>46054</x:v>
      </x:c>
      <x:c r="E829" s="187" t="str">
        <x:v>R_GB_DE_B_AIR</x:v>
      </x:c>
      <x:c r="F829" s="187" t="str">
        <x:v>GB</x:v>
      </x:c>
      <x:c r="G829" s="187" t="str">
        <x:v>DE_FC</x:v>
      </x:c>
      <x:c r="H829" s="187" t="str">
        <x:v>CARRIER_B</x:v>
      </x:c>
      <x:c r="I829" s="187" t="str">
        <x:v>AIR</x:v>
      </x:c>
      <x:c r="J829" s="187" t="str">
        <x:v>WAREHOUSE_OPERATION</x:v>
      </x:c>
      <x:c r="K829" s="187" t="str">
        <x:v>EUR</x:v>
      </x:c>
      <x:c r="L829" s="232" t="n">
        <x:v>368.27421161472</x:v>
      </x:c>
      <x:c r="M829" s="232" t="n">
        <x:v>7.76</x:v>
      </x:c>
      <x:c r="N829" s="187" t="str">
        <x:v>2857.80788213022720</x:v>
      </x:c>
      <x:c r="O829" s="235" t="n">
        <x:v>2857.8079</x:v>
      </x:c>
      <x:c r="P829" s="235" t="n">
        <x:v>2857.8079</x:v>
      </x:c>
      <x:c r="Q829" s="235" t="n">
        <x:v>0</x:v>
      </x:c>
      <x:c r="R829" s="235" t="str">
        <x:v>INVOICE_OR_PLAN</x:v>
      </x:c>
      <x:c r="S829" s="238" t="n">
        <x:f>'Model_Calc'!AL142</x:f>
        <x:v>2857.8078821302265</x:v>
      </x:c>
      <x:c r="T829" s="238" t="n">
        <x:f>ROUND(S829-O829,4)</x:f>
        <x:v>0</x:v>
      </x:c>
    </x:row>
    <x:row r="830">
      <x:c r="A830" s="187" t="str">
        <x:v>ACTUAL_2026_08_CLOSE_V1</x:v>
      </x:c>
      <x:c r="B830" s="187" t="str">
        <x:v>ACTUAL</x:v>
      </x:c>
      <x:c r="C830" s="187"/>
      <x:c r="D830" s="217" t="n">
        <x:v>46054</x:v>
      </x:c>
      <x:c r="E830" s="187" t="str">
        <x:v>R_GB_DE_B_AIR</x:v>
      </x:c>
      <x:c r="F830" s="187" t="str">
        <x:v>GB</x:v>
      </x:c>
      <x:c r="G830" s="187" t="str">
        <x:v>DE_FC</x:v>
      </x:c>
      <x:c r="H830" s="187" t="str">
        <x:v>CARRIER_B</x:v>
      </x:c>
      <x:c r="I830" s="187" t="str">
        <x:v>AIR</x:v>
      </x:c>
      <x:c r="J830" s="187" t="str">
        <x:v>PACKAGING</x:v>
      </x:c>
      <x:c r="K830" s="187" t="str">
        <x:v>EUR</x:v>
      </x:c>
      <x:c r="L830" s="232" t="n">
        <x:v>146.9571401124643</x:v>
      </x:c>
      <x:c r="M830" s="232" t="n">
        <x:v>7.76</x:v>
      </x:c>
      <x:c r="N830" s="187" t="str">
        <x:v>1140.3874072727228252160</x:v>
      </x:c>
      <x:c r="O830" s="235" t="n">
        <x:v>1140.3874</x:v>
      </x:c>
      <x:c r="P830" s="235" t="n">
        <x:v>1140.3874</x:v>
      </x:c>
      <x:c r="Q830" s="235" t="n">
        <x:v>0</x:v>
      </x:c>
      <x:c r="R830" s="235" t="str">
        <x:v>INVOICE_OR_PLAN</x:v>
      </x:c>
      <x:c r="S830" s="238" t="n">
        <x:f>'Model_Calc'!AQ142</x:f>
        <x:v>1140.3874072727226</x:v>
      </x:c>
      <x:c r="T830" s="238" t="n">
        <x:f>ROUND(S830-O830,4)</x:f>
        <x:v>0</x:v>
      </x:c>
    </x:row>
    <x:row r="831">
      <x:c r="A831" s="187" t="str">
        <x:v>ACTUAL_2026_08_CLOSE_V1</x:v>
      </x:c>
      <x:c r="B831" s="187" t="str">
        <x:v>ACTUAL</x:v>
      </x:c>
      <x:c r="C831" s="187"/>
      <x:c r="D831" s="217" t="n">
        <x:v>46054</x:v>
      </x:c>
      <x:c r="E831" s="187" t="str">
        <x:v>R_GB_DE_B_AIR</x:v>
      </x:c>
      <x:c r="F831" s="187" t="str">
        <x:v>GB</x:v>
      </x:c>
      <x:c r="G831" s="187" t="str">
        <x:v>DE_FC</x:v>
      </x:c>
      <x:c r="H831" s="187" t="str">
        <x:v>CARRIER_B</x:v>
      </x:c>
      <x:c r="I831" s="187" t="str">
        <x:v>AIR</x:v>
      </x:c>
      <x:c r="J831" s="187" t="str">
        <x:v>RETURN_LOGISTICS</x:v>
      </x:c>
      <x:c r="K831" s="187" t="str">
        <x:v>GBP</x:v>
      </x:c>
      <x:c r="L831" s="232" t="n">
        <x:v>119.845167169536</x:v>
      </x:c>
      <x:c r="M831" s="232" t="n">
        <x:v>9.02</x:v>
      </x:c>
      <x:c r="N831" s="187" t="str">
        <x:v>1081.00340786921472000</x:v>
      </x:c>
      <x:c r="O831" s="235" t="n">
        <x:v>1081.0034</x:v>
      </x:c>
      <x:c r="P831" s="235" t="n">
        <x:v>1081.0034</x:v>
      </x:c>
      <x:c r="Q831" s="235" t="n">
        <x:v>0</x:v>
      </x:c>
      <x:c r="R831" s="235" t="str">
        <x:v>INVOICE_OR_PLAN</x:v>
      </x:c>
      <x:c r="S831" s="238" t="n">
        <x:f>'Model_Calc'!AV142</x:f>
        <x:v>1081.0034078692147</x:v>
      </x:c>
      <x:c r="T831" s="238" t="n">
        <x:f>ROUND(S831-O831,4)</x:f>
        <x:v>0</x:v>
      </x:c>
    </x:row>
    <x:row r="832">
      <x:c r="A832" s="187" t="str">
        <x:v>ACTUAL_2026_08_CLOSE_V1</x:v>
      </x:c>
      <x:c r="B832" s="187" t="str">
        <x:v>ACTUAL</x:v>
      </x:c>
      <x:c r="C832" s="187"/>
      <x:c r="D832" s="217" t="n">
        <x:v>46054</x:v>
      </x:c>
      <x:c r="E832" s="187" t="str">
        <x:v>R_GB_DE_B_AIR</x:v>
      </x:c>
      <x:c r="F832" s="187" t="str">
        <x:v>GB</x:v>
      </x:c>
      <x:c r="G832" s="187" t="str">
        <x:v>DE_FC</x:v>
      </x:c>
      <x:c r="H832" s="187" t="str">
        <x:v>CARRIER_B</x:v>
      </x:c>
      <x:c r="I832" s="187" t="str">
        <x:v>AIR</x:v>
      </x:c>
      <x:c r="J832" s="187" t="str">
        <x:v>BILLABLE_EXCEPTION</x:v>
      </x:c>
      <x:c r="K832" s="187" t="str">
        <x:v>GBP</x:v>
      </x:c>
      <x:c r="L832" s="232" t="n">
        <x:v>12.991011185941842</x:v>
      </x:c>
      <x:c r="M832" s="232" t="n">
        <x:v>9.02</x:v>
      </x:c>
      <x:c r="N832" s="187" t="str">
        <x:v>117.178920897195419290828800</x:v>
      </x:c>
      <x:c r="O832" s="235" t="n">
        <x:v>117.1789</x:v>
      </x:c>
      <x:c r="P832" s="235" t="n">
        <x:v>117.1789</x:v>
      </x:c>
      <x:c r="Q832" s="235" t="n">
        <x:v>0</x:v>
      </x:c>
      <x:c r="R832" s="235" t="str">
        <x:v>INVOICE_OR_PLAN</x:v>
      </x:c>
      <x:c r="S832" s="238" t="n">
        <x:f>'Model_Calc'!BA142</x:f>
        <x:v>117.17892089719537</x:v>
      </x:c>
      <x:c r="T832" s="238" t="n">
        <x:f>ROUND(S832-O832,4)</x:f>
        <x:v>0</x:v>
      </x:c>
    </x:row>
    <x:row r="833">
      <x:c r="A833" s="187" t="str">
        <x:v>ACTUAL_2026_08_CLOSE_V1</x:v>
      </x:c>
      <x:c r="B833" s="187" t="str">
        <x:v>ACTUAL</x:v>
      </x:c>
      <x:c r="C833" s="187"/>
      <x:c r="D833" s="217" t="n">
        <x:v>46054</x:v>
      </x:c>
      <x:c r="E833" s="187" t="str">
        <x:v>R_GB_DE_C_AIR</x:v>
      </x:c>
      <x:c r="F833" s="187" t="str">
        <x:v>GB</x:v>
      </x:c>
      <x:c r="G833" s="187" t="str">
        <x:v>DE_FC</x:v>
      </x:c>
      <x:c r="H833" s="187" t="str">
        <x:v>CARRIER_C</x:v>
      </x:c>
      <x:c r="I833" s="187" t="str">
        <x:v>AIR</x:v>
      </x:c>
      <x:c r="J833" s="187" t="str">
        <x:v>BASE_FREIGHT</x:v>
      </x:c>
      <x:c r="K833" s="187" t="str">
        <x:v>GBP</x:v>
      </x:c>
      <x:c r="L833" s="232" t="n">
        <x:v>1078.385490063369</x:v>
      </x:c>
      <x:c r="M833" s="232" t="n">
        <x:v>9.02</x:v>
      </x:c>
      <x:c r="N833" s="187" t="str">
        <x:v>9727.037120371587003187200000</x:v>
      </x:c>
      <x:c r="O833" s="235" t="n">
        <x:v>9727.0371</x:v>
      </x:c>
      <x:c r="P833" s="235" t="n">
        <x:v>9727.0371</x:v>
      </x:c>
      <x:c r="Q833" s="235" t="n">
        <x:v>0</x:v>
      </x:c>
      <x:c r="R833" s="235" t="str">
        <x:v>INVOICE_OR_PLAN</x:v>
      </x:c>
      <x:c r="S833" s="238" t="n">
        <x:f>'Model_Calc'!AF143</x:f>
        <x:v>9727.037120371584</x:v>
      </x:c>
      <x:c r="T833" s="238" t="n">
        <x:f>ROUND(S833-O833,4)</x:f>
        <x:v>0</x:v>
      </x:c>
    </x:row>
    <x:row r="834">
      <x:c r="A834" s="187" t="str">
        <x:v>ACTUAL_2026_08_CLOSE_V1</x:v>
      </x:c>
      <x:c r="B834" s="187" t="str">
        <x:v>ACTUAL</x:v>
      </x:c>
      <x:c r="C834" s="187"/>
      <x:c r="D834" s="217" t="n">
        <x:v>46054</x:v>
      </x:c>
      <x:c r="E834" s="187" t="str">
        <x:v>R_GB_DE_C_AIR</x:v>
      </x:c>
      <x:c r="F834" s="187" t="str">
        <x:v>GB</x:v>
      </x:c>
      <x:c r="G834" s="187" t="str">
        <x:v>DE_FC</x:v>
      </x:c>
      <x:c r="H834" s="187" t="str">
        <x:v>CARRIER_C</x:v>
      </x:c>
      <x:c r="I834" s="187" t="str">
        <x:v>AIR</x:v>
      </x:c>
      <x:c r="J834" s="187" t="str">
        <x:v>FUEL_SURCHARGE</x:v>
      </x:c>
      <x:c r="K834" s="187" t="str">
        <x:v>GBP</x:v>
      </x:c>
      <x:c r="L834" s="232" t="n">
        <x:v>83.39514456490052</x:v>
      </x:c>
      <x:c r="M834" s="232" t="n">
        <x:v>9.02</x:v>
      </x:c>
      <x:c r="N834" s="187" t="str">
        <x:v>752.224203975402728246476800</x:v>
      </x:c>
      <x:c r="O834" s="235" t="n">
        <x:v>752.2242</x:v>
      </x:c>
      <x:c r="P834" s="235" t="n">
        <x:v>752.2242</x:v>
      </x:c>
      <x:c r="Q834" s="235" t="n">
        <x:v>0</x:v>
      </x:c>
      <x:c r="R834" s="235" t="str">
        <x:v>INVOICE_OR_PLAN</x:v>
      </x:c>
      <x:c r="S834" s="238" t="n">
        <x:f>'Model_Calc'!AG143</x:f>
        <x:v>752.2242039754024</x:v>
      </x:c>
      <x:c r="T834" s="238" t="n">
        <x:f>ROUND(S834-O834,4)</x:f>
        <x:v>0</x:v>
      </x:c>
    </x:row>
    <x:row r="835">
      <x:c r="A835" s="187" t="str">
        <x:v>ACTUAL_2026_08_CLOSE_V1</x:v>
      </x:c>
      <x:c r="B835" s="187" t="str">
        <x:v>ACTUAL</x:v>
      </x:c>
      <x:c r="C835" s="187"/>
      <x:c r="D835" s="217" t="n">
        <x:v>46054</x:v>
      </x:c>
      <x:c r="E835" s="187" t="str">
        <x:v>R_GB_DE_C_AIR</x:v>
      </x:c>
      <x:c r="F835" s="187" t="str">
        <x:v>GB</x:v>
      </x:c>
      <x:c r="G835" s="187" t="str">
        <x:v>DE_FC</x:v>
      </x:c>
      <x:c r="H835" s="187" t="str">
        <x:v>CARRIER_C</x:v>
      </x:c>
      <x:c r="I835" s="187" t="str">
        <x:v>AIR</x:v>
      </x:c>
      <x:c r="J835" s="187" t="str">
        <x:v>WAREHOUSE_OPERATION</x:v>
      </x:c>
      <x:c r="K835" s="187" t="str">
        <x:v>EUR</x:v>
      </x:c>
      <x:c r="L835" s="232" t="n">
        <x:v>163.67742738432</x:v>
      </x:c>
      <x:c r="M835" s="232" t="n">
        <x:v>7.76</x:v>
      </x:c>
      <x:c r="N835" s="187" t="str">
        <x:v>1270.13683650232320</x:v>
      </x:c>
      <x:c r="O835" s="235" t="n">
        <x:v>1270.1368</x:v>
      </x:c>
      <x:c r="P835" s="235" t="n">
        <x:v>1270.1368</x:v>
      </x:c>
      <x:c r="Q835" s="235" t="n">
        <x:v>0</x:v>
      </x:c>
      <x:c r="R835" s="235" t="str">
        <x:v>INVOICE_OR_PLAN</x:v>
      </x:c>
      <x:c r="S835" s="238" t="n">
        <x:f>'Model_Calc'!AL143</x:f>
        <x:v>1270.136836502323</x:v>
      </x:c>
      <x:c r="T835" s="238" t="n">
        <x:f>ROUND(S835-O835,4)</x:f>
        <x:v>0</x:v>
      </x:c>
    </x:row>
    <x:row r="836">
      <x:c r="A836" s="187" t="str">
        <x:v>ACTUAL_2026_08_CLOSE_V1</x:v>
      </x:c>
      <x:c r="B836" s="187" t="str">
        <x:v>ACTUAL</x:v>
      </x:c>
      <x:c r="C836" s="187"/>
      <x:c r="D836" s="217" t="n">
        <x:v>46054</x:v>
      </x:c>
      <x:c r="E836" s="187" t="str">
        <x:v>R_GB_DE_C_AIR</x:v>
      </x:c>
      <x:c r="F836" s="187" t="str">
        <x:v>GB</x:v>
      </x:c>
      <x:c r="G836" s="187" t="str">
        <x:v>DE_FC</x:v>
      </x:c>
      <x:c r="H836" s="187" t="str">
        <x:v>CARRIER_C</x:v>
      </x:c>
      <x:c r="I836" s="187" t="str">
        <x:v>AIR</x:v>
      </x:c>
      <x:c r="J836" s="187" t="str">
        <x:v>PACKAGING</x:v>
      </x:c>
      <x:c r="K836" s="187" t="str">
        <x:v>EUR</x:v>
      </x:c>
      <x:c r="L836" s="232" t="n">
        <x:v>65.31428449442856</x:v>
      </x:c>
      <x:c r="M836" s="232" t="n">
        <x:v>7.76</x:v>
      </x:c>
      <x:c r="N836" s="187" t="str">
        <x:v>506.8388476767657000960</x:v>
      </x:c>
      <x:c r="O836" s="235" t="n">
        <x:v>506.8388</x:v>
      </x:c>
      <x:c r="P836" s="235" t="n">
        <x:v>506.8388</x:v>
      </x:c>
      <x:c r="Q836" s="235" t="n">
        <x:v>0</x:v>
      </x:c>
      <x:c r="R836" s="235" t="str">
        <x:v>INVOICE_OR_PLAN</x:v>
      </x:c>
      <x:c r="S836" s="238" t="n">
        <x:f>'Model_Calc'!AQ143</x:f>
        <x:v>506.8388476767655</x:v>
      </x:c>
      <x:c r="T836" s="238" t="n">
        <x:f>ROUND(S836-O836,4)</x:f>
        <x:v>0</x:v>
      </x:c>
    </x:row>
    <x:row r="837">
      <x:c r="A837" s="187" t="str">
        <x:v>ACTUAL_2026_08_CLOSE_V1</x:v>
      </x:c>
      <x:c r="B837" s="187" t="str">
        <x:v>ACTUAL</x:v>
      </x:c>
      <x:c r="C837" s="187"/>
      <x:c r="D837" s="217" t="n">
        <x:v>46054</x:v>
      </x:c>
      <x:c r="E837" s="187" t="str">
        <x:v>R_GB_DE_C_AIR</x:v>
      </x:c>
      <x:c r="F837" s="187" t="str">
        <x:v>GB</x:v>
      </x:c>
      <x:c r="G837" s="187" t="str">
        <x:v>DE_FC</x:v>
      </x:c>
      <x:c r="H837" s="187" t="str">
        <x:v>CARRIER_C</x:v>
      </x:c>
      <x:c r="I837" s="187" t="str">
        <x:v>AIR</x:v>
      </x:c>
      <x:c r="J837" s="187" t="str">
        <x:v>RETURN_LOGISTICS</x:v>
      </x:c>
      <x:c r="K837" s="187" t="str">
        <x:v>GBP</x:v>
      </x:c>
      <x:c r="L837" s="232" t="n">
        <x:v>53.264518742016</x:v>
      </x:c>
      <x:c r="M837" s="232" t="n">
        <x:v>9.02</x:v>
      </x:c>
      <x:c r="N837" s="187" t="str">
        <x:v>480.44595905298432000</x:v>
      </x:c>
      <x:c r="O837" s="235" t="n">
        <x:v>480.446</x:v>
      </x:c>
      <x:c r="P837" s="235" t="n">
        <x:v>480.446</x:v>
      </x:c>
      <x:c r="Q837" s="235" t="n">
        <x:v>0</x:v>
      </x:c>
      <x:c r="R837" s="235" t="str">
        <x:v>INVOICE_OR_PLAN</x:v>
      </x:c>
      <x:c r="S837" s="238" t="n">
        <x:f>'Model_Calc'!AV143</x:f>
        <x:v>480.44595905298434</x:v>
      </x:c>
      <x:c r="T837" s="238" t="n">
        <x:f>ROUND(S837-O837,4)</x:f>
        <x:v>0</x:v>
      </x:c>
    </x:row>
    <x:row r="838">
      <x:c r="A838" s="187" t="str">
        <x:v>ACTUAL_2026_08_CLOSE_V1</x:v>
      </x:c>
      <x:c r="B838" s="187" t="str">
        <x:v>ACTUAL</x:v>
      </x:c>
      <x:c r="C838" s="187"/>
      <x:c r="D838" s="217" t="n">
        <x:v>46054</x:v>
      </x:c>
      <x:c r="E838" s="187" t="str">
        <x:v>R_GB_DE_C_AIR</x:v>
      </x:c>
      <x:c r="F838" s="187" t="str">
        <x:v>GB</x:v>
      </x:c>
      <x:c r="G838" s="187" t="str">
        <x:v>DE_FC</x:v>
      </x:c>
      <x:c r="H838" s="187" t="str">
        <x:v>CARRIER_C</x:v>
      </x:c>
      <x:c r="I838" s="187" t="str">
        <x:v>AIR</x:v>
      </x:c>
      <x:c r="J838" s="187" t="str">
        <x:v>BILLABLE_EXCEPTION</x:v>
      </x:c>
      <x:c r="K838" s="187" t="str">
        <x:v>GBP</x:v>
      </x:c>
      <x:c r="L838" s="232" t="n">
        <x:v>5.139301128504465</x:v>
      </x:c>
      <x:c r="M838" s="232" t="n">
        <x:v>9.02</x:v>
      </x:c>
      <x:c r="N838" s="187" t="str">
        <x:v>46.356496179110275763404800</x:v>
      </x:c>
      <x:c r="O838" s="235" t="n">
        <x:v>46.3565</x:v>
      </x:c>
      <x:c r="P838" s="235" t="n">
        <x:v>46.3565</x:v>
      </x:c>
      <x:c r="Q838" s="235" t="n">
        <x:v>0</x:v>
      </x:c>
      <x:c r="R838" s="235" t="str">
        <x:v>INVOICE_OR_PLAN</x:v>
      </x:c>
      <x:c r="S838" s="238" t="n">
        <x:f>'Model_Calc'!BA143</x:f>
        <x:v>46.35649617911026</x:v>
      </x:c>
      <x:c r="T838" s="238" t="n">
        <x:f>ROUND(S838-O838,4)</x:f>
        <x:v>0</x:v>
      </x:c>
    </x:row>
    <x:row r="839">
      <x:c r="A839" s="187" t="str">
        <x:v>ACTUAL_2026_08_CLOSE_V1</x:v>
      </x:c>
      <x:c r="B839" s="187" t="str">
        <x:v>ACTUAL</x:v>
      </x:c>
      <x:c r="C839" s="187"/>
      <x:c r="D839" s="217" t="n">
        <x:v>46054</x:v>
      </x:c>
      <x:c r="E839" s="187" t="str">
        <x:v>R_GB_FR_B_AIR</x:v>
      </x:c>
      <x:c r="F839" s="187" t="str">
        <x:v>GB</x:v>
      </x:c>
      <x:c r="G839" s="187" t="str">
        <x:v>FR_FC</x:v>
      </x:c>
      <x:c r="H839" s="187" t="str">
        <x:v>CARRIER_B</x:v>
      </x:c>
      <x:c r="I839" s="187" t="str">
        <x:v>AIR</x:v>
      </x:c>
      <x:c r="J839" s="187" t="str">
        <x:v>BASE_FREIGHT</x:v>
      </x:c>
      <x:c r="K839" s="187" t="str">
        <x:v>EUR</x:v>
      </x:c>
      <x:c r="L839" s="232" t="n">
        <x:v>1007.977508848294</x:v>
      </x:c>
      <x:c r="M839" s="232" t="n">
        <x:v>7.76</x:v>
      </x:c>
      <x:c r="N839" s="187" t="str">
        <x:v>7821.9054686627613158400000</x:v>
      </x:c>
      <x:c r="O839" s="235" t="n">
        <x:v>7821.9055</x:v>
      </x:c>
      <x:c r="P839" s="235" t="n">
        <x:v>7821.9055</x:v>
      </x:c>
      <x:c r="Q839" s="235" t="n">
        <x:v>0</x:v>
      </x:c>
      <x:c r="R839" s="235" t="str">
        <x:v>INVOICE_OR_PLAN</x:v>
      </x:c>
      <x:c r="S839" s="238" t="n">
        <x:f>'Model_Calc'!AF144</x:f>
        <x:v>7821.90546866276</x:v>
      </x:c>
      <x:c r="T839" s="238" t="n">
        <x:f>ROUND(S839-O839,4)</x:f>
        <x:v>0</x:v>
      </x:c>
    </x:row>
    <x:row r="840">
      <x:c r="A840" s="187" t="str">
        <x:v>ACTUAL_2026_08_CLOSE_V1</x:v>
      </x:c>
      <x:c r="B840" s="187" t="str">
        <x:v>ACTUAL</x:v>
      </x:c>
      <x:c r="C840" s="187"/>
      <x:c r="D840" s="217" t="n">
        <x:v>46054</x:v>
      </x:c>
      <x:c r="E840" s="187" t="str">
        <x:v>R_GB_FR_B_AIR</x:v>
      </x:c>
      <x:c r="F840" s="187" t="str">
        <x:v>GB</x:v>
      </x:c>
      <x:c r="G840" s="187" t="str">
        <x:v>FR_FC</x:v>
      </x:c>
      <x:c r="H840" s="187" t="str">
        <x:v>CARRIER_B</x:v>
      </x:c>
      <x:c r="I840" s="187" t="str">
        <x:v>AIR</x:v>
      </x:c>
      <x:c r="J840" s="187" t="str">
        <x:v>FUEL_SURCHARGE</x:v>
      </x:c>
      <x:c r="K840" s="187" t="str">
        <x:v>EUR</x:v>
      </x:c>
      <x:c r="L840" s="232" t="n">
        <x:v>106.26098898278715</x:v>
      </x:c>
      <x:c r="M840" s="232" t="n">
        <x:v>7.76</x:v>
      </x:c>
      <x:c r="N840" s="187" t="str">
        <x:v>824.5852745064282979158528000000</x:v>
      </x:c>
      <x:c r="O840" s="235" t="n">
        <x:v>824.5853</x:v>
      </x:c>
      <x:c r="P840" s="235" t="n">
        <x:v>824.5853</x:v>
      </x:c>
      <x:c r="Q840" s="235" t="n">
        <x:v>0</x:v>
      </x:c>
      <x:c r="R840" s="235" t="str">
        <x:v>INVOICE_OR_PLAN</x:v>
      </x:c>
      <x:c r="S840" s="238" t="n">
        <x:f>'Model_Calc'!AG144</x:f>
        <x:v>824.5852745064282</x:v>
      </x:c>
      <x:c r="T840" s="238" t="n">
        <x:f>ROUND(S840-O840,4)</x:f>
        <x:v>0</x:v>
      </x:c>
    </x:row>
    <x:row r="841">
      <x:c r="A841" s="187" t="str">
        <x:v>ACTUAL_2026_08_CLOSE_V1</x:v>
      </x:c>
      <x:c r="B841" s="187" t="str">
        <x:v>ACTUAL</x:v>
      </x:c>
      <x:c r="C841" s="187"/>
      <x:c r="D841" s="217" t="n">
        <x:v>46054</x:v>
      </x:c>
      <x:c r="E841" s="187" t="str">
        <x:v>R_GB_FR_B_AIR</x:v>
      </x:c>
      <x:c r="F841" s="187" t="str">
        <x:v>GB</x:v>
      </x:c>
      <x:c r="G841" s="187" t="str">
        <x:v>FR_FC</x:v>
      </x:c>
      <x:c r="H841" s="187" t="str">
        <x:v>CARRIER_B</x:v>
      </x:c>
      <x:c r="I841" s="187" t="str">
        <x:v>AIR</x:v>
      </x:c>
      <x:c r="J841" s="187" t="str">
        <x:v>WAREHOUSE_OPERATION</x:v>
      </x:c>
      <x:c r="K841" s="187" t="str">
        <x:v>EUR</x:v>
      </x:c>
      <x:c r="L841" s="232" t="n">
        <x:v>151.71371712</x:v>
      </x:c>
      <x:c r="M841" s="232" t="n">
        <x:v>7.76</x:v>
      </x:c>
      <x:c r="N841" s="187" t="str">
        <x:v>1177.298444851200</x:v>
      </x:c>
      <x:c r="O841" s="235" t="n">
        <x:v>1177.2984</x:v>
      </x:c>
      <x:c r="P841" s="235" t="n">
        <x:v>1177.2984</x:v>
      </x:c>
      <x:c r="Q841" s="235" t="n">
        <x:v>0</x:v>
      </x:c>
      <x:c r="R841" s="235" t="str">
        <x:v>INVOICE_OR_PLAN</x:v>
      </x:c>
      <x:c r="S841" s="238" t="n">
        <x:f>'Model_Calc'!AL144</x:f>
        <x:v>1177.2984448512</x:v>
      </x:c>
      <x:c r="T841" s="238" t="n">
        <x:f>ROUND(S841-O841,4)</x:f>
        <x:v>0</x:v>
      </x:c>
    </x:row>
    <x:row r="842">
      <x:c r="A842" s="187" t="str">
        <x:v>ACTUAL_2026_08_CLOSE_V1</x:v>
      </x:c>
      <x:c r="B842" s="187" t="str">
        <x:v>ACTUAL</x:v>
      </x:c>
      <x:c r="C842" s="187"/>
      <x:c r="D842" s="217" t="n">
        <x:v>46054</x:v>
      </x:c>
      <x:c r="E842" s="187" t="str">
        <x:v>R_GB_FR_B_AIR</x:v>
      </x:c>
      <x:c r="F842" s="187" t="str">
        <x:v>GB</x:v>
      </x:c>
      <x:c r="G842" s="187" t="str">
        <x:v>FR_FC</x:v>
      </x:c>
      <x:c r="H842" s="187" t="str">
        <x:v>CARRIER_B</x:v>
      </x:c>
      <x:c r="I842" s="187" t="str">
        <x:v>AIR</x:v>
      </x:c>
      <x:c r="J842" s="187" t="str">
        <x:v>PACKAGING</x:v>
      </x:c>
      <x:c r="K842" s="187" t="str">
        <x:v>EUR</x:v>
      </x:c>
      <x:c r="L842" s="232" t="n">
        <x:v>63.2049459769728</x:v>
      </x:c>
      <x:c r="M842" s="232" t="n">
        <x:v>7.76</x:v>
      </x:c>
      <x:c r="N842" s="187" t="str">
        <x:v>490.47038078130892800</x:v>
      </x:c>
      <x:c r="O842" s="235" t="n">
        <x:v>490.4704</x:v>
      </x:c>
      <x:c r="P842" s="235" t="n">
        <x:v>490.4704</x:v>
      </x:c>
      <x:c r="Q842" s="235" t="n">
        <x:v>0</x:v>
      </x:c>
      <x:c r="R842" s="235" t="str">
        <x:v>INVOICE_OR_PLAN</x:v>
      </x:c>
      <x:c r="S842" s="238" t="n">
        <x:f>'Model_Calc'!AQ144</x:f>
        <x:v>490.47038078130885</x:v>
      </x:c>
      <x:c r="T842" s="238" t="n">
        <x:f>ROUND(S842-O842,4)</x:f>
        <x:v>0</x:v>
      </x:c>
    </x:row>
    <x:row r="843">
      <x:c r="A843" s="187" t="str">
        <x:v>ACTUAL_2026_08_CLOSE_V1</x:v>
      </x:c>
      <x:c r="B843" s="187" t="str">
        <x:v>ACTUAL</x:v>
      </x:c>
      <x:c r="C843" s="187"/>
      <x:c r="D843" s="217" t="n">
        <x:v>46054</x:v>
      </x:c>
      <x:c r="E843" s="187" t="str">
        <x:v>R_GB_FR_B_AIR</x:v>
      </x:c>
      <x:c r="F843" s="187" t="str">
        <x:v>GB</x:v>
      </x:c>
      <x:c r="G843" s="187" t="str">
        <x:v>FR_FC</x:v>
      </x:c>
      <x:c r="H843" s="187" t="str">
        <x:v>CARRIER_B</x:v>
      </x:c>
      <x:c r="I843" s="187" t="str">
        <x:v>AIR</x:v>
      </x:c>
      <x:c r="J843" s="187" t="str">
        <x:v>RETURN_LOGISTICS</x:v>
      </x:c>
      <x:c r="K843" s="187" t="str">
        <x:v>EUR</x:v>
      </x:c>
      <x:c r="L843" s="232" t="n">
        <x:v>60.1075298304</x:v>
      </x:c>
      <x:c r="M843" s="232" t="n">
        <x:v>7.76</x:v>
      </x:c>
      <x:c r="N843" s="187" t="str">
        <x:v>466.434431483904000</x:v>
      </x:c>
      <x:c r="O843" s="235" t="n">
        <x:v>466.4344</x:v>
      </x:c>
      <x:c r="P843" s="235" t="n">
        <x:v>466.4344</x:v>
      </x:c>
      <x:c r="Q843" s="235" t="n">
        <x:v>0</x:v>
      </x:c>
      <x:c r="R843" s="235" t="str">
        <x:v>INVOICE_OR_PLAN</x:v>
      </x:c>
      <x:c r="S843" s="238" t="n">
        <x:f>'Model_Calc'!AV144</x:f>
        <x:v>466.43443148390395</x:v>
      </x:c>
      <x:c r="T843" s="238" t="n">
        <x:f>ROUND(S843-O843,4)</x:f>
        <x:v>0</x:v>
      </x:c>
    </x:row>
    <x:row r="844">
      <x:c r="A844" s="187" t="str">
        <x:v>ACTUAL_2026_08_CLOSE_V1</x:v>
      </x:c>
      <x:c r="B844" s="187" t="str">
        <x:v>ACTUAL</x:v>
      </x:c>
      <x:c r="C844" s="187"/>
      <x:c r="D844" s="217" t="n">
        <x:v>46054</x:v>
      </x:c>
      <x:c r="E844" s="187" t="str">
        <x:v>R_GB_FR_B_AIR</x:v>
      </x:c>
      <x:c r="F844" s="187" t="str">
        <x:v>GB</x:v>
      </x:c>
      <x:c r="G844" s="187" t="str">
        <x:v>FR_FC</x:v>
      </x:c>
      <x:c r="H844" s="187" t="str">
        <x:v>CARRIER_B</x:v>
      </x:c>
      <x:c r="I844" s="187" t="str">
        <x:v>AIR</x:v>
      </x:c>
      <x:c r="J844" s="187" t="str">
        <x:v>BILLABLE_EXCEPTION</x:v>
      </x:c>
      <x:c r="K844" s="187" t="str">
        <x:v>EUR</x:v>
      </x:c>
      <x:c r="L844" s="232" t="n">
        <x:v>5.700420811902136</x:v>
      </x:c>
      <x:c r="M844" s="232" t="n">
        <x:v>7.76</x:v>
      </x:c>
      <x:c r="N844" s="187" t="str">
        <x:v>44.2352655003605778432000</x:v>
      </x:c>
      <x:c r="O844" s="235" t="n">
        <x:v>44.2353</x:v>
      </x:c>
      <x:c r="P844" s="235" t="n">
        <x:v>44.2353</x:v>
      </x:c>
      <x:c r="Q844" s="235" t="n">
        <x:v>0</x:v>
      </x:c>
      <x:c r="R844" s="235" t="str">
        <x:v>INVOICE_OR_PLAN</x:v>
      </x:c>
      <x:c r="S844" s="238" t="n">
        <x:f>'Model_Calc'!BA144</x:f>
        <x:v>44.23526550036057</x:v>
      </x:c>
      <x:c r="T844" s="238" t="n">
        <x:f>ROUND(S844-O844,4)</x:f>
        <x:v>0</x:v>
      </x:c>
    </x:row>
    <x:row r="845">
      <x:c r="A845" s="187" t="str">
        <x:v>ACTUAL_2026_08_CLOSE_V1</x:v>
      </x:c>
      <x:c r="B845" s="187" t="str">
        <x:v>ACTUAL</x:v>
      </x:c>
      <x:c r="C845" s="187"/>
      <x:c r="D845" s="217" t="n">
        <x:v>46082</x:v>
      </x:c>
      <x:c r="E845" s="187" t="str">
        <x:v>R_DE_DE_A_ROAD</x:v>
      </x:c>
      <x:c r="F845" s="187" t="str">
        <x:v>DE</x:v>
      </x:c>
      <x:c r="G845" s="187" t="str">
        <x:v>DE_FC</x:v>
      </x:c>
      <x:c r="H845" s="187" t="str">
        <x:v>CARRIER_A</x:v>
      </x:c>
      <x:c r="I845" s="187" t="str">
        <x:v>ROAD</x:v>
      </x:c>
      <x:c r="J845" s="187" t="str">
        <x:v>BASE_FREIGHT</x:v>
      </x:c>
      <x:c r="K845" s="187" t="str">
        <x:v>EUR</x:v>
      </x:c>
      <x:c r="L845" s="232" t="n">
        <x:v>6452.726663068635</x:v>
      </x:c>
      <x:c r="M845" s="232" t="n">
        <x:v>7.82</x:v>
      </x:c>
      <x:c r="N845" s="187" t="str">
        <x:v>50460.322505196729997872000000</x:v>
      </x:c>
      <x:c r="O845" s="235" t="n">
        <x:v>50460.3225</x:v>
      </x:c>
      <x:c r="P845" s="235" t="n">
        <x:v>50460.3225</x:v>
      </x:c>
      <x:c r="Q845" s="235" t="n">
        <x:v>0</x:v>
      </x:c>
      <x:c r="R845" s="235" t="str">
        <x:v>INVOICE_OR_PLAN</x:v>
      </x:c>
      <x:c r="S845" s="238" t="n">
        <x:f>'Model_Calc'!AF145</x:f>
        <x:v>50460.32250519674</x:v>
      </x:c>
      <x:c r="T845" s="238" t="n">
        <x:f>ROUND(S845-O845,4)</x:f>
        <x:v>0</x:v>
      </x:c>
    </x:row>
    <x:row r="846">
      <x:c r="A846" s="187" t="str">
        <x:v>ACTUAL_2026_08_CLOSE_V1</x:v>
      </x:c>
      <x:c r="B846" s="187" t="str">
        <x:v>ACTUAL</x:v>
      </x:c>
      <x:c r="C846" s="187"/>
      <x:c r="D846" s="217" t="n">
        <x:v>46082</x:v>
      </x:c>
      <x:c r="E846" s="187" t="str">
        <x:v>R_DE_DE_A_ROAD</x:v>
      </x:c>
      <x:c r="F846" s="187" t="str">
        <x:v>DE</x:v>
      </x:c>
      <x:c r="G846" s="187" t="str">
        <x:v>DE_FC</x:v>
      </x:c>
      <x:c r="H846" s="187" t="str">
        <x:v>CARRIER_A</x:v>
      </x:c>
      <x:c r="I846" s="187" t="str">
        <x:v>ROAD</x:v>
      </x:c>
      <x:c r="J846" s="187" t="str">
        <x:v>FUEL_SURCHARGE</x:v>
      </x:c>
      <x:c r="K846" s="187" t="str">
        <x:v>EUR</x:v>
      </x:c>
      <x:c r="L846" s="232" t="n">
        <x:v>616.6870871894695</x:v>
      </x:c>
      <x:c r="M846" s="232" t="n">
        <x:v>7.82</x:v>
      </x:c>
      <x:c r="N846" s="187" t="str">
        <x:v>4822.493021821651485896627040000000</x:v>
      </x:c>
      <x:c r="O846" s="235" t="n">
        <x:v>4822.493</x:v>
      </x:c>
      <x:c r="P846" s="235" t="n">
        <x:v>4822.493</x:v>
      </x:c>
      <x:c r="Q846" s="235" t="n">
        <x:v>0</x:v>
      </x:c>
      <x:c r="R846" s="235" t="str">
        <x:v>INVOICE_OR_PLAN</x:v>
      </x:c>
      <x:c r="S846" s="238" t="n">
        <x:f>'Model_Calc'!AG145</x:f>
        <x:v>4822.493021821652</x:v>
      </x:c>
      <x:c r="T846" s="238" t="n">
        <x:f>ROUND(S846-O846,4)</x:f>
        <x:v>0</x:v>
      </x:c>
    </x:row>
    <x:row r="847">
      <x:c r="A847" s="187" t="str">
        <x:v>ACTUAL_2026_08_CLOSE_V1</x:v>
      </x:c>
      <x:c r="B847" s="187" t="str">
        <x:v>ACTUAL</x:v>
      </x:c>
      <x:c r="C847" s="187"/>
      <x:c r="D847" s="217" t="n">
        <x:v>46082</x:v>
      </x:c>
      <x:c r="E847" s="187" t="str">
        <x:v>R_DE_DE_A_ROAD</x:v>
      </x:c>
      <x:c r="F847" s="187" t="str">
        <x:v>DE</x:v>
      </x:c>
      <x:c r="G847" s="187" t="str">
        <x:v>DE_FC</x:v>
      </x:c>
      <x:c r="H847" s="187" t="str">
        <x:v>CARRIER_A</x:v>
      </x:c>
      <x:c r="I847" s="187" t="str">
        <x:v>ROAD</x:v>
      </x:c>
      <x:c r="J847" s="187" t="str">
        <x:v>WAREHOUSE_OPERATION</x:v>
      </x:c>
      <x:c r="K847" s="187" t="str">
        <x:v>EUR</x:v>
      </x:c>
      <x:c r="L847" s="232" t="n">
        <x:v>4196.477609496</x:v>
      </x:c>
      <x:c r="M847" s="232" t="n">
        <x:v>7.82</x:v>
      </x:c>
      <x:c r="N847" s="187" t="str">
        <x:v>32816.45490625872000</x:v>
      </x:c>
      <x:c r="O847" s="235" t="n">
        <x:v>32816.4549</x:v>
      </x:c>
      <x:c r="P847" s="235" t="n">
        <x:v>32816.4549</x:v>
      </x:c>
      <x:c r="Q847" s="235" t="n">
        <x:v>0</x:v>
      </x:c>
      <x:c r="R847" s="235" t="str">
        <x:v>INVOICE_OR_PLAN</x:v>
      </x:c>
      <x:c r="S847" s="238" t="n">
        <x:f>'Model_Calc'!AL145</x:f>
        <x:v>32816.45490625872</x:v>
      </x:c>
      <x:c r="T847" s="238" t="n">
        <x:f>ROUND(S847-O847,4)</x:f>
        <x:v>0</x:v>
      </x:c>
    </x:row>
    <x:row r="848">
      <x:c r="A848" s="187" t="str">
        <x:v>ACTUAL_2026_08_CLOSE_V1</x:v>
      </x:c>
      <x:c r="B848" s="187" t="str">
        <x:v>ACTUAL</x:v>
      </x:c>
      <x:c r="C848" s="187"/>
      <x:c r="D848" s="217" t="n">
        <x:v>46082</x:v>
      </x:c>
      <x:c r="E848" s="187" t="str">
        <x:v>R_DE_DE_A_ROAD</x:v>
      </x:c>
      <x:c r="F848" s="187" t="str">
        <x:v>DE</x:v>
      </x:c>
      <x:c r="G848" s="187" t="str">
        <x:v>DE_FC</x:v>
      </x:c>
      <x:c r="H848" s="187" t="str">
        <x:v>CARRIER_A</x:v>
      </x:c>
      <x:c r="I848" s="187" t="str">
        <x:v>ROAD</x:v>
      </x:c>
      <x:c r="J848" s="187" t="str">
        <x:v>PACKAGING</x:v>
      </x:c>
      <x:c r="K848" s="187" t="str">
        <x:v>EUR</x:v>
      </x:c>
      <x:c r="L848" s="232" t="n">
        <x:v>1571.4812873214505</x:v>
      </x:c>
      <x:c r="M848" s="232" t="n">
        <x:v>7.82</x:v>
      </x:c>
      <x:c r="N848" s="187" t="str">
        <x:v>12288.9836668537421280000</x:v>
      </x:c>
      <x:c r="O848" s="235" t="n">
        <x:v>12288.9837</x:v>
      </x:c>
      <x:c r="P848" s="235" t="n">
        <x:v>12288.9837</x:v>
      </x:c>
      <x:c r="Q848" s="235" t="n">
        <x:v>0</x:v>
      </x:c>
      <x:c r="R848" s="235" t="str">
        <x:v>INVOICE_OR_PLAN</x:v>
      </x:c>
      <x:c r="S848" s="238" t="n">
        <x:f>'Model_Calc'!AQ145</x:f>
        <x:v>12288.983666853743</x:v>
      </x:c>
      <x:c r="T848" s="238" t="n">
        <x:f>ROUND(S848-O848,4)</x:f>
        <x:v>0</x:v>
      </x:c>
    </x:row>
    <x:row r="849">
      <x:c r="A849" s="187" t="str">
        <x:v>ACTUAL_2026_08_CLOSE_V1</x:v>
      </x:c>
      <x:c r="B849" s="187" t="str">
        <x:v>ACTUAL</x:v>
      </x:c>
      <x:c r="C849" s="187"/>
      <x:c r="D849" s="217" t="n">
        <x:v>46082</x:v>
      </x:c>
      <x:c r="E849" s="187" t="str">
        <x:v>R_DE_DE_A_ROAD</x:v>
      </x:c>
      <x:c r="F849" s="187" t="str">
        <x:v>DE</x:v>
      </x:c>
      <x:c r="G849" s="187" t="str">
        <x:v>DE_FC</x:v>
      </x:c>
      <x:c r="H849" s="187" t="str">
        <x:v>CARRIER_A</x:v>
      </x:c>
      <x:c r="I849" s="187" t="str">
        <x:v>ROAD</x:v>
      </x:c>
      <x:c r="J849" s="187" t="str">
        <x:v>RETURN_LOGISTICS</x:v>
      </x:c>
      <x:c r="K849" s="187" t="str">
        <x:v>EUR</x:v>
      </x:c>
      <x:c r="L849" s="232" t="n">
        <x:v>569.013913152</x:v>
      </x:c>
      <x:c r="M849" s="232" t="n">
        <x:v>7.82</x:v>
      </x:c>
      <x:c r="N849" s="187" t="str">
        <x:v>4449.68880084864000000</x:v>
      </x:c>
      <x:c r="O849" s="235" t="n">
        <x:v>4449.6888</x:v>
      </x:c>
      <x:c r="P849" s="235" t="n">
        <x:v>4449.6888</x:v>
      </x:c>
      <x:c r="Q849" s="235" t="n">
        <x:v>0</x:v>
      </x:c>
      <x:c r="R849" s="235" t="str">
        <x:v>INVOICE_OR_PLAN</x:v>
      </x:c>
      <x:c r="S849" s="238" t="n">
        <x:f>'Model_Calc'!AV145</x:f>
        <x:v>4449.68880084864</x:v>
      </x:c>
      <x:c r="T849" s="238" t="n">
        <x:f>ROUND(S849-O849,4)</x:f>
        <x:v>0</x:v>
      </x:c>
    </x:row>
    <x:row r="850">
      <x:c r="A850" s="187" t="str">
        <x:v>ACTUAL_2026_08_CLOSE_V1</x:v>
      </x:c>
      <x:c r="B850" s="187" t="str">
        <x:v>ACTUAL</x:v>
      </x:c>
      <x:c r="C850" s="187"/>
      <x:c r="D850" s="217" t="n">
        <x:v>46082</x:v>
      </x:c>
      <x:c r="E850" s="187" t="str">
        <x:v>R_DE_DE_A_ROAD</x:v>
      </x:c>
      <x:c r="F850" s="187" t="str">
        <x:v>DE</x:v>
      </x:c>
      <x:c r="G850" s="187" t="str">
        <x:v>DE_FC</x:v>
      </x:c>
      <x:c r="H850" s="187" t="str">
        <x:v>CARRIER_A</x:v>
      </x:c>
      <x:c r="I850" s="187" t="str">
        <x:v>ROAD</x:v>
      </x:c>
      <x:c r="J850" s="187" t="str">
        <x:v>BILLABLE_EXCEPTION</x:v>
      </x:c>
      <x:c r="K850" s="187" t="str">
        <x:v>EUR</x:v>
      </x:c>
      <x:c r="L850" s="232" t="n">
        <x:v>140.44552762118562</x:v>
      </x:c>
      <x:c r="M850" s="232" t="n">
        <x:v>7.82</x:v>
      </x:c>
      <x:c r="N850" s="187" t="str">
        <x:v>1098.284025997671582182400000</x:v>
      </x:c>
      <x:c r="O850" s="235" t="n">
        <x:v>1098.284</x:v>
      </x:c>
      <x:c r="P850" s="235" t="n">
        <x:v>1098.284</x:v>
      </x:c>
      <x:c r="Q850" s="235" t="n">
        <x:v>0</x:v>
      </x:c>
      <x:c r="R850" s="235" t="str">
        <x:v>INVOICE_OR_PLAN</x:v>
      </x:c>
      <x:c r="S850" s="238" t="n">
        <x:f>'Model_Calc'!BA145</x:f>
        <x:v>1098.2840259976717</x:v>
      </x:c>
      <x:c r="T850" s="238" t="n">
        <x:f>ROUND(S850-O850,4)</x:f>
        <x:v>0</x:v>
      </x:c>
    </x:row>
    <x:row r="851">
      <x:c r="A851" s="187" t="str">
        <x:v>ACTUAL_2026_08_CLOSE_V1</x:v>
      </x:c>
      <x:c r="B851" s="187" t="str">
        <x:v>ACTUAL</x:v>
      </x:c>
      <x:c r="C851" s="187"/>
      <x:c r="D851" s="217" t="n">
        <x:v>46082</x:v>
      </x:c>
      <x:c r="E851" s="187" t="str">
        <x:v>R_DE_DE_B_ROAD</x:v>
      </x:c>
      <x:c r="F851" s="187" t="str">
        <x:v>DE</x:v>
      </x:c>
      <x:c r="G851" s="187" t="str">
        <x:v>DE_FC</x:v>
      </x:c>
      <x:c r="H851" s="187" t="str">
        <x:v>CARRIER_B</x:v>
      </x:c>
      <x:c r="I851" s="187" t="str">
        <x:v>ROAD</x:v>
      </x:c>
      <x:c r="J851" s="187" t="str">
        <x:v>BASE_FREIGHT</x:v>
      </x:c>
      <x:c r="K851" s="187" t="str">
        <x:v>EUR</x:v>
      </x:c>
      <x:c r="L851" s="232" t="n">
        <x:v>5515.150994075757</x:v>
      </x:c>
      <x:c r="M851" s="232" t="n">
        <x:v>7.82</x:v>
      </x:c>
      <x:c r="N851" s="187" t="str">
        <x:v>43128.480773672418801600000000</x:v>
      </x:c>
      <x:c r="O851" s="235" t="n">
        <x:v>43128.4808</x:v>
      </x:c>
      <x:c r="P851" s="235" t="n">
        <x:v>43128.4808</x:v>
      </x:c>
      <x:c r="Q851" s="235" t="n">
        <x:v>0</x:v>
      </x:c>
      <x:c r="R851" s="235" t="str">
        <x:v>INVOICE_OR_PLAN</x:v>
      </x:c>
      <x:c r="S851" s="238" t="n">
        <x:f>'Model_Calc'!AF146</x:f>
        <x:v>43128.48077367243</x:v>
      </x:c>
      <x:c r="T851" s="238" t="n">
        <x:f>ROUND(S851-O851,4)</x:f>
        <x:v>0</x:v>
      </x:c>
    </x:row>
    <x:row r="852">
      <x:c r="A852" s="187" t="str">
        <x:v>ACTUAL_2026_08_CLOSE_V1</x:v>
      </x:c>
      <x:c r="B852" s="187" t="str">
        <x:v>ACTUAL</x:v>
      </x:c>
      <x:c r="C852" s="187"/>
      <x:c r="D852" s="217" t="n">
        <x:v>46082</x:v>
      </x:c>
      <x:c r="E852" s="187" t="str">
        <x:v>R_DE_DE_B_ROAD</x:v>
      </x:c>
      <x:c r="F852" s="187" t="str">
        <x:v>DE</x:v>
      </x:c>
      <x:c r="G852" s="187" t="str">
        <x:v>DE_FC</x:v>
      </x:c>
      <x:c r="H852" s="187" t="str">
        <x:v>CARRIER_B</x:v>
      </x:c>
      <x:c r="I852" s="187" t="str">
        <x:v>ROAD</x:v>
      </x:c>
      <x:c r="J852" s="187" t="str">
        <x:v>FUEL_SURCHARGE</x:v>
      </x:c>
      <x:c r="K852" s="187" t="str">
        <x:v>EUR</x:v>
      </x:c>
      <x:c r="L852" s="232" t="n">
        <x:v>421.1569850021487</x:v>
      </x:c>
      <x:c r="M852" s="232" t="n">
        <x:v>7.82</x:v>
      </x:c>
      <x:c r="N852" s="187" t="str">
        <x:v>3293.447622716802890304000000</x:v>
      </x:c>
      <x:c r="O852" s="235" t="n">
        <x:v>3293.4476</x:v>
      </x:c>
      <x:c r="P852" s="235" t="n">
        <x:v>3293.4476</x:v>
      </x:c>
      <x:c r="Q852" s="235" t="n">
        <x:v>0</x:v>
      </x:c>
      <x:c r="R852" s="235" t="str">
        <x:v>INVOICE_OR_PLAN</x:v>
      </x:c>
      <x:c r="S852" s="238" t="n">
        <x:f>'Model_Calc'!AG146</x:f>
        <x:v>3293.447622716804</x:v>
      </x:c>
      <x:c r="T852" s="238" t="n">
        <x:f>ROUND(S852-O852,4)</x:f>
        <x:v>0</x:v>
      </x:c>
    </x:row>
    <x:row r="853">
      <x:c r="A853" s="187" t="str">
        <x:v>ACTUAL_2026_08_CLOSE_V1</x:v>
      </x:c>
      <x:c r="B853" s="187" t="str">
        <x:v>ACTUAL</x:v>
      </x:c>
      <x:c r="C853" s="187"/>
      <x:c r="D853" s="217" t="n">
        <x:v>46082</x:v>
      </x:c>
      <x:c r="E853" s="187" t="str">
        <x:v>R_DE_DE_B_ROAD</x:v>
      </x:c>
      <x:c r="F853" s="187" t="str">
        <x:v>DE</x:v>
      </x:c>
      <x:c r="G853" s="187" t="str">
        <x:v>DE_FC</x:v>
      </x:c>
      <x:c r="H853" s="187" t="str">
        <x:v>CARRIER_B</x:v>
      </x:c>
      <x:c r="I853" s="187" t="str">
        <x:v>ROAD</x:v>
      </x:c>
      <x:c r="J853" s="187" t="str">
        <x:v>WAREHOUSE_OPERATION</x:v>
      </x:c>
      <x:c r="K853" s="187" t="str">
        <x:v>EUR</x:v>
      </x:c>
      <x:c r="L853" s="232" t="n">
        <x:v>2797.651739664</x:v>
      </x:c>
      <x:c r="M853" s="232" t="n">
        <x:v>7.82</x:v>
      </x:c>
      <x:c r="N853" s="187" t="str">
        <x:v>21877.63660417248000</x:v>
      </x:c>
      <x:c r="O853" s="235" t="n">
        <x:v>21877.6366</x:v>
      </x:c>
      <x:c r="P853" s="235" t="n">
        <x:v>21877.6366</x:v>
      </x:c>
      <x:c r="Q853" s="235" t="n">
        <x:v>0</x:v>
      </x:c>
      <x:c r="R853" s="235" t="str">
        <x:v>INVOICE_OR_PLAN</x:v>
      </x:c>
      <x:c r="S853" s="238" t="n">
        <x:f>'Model_Calc'!AL146</x:f>
        <x:v>21877.636604172483</x:v>
      </x:c>
      <x:c r="T853" s="238" t="n">
        <x:f>ROUND(S853-O853,4)</x:f>
        <x:v>0</x:v>
      </x:c>
    </x:row>
    <x:row r="854">
      <x:c r="A854" s="187" t="str">
        <x:v>ACTUAL_2026_08_CLOSE_V1</x:v>
      </x:c>
      <x:c r="B854" s="187" t="str">
        <x:v>ACTUAL</x:v>
      </x:c>
      <x:c r="C854" s="187"/>
      <x:c r="D854" s="217" t="n">
        <x:v>46082</x:v>
      </x:c>
      <x:c r="E854" s="187" t="str">
        <x:v>R_DE_DE_B_ROAD</x:v>
      </x:c>
      <x:c r="F854" s="187" t="str">
        <x:v>DE</x:v>
      </x:c>
      <x:c r="G854" s="187" t="str">
        <x:v>DE_FC</x:v>
      </x:c>
      <x:c r="H854" s="187" t="str">
        <x:v>CARRIER_B</x:v>
      </x:c>
      <x:c r="I854" s="187" t="str">
        <x:v>ROAD</x:v>
      </x:c>
      <x:c r="J854" s="187" t="str">
        <x:v>PACKAGING</x:v>
      </x:c>
      <x:c r="K854" s="187" t="str">
        <x:v>EUR</x:v>
      </x:c>
      <x:c r="L854" s="232" t="n">
        <x:v>1047.6541915476337</x:v>
      </x:c>
      <x:c r="M854" s="232" t="n">
        <x:v>7.82</x:v>
      </x:c>
      <x:c r="N854" s="187" t="str">
        <x:v>8192.6557779024947520000</x:v>
      </x:c>
      <x:c r="O854" s="235" t="n">
        <x:v>8192.6558</x:v>
      </x:c>
      <x:c r="P854" s="235" t="n">
        <x:v>8192.6558</x:v>
      </x:c>
      <x:c r="Q854" s="235" t="n">
        <x:v>0</x:v>
      </x:c>
      <x:c r="R854" s="235" t="str">
        <x:v>INVOICE_OR_PLAN</x:v>
      </x:c>
      <x:c r="S854" s="238" t="n">
        <x:f>'Model_Calc'!AQ146</x:f>
        <x:v>8192.655777902497</x:v>
      </x:c>
      <x:c r="T854" s="238" t="n">
        <x:f>ROUND(S854-O854,4)</x:f>
        <x:v>0</x:v>
      </x:c>
    </x:row>
    <x:row r="855">
      <x:c r="A855" s="187" t="str">
        <x:v>ACTUAL_2026_08_CLOSE_V1</x:v>
      </x:c>
      <x:c r="B855" s="187" t="str">
        <x:v>ACTUAL</x:v>
      </x:c>
      <x:c r="C855" s="187"/>
      <x:c r="D855" s="217" t="n">
        <x:v>46082</x:v>
      </x:c>
      <x:c r="E855" s="187" t="str">
        <x:v>R_DE_DE_B_ROAD</x:v>
      </x:c>
      <x:c r="F855" s="187" t="str">
        <x:v>DE</x:v>
      </x:c>
      <x:c r="G855" s="187" t="str">
        <x:v>DE_FC</x:v>
      </x:c>
      <x:c r="H855" s="187" t="str">
        <x:v>CARRIER_B</x:v>
      </x:c>
      <x:c r="I855" s="187" t="str">
        <x:v>ROAD</x:v>
      </x:c>
      <x:c r="J855" s="187" t="str">
        <x:v>RETURN_LOGISTICS</x:v>
      </x:c>
      <x:c r="K855" s="187" t="str">
        <x:v>EUR</x:v>
      </x:c>
      <x:c r="L855" s="232" t="n">
        <x:v>379.342608768</x:v>
      </x:c>
      <x:c r="M855" s="232" t="n">
        <x:v>7.82</x:v>
      </x:c>
      <x:c r="N855" s="187" t="str">
        <x:v>2966.45920056576000000</x:v>
      </x:c>
      <x:c r="O855" s="235" t="n">
        <x:v>2966.4592</x:v>
      </x:c>
      <x:c r="P855" s="235" t="n">
        <x:v>2966.4592</x:v>
      </x:c>
      <x:c r="Q855" s="235" t="n">
        <x:v>0</x:v>
      </x:c>
      <x:c r="R855" s="235" t="str">
        <x:v>INVOICE_OR_PLAN</x:v>
      </x:c>
      <x:c r="S855" s="238" t="n">
        <x:f>'Model_Calc'!AV146</x:f>
        <x:v>2966.4592005657605</x:v>
      </x:c>
      <x:c r="T855" s="238" t="n">
        <x:f>ROUND(S855-O855,4)</x:f>
        <x:v>0</x:v>
      </x:c>
    </x:row>
    <x:row r="856">
      <x:c r="A856" s="187" t="str">
        <x:v>ACTUAL_2026_08_CLOSE_V1</x:v>
      </x:c>
      <x:c r="B856" s="187" t="str">
        <x:v>ACTUAL</x:v>
      </x:c>
      <x:c r="C856" s="187"/>
      <x:c r="D856" s="217" t="n">
        <x:v>46082</x:v>
      </x:c>
      <x:c r="E856" s="187" t="str">
        <x:v>R_DE_DE_B_ROAD</x:v>
      </x:c>
      <x:c r="F856" s="187" t="str">
        <x:v>DE</x:v>
      </x:c>
      <x:c r="G856" s="187" t="str">
        <x:v>DE_FC</x:v>
      </x:c>
      <x:c r="H856" s="187" t="str">
        <x:v>CARRIER_B</x:v>
      </x:c>
      <x:c r="I856" s="187" t="str">
        <x:v>ROAD</x:v>
      </x:c>
      <x:c r="J856" s="187" t="str">
        <x:v>BILLABLE_EXCEPTION</x:v>
      </x:c>
      <x:c r="K856" s="187" t="str">
        <x:v>EUR</x:v>
      </x:c>
      <x:c r="L856" s="232" t="n">
        <x:v>76.07466079480888</x:v>
      </x:c>
      <x:c r="M856" s="232" t="n">
        <x:v>7.82</x:v>
      </x:c>
      <x:c r="N856" s="187" t="str">
        <x:v>594.903847415405440348800000</x:v>
      </x:c>
      <x:c r="O856" s="235" t="n">
        <x:v>594.9038</x:v>
      </x:c>
      <x:c r="P856" s="235" t="n">
        <x:v>594.9038</x:v>
      </x:c>
      <x:c r="Q856" s="235" t="n">
        <x:v>0</x:v>
      </x:c>
      <x:c r="R856" s="235" t="str">
        <x:v>INVOICE_OR_PLAN</x:v>
      </x:c>
      <x:c r="S856" s="238" t="n">
        <x:f>'Model_Calc'!BA146</x:f>
        <x:v>594.9038474154056</x:v>
      </x:c>
      <x:c r="T856" s="238" t="n">
        <x:f>ROUND(S856-O856,4)</x:f>
        <x:v>0</x:v>
      </x:c>
    </x:row>
    <x:row r="857">
      <x:c r="A857" s="187" t="str">
        <x:v>ACTUAL_2026_08_CLOSE_V1</x:v>
      </x:c>
      <x:c r="B857" s="187" t="str">
        <x:v>ACTUAL</x:v>
      </x:c>
      <x:c r="C857" s="187"/>
      <x:c r="D857" s="217" t="n">
        <x:v>46082</x:v>
      </x:c>
      <x:c r="E857" s="187" t="str">
        <x:v>R_DE_FR_B_ROAD</x:v>
      </x:c>
      <x:c r="F857" s="187" t="str">
        <x:v>DE</x:v>
      </x:c>
      <x:c r="G857" s="187" t="str">
        <x:v>FR_FC</x:v>
      </x:c>
      <x:c r="H857" s="187" t="str">
        <x:v>CARRIER_B</x:v>
      </x:c>
      <x:c r="I857" s="187" t="str">
        <x:v>ROAD</x:v>
      </x:c>
      <x:c r="J857" s="187" t="str">
        <x:v>BASE_FREIGHT</x:v>
      </x:c>
      <x:c r="K857" s="187" t="str">
        <x:v>EUR</x:v>
      </x:c>
      <x:c r="L857" s="232" t="n">
        <x:v>565.8106307029709</x:v>
      </x:c>
      <x:c r="M857" s="232" t="n">
        <x:v>7.82</x:v>
      </x:c>
      <x:c r="N857" s="187" t="str">
        <x:v>4424.6391320972322440640000</x:v>
      </x:c>
      <x:c r="O857" s="235" t="n">
        <x:v>4424.6391</x:v>
      </x:c>
      <x:c r="P857" s="235" t="n">
        <x:v>4424.6391</x:v>
      </x:c>
      <x:c r="Q857" s="235" t="n">
        <x:v>0</x:v>
      </x:c>
      <x:c r="R857" s="235" t="str">
        <x:v>INVOICE_OR_PLAN</x:v>
      </x:c>
      <x:c r="S857" s="238" t="n">
        <x:f>'Model_Calc'!AF147</x:f>
        <x:v>4424.639132097232</x:v>
      </x:c>
      <x:c r="T857" s="238" t="n">
        <x:f>ROUND(S857-O857,4)</x:f>
        <x:v>0</x:v>
      </x:c>
    </x:row>
    <x:row r="858">
      <x:c r="A858" s="187" t="str">
        <x:v>ACTUAL_2026_08_CLOSE_V1</x:v>
      </x:c>
      <x:c r="B858" s="187" t="str">
        <x:v>ACTUAL</x:v>
      </x:c>
      <x:c r="C858" s="187"/>
      <x:c r="D858" s="217" t="n">
        <x:v>46082</x:v>
      </x:c>
      <x:c r="E858" s="187" t="str">
        <x:v>R_DE_FR_B_ROAD</x:v>
      </x:c>
      <x:c r="F858" s="187" t="str">
        <x:v>DE</x:v>
      </x:c>
      <x:c r="G858" s="187" t="str">
        <x:v>FR_FC</x:v>
      </x:c>
      <x:c r="H858" s="187" t="str">
        <x:v>CARRIER_B</x:v>
      </x:c>
      <x:c r="I858" s="187" t="str">
        <x:v>ROAD</x:v>
      </x:c>
      <x:c r="J858" s="187" t="str">
        <x:v>FUEL_SURCHARGE</x:v>
      </x:c>
      <x:c r="K858" s="187" t="str">
        <x:v>EUR</x:v>
      </x:c>
      <x:c r="L858" s="232" t="n">
        <x:v>41.14986405112516</x:v>
      </x:c>
      <x:c r="M858" s="232" t="n">
        <x:v>7.82</x:v>
      </x:c>
      <x:c r="N858" s="187" t="str">
        <x:v>321.7919368797987086592000</x:v>
      </x:c>
      <x:c r="O858" s="235" t="n">
        <x:v>321.7919</x:v>
      </x:c>
      <x:c r="P858" s="235" t="n">
        <x:v>321.7919</x:v>
      </x:c>
      <x:c r="Q858" s="235" t="n">
        <x:v>0</x:v>
      </x:c>
      <x:c r="R858" s="235" t="str">
        <x:v>INVOICE_OR_PLAN</x:v>
      </x:c>
      <x:c r="S858" s="238" t="n">
        <x:f>'Model_Calc'!AG147</x:f>
        <x:v>321.7919368797987</x:v>
      </x:c>
      <x:c r="T858" s="238" t="n">
        <x:f>ROUND(S858-O858,4)</x:f>
        <x:v>0</x:v>
      </x:c>
    </x:row>
    <x:row r="859">
      <x:c r="A859" s="187" t="str">
        <x:v>ACTUAL_2026_08_CLOSE_V1</x:v>
      </x:c>
      <x:c r="B859" s="187" t="str">
        <x:v>ACTUAL</x:v>
      </x:c>
      <x:c r="C859" s="187"/>
      <x:c r="D859" s="217" t="n">
        <x:v>46082</x:v>
      </x:c>
      <x:c r="E859" s="187" t="str">
        <x:v>R_DE_FR_B_ROAD</x:v>
      </x:c>
      <x:c r="F859" s="187" t="str">
        <x:v>DE</x:v>
      </x:c>
      <x:c r="G859" s="187" t="str">
        <x:v>FR_FC</x:v>
      </x:c>
      <x:c r="H859" s="187" t="str">
        <x:v>CARRIER_B</x:v>
      </x:c>
      <x:c r="I859" s="187" t="str">
        <x:v>ROAD</x:v>
      </x:c>
      <x:c r="J859" s="187" t="str">
        <x:v>WAREHOUSE_OPERATION</x:v>
      </x:c>
      <x:c r="K859" s="187" t="str">
        <x:v>EUR</x:v>
      </x:c>
      <x:c r="L859" s="232" t="n">
        <x:v>192.4821549</x:v>
      </x:c>
      <x:c r="M859" s="232" t="n">
        <x:v>7.82</x:v>
      </x:c>
      <x:c r="N859" s="187" t="str">
        <x:v>1505.210451318000</x:v>
      </x:c>
      <x:c r="O859" s="235" t="n">
        <x:v>1505.2105</x:v>
      </x:c>
      <x:c r="P859" s="235" t="n">
        <x:v>1505.2105</x:v>
      </x:c>
      <x:c r="Q859" s="235" t="n">
        <x:v>0</x:v>
      </x:c>
      <x:c r="R859" s="235" t="str">
        <x:v>INVOICE_OR_PLAN</x:v>
      </x:c>
      <x:c r="S859" s="238" t="n">
        <x:f>'Model_Calc'!AL147</x:f>
        <x:v>1505.2104513180002</x:v>
      </x:c>
      <x:c r="T859" s="238" t="n">
        <x:f>ROUND(S859-O859,4)</x:f>
        <x:v>0</x:v>
      </x:c>
    </x:row>
    <x:row r="860">
      <x:c r="A860" s="187" t="str">
        <x:v>ACTUAL_2026_08_CLOSE_V1</x:v>
      </x:c>
      <x:c r="B860" s="187" t="str">
        <x:v>ACTUAL</x:v>
      </x:c>
      <x:c r="C860" s="187"/>
      <x:c r="D860" s="217" t="n">
        <x:v>46082</x:v>
      </x:c>
      <x:c r="E860" s="187" t="str">
        <x:v>R_DE_FR_B_ROAD</x:v>
      </x:c>
      <x:c r="F860" s="187" t="str">
        <x:v>DE</x:v>
      </x:c>
      <x:c r="G860" s="187" t="str">
        <x:v>FR_FC</x:v>
      </x:c>
      <x:c r="H860" s="187" t="str">
        <x:v>CARRIER_B</x:v>
      </x:c>
      <x:c r="I860" s="187" t="str">
        <x:v>ROAD</x:v>
      </x:c>
      <x:c r="J860" s="187" t="str">
        <x:v>PACKAGING</x:v>
      </x:c>
      <x:c r="K860" s="187" t="str">
        <x:v>EUR</x:v>
      </x:c>
      <x:c r="L860" s="232" t="n">
        <x:v>75.3834911654304</x:v>
      </x:c>
      <x:c r="M860" s="232" t="n">
        <x:v>7.82</x:v>
      </x:c>
      <x:c r="N860" s="187" t="str">
        <x:v>589.49890091366572800</x:v>
      </x:c>
      <x:c r="O860" s="235" t="n">
        <x:v>589.4989</x:v>
      </x:c>
      <x:c r="P860" s="235" t="n">
        <x:v>589.4989</x:v>
      </x:c>
      <x:c r="Q860" s="235" t="n">
        <x:v>0</x:v>
      </x:c>
      <x:c r="R860" s="235" t="str">
        <x:v>INVOICE_OR_PLAN</x:v>
      </x:c>
      <x:c r="S860" s="238" t="n">
        <x:f>'Model_Calc'!AQ147</x:f>
        <x:v>589.4989009136657</x:v>
      </x:c>
      <x:c r="T860" s="238" t="n">
        <x:f>ROUND(S860-O860,4)</x:f>
        <x:v>0</x:v>
      </x:c>
    </x:row>
    <x:row r="861">
      <x:c r="A861" s="187" t="str">
        <x:v>ACTUAL_2026_08_CLOSE_V1</x:v>
      </x:c>
      <x:c r="B861" s="187" t="str">
        <x:v>ACTUAL</x:v>
      </x:c>
      <x:c r="C861" s="187"/>
      <x:c r="D861" s="217" t="n">
        <x:v>46082</x:v>
      </x:c>
      <x:c r="E861" s="187" t="str">
        <x:v>R_DE_FR_B_ROAD</x:v>
      </x:c>
      <x:c r="F861" s="187" t="str">
        <x:v>DE</x:v>
      </x:c>
      <x:c r="G861" s="187" t="str">
        <x:v>FR_FC</x:v>
      </x:c>
      <x:c r="H861" s="187" t="str">
        <x:v>CARRIER_B</x:v>
      </x:c>
      <x:c r="I861" s="187" t="str">
        <x:v>ROAD</x:v>
      </x:c>
      <x:c r="J861" s="187" t="str">
        <x:v>RETURN_LOGISTICS</x:v>
      </x:c>
      <x:c r="K861" s="187" t="str">
        <x:v>EUR</x:v>
      </x:c>
      <x:c r="L861" s="232" t="n">
        <x:v>34.83010422</x:v>
      </x:c>
      <x:c r="M861" s="232" t="n">
        <x:v>7.82</x:v>
      </x:c>
      <x:c r="N861" s="187" t="str">
        <x:v>272.371415000400000</x:v>
      </x:c>
      <x:c r="O861" s="235" t="n">
        <x:v>272.3714</x:v>
      </x:c>
      <x:c r="P861" s="235" t="n">
        <x:v>272.3714</x:v>
      </x:c>
      <x:c r="Q861" s="235" t="n">
        <x:v>0</x:v>
      </x:c>
      <x:c r="R861" s="235" t="str">
        <x:v>INVOICE_OR_PLAN</x:v>
      </x:c>
      <x:c r="S861" s="238" t="n">
        <x:f>'Model_Calc'!AV147</x:f>
        <x:v>272.3714150004</x:v>
      </x:c>
      <x:c r="T861" s="238" t="n">
        <x:f>ROUND(S861-O861,4)</x:f>
        <x:v>0</x:v>
      </x:c>
    </x:row>
    <x:row r="862">
      <x:c r="A862" s="187" t="str">
        <x:v>ACTUAL_2026_08_CLOSE_V1</x:v>
      </x:c>
      <x:c r="B862" s="187" t="str">
        <x:v>ACTUAL</x:v>
      </x:c>
      <x:c r="C862" s="187"/>
      <x:c r="D862" s="217" t="n">
        <x:v>46082</x:v>
      </x:c>
      <x:c r="E862" s="187" t="str">
        <x:v>R_DE_FR_B_ROAD</x:v>
      </x:c>
      <x:c r="F862" s="187" t="str">
        <x:v>DE</x:v>
      </x:c>
      <x:c r="G862" s="187" t="str">
        <x:v>FR_FC</x:v>
      </x:c>
      <x:c r="H862" s="187" t="str">
        <x:v>CARRIER_B</x:v>
      </x:c>
      <x:c r="I862" s="187" t="str">
        <x:v>ROAD</x:v>
      </x:c>
      <x:c r="J862" s="187" t="str">
        <x:v>BILLABLE_EXCEPTION</x:v>
      </x:c>
      <x:c r="K862" s="187" t="str">
        <x:v>EUR</x:v>
      </x:c>
      <x:c r="L862" s="232" t="n">
        <x:v>6.515514167993148</x:v>
      </x:c>
      <x:c r="M862" s="232" t="n">
        <x:v>7.82</x:v>
      </x:c>
      <x:c r="N862" s="187" t="str">
        <x:v>50.9513207937064136064000</x:v>
      </x:c>
      <x:c r="O862" s="235" t="n">
        <x:v>50.9513</x:v>
      </x:c>
      <x:c r="P862" s="235" t="n">
        <x:v>50.9513</x:v>
      </x:c>
      <x:c r="Q862" s="235" t="n">
        <x:v>0</x:v>
      </x:c>
      <x:c r="R862" s="235" t="str">
        <x:v>INVOICE_OR_PLAN</x:v>
      </x:c>
      <x:c r="S862" s="238" t="n">
        <x:f>'Model_Calc'!BA147</x:f>
        <x:v>50.95132079370641</x:v>
      </x:c>
      <x:c r="T862" s="238" t="n">
        <x:f>ROUND(S862-O862,4)</x:f>
        <x:v>0</x:v>
      </x:c>
    </x:row>
    <x:row r="863">
      <x:c r="A863" s="187" t="str">
        <x:v>ACTUAL_2026_08_CLOSE_V1</x:v>
      </x:c>
      <x:c r="B863" s="187" t="str">
        <x:v>ACTUAL</x:v>
      </x:c>
      <x:c r="C863" s="187"/>
      <x:c r="D863" s="217" t="n">
        <x:v>46082</x:v>
      </x:c>
      <x:c r="E863" s="187" t="str">
        <x:v>R_FR_FR_A_ROAD</x:v>
      </x:c>
      <x:c r="F863" s="187" t="str">
        <x:v>FR</x:v>
      </x:c>
      <x:c r="G863" s="187" t="str">
        <x:v>FR_FC</x:v>
      </x:c>
      <x:c r="H863" s="187" t="str">
        <x:v>CARRIER_A</x:v>
      </x:c>
      <x:c r="I863" s="187" t="str">
        <x:v>ROAD</x:v>
      </x:c>
      <x:c r="J863" s="187" t="str">
        <x:v>BASE_FREIGHT</x:v>
      </x:c>
      <x:c r="K863" s="187" t="str">
        <x:v>EUR</x:v>
      </x:c>
      <x:c r="L863" s="232" t="n">
        <x:v>2927.660238801216</x:v>
      </x:c>
      <x:c r="M863" s="232" t="n">
        <x:v>7.82</x:v>
      </x:c>
      <x:c r="N863" s="187" t="str">
        <x:v>22894.3030674255096830400000</x:v>
      </x:c>
      <x:c r="O863" s="235" t="n">
        <x:v>22894.3031</x:v>
      </x:c>
      <x:c r="P863" s="235" t="n">
        <x:v>22894.3031</x:v>
      </x:c>
      <x:c r="Q863" s="235" t="n">
        <x:v>0</x:v>
      </x:c>
      <x:c r="R863" s="235" t="str">
        <x:v>INVOICE_OR_PLAN</x:v>
      </x:c>
      <x:c r="S863" s="238" t="n">
        <x:f>'Model_Calc'!AF148</x:f>
        <x:v>22894.30306742551</x:v>
      </x:c>
      <x:c r="T863" s="238" t="n">
        <x:f>ROUND(S863-O863,4)</x:f>
        <x:v>0</x:v>
      </x:c>
    </x:row>
    <x:row r="864">
      <x:c r="A864" s="187" t="str">
        <x:v>ACTUAL_2026_08_CLOSE_V1</x:v>
      </x:c>
      <x:c r="B864" s="187" t="str">
        <x:v>ACTUAL</x:v>
      </x:c>
      <x:c r="C864" s="187"/>
      <x:c r="D864" s="217" t="n">
        <x:v>46082</x:v>
      </x:c>
      <x:c r="E864" s="187" t="str">
        <x:v>R_FR_FR_A_ROAD</x:v>
      </x:c>
      <x:c r="F864" s="187" t="str">
        <x:v>FR</x:v>
      </x:c>
      <x:c r="G864" s="187" t="str">
        <x:v>FR_FC</x:v>
      </x:c>
      <x:c r="H864" s="187" t="str">
        <x:v>CARRIER_A</x:v>
      </x:c>
      <x:c r="I864" s="187" t="str">
        <x:v>ROAD</x:v>
      </x:c>
      <x:c r="J864" s="187" t="str">
        <x:v>FUEL_SURCHARGE</x:v>
      </x:c>
      <x:c r="K864" s="187" t="str">
        <x:v>EUR</x:v>
      </x:c>
      <x:c r="L864" s="232" t="n">
        <x:v>265.0703580210621</x:v>
      </x:c>
      <x:c r="M864" s="232" t="n">
        <x:v>7.82</x:v>
      </x:c>
      <x:c r="N864" s="187" t="str">
        <x:v>2072.8501997247056467024416000000</x:v>
      </x:c>
      <x:c r="O864" s="235" t="n">
        <x:v>2072.8502</x:v>
      </x:c>
      <x:c r="P864" s="235" t="n">
        <x:v>2072.8502</x:v>
      </x:c>
      <x:c r="Q864" s="235" t="n">
        <x:v>0</x:v>
      </x:c>
      <x:c r="R864" s="235" t="str">
        <x:v>INVOICE_OR_PLAN</x:v>
      </x:c>
      <x:c r="S864" s="238" t="n">
        <x:f>'Model_Calc'!AG148</x:f>
        <x:v>2072.8501997247054</x:v>
      </x:c>
      <x:c r="T864" s="238" t="n">
        <x:f>ROUND(S864-O864,4)</x:f>
        <x:v>0</x:v>
      </x:c>
    </x:row>
    <x:row r="865">
      <x:c r="A865" s="187" t="str">
        <x:v>ACTUAL_2026_08_CLOSE_V1</x:v>
      </x:c>
      <x:c r="B865" s="187" t="str">
        <x:v>ACTUAL</x:v>
      </x:c>
      <x:c r="C865" s="187"/>
      <x:c r="D865" s="217" t="n">
        <x:v>46082</x:v>
      </x:c>
      <x:c r="E865" s="187" t="str">
        <x:v>R_FR_FR_A_ROAD</x:v>
      </x:c>
      <x:c r="F865" s="187" t="str">
        <x:v>FR</x:v>
      </x:c>
      <x:c r="G865" s="187" t="str">
        <x:v>FR_FC</x:v>
      </x:c>
      <x:c r="H865" s="187" t="str">
        <x:v>CARRIER_A</x:v>
      </x:c>
      <x:c r="I865" s="187" t="str">
        <x:v>ROAD</x:v>
      </x:c>
      <x:c r="J865" s="187" t="str">
        <x:v>WAREHOUSE_OPERATION</x:v>
      </x:c>
      <x:c r="K865" s="187" t="str">
        <x:v>EUR</x:v>
      </x:c>
      <x:c r="L865" s="232" t="n">
        <x:v>1804.4191935</x:v>
      </x:c>
      <x:c r="M865" s="232" t="n">
        <x:v>7.82</x:v>
      </x:c>
      <x:c r="N865" s="187" t="str">
        <x:v>14110.558093170000</x:v>
      </x:c>
      <x:c r="O865" s="235" t="n">
        <x:v>14110.5581</x:v>
      </x:c>
      <x:c r="P865" s="235" t="n">
        <x:v>14110.5581</x:v>
      </x:c>
      <x:c r="Q865" s="235" t="n">
        <x:v>0</x:v>
      </x:c>
      <x:c r="R865" s="235" t="str">
        <x:v>INVOICE_OR_PLAN</x:v>
      </x:c>
      <x:c r="S865" s="238" t="n">
        <x:f>'Model_Calc'!AL148</x:f>
        <x:v>14110.55809317</x:v>
      </x:c>
      <x:c r="T865" s="238" t="n">
        <x:f>ROUND(S865-O865,4)</x:f>
        <x:v>0</x:v>
      </x:c>
    </x:row>
    <x:row r="866">
      <x:c r="A866" s="187" t="str">
        <x:v>ACTUAL_2026_08_CLOSE_V1</x:v>
      </x:c>
      <x:c r="B866" s="187" t="str">
        <x:v>ACTUAL</x:v>
      </x:c>
      <x:c r="C866" s="187"/>
      <x:c r="D866" s="217" t="n">
        <x:v>46082</x:v>
      </x:c>
      <x:c r="E866" s="187" t="str">
        <x:v>R_FR_FR_A_ROAD</x:v>
      </x:c>
      <x:c r="F866" s="187" t="str">
        <x:v>FR</x:v>
      </x:c>
      <x:c r="G866" s="187" t="str">
        <x:v>FR_FC</x:v>
      </x:c>
      <x:c r="H866" s="187" t="str">
        <x:v>CARRIER_A</x:v>
      </x:c>
      <x:c r="I866" s="187" t="str">
        <x:v>ROAD</x:v>
      </x:c>
      <x:c r="J866" s="187" t="str">
        <x:v>PACKAGING</x:v>
      </x:c>
      <x:c r="K866" s="187" t="str">
        <x:v>EUR</x:v>
      </x:c>
      <x:c r="L866" s="232" t="n">
        <x:v>693.593991661032</x:v>
      </x:c>
      <x:c r="M866" s="232" t="n">
        <x:v>7.82</x:v>
      </x:c>
      <x:c r="N866" s="187" t="str">
        <x:v>5423.90501478927024000</x:v>
      </x:c>
      <x:c r="O866" s="235" t="n">
        <x:v>5423.905</x:v>
      </x:c>
      <x:c r="P866" s="235" t="n">
        <x:v>5423.905</x:v>
      </x:c>
      <x:c r="Q866" s="235" t="n">
        <x:v>0</x:v>
      </x:c>
      <x:c r="R866" s="235" t="str">
        <x:v>INVOICE_OR_PLAN</x:v>
      </x:c>
      <x:c r="S866" s="238" t="n">
        <x:f>'Model_Calc'!AQ148</x:f>
        <x:v>5423.90501478927</x:v>
      </x:c>
      <x:c r="T866" s="238" t="n">
        <x:f>ROUND(S866-O866,4)</x:f>
        <x:v>0</x:v>
      </x:c>
    </x:row>
    <x:row r="867">
      <x:c r="A867" s="187" t="str">
        <x:v>ACTUAL_2026_08_CLOSE_V1</x:v>
      </x:c>
      <x:c r="B867" s="187" t="str">
        <x:v>ACTUAL</x:v>
      </x:c>
      <x:c r="C867" s="187"/>
      <x:c r="D867" s="217" t="n">
        <x:v>46082</x:v>
      </x:c>
      <x:c r="E867" s="187" t="str">
        <x:v>R_FR_FR_A_ROAD</x:v>
      </x:c>
      <x:c r="F867" s="187" t="str">
        <x:v>FR</x:v>
      </x:c>
      <x:c r="G867" s="187" t="str">
        <x:v>FR_FC</x:v>
      </x:c>
      <x:c r="H867" s="187" t="str">
        <x:v>CARRIER_A</x:v>
      </x:c>
      <x:c r="I867" s="187" t="str">
        <x:v>ROAD</x:v>
      </x:c>
      <x:c r="J867" s="187" t="str">
        <x:v>RETURN_LOGISTICS</x:v>
      </x:c>
      <x:c r="K867" s="187" t="str">
        <x:v>EUR</x:v>
      </x:c>
      <x:c r="L867" s="232" t="n">
        <x:v>309.3290046</x:v>
      </x:c>
      <x:c r="M867" s="232" t="n">
        <x:v>7.82</x:v>
      </x:c>
      <x:c r="N867" s="187" t="str">
        <x:v>2418.952815972000000</x:v>
      </x:c>
      <x:c r="O867" s="235" t="n">
        <x:v>2418.9528</x:v>
      </x:c>
      <x:c r="P867" s="235" t="n">
        <x:v>2418.9528</x:v>
      </x:c>
      <x:c r="Q867" s="235" t="n">
        <x:v>0</x:v>
      </x:c>
      <x:c r="R867" s="235" t="str">
        <x:v>INVOICE_OR_PLAN</x:v>
      </x:c>
      <x:c r="S867" s="238" t="n">
        <x:f>'Model_Calc'!AV148</x:f>
        <x:v>2418.952815972</x:v>
      </x:c>
      <x:c r="T867" s="238" t="n">
        <x:f>ROUND(S867-O867,4)</x:f>
        <x:v>0</x:v>
      </x:c>
    </x:row>
    <x:row r="868">
      <x:c r="A868" s="187" t="str">
        <x:v>ACTUAL_2026_08_CLOSE_V1</x:v>
      </x:c>
      <x:c r="B868" s="187" t="str">
        <x:v>ACTUAL</x:v>
      </x:c>
      <x:c r="C868" s="187"/>
      <x:c r="D868" s="217" t="n">
        <x:v>46082</x:v>
      </x:c>
      <x:c r="E868" s="187" t="str">
        <x:v>R_FR_FR_A_ROAD</x:v>
      </x:c>
      <x:c r="F868" s="187" t="str">
        <x:v>FR</x:v>
      </x:c>
      <x:c r="G868" s="187" t="str">
        <x:v>FR_FC</x:v>
      </x:c>
      <x:c r="H868" s="187" t="str">
        <x:v>CARRIER_A</x:v>
      </x:c>
      <x:c r="I868" s="187" t="str">
        <x:v>ROAD</x:v>
      </x:c>
      <x:c r="J868" s="187" t="str">
        <x:v>BILLABLE_EXCEPTION</x:v>
      </x:c>
      <x:c r="K868" s="187" t="str">
        <x:v>EUR</x:v>
      </x:c>
      <x:c r="L868" s="232" t="n">
        <x:v>72.79451467217179</x:v>
      </x:c>
      <x:c r="M868" s="232" t="n">
        <x:v>7.82</x:v>
      </x:c>
      <x:c r="N868" s="187" t="str">
        <x:v>569.2531047363833571360000</x:v>
      </x:c>
      <x:c r="O868" s="235" t="n">
        <x:v>569.2531</x:v>
      </x:c>
      <x:c r="P868" s="235" t="n">
        <x:v>569.2531</x:v>
      </x:c>
      <x:c r="Q868" s="235" t="n">
        <x:v>0</x:v>
      </x:c>
      <x:c r="R868" s="235" t="str">
        <x:v>INVOICE_OR_PLAN</x:v>
      </x:c>
      <x:c r="S868" s="238" t="n">
        <x:f>'Model_Calc'!BA148</x:f>
        <x:v>569.2531047363834</x:v>
      </x:c>
      <x:c r="T868" s="238" t="n">
        <x:f>ROUND(S868-O868,4)</x:f>
        <x:v>0</x:v>
      </x:c>
    </x:row>
    <x:row r="869">
      <x:c r="A869" s="187" t="str">
        <x:v>ACTUAL_2026_08_CLOSE_V1</x:v>
      </x:c>
      <x:c r="B869" s="187" t="str">
        <x:v>ACTUAL</x:v>
      </x:c>
      <x:c r="C869" s="187"/>
      <x:c r="D869" s="217" t="n">
        <x:v>46082</x:v>
      </x:c>
      <x:c r="E869" s="187" t="str">
        <x:v>R_FR_FR_B_ROAD</x:v>
      </x:c>
      <x:c r="F869" s="187" t="str">
        <x:v>FR</x:v>
      </x:c>
      <x:c r="G869" s="187" t="str">
        <x:v>FR_FC</x:v>
      </x:c>
      <x:c r="H869" s="187" t="str">
        <x:v>CARRIER_B</x:v>
      </x:c>
      <x:c r="I869" s="187" t="str">
        <x:v>ROAD</x:v>
      </x:c>
      <x:c r="J869" s="187" t="str">
        <x:v>BASE_FREIGHT</x:v>
      </x:c>
      <x:c r="K869" s="187" t="str">
        <x:v>EUR</x:v>
      </x:c>
      <x:c r="L869" s="232" t="n">
        <x:v>6997.349059834414</x:v>
      </x:c>
      <x:c r="M869" s="232" t="n">
        <x:v>7.82</x:v>
      </x:c>
      <x:c r="N869" s="187" t="str">
        <x:v>54719.2696479051163226400000</x:v>
      </x:c>
      <x:c r="O869" s="235" t="n">
        <x:v>54719.2696</x:v>
      </x:c>
      <x:c r="P869" s="235" t="n">
        <x:v>54719.2696</x:v>
      </x:c>
      <x:c r="Q869" s="235" t="n">
        <x:v>0</x:v>
      </x:c>
      <x:c r="R869" s="235" t="str">
        <x:v>INVOICE_OR_PLAN</x:v>
      </x:c>
      <x:c r="S869" s="238" t="n">
        <x:f>'Model_Calc'!AF149</x:f>
        <x:v>54719.269647905116</x:v>
      </x:c>
      <x:c r="T869" s="238" t="n">
        <x:f>ROUND(S869-O869,4)</x:f>
        <x:v>0</x:v>
      </x:c>
    </x:row>
    <x:row r="870">
      <x:c r="A870" s="187" t="str">
        <x:v>ACTUAL_2026_08_CLOSE_V1</x:v>
      </x:c>
      <x:c r="B870" s="187" t="str">
        <x:v>ACTUAL</x:v>
      </x:c>
      <x:c r="C870" s="187"/>
      <x:c r="D870" s="217" t="n">
        <x:v>46082</x:v>
      </x:c>
      <x:c r="E870" s="187" t="str">
        <x:v>R_FR_FR_B_ROAD</x:v>
      </x:c>
      <x:c r="F870" s="187" t="str">
        <x:v>FR</x:v>
      </x:c>
      <x:c r="G870" s="187" t="str">
        <x:v>FR_FC</x:v>
      </x:c>
      <x:c r="H870" s="187" t="str">
        <x:v>CARRIER_B</x:v>
      </x:c>
      <x:c r="I870" s="187" t="str">
        <x:v>ROAD</x:v>
      </x:c>
      <x:c r="J870" s="187" t="str">
        <x:v>FUEL_SURCHARGE</x:v>
      </x:c>
      <x:c r="K870" s="187" t="str">
        <x:v>EUR</x:v>
      </x:c>
      <x:c r="L870" s="232" t="n">
        <x:v>538.2576199872626</x:v>
      </x:c>
      <x:c r="M870" s="232" t="n">
        <x:v>7.82</x:v>
      </x:c>
      <x:c r="N870" s="187" t="str">
        <x:v>4209.1745883003935632800000</x:v>
      </x:c>
      <x:c r="O870" s="235" t="n">
        <x:v>4209.1746</x:v>
      </x:c>
      <x:c r="P870" s="235" t="n">
        <x:v>4209.1746</x:v>
      </x:c>
      <x:c r="Q870" s="235" t="n">
        <x:v>0</x:v>
      </x:c>
      <x:c r="R870" s="235" t="str">
        <x:v>INVOICE_OR_PLAN</x:v>
      </x:c>
      <x:c r="S870" s="238" t="n">
        <x:f>'Model_Calc'!AG149</x:f>
        <x:v>4209.174588300393</x:v>
      </x:c>
      <x:c r="T870" s="238" t="n">
        <x:f>ROUND(S870-O870,4)</x:f>
        <x:v>0</x:v>
      </x:c>
    </x:row>
    <x:row r="871">
      <x:c r="A871" s="187" t="str">
        <x:v>ACTUAL_2026_08_CLOSE_V1</x:v>
      </x:c>
      <x:c r="B871" s="187" t="str">
        <x:v>ACTUAL</x:v>
      </x:c>
      <x:c r="C871" s="187"/>
      <x:c r="D871" s="217" t="n">
        <x:v>46082</x:v>
      </x:c>
      <x:c r="E871" s="187" t="str">
        <x:v>R_FR_FR_B_ROAD</x:v>
      </x:c>
      <x:c r="F871" s="187" t="str">
        <x:v>FR</x:v>
      </x:c>
      <x:c r="G871" s="187" t="str">
        <x:v>FR_FC</x:v>
      </x:c>
      <x:c r="H871" s="187" t="str">
        <x:v>CARRIER_B</x:v>
      </x:c>
      <x:c r="I871" s="187" t="str">
        <x:v>ROAD</x:v>
      </x:c>
      <x:c r="J871" s="187" t="str">
        <x:v>WAREHOUSE_OPERATION</x:v>
      </x:c>
      <x:c r="K871" s="187" t="str">
        <x:v>EUR</x:v>
      </x:c>
      <x:c r="L871" s="232" t="n">
        <x:v>3351.0642165</x:v>
      </x:c>
      <x:c r="M871" s="232" t="n">
        <x:v>7.82</x:v>
      </x:c>
      <x:c r="N871" s="187" t="str">
        <x:v>26205.322173030000</x:v>
      </x:c>
      <x:c r="O871" s="235" t="n">
        <x:v>26205.3222</x:v>
      </x:c>
      <x:c r="P871" s="235" t="n">
        <x:v>26205.3222</x:v>
      </x:c>
      <x:c r="Q871" s="235" t="n">
        <x:v>0</x:v>
      </x:c>
      <x:c r="R871" s="235" t="str">
        <x:v>INVOICE_OR_PLAN</x:v>
      </x:c>
      <x:c r="S871" s="238" t="n">
        <x:f>'Model_Calc'!AL149</x:f>
        <x:v>26205.32217303</x:v>
      </x:c>
      <x:c r="T871" s="238" t="n">
        <x:f>ROUND(S871-O871,4)</x:f>
        <x:v>0</x:v>
      </x:c>
    </x:row>
    <x:row r="872">
      <x:c r="A872" s="187" t="str">
        <x:v>ACTUAL_2026_08_CLOSE_V1</x:v>
      </x:c>
      <x:c r="B872" s="187" t="str">
        <x:v>ACTUAL</x:v>
      </x:c>
      <x:c r="C872" s="187"/>
      <x:c r="D872" s="217" t="n">
        <x:v>46082</x:v>
      </x:c>
      <x:c r="E872" s="187" t="str">
        <x:v>R_FR_FR_B_ROAD</x:v>
      </x:c>
      <x:c r="F872" s="187" t="str">
        <x:v>FR</x:v>
      </x:c>
      <x:c r="G872" s="187" t="str">
        <x:v>FR_FC</x:v>
      </x:c>
      <x:c r="H872" s="187" t="str">
        <x:v>CARRIER_B</x:v>
      </x:c>
      <x:c r="I872" s="187" t="str">
        <x:v>ROAD</x:v>
      </x:c>
      <x:c r="J872" s="187" t="str">
        <x:v>PACKAGING</x:v>
      </x:c>
      <x:c r="K872" s="187" t="str">
        <x:v>EUR</x:v>
      </x:c>
      <x:c r="L872" s="232" t="n">
        <x:v>1288.103127370488</x:v>
      </x:c>
      <x:c r="M872" s="232" t="n">
        <x:v>7.82</x:v>
      </x:c>
      <x:c r="N872" s="187" t="str">
        <x:v>10072.96645603721616000</x:v>
      </x:c>
      <x:c r="O872" s="235" t="n">
        <x:v>10072.9665</x:v>
      </x:c>
      <x:c r="P872" s="235" t="n">
        <x:v>10072.9665</x:v>
      </x:c>
      <x:c r="Q872" s="235" t="n">
        <x:v>0</x:v>
      </x:c>
      <x:c r="R872" s="235" t="str">
        <x:v>INVOICE_OR_PLAN</x:v>
      </x:c>
      <x:c r="S872" s="238" t="n">
        <x:f>'Model_Calc'!AQ149</x:f>
        <x:v>10072.966456037217</x:v>
      </x:c>
      <x:c r="T872" s="238" t="n">
        <x:f>ROUND(S872-O872,4)</x:f>
        <x:v>0</x:v>
      </x:c>
    </x:row>
    <x:row r="873">
      <x:c r="A873" s="187" t="str">
        <x:v>ACTUAL_2026_08_CLOSE_V1</x:v>
      </x:c>
      <x:c r="B873" s="187" t="str">
        <x:v>ACTUAL</x:v>
      </x:c>
      <x:c r="C873" s="187"/>
      <x:c r="D873" s="217" t="n">
        <x:v>46082</x:v>
      </x:c>
      <x:c r="E873" s="187" t="str">
        <x:v>R_FR_FR_B_ROAD</x:v>
      </x:c>
      <x:c r="F873" s="187" t="str">
        <x:v>FR</x:v>
      </x:c>
      <x:c r="G873" s="187" t="str">
        <x:v>FR_FC</x:v>
      </x:c>
      <x:c r="H873" s="187" t="str">
        <x:v>CARRIER_B</x:v>
      </x:c>
      <x:c r="I873" s="187" t="str">
        <x:v>ROAD</x:v>
      </x:c>
      <x:c r="J873" s="187" t="str">
        <x:v>RETURN_LOGISTICS</x:v>
      </x:c>
      <x:c r="K873" s="187" t="str">
        <x:v>EUR</x:v>
      </x:c>
      <x:c r="L873" s="232" t="n">
        <x:v>574.4681514</x:v>
      </x:c>
      <x:c r="M873" s="232" t="n">
        <x:v>7.82</x:v>
      </x:c>
      <x:c r="N873" s="187" t="str">
        <x:v>4492.340943948000000</x:v>
      </x:c>
      <x:c r="O873" s="235" t="n">
        <x:v>4492.3409</x:v>
      </x:c>
      <x:c r="P873" s="235" t="n">
        <x:v>4492.3409</x:v>
      </x:c>
      <x:c r="Q873" s="235" t="n">
        <x:v>0</x:v>
      </x:c>
      <x:c r="R873" s="235" t="str">
        <x:v>INVOICE_OR_PLAN</x:v>
      </x:c>
      <x:c r="S873" s="238" t="n">
        <x:f>'Model_Calc'!AV149</x:f>
        <x:v>4492.340943947999</x:v>
      </x:c>
      <x:c r="T873" s="238" t="n">
        <x:f>ROUND(S873-O873,4)</x:f>
        <x:v>0</x:v>
      </x:c>
    </x:row>
    <x:row r="874">
      <x:c r="A874" s="187" t="str">
        <x:v>ACTUAL_2026_08_CLOSE_V1</x:v>
      </x:c>
      <x:c r="B874" s="187" t="str">
        <x:v>ACTUAL</x:v>
      </x:c>
      <x:c r="C874" s="187"/>
      <x:c r="D874" s="217" t="n">
        <x:v>46082</x:v>
      </x:c>
      <x:c r="E874" s="187" t="str">
        <x:v>R_FR_FR_B_ROAD</x:v>
      </x:c>
      <x:c r="F874" s="187" t="str">
        <x:v>FR</x:v>
      </x:c>
      <x:c r="G874" s="187" t="str">
        <x:v>FR_FC</x:v>
      </x:c>
      <x:c r="H874" s="187" t="str">
        <x:v>CARRIER_B</x:v>
      </x:c>
      <x:c r="I874" s="187" t="str">
        <x:v>ROAD</x:v>
      </x:c>
      <x:c r="J874" s="187" t="str">
        <x:v>BILLABLE_EXCEPTION</x:v>
      </x:c>
      <x:c r="K874" s="187" t="str">
        <x:v>EUR</x:v>
      </x:c>
      <x:c r="L874" s="232" t="n">
        <x:v>111.33278714567449</x:v>
      </x:c>
      <x:c r="M874" s="232" t="n">
        <x:v>7.82</x:v>
      </x:c>
      <x:c r="N874" s="187" t="str">
        <x:v>870.6223954791745462080000</x:v>
      </x:c>
      <x:c r="O874" s="235" t="n">
        <x:v>870.6224</x:v>
      </x:c>
      <x:c r="P874" s="235" t="n">
        <x:v>870.6224</x:v>
      </x:c>
      <x:c r="Q874" s="235" t="n">
        <x:v>0</x:v>
      </x:c>
      <x:c r="R874" s="235" t="str">
        <x:v>INVOICE_OR_PLAN</x:v>
      </x:c>
      <x:c r="S874" s="238" t="n">
        <x:f>'Model_Calc'!BA149</x:f>
        <x:v>870.6223954791744</x:v>
      </x:c>
      <x:c r="T874" s="238" t="n">
        <x:f>ROUND(S874-O874,4)</x:f>
        <x:v>0</x:v>
      </x:c>
    </x:row>
    <x:row r="875">
      <x:c r="A875" s="187" t="str">
        <x:v>ACTUAL_2026_08_CLOSE_V1</x:v>
      </x:c>
      <x:c r="B875" s="187" t="str">
        <x:v>ACTUAL</x:v>
      </x:c>
      <x:c r="C875" s="187"/>
      <x:c r="D875" s="217" t="n">
        <x:v>46082</x:v>
      </x:c>
      <x:c r="E875" s="187" t="str">
        <x:v>R_GB_DE_A_ROAD</x:v>
      </x:c>
      <x:c r="F875" s="187" t="str">
        <x:v>GB</x:v>
      </x:c>
      <x:c r="G875" s="187" t="str">
        <x:v>DE_FC</x:v>
      </x:c>
      <x:c r="H875" s="187" t="str">
        <x:v>CARRIER_A</x:v>
      </x:c>
      <x:c r="I875" s="187" t="str">
        <x:v>ROAD</x:v>
      </x:c>
      <x:c r="J875" s="187" t="str">
        <x:v>BASE_FREIGHT</x:v>
      </x:c>
      <x:c r="K875" s="187" t="str">
        <x:v>GBP</x:v>
      </x:c>
      <x:c r="L875" s="232" t="n">
        <x:v>11972.439281068402</x:v>
      </x:c>
      <x:c r="M875" s="232" t="n">
        <x:v>9.08</x:v>
      </x:c>
      <x:c r="N875" s="187" t="str">
        <x:v>108709.748672101086737203200000</x:v>
      </x:c>
      <x:c r="O875" s="235" t="n">
        <x:v>108709.7487</x:v>
      </x:c>
      <x:c r="P875" s="235" t="n">
        <x:v>108709.7487</x:v>
      </x:c>
      <x:c r="Q875" s="235" t="n">
        <x:v>0</x:v>
      </x:c>
      <x:c r="R875" s="235" t="str">
        <x:v>INVOICE_OR_PLAN</x:v>
      </x:c>
      <x:c r="S875" s="238" t="n">
        <x:f>'Model_Calc'!AF150</x:f>
        <x:v>108709.74867210106</x:v>
      </x:c>
      <x:c r="T875" s="238" t="n">
        <x:f>ROUND(S875-O875,4)</x:f>
        <x:v>0</x:v>
      </x:c>
    </x:row>
    <x:row r="876">
      <x:c r="A876" s="187" t="str">
        <x:v>ACTUAL_2026_08_CLOSE_V1</x:v>
      </x:c>
      <x:c r="B876" s="187" t="str">
        <x:v>ACTUAL</x:v>
      </x:c>
      <x:c r="C876" s="187"/>
      <x:c r="D876" s="217" t="n">
        <x:v>46082</x:v>
      </x:c>
      <x:c r="E876" s="187" t="str">
        <x:v>R_GB_DE_A_ROAD</x:v>
      </x:c>
      <x:c r="F876" s="187" t="str">
        <x:v>GB</x:v>
      </x:c>
      <x:c r="G876" s="187" t="str">
        <x:v>DE_FC</x:v>
      </x:c>
      <x:c r="H876" s="187" t="str">
        <x:v>CARRIER_A</x:v>
      </x:c>
      <x:c r="I876" s="187" t="str">
        <x:v>ROAD</x:v>
      </x:c>
      <x:c r="J876" s="187" t="str">
        <x:v>FUEL_SURCHARGE</x:v>
      </x:c>
      <x:c r="K876" s="187" t="str">
        <x:v>GBP</x:v>
      </x:c>
      <x:c r="L876" s="232" t="n">
        <x:v>1204.4273916754812</x:v>
      </x:c>
      <x:c r="M876" s="232" t="n">
        <x:v>9.08</x:v>
      </x:c>
      <x:c r="N876" s="187" t="str">
        <x:v>10936.200716413369325762641920000000</x:v>
      </x:c>
      <x:c r="O876" s="235" t="n">
        <x:v>10936.2007</x:v>
      </x:c>
      <x:c r="P876" s="235" t="n">
        <x:v>10936.2007</x:v>
      </x:c>
      <x:c r="Q876" s="235" t="n">
        <x:v>0</x:v>
      </x:c>
      <x:c r="R876" s="235" t="str">
        <x:v>INVOICE_OR_PLAN</x:v>
      </x:c>
      <x:c r="S876" s="238" t="n">
        <x:f>'Model_Calc'!AG150</x:f>
        <x:v>10936.200716413365</x:v>
      </x:c>
      <x:c r="T876" s="238" t="n">
        <x:f>ROUND(S876-O876,4)</x:f>
        <x:v>0</x:v>
      </x:c>
    </x:row>
    <x:row r="877">
      <x:c r="A877" s="187" t="str">
        <x:v>ACTUAL_2026_08_CLOSE_V1</x:v>
      </x:c>
      <x:c r="B877" s="187" t="str">
        <x:v>ACTUAL</x:v>
      </x:c>
      <x:c r="C877" s="187"/>
      <x:c r="D877" s="217" t="n">
        <x:v>46082</x:v>
      </x:c>
      <x:c r="E877" s="187" t="str">
        <x:v>R_GB_DE_A_ROAD</x:v>
      </x:c>
      <x:c r="F877" s="187" t="str">
        <x:v>GB</x:v>
      </x:c>
      <x:c r="G877" s="187" t="str">
        <x:v>DE_FC</x:v>
      </x:c>
      <x:c r="H877" s="187" t="str">
        <x:v>CARRIER_A</x:v>
      </x:c>
      <x:c r="I877" s="187" t="str">
        <x:v>ROAD</x:v>
      </x:c>
      <x:c r="J877" s="187" t="str">
        <x:v>WAREHOUSE_OPERATION</x:v>
      </x:c>
      <x:c r="K877" s="187" t="str">
        <x:v>EUR</x:v>
      </x:c>
      <x:c r="L877" s="232" t="n">
        <x:v>3070.1011295232</x:v>
      </x:c>
      <x:c r="M877" s="232" t="n">
        <x:v>7.82</x:v>
      </x:c>
      <x:c r="N877" s="187" t="str">
        <x:v>24008.19083287142400</x:v>
      </x:c>
      <x:c r="O877" s="235" t="n">
        <x:v>24008.1908</x:v>
      </x:c>
      <x:c r="P877" s="235" t="n">
        <x:v>24008.1908</x:v>
      </x:c>
      <x:c r="Q877" s="235" t="n">
        <x:v>0</x:v>
      </x:c>
      <x:c r="R877" s="235" t="str">
        <x:v>INVOICE_OR_PLAN</x:v>
      </x:c>
      <x:c r="S877" s="238" t="n">
        <x:f>'Model_Calc'!AL150</x:f>
        <x:v>24008.190832871423</x:v>
      </x:c>
      <x:c r="T877" s="238" t="n">
        <x:f>ROUND(S877-O877,4)</x:f>
        <x:v>0</x:v>
      </x:c>
    </x:row>
    <x:row r="878">
      <x:c r="A878" s="187" t="str">
        <x:v>ACTUAL_2026_08_CLOSE_V1</x:v>
      </x:c>
      <x:c r="B878" s="187" t="str">
        <x:v>ACTUAL</x:v>
      </x:c>
      <x:c r="C878" s="187"/>
      <x:c r="D878" s="217" t="n">
        <x:v>46082</x:v>
      </x:c>
      <x:c r="E878" s="187" t="str">
        <x:v>R_GB_DE_A_ROAD</x:v>
      </x:c>
      <x:c r="F878" s="187" t="str">
        <x:v>GB</x:v>
      </x:c>
      <x:c r="G878" s="187" t="str">
        <x:v>DE_FC</x:v>
      </x:c>
      <x:c r="H878" s="187" t="str">
        <x:v>CARRIER_A</x:v>
      </x:c>
      <x:c r="I878" s="187" t="str">
        <x:v>ROAD</x:v>
      </x:c>
      <x:c r="J878" s="187" t="str">
        <x:v>PACKAGING</x:v>
      </x:c>
      <x:c r="K878" s="187" t="str">
        <x:v>EUR</x:v>
      </x:c>
      <x:c r="L878" s="232" t="n">
        <x:v>1226.3253580257363</x:v>
      </x:c>
      <x:c r="M878" s="232" t="n">
        <x:v>7.82</x:v>
      </x:c>
      <x:c r="N878" s="187" t="str">
        <x:v>9589.8642997612570214400</x:v>
      </x:c>
      <x:c r="O878" s="235" t="n">
        <x:v>9589.8643</x:v>
      </x:c>
      <x:c r="P878" s="235" t="n">
        <x:v>9589.8643</x:v>
      </x:c>
      <x:c r="Q878" s="235" t="n">
        <x:v>0</x:v>
      </x:c>
      <x:c r="R878" s="235" t="str">
        <x:v>INVOICE_OR_PLAN</x:v>
      </x:c>
      <x:c r="S878" s="238" t="n">
        <x:f>'Model_Calc'!AQ150</x:f>
        <x:v>9589.864299761257</x:v>
      </x:c>
      <x:c r="T878" s="238" t="n">
        <x:f>ROUND(S878-O878,4)</x:f>
        <x:v>0</x:v>
      </x:c>
    </x:row>
    <x:row r="879">
      <x:c r="A879" s="187" t="str">
        <x:v>ACTUAL_2026_08_CLOSE_V1</x:v>
      </x:c>
      <x:c r="B879" s="187" t="str">
        <x:v>ACTUAL</x:v>
      </x:c>
      <x:c r="C879" s="187"/>
      <x:c r="D879" s="217" t="n">
        <x:v>46082</x:v>
      </x:c>
      <x:c r="E879" s="187" t="str">
        <x:v>R_GB_DE_A_ROAD</x:v>
      </x:c>
      <x:c r="F879" s="187" t="str">
        <x:v>GB</x:v>
      </x:c>
      <x:c r="G879" s="187" t="str">
        <x:v>DE_FC</x:v>
      </x:c>
      <x:c r="H879" s="187" t="str">
        <x:v>CARRIER_A</x:v>
      </x:c>
      <x:c r="I879" s="187" t="str">
        <x:v>ROAD</x:v>
      </x:c>
      <x:c r="J879" s="187" t="str">
        <x:v>RETURN_LOGISTICS</x:v>
      </x:c>
      <x:c r="K879" s="187" t="str">
        <x:v>GBP</x:v>
      </x:c>
      <x:c r="L879" s="232" t="n">
        <x:v>999.08375740416</x:v>
      </x:c>
      <x:c r="M879" s="232" t="n">
        <x:v>9.08</x:v>
      </x:c>
      <x:c r="N879" s="187" t="str">
        <x:v>9071.68051722977280000</x:v>
      </x:c>
      <x:c r="O879" s="235" t="n">
        <x:v>9071.6805</x:v>
      </x:c>
      <x:c r="P879" s="235" t="n">
        <x:v>9071.6805</x:v>
      </x:c>
      <x:c r="Q879" s="235" t="n">
        <x:v>0</x:v>
      </x:c>
      <x:c r="R879" s="235" t="str">
        <x:v>INVOICE_OR_PLAN</x:v>
      </x:c>
      <x:c r="S879" s="238" t="n">
        <x:f>'Model_Calc'!AV150</x:f>
        <x:v>9071.680517229774</x:v>
      </x:c>
      <x:c r="T879" s="238" t="n">
        <x:f>ROUND(S879-O879,4)</x:f>
        <x:v>0</x:v>
      </x:c>
    </x:row>
    <x:row r="880">
      <x:c r="A880" s="187" t="str">
        <x:v>ACTUAL_2026_08_CLOSE_V1</x:v>
      </x:c>
      <x:c r="B880" s="187" t="str">
        <x:v>ACTUAL</x:v>
      </x:c>
      <x:c r="C880" s="187"/>
      <x:c r="D880" s="217" t="n">
        <x:v>46082</x:v>
      </x:c>
      <x:c r="E880" s="187" t="str">
        <x:v>R_GB_DE_A_ROAD</x:v>
      </x:c>
      <x:c r="F880" s="187" t="str">
        <x:v>GB</x:v>
      </x:c>
      <x:c r="G880" s="187" t="str">
        <x:v>DE_FC</x:v>
      </x:c>
      <x:c r="H880" s="187" t="str">
        <x:v>CARRIER_A</x:v>
      </x:c>
      <x:c r="I880" s="187" t="str">
        <x:v>ROAD</x:v>
      </x:c>
      <x:c r="J880" s="187" t="str">
        <x:v>BILLABLE_EXCEPTION</x:v>
      </x:c>
      <x:c r="K880" s="187" t="str">
        <x:v>GBP</x:v>
      </x:c>
      <x:c r="L880" s="232" t="n">
        <x:v>150.6978675676769</x:v>
      </x:c>
      <x:c r="M880" s="232" t="n">
        <x:v>9.08</x:v>
      </x:c>
      <x:c r="N880" s="187" t="str">
        <x:v>1368.336637514506216144896000</x:v>
      </x:c>
      <x:c r="O880" s="235" t="n">
        <x:v>1368.3366</x:v>
      </x:c>
      <x:c r="P880" s="235" t="n">
        <x:v>1368.3366</x:v>
      </x:c>
      <x:c r="Q880" s="235" t="n">
        <x:v>0</x:v>
      </x:c>
      <x:c r="R880" s="235" t="str">
        <x:v>INVOICE_OR_PLAN</x:v>
      </x:c>
      <x:c r="S880" s="238" t="n">
        <x:f>'Model_Calc'!BA150</x:f>
        <x:v>1368.336637514506</x:v>
      </x:c>
      <x:c r="T880" s="238" t="n">
        <x:f>ROUND(S880-O880,4)</x:f>
        <x:v>0</x:v>
      </x:c>
    </x:row>
    <x:row r="881">
      <x:c r="A881" s="187" t="str">
        <x:v>ACTUAL_2026_08_CLOSE_V1</x:v>
      </x:c>
      <x:c r="B881" s="187" t="str">
        <x:v>ACTUAL</x:v>
      </x:c>
      <x:c r="C881" s="187"/>
      <x:c r="D881" s="217" t="n">
        <x:v>46082</x:v>
      </x:c>
      <x:c r="E881" s="187" t="str">
        <x:v>R_GB_DE_B_ROAD</x:v>
      </x:c>
      <x:c r="F881" s="187" t="str">
        <x:v>GB</x:v>
      </x:c>
      <x:c r="G881" s="187" t="str">
        <x:v>DE_FC</x:v>
      </x:c>
      <x:c r="H881" s="187" t="str">
        <x:v>CARRIER_B</x:v>
      </x:c>
      <x:c r="I881" s="187" t="str">
        <x:v>ROAD</x:v>
      </x:c>
      <x:c r="J881" s="187" t="str">
        <x:v>BASE_FREIGHT</x:v>
      </x:c>
      <x:c r="K881" s="187" t="str">
        <x:v>GBP</x:v>
      </x:c>
      <x:c r="L881" s="232" t="n">
        <x:v>5561.201832406457</x:v>
      </x:c>
      <x:c r="M881" s="232" t="n">
        <x:v>9.08</x:v>
      </x:c>
      <x:c r="N881" s="187" t="str">
        <x:v>50495.712638250623385600000000</x:v>
      </x:c>
      <x:c r="O881" s="235" t="n">
        <x:v>50495.7126</x:v>
      </x:c>
      <x:c r="P881" s="235" t="n">
        <x:v>50495.7126</x:v>
      </x:c>
      <x:c r="Q881" s="235" t="n">
        <x:v>0</x:v>
      </x:c>
      <x:c r="R881" s="235" t="str">
        <x:v>INVOICE_OR_PLAN</x:v>
      </x:c>
      <x:c r="S881" s="238" t="n">
        <x:f>'Model_Calc'!AF151</x:f>
        <x:v>50495.71263825061</x:v>
      </x:c>
      <x:c r="T881" s="238" t="n">
        <x:f>ROUND(S881-O881,4)</x:f>
        <x:v>0</x:v>
      </x:c>
    </x:row>
    <x:row r="882">
      <x:c r="A882" s="187" t="str">
        <x:v>ACTUAL_2026_08_CLOSE_V1</x:v>
      </x:c>
      <x:c r="B882" s="187" t="str">
        <x:v>ACTUAL</x:v>
      </x:c>
      <x:c r="C882" s="187"/>
      <x:c r="D882" s="217" t="n">
        <x:v>46082</x:v>
      </x:c>
      <x:c r="E882" s="187" t="str">
        <x:v>R_GB_DE_B_ROAD</x:v>
      </x:c>
      <x:c r="F882" s="187" t="str">
        <x:v>GB</x:v>
      </x:c>
      <x:c r="G882" s="187" t="str">
        <x:v>DE_FC</x:v>
      </x:c>
      <x:c r="H882" s="187" t="str">
        <x:v>CARRIER_B</x:v>
      </x:c>
      <x:c r="I882" s="187" t="str">
        <x:v>ROAD</x:v>
      </x:c>
      <x:c r="J882" s="187" t="str">
        <x:v>FUEL_SURCHARGE</x:v>
      </x:c>
      <x:c r="K882" s="187" t="str">
        <x:v>GBP</x:v>
      </x:c>
      <x:c r="L882" s="232" t="n">
        <x:v>390.4673627008788</x:v>
      </x:c>
      <x:c r="M882" s="232" t="n">
        <x:v>9.08</x:v>
      </x:c>
      <x:c r="N882" s="187" t="str">
        <x:v>3545.443653323979939840000000</x:v>
      </x:c>
      <x:c r="O882" s="235" t="n">
        <x:v>3545.4437</x:v>
      </x:c>
      <x:c r="P882" s="235" t="n">
        <x:v>3545.4437</x:v>
      </x:c>
      <x:c r="Q882" s="235" t="n">
        <x:v>0</x:v>
      </x:c>
      <x:c r="R882" s="235" t="str">
        <x:v>INVOICE_OR_PLAN</x:v>
      </x:c>
      <x:c r="S882" s="238" t="n">
        <x:f>'Model_Calc'!AG151</x:f>
        <x:v>3545.443653323979</x:v>
      </x:c>
      <x:c r="T882" s="238" t="n">
        <x:f>ROUND(S882-O882,4)</x:f>
        <x:v>0</x:v>
      </x:c>
    </x:row>
    <x:row r="883">
      <x:c r="A883" s="187" t="str">
        <x:v>ACTUAL_2026_08_CLOSE_V1</x:v>
      </x:c>
      <x:c r="B883" s="187" t="str">
        <x:v>ACTUAL</x:v>
      </x:c>
      <x:c r="C883" s="187"/>
      <x:c r="D883" s="217" t="n">
        <x:v>46082</x:v>
      </x:c>
      <x:c r="E883" s="187" t="str">
        <x:v>R_GB_DE_B_ROAD</x:v>
      </x:c>
      <x:c r="F883" s="187" t="str">
        <x:v>GB</x:v>
      </x:c>
      <x:c r="G883" s="187" t="str">
        <x:v>DE_FC</x:v>
      </x:c>
      <x:c r="H883" s="187" t="str">
        <x:v>CARRIER_B</x:v>
      </x:c>
      <x:c r="I883" s="187" t="str">
        <x:v>ROAD</x:v>
      </x:c>
      <x:c r="J883" s="187" t="str">
        <x:v>WAREHOUSE_OPERATION</x:v>
      </x:c>
      <x:c r="K883" s="187" t="str">
        <x:v>EUR</x:v>
      </x:c>
      <x:c r="L883" s="232" t="n">
        <x:v>1237.94400384</x:v>
      </x:c>
      <x:c r="M883" s="232" t="n">
        <x:v>7.82</x:v>
      </x:c>
      <x:c r="N883" s="187" t="str">
        <x:v>9680.72211002880000</x:v>
      </x:c>
      <x:c r="O883" s="235" t="n">
        <x:v>9680.7221</x:v>
      </x:c>
      <x:c r="P883" s="235" t="n">
        <x:v>9680.7221</x:v>
      </x:c>
      <x:c r="Q883" s="235" t="n">
        <x:v>0</x:v>
      </x:c>
      <x:c r="R883" s="235" t="str">
        <x:v>INVOICE_OR_PLAN</x:v>
      </x:c>
      <x:c r="S883" s="238" t="n">
        <x:f>'Model_Calc'!AL151</x:f>
        <x:v>9680.722110028799</x:v>
      </x:c>
      <x:c r="T883" s="238" t="n">
        <x:f>ROUND(S883-O883,4)</x:f>
        <x:v>0</x:v>
      </x:c>
    </x:row>
    <x:row r="884">
      <x:c r="A884" s="187" t="str">
        <x:v>ACTUAL_2026_08_CLOSE_V1</x:v>
      </x:c>
      <x:c r="B884" s="187" t="str">
        <x:v>ACTUAL</x:v>
      </x:c>
      <x:c r="C884" s="187"/>
      <x:c r="D884" s="217" t="n">
        <x:v>46082</x:v>
      </x:c>
      <x:c r="E884" s="187" t="str">
        <x:v>R_GB_DE_B_ROAD</x:v>
      </x:c>
      <x:c r="F884" s="187" t="str">
        <x:v>GB</x:v>
      </x:c>
      <x:c r="G884" s="187" t="str">
        <x:v>DE_FC</x:v>
      </x:c>
      <x:c r="H884" s="187" t="str">
        <x:v>CARRIER_B</x:v>
      </x:c>
      <x:c r="I884" s="187" t="str">
        <x:v>ROAD</x:v>
      </x:c>
      <x:c r="J884" s="187" t="str">
        <x:v>PACKAGING</x:v>
      </x:c>
      <x:c r="K884" s="187" t="str">
        <x:v>EUR</x:v>
      </x:c>
      <x:c r="L884" s="232" t="n">
        <x:v>494.4860314619904</x:v>
      </x:c>
      <x:c r="M884" s="232" t="n">
        <x:v>7.82</x:v>
      </x:c>
      <x:c r="N884" s="187" t="str">
        <x:v>3866.8807660327649280000</x:v>
      </x:c>
      <x:c r="O884" s="235" t="n">
        <x:v>3866.8808</x:v>
      </x:c>
      <x:c r="P884" s="235" t="n">
        <x:v>3866.8808</x:v>
      </x:c>
      <x:c r="Q884" s="235" t="n">
        <x:v>0</x:v>
      </x:c>
      <x:c r="R884" s="235" t="str">
        <x:v>INVOICE_OR_PLAN</x:v>
      </x:c>
      <x:c r="S884" s="238" t="n">
        <x:f>'Model_Calc'!AQ151</x:f>
        <x:v>3866.8807660327648</x:v>
      </x:c>
      <x:c r="T884" s="238" t="n">
        <x:f>ROUND(S884-O884,4)</x:f>
        <x:v>0</x:v>
      </x:c>
    </x:row>
    <x:row r="885">
      <x:c r="A885" s="187" t="str">
        <x:v>ACTUAL_2026_08_CLOSE_V1</x:v>
      </x:c>
      <x:c r="B885" s="187" t="str">
        <x:v>ACTUAL</x:v>
      </x:c>
      <x:c r="C885" s="187"/>
      <x:c r="D885" s="217" t="n">
        <x:v>46082</x:v>
      </x:c>
      <x:c r="E885" s="187" t="str">
        <x:v>R_GB_DE_B_ROAD</x:v>
      </x:c>
      <x:c r="F885" s="187" t="str">
        <x:v>GB</x:v>
      </x:c>
      <x:c r="G885" s="187" t="str">
        <x:v>DE_FC</x:v>
      </x:c>
      <x:c r="H885" s="187" t="str">
        <x:v>CARRIER_B</x:v>
      </x:c>
      <x:c r="I885" s="187" t="str">
        <x:v>ROAD</x:v>
      </x:c>
      <x:c r="J885" s="187" t="str">
        <x:v>RETURN_LOGISTICS</x:v>
      </x:c>
      <x:c r="K885" s="187" t="str">
        <x:v>GBP</x:v>
      </x:c>
      <x:c r="L885" s="232" t="n">
        <x:v>402.856353792</x:v>
      </x:c>
      <x:c r="M885" s="232" t="n">
        <x:v>9.08</x:v>
      </x:c>
      <x:c r="N885" s="187" t="str">
        <x:v>3657.93569243136000000</x:v>
      </x:c>
      <x:c r="O885" s="235" t="n">
        <x:v>3657.9357</x:v>
      </x:c>
      <x:c r="P885" s="235" t="n">
        <x:v>3657.9357</x:v>
      </x:c>
      <x:c r="Q885" s="235" t="n">
        <x:v>0</x:v>
      </x:c>
      <x:c r="R885" s="235" t="str">
        <x:v>INVOICE_OR_PLAN</x:v>
      </x:c>
      <x:c r="S885" s="238" t="n">
        <x:f>'Model_Calc'!AV151</x:f>
        <x:v>3657.9356924313606</x:v>
      </x:c>
      <x:c r="T885" s="238" t="n">
        <x:f>ROUND(S885-O885,4)</x:f>
        <x:v>0</x:v>
      </x:c>
    </x:row>
    <x:row r="886">
      <x:c r="A886" s="187" t="str">
        <x:v>ACTUAL_2026_08_CLOSE_V1</x:v>
      </x:c>
      <x:c r="B886" s="187" t="str">
        <x:v>ACTUAL</x:v>
      </x:c>
      <x:c r="C886" s="187"/>
      <x:c r="D886" s="217" t="n">
        <x:v>46082</x:v>
      </x:c>
      <x:c r="E886" s="187" t="str">
        <x:v>R_GB_DE_B_ROAD</x:v>
      </x:c>
      <x:c r="F886" s="187" t="str">
        <x:v>GB</x:v>
      </x:c>
      <x:c r="G886" s="187" t="str">
        <x:v>DE_FC</x:v>
      </x:c>
      <x:c r="H886" s="187" t="str">
        <x:v>CARRIER_B</x:v>
      </x:c>
      <x:c r="I886" s="187" t="str">
        <x:v>ROAD</x:v>
      </x:c>
      <x:c r="J886" s="187" t="str">
        <x:v>BILLABLE_EXCEPTION</x:v>
      </x:c>
      <x:c r="K886" s="187" t="str">
        <x:v>GBP</x:v>
      </x:c>
      <x:c r="L886" s="232" t="n">
        <x:v>46.95498073039786</x:v>
      </x:c>
      <x:c r="M886" s="232" t="n">
        <x:v>9.08</x:v>
      </x:c>
      <x:c r="N886" s="187" t="str">
        <x:v>426.351225032012567347200000</x:v>
      </x:c>
      <x:c r="O886" s="235" t="n">
        <x:v>426.3512</x:v>
      </x:c>
      <x:c r="P886" s="235" t="n">
        <x:v>426.3512</x:v>
      </x:c>
      <x:c r="Q886" s="235" t="n">
        <x:v>0</x:v>
      </x:c>
      <x:c r="R886" s="235" t="str">
        <x:v>INVOICE_OR_PLAN</x:v>
      </x:c>
      <x:c r="S886" s="238" t="n">
        <x:f>'Model_Calc'!BA151</x:f>
        <x:v>426.35122503201256</x:v>
      </x:c>
      <x:c r="T886" s="238" t="n">
        <x:f>ROUND(S886-O886,4)</x:f>
        <x:v>0</x:v>
      </x:c>
    </x:row>
    <x:row r="887">
      <x:c r="A887" s="187" t="str">
        <x:v>ACTUAL_2026_08_CLOSE_V1</x:v>
      </x:c>
      <x:c r="B887" s="187" t="str">
        <x:v>ACTUAL</x:v>
      </x:c>
      <x:c r="C887" s="187"/>
      <x:c r="D887" s="217" t="n">
        <x:v>46082</x:v>
      </x:c>
      <x:c r="E887" s="187" t="str">
        <x:v>R_GB_DE_B_AIR</x:v>
      </x:c>
      <x:c r="F887" s="187" t="str">
        <x:v>GB</x:v>
      </x:c>
      <x:c r="G887" s="187" t="str">
        <x:v>DE_FC</x:v>
      </x:c>
      <x:c r="H887" s="187" t="str">
        <x:v>CARRIER_B</x:v>
      </x:c>
      <x:c r="I887" s="187" t="str">
        <x:v>AIR</x:v>
      </x:c>
      <x:c r="J887" s="187" t="str">
        <x:v>BASE_FREIGHT</x:v>
      </x:c>
      <x:c r="K887" s="187" t="str">
        <x:v>GBP</x:v>
      </x:c>
      <x:c r="L887" s="232" t="n">
        <x:v>2482.520497986242</x:v>
      </x:c>
      <x:c r="M887" s="232" t="n">
        <x:v>9.08</x:v>
      </x:c>
      <x:c r="N887" s="187" t="str">
        <x:v>22541.286121715078279331840000</x:v>
      </x:c>
      <x:c r="O887" s="235" t="n">
        <x:v>22541.2861</x:v>
      </x:c>
      <x:c r="P887" s="235" t="n">
        <x:v>22541.2861</x:v>
      </x:c>
      <x:c r="Q887" s="235" t="n">
        <x:v>0</x:v>
      </x:c>
      <x:c r="R887" s="235" t="str">
        <x:v>INVOICE_OR_PLAN</x:v>
      </x:c>
      <x:c r="S887" s="238" t="n">
        <x:f>'Model_Calc'!AF152</x:f>
        <x:v>22541.28612171507</x:v>
      </x:c>
      <x:c r="T887" s="238" t="n">
        <x:f>ROUND(S887-O887,4)</x:f>
        <x:v>0</x:v>
      </x:c>
    </x:row>
    <x:row r="888">
      <x:c r="A888" s="187" t="str">
        <x:v>ACTUAL_2026_08_CLOSE_V1</x:v>
      </x:c>
      <x:c r="B888" s="187" t="str">
        <x:v>ACTUAL</x:v>
      </x:c>
      <x:c r="C888" s="187"/>
      <x:c r="D888" s="217" t="n">
        <x:v>46082</x:v>
      </x:c>
      <x:c r="E888" s="187" t="str">
        <x:v>R_GB_DE_B_AIR</x:v>
      </x:c>
      <x:c r="F888" s="187" t="str">
        <x:v>GB</x:v>
      </x:c>
      <x:c r="G888" s="187" t="str">
        <x:v>DE_FC</x:v>
      </x:c>
      <x:c r="H888" s="187" t="str">
        <x:v>CARRIER_B</x:v>
      </x:c>
      <x:c r="I888" s="187" t="str">
        <x:v>AIR</x:v>
      </x:c>
      <x:c r="J888" s="187" t="str">
        <x:v>FUEL_SURCHARGE</x:v>
      </x:c>
      <x:c r="K888" s="187" t="str">
        <x:v>GBP</x:v>
      </x:c>
      <x:c r="L888" s="232" t="n">
        <x:v>287.20279641202836</x:v>
      </x:c>
      <x:c r="M888" s="232" t="n">
        <x:v>9.08</x:v>
      </x:c>
      <x:c r="N888" s="187" t="str">
        <x:v>2607.801391421217406135900569600000</x:v>
      </x:c>
      <x:c r="O888" s="235" t="n">
        <x:v>2607.8014</x:v>
      </x:c>
      <x:c r="P888" s="235" t="n">
        <x:v>2607.8014</x:v>
      </x:c>
      <x:c r="Q888" s="235" t="n">
        <x:v>0</x:v>
      </x:c>
      <x:c r="R888" s="235" t="str">
        <x:v>INVOICE_OR_PLAN</x:v>
      </x:c>
      <x:c r="S888" s="238" t="n">
        <x:f>'Model_Calc'!AG152</x:f>
        <x:v>2607.801391421217</x:v>
      </x:c>
      <x:c r="T888" s="238" t="n">
        <x:f>ROUND(S888-O888,4)</x:f>
        <x:v>0</x:v>
      </x:c>
    </x:row>
    <x:row r="889">
      <x:c r="A889" s="187" t="str">
        <x:v>ACTUAL_2026_08_CLOSE_V1</x:v>
      </x:c>
      <x:c r="B889" s="187" t="str">
        <x:v>ACTUAL</x:v>
      </x:c>
      <x:c r="C889" s="187"/>
      <x:c r="D889" s="217" t="n">
        <x:v>46082</x:v>
      </x:c>
      <x:c r="E889" s="187" t="str">
        <x:v>R_GB_DE_B_AIR</x:v>
      </x:c>
      <x:c r="F889" s="187" t="str">
        <x:v>GB</x:v>
      </x:c>
      <x:c r="G889" s="187" t="str">
        <x:v>DE_FC</x:v>
      </x:c>
      <x:c r="H889" s="187" t="str">
        <x:v>CARRIER_B</x:v>
      </x:c>
      <x:c r="I889" s="187" t="str">
        <x:v>AIR</x:v>
      </x:c>
      <x:c r="J889" s="187" t="str">
        <x:v>WAREHOUSE_OPERATION</x:v>
      </x:c>
      <x:c r="K889" s="187" t="str">
        <x:v>EUR</x:v>
      </x:c>
      <x:c r="L889" s="232" t="n">
        <x:v>445.6598413824</x:v>
      </x:c>
      <x:c r="M889" s="232" t="n">
        <x:v>7.82</x:v>
      </x:c>
      <x:c r="N889" s="187" t="str">
        <x:v>3485.05995961036800</x:v>
      </x:c>
      <x:c r="O889" s="235" t="n">
        <x:v>3485.06</x:v>
      </x:c>
      <x:c r="P889" s="235" t="n">
        <x:v>3485.06</x:v>
      </x:c>
      <x:c r="Q889" s="235" t="n">
        <x:v>0</x:v>
      </x:c>
      <x:c r="R889" s="235" t="str">
        <x:v>INVOICE_OR_PLAN</x:v>
      </x:c>
      <x:c r="S889" s="238" t="n">
        <x:f>'Model_Calc'!AL152</x:f>
        <x:v>3485.059959610368</x:v>
      </x:c>
      <x:c r="T889" s="238" t="n">
        <x:f>ROUND(S889-O889,4)</x:f>
        <x:v>0</x:v>
      </x:c>
    </x:row>
    <x:row r="890">
      <x:c r="A890" s="187" t="str">
        <x:v>ACTUAL_2026_08_CLOSE_V1</x:v>
      </x:c>
      <x:c r="B890" s="187" t="str">
        <x:v>ACTUAL</x:v>
      </x:c>
      <x:c r="C890" s="187"/>
      <x:c r="D890" s="217" t="n">
        <x:v>46082</x:v>
      </x:c>
      <x:c r="E890" s="187" t="str">
        <x:v>R_GB_DE_B_AIR</x:v>
      </x:c>
      <x:c r="F890" s="187" t="str">
        <x:v>GB</x:v>
      </x:c>
      <x:c r="G890" s="187" t="str">
        <x:v>DE_FC</x:v>
      </x:c>
      <x:c r="H890" s="187" t="str">
        <x:v>CARRIER_B</x:v>
      </x:c>
      <x:c r="I890" s="187" t="str">
        <x:v>AIR</x:v>
      </x:c>
      <x:c r="J890" s="187" t="str">
        <x:v>PACKAGING</x:v>
      </x:c>
      <x:c r="K890" s="187" t="str">
        <x:v>EUR</x:v>
      </x:c>
      <x:c r="L890" s="232" t="n">
        <x:v>178.01497132631656</x:v>
      </x:c>
      <x:c r="M890" s="232" t="n">
        <x:v>7.82</x:v>
      </x:c>
      <x:c r="N890" s="187" t="str">
        <x:v>1392.0770757717953740800</x:v>
      </x:c>
      <x:c r="O890" s="235" t="n">
        <x:v>1392.0771</x:v>
      </x:c>
      <x:c r="P890" s="235" t="n">
        <x:v>1392.0771</x:v>
      </x:c>
      <x:c r="Q890" s="235" t="n">
        <x:v>0</x:v>
      </x:c>
      <x:c r="R890" s="235" t="str">
        <x:v>INVOICE_OR_PLAN</x:v>
      </x:c>
      <x:c r="S890" s="238" t="n">
        <x:f>'Model_Calc'!AQ152</x:f>
        <x:v>1392.0770757717953</x:v>
      </x:c>
      <x:c r="T890" s="238" t="n">
        <x:f>ROUND(S890-O890,4)</x:f>
        <x:v>0</x:v>
      </x:c>
    </x:row>
    <x:row r="891">
      <x:c r="A891" s="187" t="str">
        <x:v>ACTUAL_2026_08_CLOSE_V1</x:v>
      </x:c>
      <x:c r="B891" s="187" t="str">
        <x:v>ACTUAL</x:v>
      </x:c>
      <x:c r="C891" s="187"/>
      <x:c r="D891" s="217" t="n">
        <x:v>46082</x:v>
      </x:c>
      <x:c r="E891" s="187" t="str">
        <x:v>R_GB_DE_B_AIR</x:v>
      </x:c>
      <x:c r="F891" s="187" t="str">
        <x:v>GB</x:v>
      </x:c>
      <x:c r="G891" s="187" t="str">
        <x:v>DE_FC</x:v>
      </x:c>
      <x:c r="H891" s="187" t="str">
        <x:v>CARRIER_B</x:v>
      </x:c>
      <x:c r="I891" s="187" t="str">
        <x:v>AIR</x:v>
      </x:c>
      <x:c r="J891" s="187" t="str">
        <x:v>RETURN_LOGISTICS</x:v>
      </x:c>
      <x:c r="K891" s="187" t="str">
        <x:v>GBP</x:v>
      </x:c>
      <x:c r="L891" s="232" t="n">
        <x:v>145.02828736512</x:v>
      </x:c>
      <x:c r="M891" s="232" t="n">
        <x:v>9.08</x:v>
      </x:c>
      <x:c r="N891" s="187" t="str">
        <x:v>1316.85684927528960000</x:v>
      </x:c>
      <x:c r="O891" s="235" t="n">
        <x:v>1316.8568</x:v>
      </x:c>
      <x:c r="P891" s="235" t="n">
        <x:v>1316.8568</x:v>
      </x:c>
      <x:c r="Q891" s="235" t="n">
        <x:v>0</x:v>
      </x:c>
      <x:c r="R891" s="235" t="str">
        <x:v>INVOICE_OR_PLAN</x:v>
      </x:c>
      <x:c r="S891" s="238" t="n">
        <x:f>'Model_Calc'!AV152</x:f>
        <x:v>1316.8568492752897</x:v>
      </x:c>
      <x:c r="T891" s="238" t="n">
        <x:f>ROUND(S891-O891,4)</x:f>
        <x:v>0</x:v>
      </x:c>
    </x:row>
    <x:row r="892">
      <x:c r="A892" s="187" t="str">
        <x:v>ACTUAL_2026_08_CLOSE_V1</x:v>
      </x:c>
      <x:c r="B892" s="187" t="str">
        <x:v>ACTUAL</x:v>
      </x:c>
      <x:c r="C892" s="187"/>
      <x:c r="D892" s="217" t="n">
        <x:v>46082</x:v>
      </x:c>
      <x:c r="E892" s="187" t="str">
        <x:v>R_GB_DE_B_AIR</x:v>
      </x:c>
      <x:c r="F892" s="187" t="str">
        <x:v>GB</x:v>
      </x:c>
      <x:c r="G892" s="187" t="str">
        <x:v>DE_FC</x:v>
      </x:c>
      <x:c r="H892" s="187" t="str">
        <x:v>CARRIER_B</x:v>
      </x:c>
      <x:c r="I892" s="187" t="str">
        <x:v>AIR</x:v>
      </x:c>
      <x:c r="J892" s="187" t="str">
        <x:v>BILLABLE_EXCEPTION</x:v>
      </x:c>
      <x:c r="K892" s="187" t="str">
        <x:v>GBP</x:v>
      </x:c>
      <x:c r="L892" s="232" t="n">
        <x:v>15.736523465246382</x:v>
      </x:c>
      <x:c r="M892" s="232" t="n">
        <x:v>9.08</x:v>
      </x:c>
      <x:c r="N892" s="187" t="str">
        <x:v>142.887633064437153005568000</x:v>
      </x:c>
      <x:c r="O892" s="235" t="n">
        <x:v>142.8876</x:v>
      </x:c>
      <x:c r="P892" s="235" t="n">
        <x:v>142.8876</x:v>
      </x:c>
      <x:c r="Q892" s="235" t="n">
        <x:v>0</x:v>
      </x:c>
      <x:c r="R892" s="235" t="str">
        <x:v>INVOICE_OR_PLAN</x:v>
      </x:c>
      <x:c r="S892" s="238" t="n">
        <x:f>'Model_Calc'!BA152</x:f>
        <x:v>142.88763306443713</x:v>
      </x:c>
      <x:c r="T892" s="238" t="n">
        <x:f>ROUND(S892-O892,4)</x:f>
        <x:v>0</x:v>
      </x:c>
    </x:row>
    <x:row r="893">
      <x:c r="A893" s="187" t="str">
        <x:v>ACTUAL_2026_08_CLOSE_V1</x:v>
      </x:c>
      <x:c r="B893" s="187" t="str">
        <x:v>ACTUAL</x:v>
      </x:c>
      <x:c r="C893" s="187"/>
      <x:c r="D893" s="217" t="n">
        <x:v>46082</x:v>
      </x:c>
      <x:c r="E893" s="187" t="str">
        <x:v>R_GB_DE_C_AIR</x:v>
      </x:c>
      <x:c r="F893" s="187" t="str">
        <x:v>GB</x:v>
      </x:c>
      <x:c r="G893" s="187" t="str">
        <x:v>DE_FC</x:v>
      </x:c>
      <x:c r="H893" s="187" t="str">
        <x:v>CARRIER_C</x:v>
      </x:c>
      <x:c r="I893" s="187" t="str">
        <x:v>AIR</x:v>
      </x:c>
      <x:c r="J893" s="187" t="str">
        <x:v>BASE_FREIGHT</x:v>
      </x:c>
      <x:c r="K893" s="187" t="str">
        <x:v>GBP</x:v>
      </x:c>
      <x:c r="L893" s="232" t="n">
        <x:v>1306.2908133993037</x:v>
      </x:c>
      <x:c r="M893" s="232" t="n">
        <x:v>9.08</x:v>
      </x:c>
      <x:c r="N893" s="187" t="str">
        <x:v>11861.120585665678344192000000</x:v>
      </x:c>
      <x:c r="O893" s="235" t="n">
        <x:v>11861.1206</x:v>
      </x:c>
      <x:c r="P893" s="235" t="n">
        <x:v>11861.1206</x:v>
      </x:c>
      <x:c r="Q893" s="235" t="n">
        <x:v>0</x:v>
      </x:c>
      <x:c r="R893" s="235" t="str">
        <x:v>INVOICE_OR_PLAN</x:v>
      </x:c>
      <x:c r="S893" s="238" t="n">
        <x:f>'Model_Calc'!AF153</x:f>
        <x:v>11861.120585665678</x:v>
      </x:c>
      <x:c r="T893" s="238" t="n">
        <x:f>ROUND(S893-O893,4)</x:f>
        <x:v>0</x:v>
      </x:c>
    </x:row>
    <x:row r="894">
      <x:c r="A894" s="187" t="str">
        <x:v>ACTUAL_2026_08_CLOSE_V1</x:v>
      </x:c>
      <x:c r="B894" s="187" t="str">
        <x:v>ACTUAL</x:v>
      </x:c>
      <x:c r="C894" s="187"/>
      <x:c r="D894" s="217" t="n">
        <x:v>46082</x:v>
      </x:c>
      <x:c r="E894" s="187" t="str">
        <x:v>R_GB_DE_C_AIR</x:v>
      </x:c>
      <x:c r="F894" s="187" t="str">
        <x:v>GB</x:v>
      </x:c>
      <x:c r="G894" s="187" t="str">
        <x:v>DE_FC</x:v>
      </x:c>
      <x:c r="H894" s="187" t="str">
        <x:v>CARRIER_C</x:v>
      </x:c>
      <x:c r="I894" s="187" t="str">
        <x:v>AIR</x:v>
      </x:c>
      <x:c r="J894" s="187" t="str">
        <x:v>FUEL_SURCHARGE</x:v>
      </x:c>
      <x:c r="K894" s="187" t="str">
        <x:v>GBP</x:v>
      </x:c>
      <x:c r="L894" s="232" t="n">
        <x:v>101.0198229028795</x:v>
      </x:c>
      <x:c r="M894" s="232" t="n">
        <x:v>9.08</x:v>
      </x:c>
      <x:c r="N894" s="187" t="str">
        <x:v>917.259991958145791950848000</x:v>
      </x:c>
      <x:c r="O894" s="235" t="n">
        <x:v>917.26</x:v>
      </x:c>
      <x:c r="P894" s="235" t="n">
        <x:v>917.26</x:v>
      </x:c>
      <x:c r="Q894" s="235" t="n">
        <x:v>0</x:v>
      </x:c>
      <x:c r="R894" s="235" t="str">
        <x:v>INVOICE_OR_PLAN</x:v>
      </x:c>
      <x:c r="S894" s="238" t="n">
        <x:f>'Model_Calc'!AG153</x:f>
        <x:v>917.2599919581459</x:v>
      </x:c>
      <x:c r="T894" s="238" t="n">
        <x:f>ROUND(S894-O894,4)</x:f>
        <x:v>0</x:v>
      </x:c>
    </x:row>
    <x:row r="895">
      <x:c r="A895" s="187" t="str">
        <x:v>ACTUAL_2026_08_CLOSE_V1</x:v>
      </x:c>
      <x:c r="B895" s="187" t="str">
        <x:v>ACTUAL</x:v>
      </x:c>
      <x:c r="C895" s="187"/>
      <x:c r="D895" s="217" t="n">
        <x:v>46082</x:v>
      </x:c>
      <x:c r="E895" s="187" t="str">
        <x:v>R_GB_DE_C_AIR</x:v>
      </x:c>
      <x:c r="F895" s="187" t="str">
        <x:v>GB</x:v>
      </x:c>
      <x:c r="G895" s="187" t="str">
        <x:v>DE_FC</x:v>
      </x:c>
      <x:c r="H895" s="187" t="str">
        <x:v>CARRIER_C</x:v>
      </x:c>
      <x:c r="I895" s="187" t="str">
        <x:v>AIR</x:v>
      </x:c>
      <x:c r="J895" s="187" t="str">
        <x:v>WAREHOUSE_OPERATION</x:v>
      </x:c>
      <x:c r="K895" s="187" t="str">
        <x:v>EUR</x:v>
      </x:c>
      <x:c r="L895" s="232" t="n">
        <x:v>198.0710406144</x:v>
      </x:c>
      <x:c r="M895" s="232" t="n">
        <x:v>7.82</x:v>
      </x:c>
      <x:c r="N895" s="187" t="str">
        <x:v>1548.91553760460800</x:v>
      </x:c>
      <x:c r="O895" s="235" t="n">
        <x:v>1548.9155</x:v>
      </x:c>
      <x:c r="P895" s="235" t="n">
        <x:v>1548.9155</x:v>
      </x:c>
      <x:c r="Q895" s="235" t="n">
        <x:v>0</x:v>
      </x:c>
      <x:c r="R895" s="235" t="str">
        <x:v>INVOICE_OR_PLAN</x:v>
      </x:c>
      <x:c r="S895" s="238" t="n">
        <x:f>'Model_Calc'!AL153</x:f>
        <x:v>1548.915537604608</x:v>
      </x:c>
      <x:c r="T895" s="238" t="n">
        <x:f>ROUND(S895-O895,4)</x:f>
        <x:v>0</x:v>
      </x:c>
    </x:row>
    <x:row r="896">
      <x:c r="A896" s="187" t="str">
        <x:v>ACTUAL_2026_08_CLOSE_V1</x:v>
      </x:c>
      <x:c r="B896" s="187" t="str">
        <x:v>ACTUAL</x:v>
      </x:c>
      <x:c r="C896" s="187"/>
      <x:c r="D896" s="217" t="n">
        <x:v>46082</x:v>
      </x:c>
      <x:c r="E896" s="187" t="str">
        <x:v>R_GB_DE_C_AIR</x:v>
      </x:c>
      <x:c r="F896" s="187" t="str">
        <x:v>GB</x:v>
      </x:c>
      <x:c r="G896" s="187" t="str">
        <x:v>DE_FC</x:v>
      </x:c>
      <x:c r="H896" s="187" t="str">
        <x:v>CARRIER_C</x:v>
      </x:c>
      <x:c r="I896" s="187" t="str">
        <x:v>AIR</x:v>
      </x:c>
      <x:c r="J896" s="187" t="str">
        <x:v>PACKAGING</x:v>
      </x:c>
      <x:c r="K896" s="187" t="str">
        <x:v>EUR</x:v>
      </x:c>
      <x:c r="L896" s="232" t="n">
        <x:v>79.11776503391846</x:v>
      </x:c>
      <x:c r="M896" s="232" t="n">
        <x:v>7.82</x:v>
      </x:c>
      <x:c r="N896" s="187" t="str">
        <x:v>618.7009225652423884800</x:v>
      </x:c>
      <x:c r="O896" s="235" t="n">
        <x:v>618.7009</x:v>
      </x:c>
      <x:c r="P896" s="235" t="n">
        <x:v>618.7009</x:v>
      </x:c>
      <x:c r="Q896" s="235" t="n">
        <x:v>0</x:v>
      </x:c>
      <x:c r="R896" s="235" t="str">
        <x:v>INVOICE_OR_PLAN</x:v>
      </x:c>
      <x:c r="S896" s="238" t="n">
        <x:f>'Model_Calc'!AQ153</x:f>
        <x:v>618.7009225652424</x:v>
      </x:c>
      <x:c r="T896" s="238" t="n">
        <x:f>ROUND(S896-O896,4)</x:f>
        <x:v>0</x:v>
      </x:c>
    </x:row>
    <x:row r="897">
      <x:c r="A897" s="187" t="str">
        <x:v>ACTUAL_2026_08_CLOSE_V1</x:v>
      </x:c>
      <x:c r="B897" s="187" t="str">
        <x:v>ACTUAL</x:v>
      </x:c>
      <x:c r="C897" s="187"/>
      <x:c r="D897" s="217" t="n">
        <x:v>46082</x:v>
      </x:c>
      <x:c r="E897" s="187" t="str">
        <x:v>R_GB_DE_C_AIR</x:v>
      </x:c>
      <x:c r="F897" s="187" t="str">
        <x:v>GB</x:v>
      </x:c>
      <x:c r="G897" s="187" t="str">
        <x:v>DE_FC</x:v>
      </x:c>
      <x:c r="H897" s="187" t="str">
        <x:v>CARRIER_C</x:v>
      </x:c>
      <x:c r="I897" s="187" t="str">
        <x:v>AIR</x:v>
      </x:c>
      <x:c r="J897" s="187" t="str">
        <x:v>RETURN_LOGISTICS</x:v>
      </x:c>
      <x:c r="K897" s="187" t="str">
        <x:v>GBP</x:v>
      </x:c>
      <x:c r="L897" s="232" t="n">
        <x:v>64.45701660672</x:v>
      </x:c>
      <x:c r="M897" s="232" t="n">
        <x:v>9.08</x:v>
      </x:c>
      <x:c r="N897" s="187" t="str">
        <x:v>585.26971078901760000</x:v>
      </x:c>
      <x:c r="O897" s="235" t="n">
        <x:v>585.2697</x:v>
      </x:c>
      <x:c r="P897" s="235" t="n">
        <x:v>585.2697</x:v>
      </x:c>
      <x:c r="Q897" s="235" t="n">
        <x:v>0</x:v>
      </x:c>
      <x:c r="R897" s="235" t="str">
        <x:v>INVOICE_OR_PLAN</x:v>
      </x:c>
      <x:c r="S897" s="238" t="n">
        <x:f>'Model_Calc'!AV153</x:f>
        <x:v>585.2697107890176</x:v>
      </x:c>
      <x:c r="T897" s="238" t="n">
        <x:f>ROUND(S897-O897,4)</x:f>
        <x:v>0</x:v>
      </x:c>
    </x:row>
    <x:row r="898">
      <x:c r="A898" s="187" t="str">
        <x:v>ACTUAL_2026_08_CLOSE_V1</x:v>
      </x:c>
      <x:c r="B898" s="187" t="str">
        <x:v>ACTUAL</x:v>
      </x:c>
      <x:c r="C898" s="187"/>
      <x:c r="D898" s="217" t="n">
        <x:v>46082</x:v>
      </x:c>
      <x:c r="E898" s="187" t="str">
        <x:v>R_GB_DE_C_AIR</x:v>
      </x:c>
      <x:c r="F898" s="187" t="str">
        <x:v>GB</x:v>
      </x:c>
      <x:c r="G898" s="187" t="str">
        <x:v>DE_FC</x:v>
      </x:c>
      <x:c r="H898" s="187" t="str">
        <x:v>CARRIER_C</x:v>
      </x:c>
      <x:c r="I898" s="187" t="str">
        <x:v>AIR</x:v>
      </x:c>
      <x:c r="J898" s="187" t="str">
        <x:v>BILLABLE_EXCEPTION</x:v>
      </x:c>
      <x:c r="K898" s="187" t="str">
        <x:v>GBP</x:v>
      </x:c>
      <x:c r="L898" s="232" t="n">
        <x:v>6.225437854383184</x:v>
      </x:c>
      <x:c r="M898" s="232" t="n">
        <x:v>9.08</x:v>
      </x:c>
      <x:c r="N898" s="187" t="str">
        <x:v>56.526975717799313276928000</x:v>
      </x:c>
      <x:c r="O898" s="235" t="n">
        <x:v>56.527</x:v>
      </x:c>
      <x:c r="P898" s="235" t="n">
        <x:v>56.527</x:v>
      </x:c>
      <x:c r="Q898" s="235" t="n">
        <x:v>0</x:v>
      </x:c>
      <x:c r="R898" s="235" t="str">
        <x:v>INVOICE_OR_PLAN</x:v>
      </x:c>
      <x:c r="S898" s="238" t="n">
        <x:f>'Model_Calc'!BA153</x:f>
        <x:v>56.52697571779931</x:v>
      </x:c>
      <x:c r="T898" s="238" t="n">
        <x:f>ROUND(S898-O898,4)</x:f>
        <x:v>0</x:v>
      </x:c>
    </x:row>
    <x:row r="899">
      <x:c r="A899" s="187" t="str">
        <x:v>ACTUAL_2026_08_CLOSE_V1</x:v>
      </x:c>
      <x:c r="B899" s="187" t="str">
        <x:v>ACTUAL</x:v>
      </x:c>
      <x:c r="C899" s="187"/>
      <x:c r="D899" s="217" t="n">
        <x:v>46082</x:v>
      </x:c>
      <x:c r="E899" s="187" t="str">
        <x:v>R_GB_FR_B_AIR</x:v>
      </x:c>
      <x:c r="F899" s="187" t="str">
        <x:v>GB</x:v>
      </x:c>
      <x:c r="G899" s="187" t="str">
        <x:v>FR_FC</x:v>
      </x:c>
      <x:c r="H899" s="187" t="str">
        <x:v>CARRIER_B</x:v>
      </x:c>
      <x:c r="I899" s="187" t="str">
        <x:v>AIR</x:v>
      </x:c>
      <x:c r="J899" s="187" t="str">
        <x:v>BASE_FREIGHT</x:v>
      </x:c>
      <x:c r="K899" s="187" t="str">
        <x:v>EUR</x:v>
      </x:c>
      <x:c r="L899" s="232" t="n">
        <x:v>1221.0028529262465</x:v>
      </x:c>
      <x:c r="M899" s="232" t="n">
        <x:v>7.82</x:v>
      </x:c>
      <x:c r="N899" s="187" t="str">
        <x:v>9548.2423098832480992000000</x:v>
      </x:c>
      <x:c r="O899" s="235" t="n">
        <x:v>9548.2423</x:v>
      </x:c>
      <x:c r="P899" s="235" t="n">
        <x:v>9548.2423</x:v>
      </x:c>
      <x:c r="Q899" s="235" t="n">
        <x:v>0</x:v>
      </x:c>
      <x:c r="R899" s="235" t="str">
        <x:v>INVOICE_OR_PLAN</x:v>
      </x:c>
      <x:c r="S899" s="238" t="n">
        <x:f>'Model_Calc'!AF154</x:f>
        <x:v>9548.242309883248</x:v>
      </x:c>
      <x:c r="T899" s="238" t="n">
        <x:f>ROUND(S899-O899,4)</x:f>
        <x:v>0</x:v>
      </x:c>
    </x:row>
    <x:row r="900">
      <x:c r="A900" s="187" t="str">
        <x:v>ACTUAL_2026_08_CLOSE_V1</x:v>
      </x:c>
      <x:c r="B900" s="187" t="str">
        <x:v>ACTUAL</x:v>
      </x:c>
      <x:c r="C900" s="187"/>
      <x:c r="D900" s="217" t="n">
        <x:v>46082</x:v>
      </x:c>
      <x:c r="E900" s="187" t="str">
        <x:v>R_GB_FR_B_AIR</x:v>
      </x:c>
      <x:c r="F900" s="187" t="str">
        <x:v>GB</x:v>
      </x:c>
      <x:c r="G900" s="187" t="str">
        <x:v>FR_FC</x:v>
      </x:c>
      <x:c r="H900" s="187" t="str">
        <x:v>CARRIER_B</x:v>
      </x:c>
      <x:c r="I900" s="187" t="str">
        <x:v>AIR</x:v>
      </x:c>
      <x:c r="J900" s="187" t="str">
        <x:v>FUEL_SURCHARGE</x:v>
      </x:c>
      <x:c r="K900" s="187" t="str">
        <x:v>EUR</x:v>
      </x:c>
      <x:c r="L900" s="232" t="n">
        <x:v>128.97453135459943</x:v>
      </x:c>
      <x:c r="M900" s="232" t="n">
        <x:v>7.82</x:v>
      </x:c>
      <x:c r="N900" s="187" t="str">
        <x:v>1008.5808351929674967184960000000</x:v>
      </x:c>
      <x:c r="O900" s="235" t="n">
        <x:v>1008.5808</x:v>
      </x:c>
      <x:c r="P900" s="235" t="n">
        <x:v>1008.5808</x:v>
      </x:c>
      <x:c r="Q900" s="235" t="n">
        <x:v>0</x:v>
      </x:c>
      <x:c r="R900" s="235" t="str">
        <x:v>INVOICE_OR_PLAN</x:v>
      </x:c>
      <x:c r="S900" s="238" t="n">
        <x:f>'Model_Calc'!AG154</x:f>
        <x:v>1008.5808351929676</x:v>
      </x:c>
      <x:c r="T900" s="238" t="n">
        <x:f>ROUND(S900-O900,4)</x:f>
        <x:v>0</x:v>
      </x:c>
    </x:row>
    <x:row r="901">
      <x:c r="A901" s="187" t="str">
        <x:v>ACTUAL_2026_08_CLOSE_V1</x:v>
      </x:c>
      <x:c r="B901" s="187" t="str">
        <x:v>ACTUAL</x:v>
      </x:c>
      <x:c r="C901" s="187"/>
      <x:c r="D901" s="217" t="n">
        <x:v>46082</x:v>
      </x:c>
      <x:c r="E901" s="187" t="str">
        <x:v>R_GB_FR_B_AIR</x:v>
      </x:c>
      <x:c r="F901" s="187" t="str">
        <x:v>GB</x:v>
      </x:c>
      <x:c r="G901" s="187" t="str">
        <x:v>FR_FC</x:v>
      </x:c>
      <x:c r="H901" s="187" t="str">
        <x:v>CARRIER_B</x:v>
      </x:c>
      <x:c r="I901" s="187" t="str">
        <x:v>AIR</x:v>
      </x:c>
      <x:c r="J901" s="187" t="str">
        <x:v>WAREHOUSE_OPERATION</x:v>
      </x:c>
      <x:c r="K901" s="187" t="str">
        <x:v>EUR</x:v>
      </x:c>
      <x:c r="L901" s="232" t="n">
        <x:v>183.5933904</x:v>
      </x:c>
      <x:c r="M901" s="232" t="n">
        <x:v>7.82</x:v>
      </x:c>
      <x:c r="N901" s="187" t="str">
        <x:v>1435.700312928000</x:v>
      </x:c>
      <x:c r="O901" s="235" t="n">
        <x:v>1435.7003</x:v>
      </x:c>
      <x:c r="P901" s="235" t="n">
        <x:v>1435.7003</x:v>
      </x:c>
      <x:c r="Q901" s="235" t="n">
        <x:v>0</x:v>
      </x:c>
      <x:c r="R901" s="235" t="str">
        <x:v>INVOICE_OR_PLAN</x:v>
      </x:c>
      <x:c r="S901" s="238" t="n">
        <x:f>'Model_Calc'!AL154</x:f>
        <x:v>1435.7003129280001</x:v>
      </x:c>
      <x:c r="T901" s="238" t="n">
        <x:f>ROUND(S901-O901,4)</x:f>
        <x:v>0</x:v>
      </x:c>
    </x:row>
    <x:row r="902">
      <x:c r="A902" s="187" t="str">
        <x:v>ACTUAL_2026_08_CLOSE_V1</x:v>
      </x:c>
      <x:c r="B902" s="187" t="str">
        <x:v>ACTUAL</x:v>
      </x:c>
      <x:c r="C902" s="187"/>
      <x:c r="D902" s="217" t="n">
        <x:v>46082</x:v>
      </x:c>
      <x:c r="E902" s="187" t="str">
        <x:v>R_GB_FR_B_AIR</x:v>
      </x:c>
      <x:c r="F902" s="187" t="str">
        <x:v>GB</x:v>
      </x:c>
      <x:c r="G902" s="187" t="str">
        <x:v>FR_FC</x:v>
      </x:c>
      <x:c r="H902" s="187" t="str">
        <x:v>CARRIER_B</x:v>
      </x:c>
      <x:c r="I902" s="187" t="str">
        <x:v>AIR</x:v>
      </x:c>
      <x:c r="J902" s="187" t="str">
        <x:v>PACKAGING</x:v>
      </x:c>
      <x:c r="K902" s="187" t="str">
        <x:v>EUR</x:v>
      </x:c>
      <x:c r="L902" s="232" t="n">
        <x:v>76.562640217152</x:v>
      </x:c>
      <x:c r="M902" s="232" t="n">
        <x:v>7.82</x:v>
      </x:c>
      <x:c r="N902" s="187" t="str">
        <x:v>598.71984649812864000</x:v>
      </x:c>
      <x:c r="O902" s="235" t="n">
        <x:v>598.7198</x:v>
      </x:c>
      <x:c r="P902" s="235" t="n">
        <x:v>598.7198</x:v>
      </x:c>
      <x:c r="Q902" s="235" t="n">
        <x:v>0</x:v>
      </x:c>
      <x:c r="R902" s="235" t="str">
        <x:v>INVOICE_OR_PLAN</x:v>
      </x:c>
      <x:c r="S902" s="238" t="n">
        <x:f>'Model_Calc'!AQ154</x:f>
        <x:v>598.7198464981287</x:v>
      </x:c>
      <x:c r="T902" s="238" t="n">
        <x:f>ROUND(S902-O902,4)</x:f>
        <x:v>0</x:v>
      </x:c>
    </x:row>
    <x:row r="903">
      <x:c r="A903" s="187" t="str">
        <x:v>ACTUAL_2026_08_CLOSE_V1</x:v>
      </x:c>
      <x:c r="B903" s="187" t="str">
        <x:v>ACTUAL</x:v>
      </x:c>
      <x:c r="C903" s="187"/>
      <x:c r="D903" s="217" t="n">
        <x:v>46082</x:v>
      </x:c>
      <x:c r="E903" s="187" t="str">
        <x:v>R_GB_FR_B_AIR</x:v>
      </x:c>
      <x:c r="F903" s="187" t="str">
        <x:v>GB</x:v>
      </x:c>
      <x:c r="G903" s="187" t="str">
        <x:v>FR_FC</x:v>
      </x:c>
      <x:c r="H903" s="187" t="str">
        <x:v>CARRIER_B</x:v>
      </x:c>
      <x:c r="I903" s="187" t="str">
        <x:v>AIR</x:v>
      </x:c>
      <x:c r="J903" s="187" t="str">
        <x:v>RETURN_LOGISTICS</x:v>
      </x:c>
      <x:c r="K903" s="187" t="str">
        <x:v>EUR</x:v>
      </x:c>
      <x:c r="L903" s="232" t="n">
        <x:v>72.737952768</x:v>
      </x:c>
      <x:c r="M903" s="232" t="n">
        <x:v>7.82</x:v>
      </x:c>
      <x:c r="N903" s="187" t="str">
        <x:v>568.810790645760000</x:v>
      </x:c>
      <x:c r="O903" s="235" t="n">
        <x:v>568.8108</x:v>
      </x:c>
      <x:c r="P903" s="235" t="n">
        <x:v>568.8108</x:v>
      </x:c>
      <x:c r="Q903" s="235" t="n">
        <x:v>0</x:v>
      </x:c>
      <x:c r="R903" s="235" t="str">
        <x:v>INVOICE_OR_PLAN</x:v>
      </x:c>
      <x:c r="S903" s="238" t="n">
        <x:f>'Model_Calc'!AV154</x:f>
        <x:v>568.8107906457601</x:v>
      </x:c>
      <x:c r="T903" s="238" t="n">
        <x:f>ROUND(S903-O903,4)</x:f>
        <x:v>0</x:v>
      </x:c>
    </x:row>
    <x:row r="904">
      <x:c r="A904" s="187" t="str">
        <x:v>ACTUAL_2026_08_CLOSE_V1</x:v>
      </x:c>
      <x:c r="B904" s="187" t="str">
        <x:v>ACTUAL</x:v>
      </x:c>
      <x:c r="C904" s="187"/>
      <x:c r="D904" s="217" t="n">
        <x:v>46082</x:v>
      </x:c>
      <x:c r="E904" s="187" t="str">
        <x:v>R_GB_FR_B_AIR</x:v>
      </x:c>
      <x:c r="F904" s="187" t="str">
        <x:v>GB</x:v>
      </x:c>
      <x:c r="G904" s="187" t="str">
        <x:v>FR_FC</x:v>
      </x:c>
      <x:c r="H904" s="187" t="str">
        <x:v>CARRIER_B</x:v>
      </x:c>
      <x:c r="I904" s="187" t="str">
        <x:v>AIR</x:v>
      </x:c>
      <x:c r="J904" s="187" t="str">
        <x:v>BILLABLE_EXCEPTION</x:v>
      </x:c>
      <x:c r="K904" s="187" t="str">
        <x:v>EUR</x:v>
      </x:c>
      <x:c r="L904" s="232" t="n">
        <x:v>6.905144225058509</x:v>
      </x:c>
      <x:c r="M904" s="232" t="n">
        <x:v>7.82</x:v>
      </x:c>
      <x:c r="N904" s="187" t="str">
        <x:v>53.9982278399575388160000</x:v>
      </x:c>
      <x:c r="O904" s="235" t="n">
        <x:v>53.9982</x:v>
      </x:c>
      <x:c r="P904" s="235" t="n">
        <x:v>53.9982</x:v>
      </x:c>
      <x:c r="Q904" s="235" t="n">
        <x:v>0</x:v>
      </x:c>
      <x:c r="R904" s="235" t="str">
        <x:v>INVOICE_OR_PLAN</x:v>
      </x:c>
      <x:c r="S904" s="238" t="n">
        <x:f>'Model_Calc'!BA154</x:f>
        <x:v>53.99822783995755</x:v>
      </x:c>
      <x:c r="T904" s="238" t="n">
        <x:f>ROUND(S904-O904,4)</x:f>
        <x:v>0</x:v>
      </x:c>
    </x:row>
    <x:row r="905">
      <x:c r="A905" s="187" t="str">
        <x:v>ACTUAL_2026_08_CLOSE_V1</x:v>
      </x:c>
      <x:c r="B905" s="187" t="str">
        <x:v>ACTUAL</x:v>
      </x:c>
      <x:c r="C905" s="187"/>
      <x:c r="D905" s="217" t="n">
        <x:v>46113</x:v>
      </x:c>
      <x:c r="E905" s="187" t="str">
        <x:v>R_DE_DE_A_ROAD</x:v>
      </x:c>
      <x:c r="F905" s="187" t="str">
        <x:v>DE</x:v>
      </x:c>
      <x:c r="G905" s="187" t="str">
        <x:v>DE_FC</x:v>
      </x:c>
      <x:c r="H905" s="187" t="str">
        <x:v>CARRIER_A</x:v>
      </x:c>
      <x:c r="I905" s="187" t="str">
        <x:v>ROAD</x:v>
      </x:c>
      <x:c r="J905" s="187" t="str">
        <x:v>BASE_FREIGHT</x:v>
      </x:c>
      <x:c r="K905" s="187" t="str">
        <x:v>EUR</x:v>
      </x:c>
      <x:c r="L905" s="232" t="n">
        <x:v>6700.346359173168</x:v>
      </x:c>
      <x:c r="M905" s="232" t="n">
        <x:v>7.84</x:v>
      </x:c>
      <x:c r="N905" s="187" t="str">
        <x:v>52530.715455917633206272000000</x:v>
      </x:c>
      <x:c r="O905" s="235" t="n">
        <x:v>52530.7155</x:v>
      </x:c>
      <x:c r="P905" s="235" t="n">
        <x:v>52530.7155</x:v>
      </x:c>
      <x:c r="Q905" s="235" t="n">
        <x:v>0</x:v>
      </x:c>
      <x:c r="R905" s="235" t="str">
        <x:v>INVOICE_OR_PLAN</x:v>
      </x:c>
      <x:c r="S905" s="238" t="n">
        <x:f>'Model_Calc'!AF155</x:f>
        <x:v>52530.715455917634</x:v>
      </x:c>
      <x:c r="T905" s="238" t="n">
        <x:f>ROUND(S905-O905,4)</x:f>
        <x:v>0</x:v>
      </x:c>
    </x:row>
    <x:row r="906">
      <x:c r="A906" s="187" t="str">
        <x:v>ACTUAL_2026_08_CLOSE_V1</x:v>
      </x:c>
      <x:c r="B906" s="187" t="str">
        <x:v>ACTUAL</x:v>
      </x:c>
      <x:c r="C906" s="187"/>
      <x:c r="D906" s="217" t="n">
        <x:v>46113</x:v>
      </x:c>
      <x:c r="E906" s="187" t="str">
        <x:v>R_DE_DE_A_ROAD</x:v>
      </x:c>
      <x:c r="F906" s="187" t="str">
        <x:v>DE</x:v>
      </x:c>
      <x:c r="G906" s="187" t="str">
        <x:v>DE_FC</x:v>
      </x:c>
      <x:c r="H906" s="187" t="str">
        <x:v>CARRIER_A</x:v>
      </x:c>
      <x:c r="I906" s="187" t="str">
        <x:v>ROAD</x:v>
      </x:c>
      <x:c r="J906" s="187" t="str">
        <x:v>FUEL_SURCHARGE</x:v>
      </x:c>
      <x:c r="K906" s="187" t="str">
        <x:v>EUR</x:v>
      </x:c>
      <x:c r="L906" s="232" t="n">
        <x:v>641.6251673544225</x:v>
      </x:c>
      <x:c r="M906" s="232" t="n">
        <x:v>7.84</x:v>
      </x:c>
      <x:c r="N906" s="187" t="str">
        <x:v>5030.341312058672555832606720000000</x:v>
      </x:c>
      <x:c r="O906" s="235" t="n">
        <x:v>5030.3413</x:v>
      </x:c>
      <x:c r="P906" s="235" t="n">
        <x:v>5030.3413</x:v>
      </x:c>
      <x:c r="Q906" s="235" t="n">
        <x:v>0</x:v>
      </x:c>
      <x:c r="R906" s="235" t="str">
        <x:v>INVOICE_OR_PLAN</x:v>
      </x:c>
      <x:c r="S906" s="238" t="n">
        <x:f>'Model_Calc'!AG155</x:f>
        <x:v>5030.341312058672</x:v>
      </x:c>
      <x:c r="T906" s="238" t="n">
        <x:f>ROUND(S906-O906,4)</x:f>
        <x:v>0</x:v>
      </x:c>
    </x:row>
    <x:row r="907">
      <x:c r="A907" s="187" t="str">
        <x:v>ACTUAL_2026_08_CLOSE_V1</x:v>
      </x:c>
      <x:c r="B907" s="187" t="str">
        <x:v>ACTUAL</x:v>
      </x:c>
      <x:c r="C907" s="187"/>
      <x:c r="D907" s="217" t="n">
        <x:v>46113</x:v>
      </x:c>
      <x:c r="E907" s="187" t="str">
        <x:v>R_DE_DE_A_ROAD</x:v>
      </x:c>
      <x:c r="F907" s="187" t="str">
        <x:v>DE</x:v>
      </x:c>
      <x:c r="G907" s="187" t="str">
        <x:v>DE_FC</x:v>
      </x:c>
      <x:c r="H907" s="187" t="str">
        <x:v>CARRIER_A</x:v>
      </x:c>
      <x:c r="I907" s="187" t="str">
        <x:v>ROAD</x:v>
      </x:c>
      <x:c r="J907" s="187" t="str">
        <x:v>WAREHOUSE_OPERATION</x:v>
      </x:c>
      <x:c r="K907" s="187" t="str">
        <x:v>EUR</x:v>
      </x:c>
      <x:c r="L907" s="232" t="n">
        <x:v>4353.170556672</x:v>
      </x:c>
      <x:c r="M907" s="232" t="n">
        <x:v>7.84</x:v>
      </x:c>
      <x:c r="N907" s="187" t="str">
        <x:v>34128.85716430848000</x:v>
      </x:c>
      <x:c r="O907" s="235" t="n">
        <x:v>34128.8572</x:v>
      </x:c>
      <x:c r="P907" s="235" t="n">
        <x:v>34128.8572</x:v>
      </x:c>
      <x:c r="Q907" s="235" t="n">
        <x:v>0</x:v>
      </x:c>
      <x:c r="R907" s="235" t="str">
        <x:v>INVOICE_OR_PLAN</x:v>
      </x:c>
      <x:c r="S907" s="238" t="n">
        <x:f>'Model_Calc'!AL155</x:f>
        <x:v>34128.85716430848</x:v>
      </x:c>
      <x:c r="T907" s="238" t="n">
        <x:f>ROUND(S907-O907,4)</x:f>
        <x:v>0</x:v>
      </x:c>
    </x:row>
    <x:row r="908">
      <x:c r="A908" s="187" t="str">
        <x:v>ACTUAL_2026_08_CLOSE_V1</x:v>
      </x:c>
      <x:c r="B908" s="187" t="str">
        <x:v>ACTUAL</x:v>
      </x:c>
      <x:c r="C908" s="187"/>
      <x:c r="D908" s="217" t="n">
        <x:v>46113</x:v>
      </x:c>
      <x:c r="E908" s="187" t="str">
        <x:v>R_DE_DE_A_ROAD</x:v>
      </x:c>
      <x:c r="F908" s="187" t="str">
        <x:v>DE</x:v>
      </x:c>
      <x:c r="G908" s="187" t="str">
        <x:v>DE_FC</x:v>
      </x:c>
      <x:c r="H908" s="187" t="str">
        <x:v>CARRIER_A</x:v>
      </x:c>
      <x:c r="I908" s="187" t="str">
        <x:v>ROAD</x:v>
      </x:c>
      <x:c r="J908" s="187" t="str">
        <x:v>PACKAGING</x:v>
      </x:c>
      <x:c r="K908" s="187" t="str">
        <x:v>EUR</x:v>
      </x:c>
      <x:c r="L908" s="232" t="n">
        <x:v>1631.7859831684991</x:v>
      </x:c>
      <x:c r="M908" s="232" t="n">
        <x:v>7.84</x:v>
      </x:c>
      <x:c r="N908" s="187" t="str">
        <x:v>12793.2021080410337280000</x:v>
      </x:c>
      <x:c r="O908" s="235" t="n">
        <x:v>12793.2021</x:v>
      </x:c>
      <x:c r="P908" s="235" t="n">
        <x:v>12793.2021</x:v>
      </x:c>
      <x:c r="Q908" s="235" t="n">
        <x:v>0</x:v>
      </x:c>
      <x:c r="R908" s="235" t="str">
        <x:v>INVOICE_OR_PLAN</x:v>
      </x:c>
      <x:c r="S908" s="238" t="n">
        <x:f>'Model_Calc'!AQ155</x:f>
        <x:v>12793.202108041034</x:v>
      </x:c>
      <x:c r="T908" s="238" t="n">
        <x:f>ROUND(S908-O908,4)</x:f>
        <x:v>0</x:v>
      </x:c>
    </x:row>
    <x:row r="909">
      <x:c r="A909" s="187" t="str">
        <x:v>ACTUAL_2026_08_CLOSE_V1</x:v>
      </x:c>
      <x:c r="B909" s="187" t="str">
        <x:v>ACTUAL</x:v>
      </x:c>
      <x:c r="C909" s="187"/>
      <x:c r="D909" s="217" t="n">
        <x:v>46113</x:v>
      </x:c>
      <x:c r="E909" s="187" t="str">
        <x:v>R_DE_DE_A_ROAD</x:v>
      </x:c>
      <x:c r="F909" s="187" t="str">
        <x:v>DE</x:v>
      </x:c>
      <x:c r="G909" s="187" t="str">
        <x:v>DE_FC</x:v>
      </x:c>
      <x:c r="H909" s="187" t="str">
        <x:v>CARRIER_A</x:v>
      </x:c>
      <x:c r="I909" s="187" t="str">
        <x:v>ROAD</x:v>
      </x:c>
      <x:c r="J909" s="187" t="str">
        <x:v>RETURN_LOGISTICS</x:v>
      </x:c>
      <x:c r="K909" s="187" t="str">
        <x:v>EUR</x:v>
      </x:c>
      <x:c r="L909" s="232" t="n">
        <x:v>590.260414464</x:v>
      </x:c>
      <x:c r="M909" s="232" t="n">
        <x:v>7.84</x:v>
      </x:c>
      <x:c r="N909" s="187" t="str">
        <x:v>4627.64164939776000000</x:v>
      </x:c>
      <x:c r="O909" s="235" t="n">
        <x:v>4627.6416</x:v>
      </x:c>
      <x:c r="P909" s="235" t="n">
        <x:v>4627.6416</x:v>
      </x:c>
      <x:c r="Q909" s="235" t="n">
        <x:v>0</x:v>
      </x:c>
      <x:c r="R909" s="235" t="str">
        <x:v>ACCRUAL</x:v>
      </x:c>
      <x:c r="S909" s="238" t="n">
        <x:f>'Model_Calc'!AV155</x:f>
        <x:v>4627.64164939776</x:v>
      </x:c>
      <x:c r="T909" s="238" t="n">
        <x:f>ROUND(S909-O909,4)</x:f>
        <x:v>0</x:v>
      </x:c>
    </x:row>
    <x:row r="910">
      <x:c r="A910" s="187" t="str">
        <x:v>ACTUAL_2026_08_CLOSE_V1</x:v>
      </x:c>
      <x:c r="B910" s="187" t="str">
        <x:v>ACTUAL</x:v>
      </x:c>
      <x:c r="C910" s="187"/>
      <x:c r="D910" s="217" t="n">
        <x:v>46113</x:v>
      </x:c>
      <x:c r="E910" s="187" t="str">
        <x:v>R_DE_DE_A_ROAD</x:v>
      </x:c>
      <x:c r="F910" s="187" t="str">
        <x:v>DE</x:v>
      </x:c>
      <x:c r="G910" s="187" t="str">
        <x:v>DE_FC</x:v>
      </x:c>
      <x:c r="H910" s="187" t="str">
        <x:v>CARRIER_A</x:v>
      </x:c>
      <x:c r="I910" s="187" t="str">
        <x:v>ROAD</x:v>
      </x:c>
      <x:c r="J910" s="187" t="str">
        <x:v>BILLABLE_EXCEPTION</x:v>
      </x:c>
      <x:c r="K910" s="187" t="str">
        <x:v>EUR</x:v>
      </x:c>
      <x:c r="L910" s="232" t="n">
        <x:v>145.83504443860187</x:v>
      </x:c>
      <x:c r="M910" s="232" t="n">
        <x:v>7.84</x:v>
      </x:c>
      <x:c r="N910" s="187" t="str">
        <x:v>1143.346748398638671462400000</x:v>
      </x:c>
      <x:c r="O910" s="235" t="n">
        <x:v>1143.3467</x:v>
      </x:c>
      <x:c r="P910" s="235" t="n">
        <x:v>1143.3467</x:v>
      </x:c>
      <x:c r="Q910" s="235" t="n">
        <x:v>0</x:v>
      </x:c>
      <x:c r="R910" s="235" t="str">
        <x:v>ACCRUAL</x:v>
      </x:c>
      <x:c r="S910" s="238" t="n">
        <x:f>'Model_Calc'!BA155</x:f>
        <x:v>1143.346748398639</x:v>
      </x:c>
      <x:c r="T910" s="238" t="n">
        <x:f>ROUND(S910-O910,4)</x:f>
        <x:v>0</x:v>
      </x:c>
    </x:row>
    <x:row r="911">
      <x:c r="A911" s="187" t="str">
        <x:v>ACTUAL_2026_08_CLOSE_V1</x:v>
      </x:c>
      <x:c r="B911" s="187" t="str">
        <x:v>ACTUAL</x:v>
      </x:c>
      <x:c r="C911" s="187"/>
      <x:c r="D911" s="217" t="n">
        <x:v>46113</x:v>
      </x:c>
      <x:c r="E911" s="187" t="str">
        <x:v>R_DE_DE_B_ROAD</x:v>
      </x:c>
      <x:c r="F911" s="187" t="str">
        <x:v>DE</x:v>
      </x:c>
      <x:c r="G911" s="187" t="str">
        <x:v>DE_FC</x:v>
      </x:c>
      <x:c r="H911" s="187" t="str">
        <x:v>CARRIER_B</x:v>
      </x:c>
      <x:c r="I911" s="187" t="str">
        <x:v>ROAD</x:v>
      </x:c>
      <x:c r="J911" s="187" t="str">
        <x:v>BASE_FREIGHT</x:v>
      </x:c>
      <x:c r="K911" s="187" t="str">
        <x:v>EUR</x:v>
      </x:c>
      <x:c r="L911" s="232" t="n">
        <x:v>5726.791759977066</x:v>
      </x:c>
      <x:c r="M911" s="232" t="n">
        <x:v>7.84</x:v>
      </x:c>
      <x:c r="N911" s="187" t="str">
        <x:v>44898.047398220199321600000000</x:v>
      </x:c>
      <x:c r="O911" s="235" t="n">
        <x:v>44898.0474</x:v>
      </x:c>
      <x:c r="P911" s="235" t="n">
        <x:v>44898.0474</x:v>
      </x:c>
      <x:c r="Q911" s="235" t="n">
        <x:v>0</x:v>
      </x:c>
      <x:c r="R911" s="235" t="str">
        <x:v>INVOICE_OR_PLAN</x:v>
      </x:c>
      <x:c r="S911" s="238" t="n">
        <x:f>'Model_Calc'!AF156</x:f>
        <x:v>44898.04739822021</x:v>
      </x:c>
      <x:c r="T911" s="238" t="n">
        <x:f>ROUND(S911-O911,4)</x:f>
        <x:v>0</x:v>
      </x:c>
    </x:row>
    <x:row r="912">
      <x:c r="A912" s="187" t="str">
        <x:v>ACTUAL_2026_08_CLOSE_V1</x:v>
      </x:c>
      <x:c r="B912" s="187" t="str">
        <x:v>ACTUAL</x:v>
      </x:c>
      <x:c r="C912" s="187"/>
      <x:c r="D912" s="217" t="n">
        <x:v>46113</x:v>
      </x:c>
      <x:c r="E912" s="187" t="str">
        <x:v>R_DE_DE_B_ROAD</x:v>
      </x:c>
      <x:c r="F912" s="187" t="str">
        <x:v>DE</x:v>
      </x:c>
      <x:c r="G912" s="187" t="str">
        <x:v>DE_FC</x:v>
      </x:c>
      <x:c r="H912" s="187" t="str">
        <x:v>CARRIER_B</x:v>
      </x:c>
      <x:c r="I912" s="187" t="str">
        <x:v>ROAD</x:v>
      </x:c>
      <x:c r="J912" s="187" t="str">
        <x:v>FUEL_SURCHARGE</x:v>
      </x:c>
      <x:c r="K912" s="187" t="str">
        <x:v>EUR</x:v>
      </x:c>
      <x:c r="L912" s="232" t="n">
        <x:v>437.3186434891578</x:v>
      </x:c>
      <x:c r="M912" s="232" t="n">
        <x:v>7.84</x:v>
      </x:c>
      <x:c r="N912" s="187" t="str">
        <x:v>3428.578164954997039104000000</x:v>
      </x:c>
      <x:c r="O912" s="235" t="n">
        <x:v>3428.5782</x:v>
      </x:c>
      <x:c r="P912" s="235" t="n">
        <x:v>3428.5782</x:v>
      </x:c>
      <x:c r="Q912" s="235" t="n">
        <x:v>0</x:v>
      </x:c>
      <x:c r="R912" s="235" t="str">
        <x:v>INVOICE_OR_PLAN</x:v>
      </x:c>
      <x:c r="S912" s="238" t="n">
        <x:f>'Model_Calc'!AG156</x:f>
        <x:v>3428.578164954998</x:v>
      </x:c>
      <x:c r="T912" s="238" t="n">
        <x:f>ROUND(S912-O912,4)</x:f>
        <x:v>0</x:v>
      </x:c>
    </x:row>
    <x:row r="913">
      <x:c r="A913" s="187" t="str">
        <x:v>ACTUAL_2026_08_CLOSE_V1</x:v>
      </x:c>
      <x:c r="B913" s="187" t="str">
        <x:v>ACTUAL</x:v>
      </x:c>
      <x:c r="C913" s="187"/>
      <x:c r="D913" s="217" t="n">
        <x:v>46113</x:v>
      </x:c>
      <x:c r="E913" s="187" t="str">
        <x:v>R_DE_DE_B_ROAD</x:v>
      </x:c>
      <x:c r="F913" s="187" t="str">
        <x:v>DE</x:v>
      </x:c>
      <x:c r="G913" s="187" t="str">
        <x:v>DE_FC</x:v>
      </x:c>
      <x:c r="H913" s="187" t="str">
        <x:v>CARRIER_B</x:v>
      </x:c>
      <x:c r="I913" s="187" t="str">
        <x:v>ROAD</x:v>
      </x:c>
      <x:c r="J913" s="187" t="str">
        <x:v>WAREHOUSE_OPERATION</x:v>
      </x:c>
      <x:c r="K913" s="187" t="str">
        <x:v>EUR</x:v>
      </x:c>
      <x:c r="L913" s="232" t="n">
        <x:v>2902.113704448</x:v>
      </x:c>
      <x:c r="M913" s="232" t="n">
        <x:v>7.84</x:v>
      </x:c>
      <x:c r="N913" s="187" t="str">
        <x:v>22752.57144287232000</x:v>
      </x:c>
      <x:c r="O913" s="235" t="n">
        <x:v>22752.5714</x:v>
      </x:c>
      <x:c r="P913" s="235" t="n">
        <x:v>22752.5714</x:v>
      </x:c>
      <x:c r="Q913" s="235" t="n">
        <x:v>0</x:v>
      </x:c>
      <x:c r="R913" s="235" t="str">
        <x:v>INVOICE_OR_PLAN</x:v>
      </x:c>
      <x:c r="S913" s="238" t="n">
        <x:f>'Model_Calc'!AL156</x:f>
        <x:v>22752.571442872326</x:v>
      </x:c>
      <x:c r="T913" s="238" t="n">
        <x:f>ROUND(S913-O913,4)</x:f>
        <x:v>0</x:v>
      </x:c>
    </x:row>
    <x:row r="914">
      <x:c r="A914" s="187" t="str">
        <x:v>ACTUAL_2026_08_CLOSE_V1</x:v>
      </x:c>
      <x:c r="B914" s="187" t="str">
        <x:v>ACTUAL</x:v>
      </x:c>
      <x:c r="C914" s="187"/>
      <x:c r="D914" s="217" t="n">
        <x:v>46113</x:v>
      </x:c>
      <x:c r="E914" s="187" t="str">
        <x:v>R_DE_DE_B_ROAD</x:v>
      </x:c>
      <x:c r="F914" s="187" t="str">
        <x:v>DE</x:v>
      </x:c>
      <x:c r="G914" s="187" t="str">
        <x:v>DE_FC</x:v>
      </x:c>
      <x:c r="H914" s="187" t="str">
        <x:v>CARRIER_B</x:v>
      </x:c>
      <x:c r="I914" s="187" t="str">
        <x:v>ROAD</x:v>
      </x:c>
      <x:c r="J914" s="187" t="str">
        <x:v>PACKAGING</x:v>
      </x:c>
      <x:c r="K914" s="187" t="str">
        <x:v>EUR</x:v>
      </x:c>
      <x:c r="L914" s="232" t="n">
        <x:v>1087.857322112333</x:v>
      </x:c>
      <x:c r="M914" s="232" t="n">
        <x:v>7.84</x:v>
      </x:c>
      <x:c r="N914" s="187" t="str">
        <x:v>8528.8014053606891520000</x:v>
      </x:c>
      <x:c r="O914" s="235" t="n">
        <x:v>8528.8014</x:v>
      </x:c>
      <x:c r="P914" s="235" t="n">
        <x:v>8528.8014</x:v>
      </x:c>
      <x:c r="Q914" s="235" t="n">
        <x:v>0</x:v>
      </x:c>
      <x:c r="R914" s="235" t="str">
        <x:v>INVOICE_OR_PLAN</x:v>
      </x:c>
      <x:c r="S914" s="238" t="n">
        <x:f>'Model_Calc'!AQ156</x:f>
        <x:v>8528.801405360691</x:v>
      </x:c>
      <x:c r="T914" s="238" t="n">
        <x:f>ROUND(S914-O914,4)</x:f>
        <x:v>0</x:v>
      </x:c>
    </x:row>
    <x:row r="915">
      <x:c r="A915" s="187" t="str">
        <x:v>ACTUAL_2026_08_CLOSE_V1</x:v>
      </x:c>
      <x:c r="B915" s="187" t="str">
        <x:v>ACTUAL</x:v>
      </x:c>
      <x:c r="C915" s="187"/>
      <x:c r="D915" s="217" t="n">
        <x:v>46113</x:v>
      </x:c>
      <x:c r="E915" s="187" t="str">
        <x:v>R_DE_DE_B_ROAD</x:v>
      </x:c>
      <x:c r="F915" s="187" t="str">
        <x:v>DE</x:v>
      </x:c>
      <x:c r="G915" s="187" t="str">
        <x:v>DE_FC</x:v>
      </x:c>
      <x:c r="H915" s="187" t="str">
        <x:v>CARRIER_B</x:v>
      </x:c>
      <x:c r="I915" s="187" t="str">
        <x:v>ROAD</x:v>
      </x:c>
      <x:c r="J915" s="187" t="str">
        <x:v>RETURN_LOGISTICS</x:v>
      </x:c>
      <x:c r="K915" s="187" t="str">
        <x:v>EUR</x:v>
      </x:c>
      <x:c r="L915" s="232" t="n">
        <x:v>393.506942976</x:v>
      </x:c>
      <x:c r="M915" s="232" t="n">
        <x:v>7.84</x:v>
      </x:c>
      <x:c r="N915" s="187" t="str">
        <x:v>3085.09443293184000000</x:v>
      </x:c>
      <x:c r="O915" s="235" t="n">
        <x:v>3085.0944</x:v>
      </x:c>
      <x:c r="P915" s="235" t="n">
        <x:v>3085.0944</x:v>
      </x:c>
      <x:c r="Q915" s="235" t="n">
        <x:v>0</x:v>
      </x:c>
      <x:c r="R915" s="235" t="str">
        <x:v>ACCRUAL</x:v>
      </x:c>
      <x:c r="S915" s="238" t="n">
        <x:f>'Model_Calc'!AV156</x:f>
        <x:v>3085.0944329318404</x:v>
      </x:c>
      <x:c r="T915" s="238" t="n">
        <x:f>ROUND(S915-O915,4)</x:f>
        <x:v>0</x:v>
      </x:c>
    </x:row>
    <x:row r="916">
      <x:c r="A916" s="187" t="str">
        <x:v>ACTUAL_2026_08_CLOSE_V1</x:v>
      </x:c>
      <x:c r="B916" s="187" t="str">
        <x:v>ACTUAL</x:v>
      </x:c>
      <x:c r="C916" s="187"/>
      <x:c r="D916" s="217" t="n">
        <x:v>46113</x:v>
      </x:c>
      <x:c r="E916" s="187" t="str">
        <x:v>R_DE_DE_B_ROAD</x:v>
      </x:c>
      <x:c r="F916" s="187" t="str">
        <x:v>DE</x:v>
      </x:c>
      <x:c r="G916" s="187" t="str">
        <x:v>DE_FC</x:v>
      </x:c>
      <x:c r="H916" s="187" t="str">
        <x:v>CARRIER_B</x:v>
      </x:c>
      <x:c r="I916" s="187" t="str">
        <x:v>ROAD</x:v>
      </x:c>
      <x:c r="J916" s="187" t="str">
        <x:v>BILLABLE_EXCEPTION</x:v>
      </x:c>
      <x:c r="K916" s="187" t="str">
        <x:v>EUR</x:v>
      </x:c>
      <x:c r="L916" s="232" t="n">
        <x:v>78.99398240424269</x:v>
      </x:c>
      <x:c r="M916" s="232" t="n">
        <x:v>7.84</x:v>
      </x:c>
      <x:c r="N916" s="187" t="str">
        <x:v>619.312822049262613708800000</x:v>
      </x:c>
      <x:c r="O916" s="235" t="n">
        <x:v>619.3128</x:v>
      </x:c>
      <x:c r="P916" s="235" t="n">
        <x:v>619.3128</x:v>
      </x:c>
      <x:c r="Q916" s="235" t="n">
        <x:v>0</x:v>
      </x:c>
      <x:c r="R916" s="235" t="str">
        <x:v>ACCRUAL</x:v>
      </x:c>
      <x:c r="S916" s="238" t="n">
        <x:f>'Model_Calc'!BA156</x:f>
        <x:v>619.3128220492628</x:v>
      </x:c>
      <x:c r="T916" s="238" t="n">
        <x:f>ROUND(S916-O916,4)</x:f>
        <x:v>0</x:v>
      </x:c>
    </x:row>
    <x:row r="917">
      <x:c r="A917" s="187" t="str">
        <x:v>ACTUAL_2026_08_CLOSE_V1</x:v>
      </x:c>
      <x:c r="B917" s="187" t="str">
        <x:v>ACTUAL</x:v>
      </x:c>
      <x:c r="C917" s="187"/>
      <x:c r="D917" s="217" t="n">
        <x:v>46113</x:v>
      </x:c>
      <x:c r="E917" s="187" t="str">
        <x:v>R_DE_FR_B_ROAD</x:v>
      </x:c>
      <x:c r="F917" s="187" t="str">
        <x:v>DE</x:v>
      </x:c>
      <x:c r="G917" s="187" t="str">
        <x:v>FR_FC</x:v>
      </x:c>
      <x:c r="H917" s="187" t="str">
        <x:v>CARRIER_B</x:v>
      </x:c>
      <x:c r="I917" s="187" t="str">
        <x:v>ROAD</x:v>
      </x:c>
      <x:c r="J917" s="187" t="str">
        <x:v>BASE_FREIGHT</x:v>
      </x:c>
      <x:c r="K917" s="187" t="str">
        <x:v>EUR</x:v>
      </x:c>
      <x:c r="L917" s="232" t="n">
        <x:v>587.5232901325514</x:v>
      </x:c>
      <x:c r="M917" s="232" t="n">
        <x:v>7.84</x:v>
      </x:c>
      <x:c r="N917" s="187" t="str">
        <x:v>4606.1825946392033648640000</x:v>
      </x:c>
      <x:c r="O917" s="235" t="n">
        <x:v>4606.1826</x:v>
      </x:c>
      <x:c r="P917" s="235" t="n">
        <x:v>4606.1826</x:v>
      </x:c>
      <x:c r="Q917" s="235" t="n">
        <x:v>0</x:v>
      </x:c>
      <x:c r="R917" s="235" t="str">
        <x:v>INVOICE_OR_PLAN</x:v>
      </x:c>
      <x:c r="S917" s="238" t="n">
        <x:f>'Model_Calc'!AF157</x:f>
        <x:v>4606.182594639203</x:v>
      </x:c>
      <x:c r="T917" s="238" t="n">
        <x:f>ROUND(S917-O917,4)</x:f>
        <x:v>0</x:v>
      </x:c>
    </x:row>
    <x:row r="918">
      <x:c r="A918" s="187" t="str">
        <x:v>ACTUAL_2026_08_CLOSE_V1</x:v>
      </x:c>
      <x:c r="B918" s="187" t="str">
        <x:v>ACTUAL</x:v>
      </x:c>
      <x:c r="C918" s="187"/>
      <x:c r="D918" s="217" t="n">
        <x:v>46113</x:v>
      </x:c>
      <x:c r="E918" s="187" t="str">
        <x:v>R_DE_FR_B_ROAD</x:v>
      </x:c>
      <x:c r="F918" s="187" t="str">
        <x:v>DE</x:v>
      </x:c>
      <x:c r="G918" s="187" t="str">
        <x:v>FR_FC</x:v>
      </x:c>
      <x:c r="H918" s="187" t="str">
        <x:v>CARRIER_B</x:v>
      </x:c>
      <x:c r="I918" s="187" t="str">
        <x:v>ROAD</x:v>
      </x:c>
      <x:c r="J918" s="187" t="str">
        <x:v>FUEL_SURCHARGE</x:v>
      </x:c>
      <x:c r="K918" s="187" t="str">
        <x:v>EUR</x:v>
      </x:c>
      <x:c r="L918" s="232" t="n">
        <x:v>42.72896655509465</x:v>
      </x:c>
      <x:c r="M918" s="232" t="n">
        <x:v>7.84</x:v>
      </x:c>
      <x:c r="N918" s="187" t="str">
        <x:v>334.9950977919420628992000</x:v>
      </x:c>
      <x:c r="O918" s="235" t="n">
        <x:v>334.9951</x:v>
      </x:c>
      <x:c r="P918" s="235" t="n">
        <x:v>334.9951</x:v>
      </x:c>
      <x:c r="Q918" s="235" t="n">
        <x:v>0</x:v>
      </x:c>
      <x:c r="R918" s="235" t="str">
        <x:v>INVOICE_OR_PLAN</x:v>
      </x:c>
      <x:c r="S918" s="238" t="n">
        <x:f>'Model_Calc'!AG157</x:f>
        <x:v>334.99509779194204</x:v>
      </x:c>
      <x:c r="T918" s="238" t="n">
        <x:f>ROUND(S918-O918,4)</x:f>
        <x:v>0</x:v>
      </x:c>
    </x:row>
    <x:row r="919">
      <x:c r="A919" s="187" t="str">
        <x:v>ACTUAL_2026_08_CLOSE_V1</x:v>
      </x:c>
      <x:c r="B919" s="187" t="str">
        <x:v>ACTUAL</x:v>
      </x:c>
      <x:c r="C919" s="187"/>
      <x:c r="D919" s="217" t="n">
        <x:v>46113</x:v>
      </x:c>
      <x:c r="E919" s="187" t="str">
        <x:v>R_DE_FR_B_ROAD</x:v>
      </x:c>
      <x:c r="F919" s="187" t="str">
        <x:v>DE</x:v>
      </x:c>
      <x:c r="G919" s="187" t="str">
        <x:v>FR_FC</x:v>
      </x:c>
      <x:c r="H919" s="187" t="str">
        <x:v>CARRIER_B</x:v>
      </x:c>
      <x:c r="I919" s="187" t="str">
        <x:v>ROAD</x:v>
      </x:c>
      <x:c r="J919" s="187" t="str">
        <x:v>WAREHOUSE_OPERATION</x:v>
      </x:c>
      <x:c r="K919" s="187" t="str">
        <x:v>EUR</x:v>
      </x:c>
      <x:c r="L919" s="232" t="n">
        <x:v>199.6692768</x:v>
      </x:c>
      <x:c r="M919" s="232" t="n">
        <x:v>7.84</x:v>
      </x:c>
      <x:c r="N919" s="187" t="str">
        <x:v>1565.407130112000</x:v>
      </x:c>
      <x:c r="O919" s="235" t="n">
        <x:v>1565.4071</x:v>
      </x:c>
      <x:c r="P919" s="235" t="n">
        <x:v>1565.4071</x:v>
      </x:c>
      <x:c r="Q919" s="235" t="n">
        <x:v>0</x:v>
      </x:c>
      <x:c r="R919" s="235" t="str">
        <x:v>INVOICE_OR_PLAN</x:v>
      </x:c>
      <x:c r="S919" s="238" t="n">
        <x:f>'Model_Calc'!AL157</x:f>
        <x:v>1565.407130112</x:v>
      </x:c>
      <x:c r="T919" s="238" t="n">
        <x:f>ROUND(S919-O919,4)</x:f>
        <x:v>0</x:v>
      </x:c>
    </x:row>
    <x:row r="920">
      <x:c r="A920" s="187" t="str">
        <x:v>ACTUAL_2026_08_CLOSE_V1</x:v>
      </x:c>
      <x:c r="B920" s="187" t="str">
        <x:v>ACTUAL</x:v>
      </x:c>
      <x:c r="C920" s="187"/>
      <x:c r="D920" s="217" t="n">
        <x:v>46113</x:v>
      </x:c>
      <x:c r="E920" s="187" t="str">
        <x:v>R_DE_FR_B_ROAD</x:v>
      </x:c>
      <x:c r="F920" s="187" t="str">
        <x:v>DE</x:v>
      </x:c>
      <x:c r="G920" s="187" t="str">
        <x:v>FR_FC</x:v>
      </x:c>
      <x:c r="H920" s="187" t="str">
        <x:v>CARRIER_B</x:v>
      </x:c>
      <x:c r="I920" s="187" t="str">
        <x:v>ROAD</x:v>
      </x:c>
      <x:c r="J920" s="187" t="str">
        <x:v>PACKAGING</x:v>
      </x:c>
      <x:c r="K920" s="187" t="str">
        <x:v>EUR</x:v>
      </x:c>
      <x:c r="L920" s="232" t="n">
        <x:v>78.2762895355392</x:v>
      </x:c>
      <x:c r="M920" s="232" t="n">
        <x:v>7.84</x:v>
      </x:c>
      <x:c r="N920" s="187" t="str">
        <x:v>613.68610995862732800</x:v>
      </x:c>
      <x:c r="O920" s="235" t="n">
        <x:v>613.6861</x:v>
      </x:c>
      <x:c r="P920" s="235" t="n">
        <x:v>613.6861</x:v>
      </x:c>
      <x:c r="Q920" s="235" t="n">
        <x:v>0</x:v>
      </x:c>
      <x:c r="R920" s="235" t="str">
        <x:v>INVOICE_OR_PLAN</x:v>
      </x:c>
      <x:c r="S920" s="238" t="n">
        <x:f>'Model_Calc'!AQ157</x:f>
        <x:v>613.6861099586274</x:v>
      </x:c>
      <x:c r="T920" s="238" t="n">
        <x:f>ROUND(S920-O920,4)</x:f>
        <x:v>0</x:v>
      </x:c>
    </x:row>
    <x:row r="921">
      <x:c r="A921" s="187" t="str">
        <x:v>ACTUAL_2026_08_CLOSE_V1</x:v>
      </x:c>
      <x:c r="B921" s="187" t="str">
        <x:v>ACTUAL</x:v>
      </x:c>
      <x:c r="C921" s="187"/>
      <x:c r="D921" s="217" t="n">
        <x:v>46113</x:v>
      </x:c>
      <x:c r="E921" s="187" t="str">
        <x:v>R_DE_FR_B_ROAD</x:v>
      </x:c>
      <x:c r="F921" s="187" t="str">
        <x:v>DE</x:v>
      </x:c>
      <x:c r="G921" s="187" t="str">
        <x:v>FR_FC</x:v>
      </x:c>
      <x:c r="H921" s="187" t="str">
        <x:v>CARRIER_B</x:v>
      </x:c>
      <x:c r="I921" s="187" t="str">
        <x:v>ROAD</x:v>
      </x:c>
      <x:c r="J921" s="187" t="str">
        <x:v>RETURN_LOGISTICS</x:v>
      </x:c>
      <x:c r="K921" s="187" t="str">
        <x:v>EUR</x:v>
      </x:c>
      <x:c r="L921" s="232" t="n">
        <x:v>36.13063104</x:v>
      </x:c>
      <x:c r="M921" s="232" t="n">
        <x:v>7.84</x:v>
      </x:c>
      <x:c r="N921" s="187" t="str">
        <x:v>283.264147353600000</x:v>
      </x:c>
      <x:c r="O921" s="235" t="n">
        <x:v>283.2641</x:v>
      </x:c>
      <x:c r="P921" s="235" t="n">
        <x:v>283.2641</x:v>
      </x:c>
      <x:c r="Q921" s="235" t="n">
        <x:v>0</x:v>
      </x:c>
      <x:c r="R921" s="235" t="str">
        <x:v>ACCRUAL</x:v>
      </x:c>
      <x:c r="S921" s="238" t="n">
        <x:f>'Model_Calc'!AV157</x:f>
        <x:v>283.26414735360004</x:v>
      </x:c>
      <x:c r="T921" s="238" t="n">
        <x:f>ROUND(S921-O921,4)</x:f>
        <x:v>0</x:v>
      </x:c>
    </x:row>
    <x:row r="922">
      <x:c r="A922" s="187" t="str">
        <x:v>ACTUAL_2026_08_CLOSE_V1</x:v>
      </x:c>
      <x:c r="B922" s="187" t="str">
        <x:v>ACTUAL</x:v>
      </x:c>
      <x:c r="C922" s="187"/>
      <x:c r="D922" s="217" t="n">
        <x:v>46113</x:v>
      </x:c>
      <x:c r="E922" s="187" t="str">
        <x:v>R_DE_FR_B_ROAD</x:v>
      </x:c>
      <x:c r="F922" s="187" t="str">
        <x:v>DE</x:v>
      </x:c>
      <x:c r="G922" s="187" t="str">
        <x:v>FR_FC</x:v>
      </x:c>
      <x:c r="H922" s="187" t="str">
        <x:v>CARRIER_B</x:v>
      </x:c>
      <x:c r="I922" s="187" t="str">
        <x:v>ROAD</x:v>
      </x:c>
      <x:c r="J922" s="187" t="str">
        <x:v>BILLABLE_EXCEPTION</x:v>
      </x:c>
      <x:c r="K922" s="187" t="str">
        <x:v>EUR</x:v>
      </x:c>
      <x:c r="L922" s="232" t="n">
        <x:v>6.765543298698025</x:v>
      </x:c>
      <x:c r="M922" s="232" t="n">
        <x:v>7.84</x:v>
      </x:c>
      <x:c r="N922" s="187" t="str">
        <x:v>53.0418594617925156864000</x:v>
      </x:c>
      <x:c r="O922" s="235" t="n">
        <x:v>53.0419</x:v>
      </x:c>
      <x:c r="P922" s="235" t="n">
        <x:v>53.0419</x:v>
      </x:c>
      <x:c r="Q922" s="235" t="n">
        <x:v>0</x:v>
      </x:c>
      <x:c r="R922" s="235" t="str">
        <x:v>ACCRUAL</x:v>
      </x:c>
      <x:c r="S922" s="238" t="n">
        <x:f>'Model_Calc'!BA157</x:f>
        <x:v>53.04185946179251</x:v>
      </x:c>
      <x:c r="T922" s="238" t="n">
        <x:f>ROUND(S922-O922,4)</x:f>
        <x:v>0</x:v>
      </x:c>
    </x:row>
    <x:row r="923">
      <x:c r="A923" s="187" t="str">
        <x:v>ACTUAL_2026_08_CLOSE_V1</x:v>
      </x:c>
      <x:c r="B923" s="187" t="str">
        <x:v>ACTUAL</x:v>
      </x:c>
      <x:c r="C923" s="187"/>
      <x:c r="D923" s="217" t="n">
        <x:v>46113</x:v>
      </x:c>
      <x:c r="E923" s="187" t="str">
        <x:v>R_FR_FR_A_ROAD</x:v>
      </x:c>
      <x:c r="F923" s="187" t="str">
        <x:v>FR</x:v>
      </x:c>
      <x:c r="G923" s="187" t="str">
        <x:v>FR_FC</x:v>
      </x:c>
      <x:c r="H923" s="187" t="str">
        <x:v>CARRIER_A</x:v>
      </x:c>
      <x:c r="I923" s="187" t="str">
        <x:v>ROAD</x:v>
      </x:c>
      <x:c r="J923" s="187" t="str">
        <x:v>BASE_FREIGHT</x:v>
      </x:c>
      <x:c r="K923" s="187" t="str">
        <x:v>EUR</x:v>
      </x:c>
      <x:c r="L923" s="232" t="n">
        <x:v>3051.3810364524466</x:v>
      </x:c>
      <x:c r="M923" s="232" t="n">
        <x:v>7.84</x:v>
      </x:c>
      <x:c r="N923" s="187" t="str">
        <x:v>23922.8273257871817830400000</x:v>
      </x:c>
      <x:c r="O923" s="235" t="n">
        <x:v>23922.8273</x:v>
      </x:c>
      <x:c r="P923" s="235" t="n">
        <x:v>23922.8273</x:v>
      </x:c>
      <x:c r="Q923" s="235" t="n">
        <x:v>0</x:v>
      </x:c>
      <x:c r="R923" s="235" t="str">
        <x:v>INVOICE_OR_PLAN</x:v>
      </x:c>
      <x:c r="S923" s="238" t="n">
        <x:f>'Model_Calc'!AF158</x:f>
        <x:v>23922.827325787184</x:v>
      </x:c>
      <x:c r="T923" s="238" t="n">
        <x:f>ROUND(S923-O923,4)</x:f>
        <x:v>0</x:v>
      </x:c>
    </x:row>
    <x:row r="924">
      <x:c r="A924" s="187" t="str">
        <x:v>ACTUAL_2026_08_CLOSE_V1</x:v>
      </x:c>
      <x:c r="B924" s="187" t="str">
        <x:v>ACTUAL</x:v>
      </x:c>
      <x:c r="C924" s="187"/>
      <x:c r="D924" s="217" t="n">
        <x:v>46113</x:v>
      </x:c>
      <x:c r="E924" s="187" t="str">
        <x:v>R_FR_FR_A_ROAD</x:v>
      </x:c>
      <x:c r="F924" s="187" t="str">
        <x:v>FR</x:v>
      </x:c>
      <x:c r="G924" s="187" t="str">
        <x:v>FR_FC</x:v>
      </x:c>
      <x:c r="H924" s="187" t="str">
        <x:v>CARRIER_A</x:v>
      </x:c>
      <x:c r="I924" s="187" t="str">
        <x:v>ROAD</x:v>
      </x:c>
      <x:c r="J924" s="187" t="str">
        <x:v>FUEL_SURCHARGE</x:v>
      </x:c>
      <x:c r="K924" s="187" t="str">
        <x:v>EUR</x:v>
      </x:c>
      <x:c r="L924" s="232" t="n">
        <x:v>276.82128762696595</x:v>
      </x:c>
      <x:c r="M924" s="232" t="n">
        <x:v>7.84</x:v>
      </x:c>
      <x:c r="N924" s="187" t="str">
        <x:v>2170.2788949954131313573888000000</x:v>
      </x:c>
      <x:c r="O924" s="235" t="n">
        <x:v>2170.2789</x:v>
      </x:c>
      <x:c r="P924" s="235" t="n">
        <x:v>2170.2789</x:v>
      </x:c>
      <x:c r="Q924" s="235" t="n">
        <x:v>0</x:v>
      </x:c>
      <x:c r="R924" s="235" t="str">
        <x:v>INVOICE_OR_PLAN</x:v>
      </x:c>
      <x:c r="S924" s="238" t="n">
        <x:f>'Model_Calc'!AG158</x:f>
        <x:v>2170.278894995413</x:v>
      </x:c>
      <x:c r="T924" s="238" t="n">
        <x:f>ROUND(S924-O924,4)</x:f>
        <x:v>0</x:v>
      </x:c>
    </x:row>
    <x:row r="925">
      <x:c r="A925" s="187" t="str">
        <x:v>ACTUAL_2026_08_CLOSE_V1</x:v>
      </x:c>
      <x:c r="B925" s="187" t="str">
        <x:v>ACTUAL</x:v>
      </x:c>
      <x:c r="C925" s="187"/>
      <x:c r="D925" s="217" t="n">
        <x:v>46113</x:v>
      </x:c>
      <x:c r="E925" s="187" t="str">
        <x:v>R_FR_FR_A_ROAD</x:v>
      </x:c>
      <x:c r="F925" s="187" t="str">
        <x:v>FR</x:v>
      </x:c>
      <x:c r="G925" s="187" t="str">
        <x:v>FR_FC</x:v>
      </x:c>
      <x:c r="H925" s="187" t="str">
        <x:v>CARRIER_A</x:v>
      </x:c>
      <x:c r="I925" s="187" t="str">
        <x:v>ROAD</x:v>
      </x:c>
      <x:c r="J925" s="187" t="str">
        <x:v>WAREHOUSE_OPERATION</x:v>
      </x:c>
      <x:c r="K925" s="187" t="str">
        <x:v>EUR</x:v>
      </x:c>
      <x:c r="L925" s="232" t="n">
        <x:v>1878.797592</x:v>
      </x:c>
      <x:c r="M925" s="232" t="n">
        <x:v>7.84</x:v>
      </x:c>
      <x:c r="N925" s="187" t="str">
        <x:v>14729.773121280000</x:v>
      </x:c>
      <x:c r="O925" s="235" t="n">
        <x:v>14729.7731</x:v>
      </x:c>
      <x:c r="P925" s="235" t="n">
        <x:v>14729.7731</x:v>
      </x:c>
      <x:c r="Q925" s="235" t="n">
        <x:v>0</x:v>
      </x:c>
      <x:c r="R925" s="235" t="str">
        <x:v>INVOICE_OR_PLAN</x:v>
      </x:c>
      <x:c r="S925" s="238" t="n">
        <x:f>'Model_Calc'!AL158</x:f>
        <x:v>14729.773121279999</x:v>
      </x:c>
      <x:c r="T925" s="238" t="n">
        <x:f>ROUND(S925-O925,4)</x:f>
        <x:v>0</x:v>
      </x:c>
    </x:row>
    <x:row r="926">
      <x:c r="A926" s="187" t="str">
        <x:v>ACTUAL_2026_08_CLOSE_V1</x:v>
      </x:c>
      <x:c r="B926" s="187" t="str">
        <x:v>ACTUAL</x:v>
      </x:c>
      <x:c r="C926" s="187"/>
      <x:c r="D926" s="217" t="n">
        <x:v>46113</x:v>
      </x:c>
      <x:c r="E926" s="187" t="str">
        <x:v>R_FR_FR_A_ROAD</x:v>
      </x:c>
      <x:c r="F926" s="187" t="str">
        <x:v>FR</x:v>
      </x:c>
      <x:c r="G926" s="187" t="str">
        <x:v>FR_FC</x:v>
      </x:c>
      <x:c r="H926" s="187" t="str">
        <x:v>CARRIER_A</x:v>
      </x:c>
      <x:c r="I926" s="187" t="str">
        <x:v>ROAD</x:v>
      </x:c>
      <x:c r="J926" s="187" t="str">
        <x:v>PACKAGING</x:v>
      </x:c>
      <x:c r="K926" s="187" t="str">
        <x:v>EUR</x:v>
      </x:c>
      <x:c r="L926" s="232" t="n">
        <x:v>722.904770540736</x:v>
      </x:c>
      <x:c r="M926" s="232" t="n">
        <x:v>7.84</x:v>
      </x:c>
      <x:c r="N926" s="187" t="str">
        <x:v>5667.57340103937024000</x:v>
      </x:c>
      <x:c r="O926" s="235" t="n">
        <x:v>5667.5734</x:v>
      </x:c>
      <x:c r="P926" s="235" t="n">
        <x:v>5667.5734</x:v>
      </x:c>
      <x:c r="Q926" s="235" t="n">
        <x:v>0</x:v>
      </x:c>
      <x:c r="R926" s="235" t="str">
        <x:v>INVOICE_OR_PLAN</x:v>
      </x:c>
      <x:c r="S926" s="238" t="n">
        <x:f>'Model_Calc'!AQ158</x:f>
        <x:v>5667.57340103937</x:v>
      </x:c>
      <x:c r="T926" s="238" t="n">
        <x:f>ROUND(S926-O926,4)</x:f>
        <x:v>0</x:v>
      </x:c>
    </x:row>
    <x:row r="927">
      <x:c r="A927" s="187" t="str">
        <x:v>ACTUAL_2026_08_CLOSE_V1</x:v>
      </x:c>
      <x:c r="B927" s="187" t="str">
        <x:v>ACTUAL</x:v>
      </x:c>
      <x:c r="C927" s="187"/>
      <x:c r="D927" s="217" t="n">
        <x:v>46113</x:v>
      </x:c>
      <x:c r="E927" s="187" t="str">
        <x:v>R_FR_FR_A_ROAD</x:v>
      </x:c>
      <x:c r="F927" s="187" t="str">
        <x:v>FR</x:v>
      </x:c>
      <x:c r="G927" s="187" t="str">
        <x:v>FR_FC</x:v>
      </x:c>
      <x:c r="H927" s="187" t="str">
        <x:v>CARRIER_A</x:v>
      </x:c>
      <x:c r="I927" s="187" t="str">
        <x:v>ROAD</x:v>
      </x:c>
      <x:c r="J927" s="187" t="str">
        <x:v>RETURN_LOGISTICS</x:v>
      </x:c>
      <x:c r="K927" s="187" t="str">
        <x:v>EUR</x:v>
      </x:c>
      <x:c r="L927" s="232" t="n">
        <x:v>322.0795872</x:v>
      </x:c>
      <x:c r="M927" s="232" t="n">
        <x:v>7.84</x:v>
      </x:c>
      <x:c r="N927" s="187" t="str">
        <x:v>2525.103963648000000</x:v>
      </x:c>
      <x:c r="O927" s="235" t="n">
        <x:v>2525.104</x:v>
      </x:c>
      <x:c r="P927" s="235" t="n">
        <x:v>2525.104</x:v>
      </x:c>
      <x:c r="Q927" s="235" t="n">
        <x:v>0</x:v>
      </x:c>
      <x:c r="R927" s="235" t="str">
        <x:v>ACCRUAL</x:v>
      </x:c>
      <x:c r="S927" s="238" t="n">
        <x:f>'Model_Calc'!AV158</x:f>
        <x:v>2525.103963648</x:v>
      </x:c>
      <x:c r="T927" s="238" t="n">
        <x:f>ROUND(S927-O927,4)</x:f>
        <x:v>0</x:v>
      </x:c>
    </x:row>
    <x:row r="928">
      <x:c r="A928" s="187" t="str">
        <x:v>ACTUAL_2026_08_CLOSE_V1</x:v>
      </x:c>
      <x:c r="B928" s="187" t="str">
        <x:v>ACTUAL</x:v>
      </x:c>
      <x:c r="C928" s="187"/>
      <x:c r="D928" s="217" t="n">
        <x:v>46113</x:v>
      </x:c>
      <x:c r="E928" s="187" t="str">
        <x:v>R_FR_FR_A_ROAD</x:v>
      </x:c>
      <x:c r="F928" s="187" t="str">
        <x:v>FR</x:v>
      </x:c>
      <x:c r="G928" s="187" t="str">
        <x:v>FR_FC</x:v>
      </x:c>
      <x:c r="H928" s="187" t="str">
        <x:v>CARRIER_A</x:v>
      </x:c>
      <x:c r="I928" s="187" t="str">
        <x:v>ROAD</x:v>
      </x:c>
      <x:c r="J928" s="187" t="str">
        <x:v>BILLABLE_EXCEPTION</x:v>
      </x:c>
      <x:c r="K928" s="187" t="str">
        <x:v>EUR</x:v>
      </x:c>
      <x:c r="L928" s="232" t="n">
        <x:v>75.87075804922534</x:v>
      </x:c>
      <x:c r="M928" s="232" t="n">
        <x:v>7.84</x:v>
      </x:c>
      <x:c r="N928" s="187" t="str">
        <x:v>594.8267431059267471360000</x:v>
      </x:c>
      <x:c r="O928" s="235" t="n">
        <x:v>594.8267</x:v>
      </x:c>
      <x:c r="P928" s="235" t="n">
        <x:v>594.8267</x:v>
      </x:c>
      <x:c r="Q928" s="235" t="n">
        <x:v>0</x:v>
      </x:c>
      <x:c r="R928" s="235" t="str">
        <x:v>ACCRUAL</x:v>
      </x:c>
      <x:c r="S928" s="238" t="n">
        <x:f>'Model_Calc'!BA158</x:f>
        <x:v>594.8267431059268</x:v>
      </x:c>
      <x:c r="T928" s="238" t="n">
        <x:f>ROUND(S928-O928,4)</x:f>
        <x:v>0</x:v>
      </x:c>
    </x:row>
    <x:row r="929">
      <x:c r="A929" s="187" t="str">
        <x:v>ACTUAL_2026_08_CLOSE_V1</x:v>
      </x:c>
      <x:c r="B929" s="187" t="str">
        <x:v>ACTUAL</x:v>
      </x:c>
      <x:c r="C929" s="187"/>
      <x:c r="D929" s="217" t="n">
        <x:v>46113</x:v>
      </x:c>
      <x:c r="E929" s="187" t="str">
        <x:v>R_FR_FR_B_ROAD</x:v>
      </x:c>
      <x:c r="F929" s="187" t="str">
        <x:v>FR</x:v>
      </x:c>
      <x:c r="G929" s="187" t="str">
        <x:v>FR_FC</x:v>
      </x:c>
      <x:c r="H929" s="187" t="str">
        <x:v>CARRIER_B</x:v>
      </x:c>
      <x:c r="I929" s="187" t="str">
        <x:v>ROAD</x:v>
      </x:c>
      <x:c r="J929" s="187" t="str">
        <x:v>BASE_FREIGHT</x:v>
      </x:c>
      <x:c r="K929" s="187" t="str">
        <x:v>EUR</x:v>
      </x:c>
      <x:c r="L929" s="232" t="n">
        <x:v>7293.051954471288</x:v>
      </x:c>
      <x:c r="M929" s="232" t="n">
        <x:v>7.84</x:v>
      </x:c>
      <x:c r="N929" s="187" t="str">
        <x:v>57177.5273230548986726400000</x:v>
      </x:c>
      <x:c r="O929" s="235" t="n">
        <x:v>57177.5273</x:v>
      </x:c>
      <x:c r="P929" s="235" t="n">
        <x:v>57177.5273</x:v>
      </x:c>
      <x:c r="Q929" s="235" t="n">
        <x:v>0</x:v>
      </x:c>
      <x:c r="R929" s="235" t="str">
        <x:v>INVOICE_OR_PLAN</x:v>
      </x:c>
      <x:c r="S929" s="238" t="n">
        <x:f>'Model_Calc'!AF159</x:f>
        <x:v>57177.5273230549</x:v>
      </x:c>
      <x:c r="T929" s="238" t="n">
        <x:f>ROUND(S929-O929,4)</x:f>
        <x:v>0</x:v>
      </x:c>
    </x:row>
    <x:row r="930">
      <x:c r="A930" s="187" t="str">
        <x:v>ACTUAL_2026_08_CLOSE_V1</x:v>
      </x:c>
      <x:c r="B930" s="187" t="str">
        <x:v>ACTUAL</x:v>
      </x:c>
      <x:c r="C930" s="187"/>
      <x:c r="D930" s="217" t="n">
        <x:v>46113</x:v>
      </x:c>
      <x:c r="E930" s="187" t="str">
        <x:v>R_FR_FR_B_ROAD</x:v>
      </x:c>
      <x:c r="F930" s="187" t="str">
        <x:v>FR</x:v>
      </x:c>
      <x:c r="G930" s="187" t="str">
        <x:v>FR_FC</x:v>
      </x:c>
      <x:c r="H930" s="187" t="str">
        <x:v>CARRIER_B</x:v>
      </x:c>
      <x:c r="I930" s="187" t="str">
        <x:v>ROAD</x:v>
      </x:c>
      <x:c r="J930" s="187" t="str">
        <x:v>FUEL_SURCHARGE</x:v>
      </x:c>
      <x:c r="K930" s="187" t="str">
        <x:v>EUR</x:v>
      </x:c>
      <x:c r="L930" s="232" t="n">
        <x:v>561.0039964977914</x:v>
      </x:c>
      <x:c r="M930" s="232" t="n">
        <x:v>7.84</x:v>
      </x:c>
      <x:c r="N930" s="187" t="str">
        <x:v>4398.2713325426845132800000</x:v>
      </x:c>
      <x:c r="O930" s="235" t="n">
        <x:v>4398.2713</x:v>
      </x:c>
      <x:c r="P930" s="235" t="n">
        <x:v>4398.2713</x:v>
      </x:c>
      <x:c r="Q930" s="235" t="n">
        <x:v>0</x:v>
      </x:c>
      <x:c r="R930" s="235" t="str">
        <x:v>INVOICE_OR_PLAN</x:v>
      </x:c>
      <x:c r="S930" s="238" t="n">
        <x:f>'Model_Calc'!AG159</x:f>
        <x:v>4398.271332542684</x:v>
      </x:c>
      <x:c r="T930" s="238" t="n">
        <x:f>ROUND(S930-O930,4)</x:f>
        <x:v>0</x:v>
      </x:c>
    </x:row>
    <x:row r="931">
      <x:c r="A931" s="187" t="str">
        <x:v>ACTUAL_2026_08_CLOSE_V1</x:v>
      </x:c>
      <x:c r="B931" s="187" t="str">
        <x:v>ACTUAL</x:v>
      </x:c>
      <x:c r="C931" s="187"/>
      <x:c r="D931" s="217" t="n">
        <x:v>46113</x:v>
      </x:c>
      <x:c r="E931" s="187" t="str">
        <x:v>R_FR_FR_B_ROAD</x:v>
      </x:c>
      <x:c r="F931" s="187" t="str">
        <x:v>FR</x:v>
      </x:c>
      <x:c r="G931" s="187" t="str">
        <x:v>FR_FC</x:v>
      </x:c>
      <x:c r="H931" s="187" t="str">
        <x:v>CARRIER_B</x:v>
      </x:c>
      <x:c r="I931" s="187" t="str">
        <x:v>ROAD</x:v>
      </x:c>
      <x:c r="J931" s="187" t="str">
        <x:v>WAREHOUSE_OPERATION</x:v>
      </x:c>
      <x:c r="K931" s="187" t="str">
        <x:v>EUR</x:v>
      </x:c>
      <x:c r="L931" s="232" t="n">
        <x:v>3489.195528</x:v>
      </x:c>
      <x:c r="M931" s="232" t="n">
        <x:v>7.84</x:v>
      </x:c>
      <x:c r="N931" s="187" t="str">
        <x:v>27355.292939520000</x:v>
      </x:c>
      <x:c r="O931" s="235" t="n">
        <x:v>27355.2929</x:v>
      </x:c>
      <x:c r="P931" s="235" t="n">
        <x:v>27355.2929</x:v>
      </x:c>
      <x:c r="Q931" s="235" t="n">
        <x:v>0</x:v>
      </x:c>
      <x:c r="R931" s="235" t="str">
        <x:v>INVOICE_OR_PLAN</x:v>
      </x:c>
      <x:c r="S931" s="238" t="n">
        <x:f>'Model_Calc'!AL159</x:f>
        <x:v>27355.29293952</x:v>
      </x:c>
      <x:c r="T931" s="238" t="n">
        <x:f>ROUND(S931-O931,4)</x:f>
        <x:v>0</x:v>
      </x:c>
    </x:row>
    <x:row r="932">
      <x:c r="A932" s="187" t="str">
        <x:v>ACTUAL_2026_08_CLOSE_V1</x:v>
      </x:c>
      <x:c r="B932" s="187" t="str">
        <x:v>ACTUAL</x:v>
      </x:c>
      <x:c r="C932" s="187"/>
      <x:c r="D932" s="217" t="n">
        <x:v>46113</x:v>
      </x:c>
      <x:c r="E932" s="187" t="str">
        <x:v>R_FR_FR_B_ROAD</x:v>
      </x:c>
      <x:c r="F932" s="187" t="str">
        <x:v>FR</x:v>
      </x:c>
      <x:c r="G932" s="187" t="str">
        <x:v>FR_FC</x:v>
      </x:c>
      <x:c r="H932" s="187" t="str">
        <x:v>CARRIER_B</x:v>
      </x:c>
      <x:c r="I932" s="187" t="str">
        <x:v>ROAD</x:v>
      </x:c>
      <x:c r="J932" s="187" t="str">
        <x:v>PACKAGING</x:v>
      </x:c>
      <x:c r="K932" s="187" t="str">
        <x:v>EUR</x:v>
      </x:c>
      <x:c r="L932" s="232" t="n">
        <x:v>1342.537431004224</x:v>
      </x:c>
      <x:c r="M932" s="232" t="n">
        <x:v>7.84</x:v>
      </x:c>
      <x:c r="N932" s="187" t="str">
        <x:v>10525.49345907311616000</x:v>
      </x:c>
      <x:c r="O932" s="235" t="n">
        <x:v>10525.4935</x:v>
      </x:c>
      <x:c r="P932" s="235" t="n">
        <x:v>10525.4935</x:v>
      </x:c>
      <x:c r="Q932" s="235" t="n">
        <x:v>0</x:v>
      </x:c>
      <x:c r="R932" s="235" t="str">
        <x:v>INVOICE_OR_PLAN</x:v>
      </x:c>
      <x:c r="S932" s="238" t="n">
        <x:f>'Model_Calc'!AQ159</x:f>
        <x:v>10525.493459073115</x:v>
      </x:c>
      <x:c r="T932" s="238" t="n">
        <x:f>ROUND(S932-O932,4)</x:f>
        <x:v>0</x:v>
      </x:c>
    </x:row>
    <x:row r="933">
      <x:c r="A933" s="187" t="str">
        <x:v>ACTUAL_2026_08_CLOSE_V1</x:v>
      </x:c>
      <x:c r="B933" s="187" t="str">
        <x:v>ACTUAL</x:v>
      </x:c>
      <x:c r="C933" s="187"/>
      <x:c r="D933" s="217" t="n">
        <x:v>46113</x:v>
      </x:c>
      <x:c r="E933" s="187" t="str">
        <x:v>R_FR_FR_B_ROAD</x:v>
      </x:c>
      <x:c r="F933" s="187" t="str">
        <x:v>FR</x:v>
      </x:c>
      <x:c r="G933" s="187" t="str">
        <x:v>FR_FC</x:v>
      </x:c>
      <x:c r="H933" s="187" t="str">
        <x:v>CARRIER_B</x:v>
      </x:c>
      <x:c r="I933" s="187" t="str">
        <x:v>ROAD</x:v>
      </x:c>
      <x:c r="J933" s="187" t="str">
        <x:v>RETURN_LOGISTICS</x:v>
      </x:c>
      <x:c r="K933" s="187" t="str">
        <x:v>EUR</x:v>
      </x:c>
      <x:c r="L933" s="232" t="n">
        <x:v>598.1478048</x:v>
      </x:c>
      <x:c r="M933" s="232" t="n">
        <x:v>7.84</x:v>
      </x:c>
      <x:c r="N933" s="187" t="str">
        <x:v>4689.478789632000000</x:v>
      </x:c>
      <x:c r="O933" s="235" t="n">
        <x:v>4689.4788</x:v>
      </x:c>
      <x:c r="P933" s="235" t="n">
        <x:v>4689.4788</x:v>
      </x:c>
      <x:c r="Q933" s="235" t="n">
        <x:v>0</x:v>
      </x:c>
      <x:c r="R933" s="235" t="str">
        <x:v>ACCRUAL</x:v>
      </x:c>
      <x:c r="S933" s="238" t="n">
        <x:f>'Model_Calc'!AV159</x:f>
        <x:v>4689.478789632</x:v>
      </x:c>
      <x:c r="T933" s="238" t="n">
        <x:f>ROUND(S933-O933,4)</x:f>
        <x:v>0</x:v>
      </x:c>
    </x:row>
    <x:row r="934">
      <x:c r="A934" s="187" t="str">
        <x:v>ACTUAL_2026_08_CLOSE_V1</x:v>
      </x:c>
      <x:c r="B934" s="187" t="str">
        <x:v>ACTUAL</x:v>
      </x:c>
      <x:c r="C934" s="187"/>
      <x:c r="D934" s="217" t="n">
        <x:v>46113</x:v>
      </x:c>
      <x:c r="E934" s="187" t="str">
        <x:v>R_FR_FR_B_ROAD</x:v>
      </x:c>
      <x:c r="F934" s="187" t="str">
        <x:v>FR</x:v>
      </x:c>
      <x:c r="G934" s="187" t="str">
        <x:v>FR_FC</x:v>
      </x:c>
      <x:c r="H934" s="187" t="str">
        <x:v>CARRIER_B</x:v>
      </x:c>
      <x:c r="I934" s="187" t="str">
        <x:v>ROAD</x:v>
      </x:c>
      <x:c r="J934" s="187" t="str">
        <x:v>BILLABLE_EXCEPTION</x:v>
      </x:c>
      <x:c r="K934" s="187" t="str">
        <x:v>EUR</x:v>
      </x:c>
      <x:c r="L934" s="232" t="n">
        <x:v>116.03762995763877</x:v>
      </x:c>
      <x:c r="M934" s="232" t="n">
        <x:v>7.84</x:v>
      </x:c>
      <x:c r="N934" s="187" t="str">
        <x:v>909.7350188678879662080000</x:v>
      </x:c>
      <x:c r="O934" s="235" t="n">
        <x:v>909.735</x:v>
      </x:c>
      <x:c r="P934" s="235" t="n">
        <x:v>909.735</x:v>
      </x:c>
      <x:c r="Q934" s="235" t="n">
        <x:v>0</x:v>
      </x:c>
      <x:c r="R934" s="235" t="str">
        <x:v>ACCRUAL</x:v>
      </x:c>
      <x:c r="S934" s="238" t="n">
        <x:f>'Model_Calc'!BA159</x:f>
        <x:v>909.7350188678878</x:v>
      </x:c>
      <x:c r="T934" s="238" t="n">
        <x:f>ROUND(S934-O934,4)</x:f>
        <x:v>0</x:v>
      </x:c>
    </x:row>
    <x:row r="935">
      <x:c r="A935" s="187" t="str">
        <x:v>ACTUAL_2026_08_CLOSE_V1</x:v>
      </x:c>
      <x:c r="B935" s="187" t="str">
        <x:v>ACTUAL</x:v>
      </x:c>
      <x:c r="C935" s="187"/>
      <x:c r="D935" s="217" t="n">
        <x:v>46113</x:v>
      </x:c>
      <x:c r="E935" s="187" t="str">
        <x:v>R_GB_DE_A_ROAD</x:v>
      </x:c>
      <x:c r="F935" s="187" t="str">
        <x:v>GB</x:v>
      </x:c>
      <x:c r="G935" s="187" t="str">
        <x:v>DE_FC</x:v>
      </x:c>
      <x:c r="H935" s="187" t="str">
        <x:v>CARRIER_A</x:v>
      </x:c>
      <x:c r="I935" s="187" t="str">
        <x:v>ROAD</x:v>
      </x:c>
      <x:c r="J935" s="187" t="str">
        <x:v>BASE_FREIGHT</x:v>
      </x:c>
      <x:c r="K935" s="187" t="str">
        <x:v>GBP</x:v>
      </x:c>
      <x:c r="L935" s="232" t="n">
        <x:v>12269.64626175428</x:v>
      </x:c>
      <x:c r="M935" s="232" t="n">
        <x:v>9.11</x:v>
      </x:c>
      <x:c r="N935" s="187" t="str">
        <x:v>111776.477444581490963251200000</x:v>
      </x:c>
      <x:c r="O935" s="235" t="n">
        <x:v>111776.4774</x:v>
      </x:c>
      <x:c r="P935" s="235" t="n">
        <x:v>111776.4774</x:v>
      </x:c>
      <x:c r="Q935" s="235" t="n">
        <x:v>0</x:v>
      </x:c>
      <x:c r="R935" s="235" t="str">
        <x:v>INVOICE_OR_PLAN</x:v>
      </x:c>
      <x:c r="S935" s="238" t="n">
        <x:f>'Model_Calc'!AF160</x:f>
        <x:v>111776.47744458144</x:v>
      </x:c>
      <x:c r="T935" s="238" t="n">
        <x:f>ROUND(S935-O935,4)</x:f>
        <x:v>0</x:v>
      </x:c>
    </x:row>
    <x:row r="936">
      <x:c r="A936" s="187" t="str">
        <x:v>ACTUAL_2026_08_CLOSE_V1</x:v>
      </x:c>
      <x:c r="B936" s="187" t="str">
        <x:v>ACTUAL</x:v>
      </x:c>
      <x:c r="C936" s="187"/>
      <x:c r="D936" s="217" t="n">
        <x:v>46113</x:v>
      </x:c>
      <x:c r="E936" s="187" t="str">
        <x:v>R_GB_DE_A_ROAD</x:v>
      </x:c>
      <x:c r="F936" s="187" t="str">
        <x:v>GB</x:v>
      </x:c>
      <x:c r="G936" s="187" t="str">
        <x:v>DE_FC</x:v>
      </x:c>
      <x:c r="H936" s="187" t="str">
        <x:v>CARRIER_A</x:v>
      </x:c>
      <x:c r="I936" s="187" t="str">
        <x:v>ROAD</x:v>
      </x:c>
      <x:c r="J936" s="187" t="str">
        <x:v>FUEL_SURCHARGE</x:v>
      </x:c>
      <x:c r="K936" s="187" t="str">
        <x:v>GBP</x:v>
      </x:c>
      <x:c r="L936" s="232" t="n">
        <x:v>1236.7803431848315</x:v>
      </x:c>
      <x:c r="M936" s="232" t="n">
        <x:v>9.11</x:v>
      </x:c>
      <x:c r="N936" s="187" t="str">
        <x:v>11267.068926413814289095720960000000</x:v>
      </x:c>
      <x:c r="O936" s="235" t="n">
        <x:v>11267.0689</x:v>
      </x:c>
      <x:c r="P936" s="235" t="n">
        <x:v>11267.0689</x:v>
      </x:c>
      <x:c r="Q936" s="235" t="n">
        <x:v>0</x:v>
      </x:c>
      <x:c r="R936" s="235" t="str">
        <x:v>INVOICE_OR_PLAN</x:v>
      </x:c>
      <x:c r="S936" s="238" t="n">
        <x:f>'Model_Calc'!AG160</x:f>
        <x:v>11267.068926413807</x:v>
      </x:c>
      <x:c r="T936" s="238" t="n">
        <x:f>ROUND(S936-O936,4)</x:f>
        <x:v>0</x:v>
      </x:c>
    </x:row>
    <x:row r="937">
      <x:c r="A937" s="187" t="str">
        <x:v>ACTUAL_2026_08_CLOSE_V1</x:v>
      </x:c>
      <x:c r="B937" s="187" t="str">
        <x:v>ACTUAL</x:v>
      </x:c>
      <x:c r="C937" s="187"/>
      <x:c r="D937" s="217" t="n">
        <x:v>46113</x:v>
      </x:c>
      <x:c r="E937" s="187" t="str">
        <x:v>R_GB_DE_A_ROAD</x:v>
      </x:c>
      <x:c r="F937" s="187" t="str">
        <x:v>GB</x:v>
      </x:c>
      <x:c r="G937" s="187" t="str">
        <x:v>DE_FC</x:v>
      </x:c>
      <x:c r="H937" s="187" t="str">
        <x:v>CARRIER_A</x:v>
      </x:c>
      <x:c r="I937" s="187" t="str">
        <x:v>ROAD</x:v>
      </x:c>
      <x:c r="J937" s="187" t="str">
        <x:v>WAREHOUSE_OPERATION</x:v>
      </x:c>
      <x:c r="K937" s="187" t="str">
        <x:v>EUR</x:v>
      </x:c>
      <x:c r="L937" s="232" t="n">
        <x:v>3143.1772237824</x:v>
      </x:c>
      <x:c r="M937" s="232" t="n">
        <x:v>7.84</x:v>
      </x:c>
      <x:c r="N937" s="187" t="str">
        <x:v>24642.50943445401600</x:v>
      </x:c>
      <x:c r="O937" s="235" t="n">
        <x:v>24642.5094</x:v>
      </x:c>
      <x:c r="P937" s="235" t="n">
        <x:v>24642.5094</x:v>
      </x:c>
      <x:c r="Q937" s="235" t="n">
        <x:v>0</x:v>
      </x:c>
      <x:c r="R937" s="235" t="str">
        <x:v>INVOICE_OR_PLAN</x:v>
      </x:c>
      <x:c r="S937" s="238" t="n">
        <x:f>'Model_Calc'!AL160</x:f>
        <x:v>24642.509434454012</x:v>
      </x:c>
      <x:c r="T937" s="238" t="n">
        <x:f>ROUND(S937-O937,4)</x:f>
        <x:v>0</x:v>
      </x:c>
    </x:row>
    <x:row r="938">
      <x:c r="A938" s="187" t="str">
        <x:v>ACTUAL_2026_08_CLOSE_V1</x:v>
      </x:c>
      <x:c r="B938" s="187" t="str">
        <x:v>ACTUAL</x:v>
      </x:c>
      <x:c r="C938" s="187"/>
      <x:c r="D938" s="217" t="n">
        <x:v>46113</x:v>
      </x:c>
      <x:c r="E938" s="187" t="str">
        <x:v>R_GB_DE_A_ROAD</x:v>
      </x:c>
      <x:c r="F938" s="187" t="str">
        <x:v>GB</x:v>
      </x:c>
      <x:c r="G938" s="187" t="str">
        <x:v>DE_FC</x:v>
      </x:c>
      <x:c r="H938" s="187" t="str">
        <x:v>CARRIER_A</x:v>
      </x:c>
      <x:c r="I938" s="187" t="str">
        <x:v>ROAD</x:v>
      </x:c>
      <x:c r="J938" s="187" t="str">
        <x:v>PACKAGING</x:v>
      </x:c>
      <x:c r="K938" s="187" t="str">
        <x:v>EUR</x:v>
      </x:c>
      <x:c r="L938" s="232" t="n">
        <x:v>1256.7679811571547</x:v>
      </x:c>
      <x:c r="M938" s="232" t="n">
        <x:v>7.84</x:v>
      </x:c>
      <x:c r="N938" s="187" t="str">
        <x:v>9853.0609722720937574400</x:v>
      </x:c>
      <x:c r="O938" s="235" t="n">
        <x:v>9853.061</x:v>
      </x:c>
      <x:c r="P938" s="235" t="n">
        <x:v>9853.061</x:v>
      </x:c>
      <x:c r="Q938" s="235" t="n">
        <x:v>0</x:v>
      </x:c>
      <x:c r="R938" s="235" t="str">
        <x:v>INVOICE_OR_PLAN</x:v>
      </x:c>
      <x:c r="S938" s="238" t="n">
        <x:f>'Model_Calc'!AQ160</x:f>
        <x:v>9853.060972272091</x:v>
      </x:c>
      <x:c r="T938" s="238" t="n">
        <x:f>ROUND(S938-O938,4)</x:f>
        <x:v>0</x:v>
      </x:c>
    </x:row>
    <x:row r="939">
      <x:c r="A939" s="187" t="str">
        <x:v>ACTUAL_2026_08_CLOSE_V1</x:v>
      </x:c>
      <x:c r="B939" s="187" t="str">
        <x:v>ACTUAL</x:v>
      </x:c>
      <x:c r="C939" s="187"/>
      <x:c r="D939" s="217" t="n">
        <x:v>46113</x:v>
      </x:c>
      <x:c r="E939" s="187" t="str">
        <x:v>R_GB_DE_A_ROAD</x:v>
      </x:c>
      <x:c r="F939" s="187" t="str">
        <x:v>GB</x:v>
      </x:c>
      <x:c r="G939" s="187" t="str">
        <x:v>DE_FC</x:v>
      </x:c>
      <x:c r="H939" s="187" t="str">
        <x:v>CARRIER_A</x:v>
      </x:c>
      <x:c r="I939" s="187" t="str">
        <x:v>ROAD</x:v>
      </x:c>
      <x:c r="J939" s="187" t="str">
        <x:v>RETURN_LOGISTICS</x:v>
      </x:c>
      <x:c r="K939" s="187" t="str">
        <x:v>GBP</x:v>
      </x:c>
      <x:c r="L939" s="232" t="n">
        <x:v>1022.86445248512</x:v>
      </x:c>
      <x:c r="M939" s="232" t="n">
        <x:v>9.11</x:v>
      </x:c>
      <x:c r="N939" s="187" t="str">
        <x:v>9318.29516213944320000</x:v>
      </x:c>
      <x:c r="O939" s="235" t="n">
        <x:v>9318.2952</x:v>
      </x:c>
      <x:c r="P939" s="235" t="n">
        <x:v>9318.2952</x:v>
      </x:c>
      <x:c r="Q939" s="235" t="n">
        <x:v>0</x:v>
      </x:c>
      <x:c r="R939" s="235" t="str">
        <x:v>ACCRUAL</x:v>
      </x:c>
      <x:c r="S939" s="238" t="n">
        <x:f>'Model_Calc'!AV160</x:f>
        <x:v>9318.295162139442</x:v>
      </x:c>
      <x:c r="T939" s="238" t="n">
        <x:f>ROUND(S939-O939,4)</x:f>
        <x:v>0</x:v>
      </x:c>
    </x:row>
    <x:row r="940">
      <x:c r="A940" s="187" t="str">
        <x:v>ACTUAL_2026_08_CLOSE_V1</x:v>
      </x:c>
      <x:c r="B940" s="187" t="str">
        <x:v>ACTUAL</x:v>
      </x:c>
      <x:c r="C940" s="187"/>
      <x:c r="D940" s="217" t="n">
        <x:v>46113</x:v>
      </x:c>
      <x:c r="E940" s="187" t="str">
        <x:v>R_GB_DE_A_ROAD</x:v>
      </x:c>
      <x:c r="F940" s="187" t="str">
        <x:v>GB</x:v>
      </x:c>
      <x:c r="G940" s="187" t="str">
        <x:v>DE_FC</x:v>
      </x:c>
      <x:c r="H940" s="187" t="str">
        <x:v>CARRIER_A</x:v>
      </x:c>
      <x:c r="I940" s="187" t="str">
        <x:v>ROAD</x:v>
      </x:c>
      <x:c r="J940" s="187" t="str">
        <x:v>BILLABLE_EXCEPTION</x:v>
      </x:c>
      <x:c r="K940" s="187" t="str">
        <x:v>GBP</x:v>
      </x:c>
      <x:c r="L940" s="232" t="n">
        <x:v>154.4388310559121</x:v>
      </x:c>
      <x:c r="M940" s="232" t="n">
        <x:v>9.11</x:v>
      </x:c>
      <x:c r="N940" s="187" t="str">
        <x:v>1406.937750919359065358336000</x:v>
      </x:c>
      <x:c r="O940" s="235" t="n">
        <x:v>1406.9378</x:v>
      </x:c>
      <x:c r="P940" s="235" t="n">
        <x:v>1406.9378</x:v>
      </x:c>
      <x:c r="Q940" s="235" t="n">
        <x:v>0</x:v>
      </x:c>
      <x:c r="R940" s="235" t="str">
        <x:v>ACCRUAL</x:v>
      </x:c>
      <x:c r="S940" s="238" t="n">
        <x:f>'Model_Calc'!BA160</x:f>
        <x:v>1406.9377509193587</x:v>
      </x:c>
      <x:c r="T940" s="238" t="n">
        <x:f>ROUND(S940-O940,4)</x:f>
        <x:v>0</x:v>
      </x:c>
    </x:row>
    <x:row r="941">
      <x:c r="A941" s="187" t="str">
        <x:v>ACTUAL_2026_08_CLOSE_V1</x:v>
      </x:c>
      <x:c r="B941" s="187" t="str">
        <x:v>ACTUAL</x:v>
      </x:c>
      <x:c r="C941" s="187"/>
      <x:c r="D941" s="217" t="n">
        <x:v>46113</x:v>
      </x:c>
      <x:c r="E941" s="187" t="str">
        <x:v>R_GB_DE_B_ROAD</x:v>
      </x:c>
      <x:c r="F941" s="187" t="str">
        <x:v>GB</x:v>
      </x:c>
      <x:c r="G941" s="187" t="str">
        <x:v>DE_FC</x:v>
      </x:c>
      <x:c r="H941" s="187" t="str">
        <x:v>CARRIER_B</x:v>
      </x:c>
      <x:c r="I941" s="187" t="str">
        <x:v>ROAD</x:v>
      </x:c>
      <x:c r="J941" s="187" t="str">
        <x:v>BASE_FREIGHT</x:v>
      </x:c>
      <x:c r="K941" s="187" t="str">
        <x:v>GBP</x:v>
      </x:c>
      <x:c r="L941" s="232" t="n">
        <x:v>5699.2545689284</x:v>
      </x:c>
      <x:c r="M941" s="232" t="n">
        <x:v>9.11</x:v>
      </x:c>
      <x:c r="N941" s="187" t="str">
        <x:v>51920.209122937718169600000000</x:v>
      </x:c>
      <x:c r="O941" s="235" t="n">
        <x:v>51920.2091</x:v>
      </x:c>
      <x:c r="P941" s="235" t="n">
        <x:v>51920.2091</x:v>
      </x:c>
      <x:c r="Q941" s="235" t="n">
        <x:v>0</x:v>
      </x:c>
      <x:c r="R941" s="235" t="str">
        <x:v>INVOICE_OR_PLAN</x:v>
      </x:c>
      <x:c r="S941" s="238" t="n">
        <x:f>'Model_Calc'!AF161</x:f>
        <x:v>51920.209122937704</x:v>
      </x:c>
      <x:c r="T941" s="238" t="n">
        <x:f>ROUND(S941-O941,4)</x:f>
        <x:v>0</x:v>
      </x:c>
    </x:row>
    <x:row r="942">
      <x:c r="A942" s="187" t="str">
        <x:v>ACTUAL_2026_08_CLOSE_V1</x:v>
      </x:c>
      <x:c r="B942" s="187" t="str">
        <x:v>ACTUAL</x:v>
      </x:c>
      <x:c r="C942" s="187"/>
      <x:c r="D942" s="217" t="n">
        <x:v>46113</x:v>
      </x:c>
      <x:c r="E942" s="187" t="str">
        <x:v>R_GB_DE_B_ROAD</x:v>
      </x:c>
      <x:c r="F942" s="187" t="str">
        <x:v>GB</x:v>
      </x:c>
      <x:c r="G942" s="187" t="str">
        <x:v>DE_FC</x:v>
      </x:c>
      <x:c r="H942" s="187" t="str">
        <x:v>CARRIER_B</x:v>
      </x:c>
      <x:c r="I942" s="187" t="str">
        <x:v>ROAD</x:v>
      </x:c>
      <x:c r="J942" s="187" t="str">
        <x:v>FUEL_SURCHARGE</x:v>
      </x:c>
      <x:c r="K942" s="187" t="str">
        <x:v>GBP</x:v>
      </x:c>
      <x:c r="L942" s="232" t="n">
        <x:v>400.1604271800791</x:v>
      </x:c>
      <x:c r="M942" s="232" t="n">
        <x:v>9.11</x:v>
      </x:c>
      <x:c r="N942" s="187" t="str">
        <x:v>3645.461491610520637440000000</x:v>
      </x:c>
      <x:c r="O942" s="235" t="n">
        <x:v>3645.4615</x:v>
      </x:c>
      <x:c r="P942" s="235" t="n">
        <x:v>3645.4615</x:v>
      </x:c>
      <x:c r="Q942" s="235" t="n">
        <x:v>0</x:v>
      </x:c>
      <x:c r="R942" s="235" t="str">
        <x:v>INVOICE_OR_PLAN</x:v>
      </x:c>
      <x:c r="S942" s="238" t="n">
        <x:f>'Model_Calc'!AG161</x:f>
        <x:v>3645.4614916105197</x:v>
      </x:c>
      <x:c r="T942" s="238" t="n">
        <x:f>ROUND(S942-O942,4)</x:f>
        <x:v>0</x:v>
      </x:c>
    </x:row>
    <x:row r="943">
      <x:c r="A943" s="187" t="str">
        <x:v>ACTUAL_2026_08_CLOSE_V1</x:v>
      </x:c>
      <x:c r="B943" s="187" t="str">
        <x:v>ACTUAL</x:v>
      </x:c>
      <x:c r="C943" s="187"/>
      <x:c r="D943" s="217" t="n">
        <x:v>46113</x:v>
      </x:c>
      <x:c r="E943" s="187" t="str">
        <x:v>R_GB_DE_B_ROAD</x:v>
      </x:c>
      <x:c r="F943" s="187" t="str">
        <x:v>GB</x:v>
      </x:c>
      <x:c r="G943" s="187" t="str">
        <x:v>DE_FC</x:v>
      </x:c>
      <x:c r="H943" s="187" t="str">
        <x:v>CARRIER_B</x:v>
      </x:c>
      <x:c r="I943" s="187" t="str">
        <x:v>ROAD</x:v>
      </x:c>
      <x:c r="J943" s="187" t="str">
        <x:v>WAREHOUSE_OPERATION</x:v>
      </x:c>
      <x:c r="K943" s="187" t="str">
        <x:v>EUR</x:v>
      </x:c>
      <x:c r="L943" s="232" t="n">
        <x:v>1267.41017088</x:v>
      </x:c>
      <x:c r="M943" s="232" t="n">
        <x:v>7.84</x:v>
      </x:c>
      <x:c r="N943" s="187" t="str">
        <x:v>9936.49573969920000</x:v>
      </x:c>
      <x:c r="O943" s="235" t="n">
        <x:v>9936.4957</x:v>
      </x:c>
      <x:c r="P943" s="235" t="n">
        <x:v>9936.4957</x:v>
      </x:c>
      <x:c r="Q943" s="235" t="n">
        <x:v>0</x:v>
      </x:c>
      <x:c r="R943" s="235" t="str">
        <x:v>INVOICE_OR_PLAN</x:v>
      </x:c>
      <x:c r="S943" s="238" t="n">
        <x:f>'Model_Calc'!AL161</x:f>
        <x:v>9936.4957396992</x:v>
      </x:c>
      <x:c r="T943" s="238" t="n">
        <x:f>ROUND(S943-O943,4)</x:f>
        <x:v>0</x:v>
      </x:c>
    </x:row>
    <x:row r="944">
      <x:c r="A944" s="187" t="str">
        <x:v>ACTUAL_2026_08_CLOSE_V1</x:v>
      </x:c>
      <x:c r="B944" s="187" t="str">
        <x:v>ACTUAL</x:v>
      </x:c>
      <x:c r="C944" s="187"/>
      <x:c r="D944" s="217" t="n">
        <x:v>46113</x:v>
      </x:c>
      <x:c r="E944" s="187" t="str">
        <x:v>R_GB_DE_B_ROAD</x:v>
      </x:c>
      <x:c r="F944" s="187" t="str">
        <x:v>GB</x:v>
      </x:c>
      <x:c r="G944" s="187" t="str">
        <x:v>DE_FC</x:v>
      </x:c>
      <x:c r="H944" s="187" t="str">
        <x:v>CARRIER_B</x:v>
      </x:c>
      <x:c r="I944" s="187" t="str">
        <x:v>ROAD</x:v>
      </x:c>
      <x:c r="J944" s="187" t="str">
        <x:v>PACKAGING</x:v>
      </x:c>
      <x:c r="K944" s="187" t="str">
        <x:v>EUR</x:v>
      </x:c>
      <x:c r="L944" s="232" t="n">
        <x:v>506.7612827246592</x:v>
      </x:c>
      <x:c r="M944" s="232" t="n">
        <x:v>7.84</x:v>
      </x:c>
      <x:c r="N944" s="187" t="str">
        <x:v>3973.0084565613281280000</x:v>
      </x:c>
      <x:c r="O944" s="235" t="n">
        <x:v>3973.0085</x:v>
      </x:c>
      <x:c r="P944" s="235" t="n">
        <x:v>3973.0085</x:v>
      </x:c>
      <x:c r="Q944" s="235" t="n">
        <x:v>0</x:v>
      </x:c>
      <x:c r="R944" s="235" t="str">
        <x:v>INVOICE_OR_PLAN</x:v>
      </x:c>
      <x:c r="S944" s="238" t="n">
        <x:f>'Model_Calc'!AQ161</x:f>
        <x:v>3973.008456561328</x:v>
      </x:c>
      <x:c r="T944" s="238" t="n">
        <x:f>ROUND(S944-O944,4)</x:f>
        <x:v>0</x:v>
      </x:c>
    </x:row>
    <x:row r="945">
      <x:c r="A945" s="187" t="str">
        <x:v>ACTUAL_2026_08_CLOSE_V1</x:v>
      </x:c>
      <x:c r="B945" s="187" t="str">
        <x:v>ACTUAL</x:v>
      </x:c>
      <x:c r="C945" s="187"/>
      <x:c r="D945" s="217" t="n">
        <x:v>46113</x:v>
      </x:c>
      <x:c r="E945" s="187" t="str">
        <x:v>R_GB_DE_B_ROAD</x:v>
      </x:c>
      <x:c r="F945" s="187" t="str">
        <x:v>GB</x:v>
      </x:c>
      <x:c r="G945" s="187" t="str">
        <x:v>DE_FC</x:v>
      </x:c>
      <x:c r="H945" s="187" t="str">
        <x:v>CARRIER_B</x:v>
      </x:c>
      <x:c r="I945" s="187" t="str">
        <x:v>ROAD</x:v>
      </x:c>
      <x:c r="J945" s="187" t="str">
        <x:v>RETURN_LOGISTICS</x:v>
      </x:c>
      <x:c r="K945" s="187" t="str">
        <x:v>GBP</x:v>
      </x:c>
      <x:c r="L945" s="232" t="n">
        <x:v>412.445343744</x:v>
      </x:c>
      <x:c r="M945" s="232" t="n">
        <x:v>9.11</x:v>
      </x:c>
      <x:c r="N945" s="187" t="str">
        <x:v>3757.37708150784000000</x:v>
      </x:c>
      <x:c r="O945" s="235" t="n">
        <x:v>3757.3771</x:v>
      </x:c>
      <x:c r="P945" s="235" t="n">
        <x:v>3757.3771</x:v>
      </x:c>
      <x:c r="Q945" s="235" t="n">
        <x:v>0</x:v>
      </x:c>
      <x:c r="R945" s="235" t="str">
        <x:v>ACCRUAL</x:v>
      </x:c>
      <x:c r="S945" s="238" t="n">
        <x:f>'Model_Calc'!AV161</x:f>
        <x:v>3757.377081507839</x:v>
      </x:c>
      <x:c r="T945" s="238" t="n">
        <x:f>ROUND(S945-O945,4)</x:f>
        <x:v>0</x:v>
      </x:c>
    </x:row>
    <x:row r="946">
      <x:c r="A946" s="187" t="str">
        <x:v>ACTUAL_2026_08_CLOSE_V1</x:v>
      </x:c>
      <x:c r="B946" s="187" t="str">
        <x:v>ACTUAL</x:v>
      </x:c>
      <x:c r="C946" s="187"/>
      <x:c r="D946" s="217" t="n">
        <x:v>46113</x:v>
      </x:c>
      <x:c r="E946" s="187" t="str">
        <x:v>R_GB_DE_B_ROAD</x:v>
      </x:c>
      <x:c r="F946" s="187" t="str">
        <x:v>GB</x:v>
      </x:c>
      <x:c r="G946" s="187" t="str">
        <x:v>DE_FC</x:v>
      </x:c>
      <x:c r="H946" s="187" t="str">
        <x:v>CARRIER_B</x:v>
      </x:c>
      <x:c r="I946" s="187" t="str">
        <x:v>ROAD</x:v>
      </x:c>
      <x:c r="J946" s="187" t="str">
        <x:v>BILLABLE_EXCEPTION</x:v>
      </x:c>
      <x:c r="K946" s="187" t="str">
        <x:v>GBP</x:v>
      </x:c>
      <x:c r="L946" s="232" t="n">
        <x:v>48.120603518154425</x:v>
      </x:c>
      <x:c r="M946" s="232" t="n">
        <x:v>9.11</x:v>
      </x:c>
      <x:c r="N946" s="187" t="str">
        <x:v>438.378698050386805555200000</x:v>
      </x:c>
      <x:c r="O946" s="235" t="n">
        <x:v>438.3787</x:v>
      </x:c>
      <x:c r="P946" s="235" t="n">
        <x:v>438.3787</x:v>
      </x:c>
      <x:c r="Q946" s="235" t="n">
        <x:v>0</x:v>
      </x:c>
      <x:c r="R946" s="235" t="str">
        <x:v>ACCRUAL</x:v>
      </x:c>
      <x:c r="S946" s="238" t="n">
        <x:f>'Model_Calc'!BA161</x:f>
        <x:v>438.37869805038673</x:v>
      </x:c>
      <x:c r="T946" s="238" t="n">
        <x:f>ROUND(S946-O946,4)</x:f>
        <x:v>0</x:v>
      </x:c>
    </x:row>
    <x:row r="947">
      <x:c r="A947" s="187" t="str">
        <x:v>ACTUAL_2026_08_CLOSE_V1</x:v>
      </x:c>
      <x:c r="B947" s="187" t="str">
        <x:v>ACTUAL</x:v>
      </x:c>
      <x:c r="C947" s="187"/>
      <x:c r="D947" s="217" t="n">
        <x:v>46113</x:v>
      </x:c>
      <x:c r="E947" s="187" t="str">
        <x:v>R_GB_DE_B_AIR</x:v>
      </x:c>
      <x:c r="F947" s="187" t="str">
        <x:v>GB</x:v>
      </x:c>
      <x:c r="G947" s="187" t="str">
        <x:v>DE_FC</x:v>
      </x:c>
      <x:c r="H947" s="187" t="str">
        <x:v>CARRIER_B</x:v>
      </x:c>
      <x:c r="I947" s="187" t="str">
        <x:v>AIR</x:v>
      </x:c>
      <x:c r="J947" s="187" t="str">
        <x:v>BASE_FREIGHT</x:v>
      </x:c>
      <x:c r="K947" s="187" t="str">
        <x:v>GBP</x:v>
      </x:c>
      <x:c r="L947" s="232" t="n">
        <x:v>2544.1472395696373</x:v>
      </x:c>
      <x:c r="M947" s="232" t="n">
        <x:v>9.11</x:v>
      </x:c>
      <x:c r="N947" s="187" t="str">
        <x:v>23177.181352479397390909440000</x:v>
      </x:c>
      <x:c r="O947" s="235" t="n">
        <x:v>23177.1814</x:v>
      </x:c>
      <x:c r="P947" s="235" t="n">
        <x:v>23177.1814</x:v>
      </x:c>
      <x:c r="Q947" s="235" t="n">
        <x:v>0</x:v>
      </x:c>
      <x:c r="R947" s="235" t="str">
        <x:v>INVOICE_OR_PLAN</x:v>
      </x:c>
      <x:c r="S947" s="238" t="n">
        <x:f>'Model_Calc'!AF162</x:f>
        <x:v>23177.18135247939</x:v>
      </x:c>
      <x:c r="T947" s="238" t="n">
        <x:f>ROUND(S947-O947,4)</x:f>
        <x:v>0</x:v>
      </x:c>
    </x:row>
    <x:row r="948">
      <x:c r="A948" s="187" t="str">
        <x:v>ACTUAL_2026_08_CLOSE_V1</x:v>
      </x:c>
      <x:c r="B948" s="187" t="str">
        <x:v>ACTUAL</x:v>
      </x:c>
      <x:c r="C948" s="187"/>
      <x:c r="D948" s="217" t="n">
        <x:v>46113</x:v>
      </x:c>
      <x:c r="E948" s="187" t="str">
        <x:v>R_GB_DE_B_AIR</x:v>
      </x:c>
      <x:c r="F948" s="187" t="str">
        <x:v>GB</x:v>
      </x:c>
      <x:c r="G948" s="187" t="str">
        <x:v>DE_FC</x:v>
      </x:c>
      <x:c r="H948" s="187" t="str">
        <x:v>CARRIER_B</x:v>
      </x:c>
      <x:c r="I948" s="187" t="str">
        <x:v>AIR</x:v>
      </x:c>
      <x:c r="J948" s="187" t="str">
        <x:v>FUEL_SURCHARGE</x:v>
      </x:c>
      <x:c r="K948" s="187" t="str">
        <x:v>GBP</x:v>
      </x:c>
      <x:c r="L948" s="232" t="n">
        <x:v>294.91754801091236</x:v>
      </x:c>
      <x:c r="M948" s="232" t="n">
        <x:v>9.11</x:v>
      </x:c>
      <x:c r="N948" s="187" t="str">
        <x:v>2686.698862379411745554222284800000</x:v>
      </x:c>
      <x:c r="O948" s="235" t="n">
        <x:v>2686.6989</x:v>
      </x:c>
      <x:c r="P948" s="235" t="n">
        <x:v>2686.6989</x:v>
      </x:c>
      <x:c r="Q948" s="235" t="n">
        <x:v>0</x:v>
      </x:c>
      <x:c r="R948" s="235" t="str">
        <x:v>INVOICE_OR_PLAN</x:v>
      </x:c>
      <x:c r="S948" s="238" t="n">
        <x:f>'Model_Calc'!AG162</x:f>
        <x:v>2686.698862379411</x:v>
      </x:c>
      <x:c r="T948" s="238" t="n">
        <x:f>ROUND(S948-O948,4)</x:f>
        <x:v>0</x:v>
      </x:c>
    </x:row>
    <x:row r="949">
      <x:c r="A949" s="187" t="str">
        <x:v>ACTUAL_2026_08_CLOSE_V1</x:v>
      </x:c>
      <x:c r="B949" s="187" t="str">
        <x:v>ACTUAL</x:v>
      </x:c>
      <x:c r="C949" s="187"/>
      <x:c r="D949" s="217" t="n">
        <x:v>46113</x:v>
      </x:c>
      <x:c r="E949" s="187" t="str">
        <x:v>R_GB_DE_B_AIR</x:v>
      </x:c>
      <x:c r="F949" s="187" t="str">
        <x:v>GB</x:v>
      </x:c>
      <x:c r="G949" s="187" t="str">
        <x:v>DE_FC</x:v>
      </x:c>
      <x:c r="H949" s="187" t="str">
        <x:v>CARRIER_B</x:v>
      </x:c>
      <x:c r="I949" s="187" t="str">
        <x:v>AIR</x:v>
      </x:c>
      <x:c r="J949" s="187" t="str">
        <x:v>WAREHOUSE_OPERATION</x:v>
      </x:c>
      <x:c r="K949" s="187" t="str">
        <x:v>EUR</x:v>
      </x:c>
      <x:c r="L949" s="232" t="n">
        <x:v>456.2676615168</x:v>
      </x:c>
      <x:c r="M949" s="232" t="n">
        <x:v>7.84</x:v>
      </x:c>
      <x:c r="N949" s="187" t="str">
        <x:v>3577.13846629171200</x:v>
      </x:c>
      <x:c r="O949" s="235" t="n">
        <x:v>3577.1385</x:v>
      </x:c>
      <x:c r="P949" s="235" t="n">
        <x:v>3577.1385</x:v>
      </x:c>
      <x:c r="Q949" s="235" t="n">
        <x:v>0</x:v>
      </x:c>
      <x:c r="R949" s="235" t="str">
        <x:v>INVOICE_OR_PLAN</x:v>
      </x:c>
      <x:c r="S949" s="238" t="n">
        <x:f>'Model_Calc'!AL162</x:f>
        <x:v>3577.1384662917117</x:v>
      </x:c>
      <x:c r="T949" s="238" t="n">
        <x:f>ROUND(S949-O949,4)</x:f>
        <x:v>0</x:v>
      </x:c>
    </x:row>
    <x:row r="950">
      <x:c r="A950" s="187" t="str">
        <x:v>ACTUAL_2026_08_CLOSE_V1</x:v>
      </x:c>
      <x:c r="B950" s="187" t="str">
        <x:v>ACTUAL</x:v>
      </x:c>
      <x:c r="C950" s="187"/>
      <x:c r="D950" s="217" t="n">
        <x:v>46113</x:v>
      </x:c>
      <x:c r="E950" s="187" t="str">
        <x:v>R_GB_DE_B_AIR</x:v>
      </x:c>
      <x:c r="F950" s="187" t="str">
        <x:v>GB</x:v>
      </x:c>
      <x:c r="G950" s="187" t="str">
        <x:v>DE_FC</x:v>
      </x:c>
      <x:c r="H950" s="187" t="str">
        <x:v>CARRIER_B</x:v>
      </x:c>
      <x:c r="I950" s="187" t="str">
        <x:v>AIR</x:v>
      </x:c>
      <x:c r="J950" s="187" t="str">
        <x:v>PACKAGING</x:v>
      </x:c>
      <x:c r="K950" s="187" t="str">
        <x:v>EUR</x:v>
      </x:c>
      <x:c r="L950" s="232" t="n">
        <x:v>182.4340617808773</x:v>
      </x:c>
      <x:c r="M950" s="232" t="n">
        <x:v>7.84</x:v>
      </x:c>
      <x:c r="N950" s="187" t="str">
        <x:v>1430.2830443620781260800</x:v>
      </x:c>
      <x:c r="O950" s="235" t="n">
        <x:v>1430.283</x:v>
      </x:c>
      <x:c r="P950" s="235" t="n">
        <x:v>1430.283</x:v>
      </x:c>
      <x:c r="Q950" s="235" t="n">
        <x:v>0</x:v>
      </x:c>
      <x:c r="R950" s="235" t="str">
        <x:v>INVOICE_OR_PLAN</x:v>
      </x:c>
      <x:c r="S950" s="238" t="n">
        <x:f>'Model_Calc'!AQ162</x:f>
        <x:v>1430.2830443620778</x:v>
      </x:c>
      <x:c r="T950" s="238" t="n">
        <x:f>ROUND(S950-O950,4)</x:f>
        <x:v>0</x:v>
      </x:c>
    </x:row>
    <x:row r="951">
      <x:c r="A951" s="187" t="str">
        <x:v>ACTUAL_2026_08_CLOSE_V1</x:v>
      </x:c>
      <x:c r="B951" s="187" t="str">
        <x:v>ACTUAL</x:v>
      </x:c>
      <x:c r="C951" s="187"/>
      <x:c r="D951" s="217" t="n">
        <x:v>46113</x:v>
      </x:c>
      <x:c r="E951" s="187" t="str">
        <x:v>R_GB_DE_B_AIR</x:v>
      </x:c>
      <x:c r="F951" s="187" t="str">
        <x:v>GB</x:v>
      </x:c>
      <x:c r="G951" s="187" t="str">
        <x:v>DE_FC</x:v>
      </x:c>
      <x:c r="H951" s="187" t="str">
        <x:v>CARRIER_B</x:v>
      </x:c>
      <x:c r="I951" s="187" t="str">
        <x:v>AIR</x:v>
      </x:c>
      <x:c r="J951" s="187" t="str">
        <x:v>RETURN_LOGISTICS</x:v>
      </x:c>
      <x:c r="K951" s="187" t="str">
        <x:v>GBP</x:v>
      </x:c>
      <x:c r="L951" s="232" t="n">
        <x:v>148.48032374784</x:v>
      </x:c>
      <x:c r="M951" s="232" t="n">
        <x:v>9.11</x:v>
      </x:c>
      <x:c r="N951" s="187" t="str">
        <x:v>1352.65574934282240000</x:v>
      </x:c>
      <x:c r="O951" s="235" t="n">
        <x:v>1352.6557</x:v>
      </x:c>
      <x:c r="P951" s="235" t="n">
        <x:v>1352.6557</x:v>
      </x:c>
      <x:c r="Q951" s="235" t="n">
        <x:v>0</x:v>
      </x:c>
      <x:c r="R951" s="235" t="str">
        <x:v>ACCRUAL</x:v>
      </x:c>
      <x:c r="S951" s="238" t="n">
        <x:f>'Model_Calc'!AV162</x:f>
        <x:v>1352.655749342822</x:v>
      </x:c>
      <x:c r="T951" s="238" t="n">
        <x:f>ROUND(S951-O951,4)</x:f>
        <x:v>0</x:v>
      </x:c>
    </x:row>
    <x:row r="952">
      <x:c r="A952" s="187" t="str">
        <x:v>ACTUAL_2026_08_CLOSE_V1</x:v>
      </x:c>
      <x:c r="B952" s="187" t="str">
        <x:v>ACTUAL</x:v>
      </x:c>
      <x:c r="C952" s="187"/>
      <x:c r="D952" s="217" t="n">
        <x:v>46113</x:v>
      </x:c>
      <x:c r="E952" s="187" t="str">
        <x:v>R_GB_DE_B_AIR</x:v>
      </x:c>
      <x:c r="F952" s="187" t="str">
        <x:v>GB</x:v>
      </x:c>
      <x:c r="G952" s="187" t="str">
        <x:v>DE_FC</x:v>
      </x:c>
      <x:c r="H952" s="187" t="str">
        <x:v>CARRIER_B</x:v>
      </x:c>
      <x:c r="I952" s="187" t="str">
        <x:v>AIR</x:v>
      </x:c>
      <x:c r="J952" s="187" t="str">
        <x:v>BILLABLE_EXCEPTION</x:v>
      </x:c>
      <x:c r="K952" s="187" t="str">
        <x:v>GBP</x:v>
      </x:c>
      <x:c r="L952" s="232" t="n">
        <x:v>16.127171061429554</x:v>
      </x:c>
      <x:c r="M952" s="232" t="n">
        <x:v>9.11</x:v>
      </x:c>
      <x:c r="N952" s="187" t="str">
        <x:v>146.918528369623240409088000</x:v>
      </x:c>
      <x:c r="O952" s="235" t="n">
        <x:v>146.9185</x:v>
      </x:c>
      <x:c r="P952" s="235" t="n">
        <x:v>146.9185</x:v>
      </x:c>
      <x:c r="Q952" s="235" t="n">
        <x:v>0</x:v>
      </x:c>
      <x:c r="R952" s="235" t="str">
        <x:v>ACCRUAL</x:v>
      </x:c>
      <x:c r="S952" s="238" t="n">
        <x:f>'Model_Calc'!BA162</x:f>
        <x:v>146.9185283696232</x:v>
      </x:c>
      <x:c r="T952" s="238" t="n">
        <x:f>ROUND(S952-O952,4)</x:f>
        <x:v>0</x:v>
      </x:c>
    </x:row>
    <x:row r="953">
      <x:c r="A953" s="187" t="str">
        <x:v>ACTUAL_2026_08_CLOSE_V1</x:v>
      </x:c>
      <x:c r="B953" s="187" t="str">
        <x:v>ACTUAL</x:v>
      </x:c>
      <x:c r="C953" s="187"/>
      <x:c r="D953" s="217" t="n">
        <x:v>46113</x:v>
      </x:c>
      <x:c r="E953" s="187" t="str">
        <x:v>R_GB_DE_C_AIR</x:v>
      </x:c>
      <x:c r="F953" s="187" t="str">
        <x:v>GB</x:v>
      </x:c>
      <x:c r="G953" s="187" t="str">
        <x:v>DE_FC</x:v>
      </x:c>
      <x:c r="H953" s="187" t="str">
        <x:v>CARRIER_C</x:v>
      </x:c>
      <x:c r="I953" s="187" t="str">
        <x:v>AIR</x:v>
      </x:c>
      <x:c r="J953" s="187" t="str">
        <x:v>BASE_FREIGHT</x:v>
      </x:c>
      <x:c r="K953" s="187" t="str">
        <x:v>GBP</x:v>
      </x:c>
      <x:c r="L953" s="232" t="n">
        <x:v>1338.7185200206284</x:v>
      </x:c>
      <x:c r="M953" s="232" t="n">
        <x:v>9.11</x:v>
      </x:c>
      <x:c r="N953" s="187" t="str">
        <x:v>12195.725717387923587072000000</x:v>
      </x:c>
      <x:c r="O953" s="235" t="n">
        <x:v>12195.7257</x:v>
      </x:c>
      <x:c r="P953" s="235" t="n">
        <x:v>12195.7257</x:v>
      </x:c>
      <x:c r="Q953" s="235" t="n">
        <x:v>0</x:v>
      </x:c>
      <x:c r="R953" s="235" t="str">
        <x:v>INVOICE_OR_PLAN</x:v>
      </x:c>
      <x:c r="S953" s="238" t="n">
        <x:f>'Model_Calc'!AF163</x:f>
        <x:v>12195.725717387919</x:v>
      </x:c>
      <x:c r="T953" s="238" t="n">
        <x:f>ROUND(S953-O953,4)</x:f>
        <x:v>0</x:v>
      </x:c>
    </x:row>
    <x:row r="954">
      <x:c r="A954" s="187" t="str">
        <x:v>ACTUAL_2026_08_CLOSE_V1</x:v>
      </x:c>
      <x:c r="B954" s="187" t="str">
        <x:v>ACTUAL</x:v>
      </x:c>
      <x:c r="C954" s="187"/>
      <x:c r="D954" s="217" t="n">
        <x:v>46113</x:v>
      </x:c>
      <x:c r="E954" s="187" t="str">
        <x:v>R_GB_DE_C_AIR</x:v>
      </x:c>
      <x:c r="F954" s="187" t="str">
        <x:v>GB</x:v>
      </x:c>
      <x:c r="G954" s="187" t="str">
        <x:v>DE_FC</x:v>
      </x:c>
      <x:c r="H954" s="187" t="str">
        <x:v>CARRIER_C</x:v>
      </x:c>
      <x:c r="I954" s="187" t="str">
        <x:v>AIR</x:v>
      </x:c>
      <x:c r="J954" s="187" t="str">
        <x:v>FUEL_SURCHARGE</x:v>
      </x:c>
      <x:c r="K954" s="187" t="str">
        <x:v>GBP</x:v>
      </x:c>
      <x:c r="L954" s="232" t="n">
        <x:v>103.52756554826192</x:v>
      </x:c>
      <x:c r="M954" s="232" t="n">
        <x:v>9.11</x:v>
      </x:c>
      <x:c r="N954" s="187" t="str">
        <x:v>943.136122144666090733568000</x:v>
      </x:c>
      <x:c r="O954" s="235" t="n">
        <x:v>943.1361</x:v>
      </x:c>
      <x:c r="P954" s="235" t="n">
        <x:v>943.1361</x:v>
      </x:c>
      <x:c r="Q954" s="235" t="n">
        <x:v>0</x:v>
      </x:c>
      <x:c r="R954" s="235" t="str">
        <x:v>INVOICE_OR_PLAN</x:v>
      </x:c>
      <x:c r="S954" s="238" t="n">
        <x:f>'Model_Calc'!AG163</x:f>
        <x:v>943.1361221446659</x:v>
      </x:c>
      <x:c r="T954" s="238" t="n">
        <x:f>ROUND(S954-O954,4)</x:f>
        <x:v>0</x:v>
      </x:c>
    </x:row>
    <x:row r="955">
      <x:c r="A955" s="187" t="str">
        <x:v>ACTUAL_2026_08_CLOSE_V1</x:v>
      </x:c>
      <x:c r="B955" s="187" t="str">
        <x:v>ACTUAL</x:v>
      </x:c>
      <x:c r="C955" s="187"/>
      <x:c r="D955" s="217" t="n">
        <x:v>46113</x:v>
      </x:c>
      <x:c r="E955" s="187" t="str">
        <x:v>R_GB_DE_C_AIR</x:v>
      </x:c>
      <x:c r="F955" s="187" t="str">
        <x:v>GB</x:v>
      </x:c>
      <x:c r="G955" s="187" t="str">
        <x:v>DE_FC</x:v>
      </x:c>
      <x:c r="H955" s="187" t="str">
        <x:v>CARRIER_C</x:v>
      </x:c>
      <x:c r="I955" s="187" t="str">
        <x:v>AIR</x:v>
      </x:c>
      <x:c r="J955" s="187" t="str">
        <x:v>WAREHOUSE_OPERATION</x:v>
      </x:c>
      <x:c r="K955" s="187" t="str">
        <x:v>EUR</x:v>
      </x:c>
      <x:c r="L955" s="232" t="n">
        <x:v>202.7856273408</x:v>
      </x:c>
      <x:c r="M955" s="232" t="n">
        <x:v>7.84</x:v>
      </x:c>
      <x:c r="N955" s="187" t="str">
        <x:v>1589.83931835187200</x:v>
      </x:c>
      <x:c r="O955" s="235" t="n">
        <x:v>1589.8393</x:v>
      </x:c>
      <x:c r="P955" s="235" t="n">
        <x:v>1589.8393</x:v>
      </x:c>
      <x:c r="Q955" s="235" t="n">
        <x:v>0</x:v>
      </x:c>
      <x:c r="R955" s="235" t="str">
        <x:v>INVOICE_OR_PLAN</x:v>
      </x:c>
      <x:c r="S955" s="238" t="n">
        <x:f>'Model_Calc'!AL163</x:f>
        <x:v>1589.839318351872</x:v>
      </x:c>
      <x:c r="T955" s="238" t="n">
        <x:f>ROUND(S955-O955,4)</x:f>
        <x:v>0</x:v>
      </x:c>
    </x:row>
    <x:row r="956">
      <x:c r="A956" s="187" t="str">
        <x:v>ACTUAL_2026_08_CLOSE_V1</x:v>
      </x:c>
      <x:c r="B956" s="187" t="str">
        <x:v>ACTUAL</x:v>
      </x:c>
      <x:c r="C956" s="187"/>
      <x:c r="D956" s="217" t="n">
        <x:v>46113</x:v>
      </x:c>
      <x:c r="E956" s="187" t="str">
        <x:v>R_GB_DE_C_AIR</x:v>
      </x:c>
      <x:c r="F956" s="187" t="str">
        <x:v>GB</x:v>
      </x:c>
      <x:c r="G956" s="187" t="str">
        <x:v>DE_FC</x:v>
      </x:c>
      <x:c r="H956" s="187" t="str">
        <x:v>CARRIER_C</x:v>
      </x:c>
      <x:c r="I956" s="187" t="str">
        <x:v>AIR</x:v>
      </x:c>
      <x:c r="J956" s="187" t="str">
        <x:v>PACKAGING</x:v>
      </x:c>
      <x:c r="K956" s="187" t="str">
        <x:v>EUR</x:v>
      </x:c>
      <x:c r="L956" s="232" t="n">
        <x:v>81.08180523594547</x:v>
      </x:c>
      <x:c r="M956" s="232" t="n">
        <x:v>7.84</x:v>
      </x:c>
      <x:c r="N956" s="187" t="str">
        <x:v>635.6813530498125004800</x:v>
      </x:c>
      <x:c r="O956" s="235" t="n">
        <x:v>635.6814</x:v>
      </x:c>
      <x:c r="P956" s="235" t="n">
        <x:v>635.6814</x:v>
      </x:c>
      <x:c r="Q956" s="235" t="n">
        <x:v>0</x:v>
      </x:c>
      <x:c r="R956" s="235" t="str">
        <x:v>INVOICE_OR_PLAN</x:v>
      </x:c>
      <x:c r="S956" s="238" t="n">
        <x:f>'Model_Calc'!AQ163</x:f>
        <x:v>635.6813530498124</x:v>
      </x:c>
      <x:c r="T956" s="238" t="n">
        <x:f>ROUND(S956-O956,4)</x:f>
        <x:v>0</x:v>
      </x:c>
    </x:row>
    <x:row r="957">
      <x:c r="A957" s="187" t="str">
        <x:v>ACTUAL_2026_08_CLOSE_V1</x:v>
      </x:c>
      <x:c r="B957" s="187" t="str">
        <x:v>ACTUAL</x:v>
      </x:c>
      <x:c r="C957" s="187"/>
      <x:c r="D957" s="217" t="n">
        <x:v>46113</x:v>
      </x:c>
      <x:c r="E957" s="187" t="str">
        <x:v>R_GB_DE_C_AIR</x:v>
      </x:c>
      <x:c r="F957" s="187" t="str">
        <x:v>GB</x:v>
      </x:c>
      <x:c r="G957" s="187" t="str">
        <x:v>DE_FC</x:v>
      </x:c>
      <x:c r="H957" s="187" t="str">
        <x:v>CARRIER_C</x:v>
      </x:c>
      <x:c r="I957" s="187" t="str">
        <x:v>AIR</x:v>
      </x:c>
      <x:c r="J957" s="187" t="str">
        <x:v>RETURN_LOGISTICS</x:v>
      </x:c>
      <x:c r="K957" s="187" t="str">
        <x:v>GBP</x:v>
      </x:c>
      <x:c r="L957" s="232" t="n">
        <x:v>65.99125499904</x:v>
      </x:c>
      <x:c r="M957" s="232" t="n">
        <x:v>9.11</x:v>
      </x:c>
      <x:c r="N957" s="187" t="str">
        <x:v>601.18033304125440000</x:v>
      </x:c>
      <x:c r="O957" s="235" t="n">
        <x:v>601.1803</x:v>
      </x:c>
      <x:c r="P957" s="235" t="n">
        <x:v>601.1803</x:v>
      </x:c>
      <x:c r="Q957" s="235" t="n">
        <x:v>0</x:v>
      </x:c>
      <x:c r="R957" s="235" t="str">
        <x:v>ACCRUAL</x:v>
      </x:c>
      <x:c r="S957" s="238" t="n">
        <x:f>'Model_Calc'!AV163</x:f>
        <x:v>601.1803330412544</x:v>
      </x:c>
      <x:c r="T957" s="238" t="n">
        <x:f>ROUND(S957-O957,4)</x:f>
        <x:v>0</x:v>
      </x:c>
    </x:row>
    <x:row r="958">
      <x:c r="A958" s="187" t="str">
        <x:v>ACTUAL_2026_08_CLOSE_V1</x:v>
      </x:c>
      <x:c r="B958" s="187" t="str">
        <x:v>ACTUAL</x:v>
      </x:c>
      <x:c r="C958" s="187"/>
      <x:c r="D958" s="217" t="n">
        <x:v>46113</x:v>
      </x:c>
      <x:c r="E958" s="187" t="str">
        <x:v>R_GB_DE_C_AIR</x:v>
      </x:c>
      <x:c r="F958" s="187" t="str">
        <x:v>GB</x:v>
      </x:c>
      <x:c r="G958" s="187" t="str">
        <x:v>DE_FC</x:v>
      </x:c>
      <x:c r="H958" s="187" t="str">
        <x:v>CARRIER_C</x:v>
      </x:c>
      <x:c r="I958" s="187" t="str">
        <x:v>AIR</x:v>
      </x:c>
      <x:c r="J958" s="187" t="str">
        <x:v>BILLABLE_EXCEPTION</x:v>
      </x:c>
      <x:c r="K958" s="187" t="str">
        <x:v>GBP</x:v>
      </x:c>
      <x:c r="L958" s="232" t="n">
        <x:v>6.379979760565538</x:v>
      </x:c>
      <x:c r="M958" s="232" t="n">
        <x:v>9.11</x:v>
      </x:c>
      <x:c r="N958" s="187" t="str">
        <x:v>58.121615618752051150848000</x:v>
      </x:c>
      <x:c r="O958" s="235" t="n">
        <x:v>58.1216</x:v>
      </x:c>
      <x:c r="P958" s="235" t="n">
        <x:v>58.1216</x:v>
      </x:c>
      <x:c r="Q958" s="235" t="n">
        <x:v>0</x:v>
      </x:c>
      <x:c r="R958" s="235" t="str">
        <x:v>ACCRUAL</x:v>
      </x:c>
      <x:c r="S958" s="238" t="n">
        <x:f>'Model_Calc'!BA163</x:f>
        <x:v>58.12161561875205</x:v>
      </x:c>
      <x:c r="T958" s="238" t="n">
        <x:f>ROUND(S958-O958,4)</x:f>
        <x:v>0</x:v>
      </x:c>
    </x:row>
    <x:row r="959">
      <x:c r="A959" s="187" t="str">
        <x:v>ACTUAL_2026_08_CLOSE_V1</x:v>
      </x:c>
      <x:c r="B959" s="187" t="str">
        <x:v>ACTUAL</x:v>
      </x:c>
      <x:c r="C959" s="187"/>
      <x:c r="D959" s="217" t="n">
        <x:v>46113</x:v>
      </x:c>
      <x:c r="E959" s="187" t="str">
        <x:v>R_GB_FR_B_AIR</x:v>
      </x:c>
      <x:c r="F959" s="187" t="str">
        <x:v>GB</x:v>
      </x:c>
      <x:c r="G959" s="187" t="str">
        <x:v>FR_FC</x:v>
      </x:c>
      <x:c r="H959" s="187" t="str">
        <x:v>CARRIER_B</x:v>
      </x:c>
      <x:c r="I959" s="187" t="str">
        <x:v>AIR</x:v>
      </x:c>
      <x:c r="J959" s="187" t="str">
        <x:v>BASE_FREIGHT</x:v>
      </x:c>
      <x:c r="K959" s="187" t="str">
        <x:v>EUR</x:v>
      </x:c>
      <x:c r="L959" s="232" t="n">
        <x:v>1251.313348791603</x:v>
      </x:c>
      <x:c r="M959" s="232" t="n">
        <x:v>7.84</x:v>
      </x:c>
      <x:c r="N959" s="187" t="str">
        <x:v>9810.2966545261665792000000</x:v>
      </x:c>
      <x:c r="O959" s="235" t="n">
        <x:v>9810.2967</x:v>
      </x:c>
      <x:c r="P959" s="235" t="n">
        <x:v>9810.2967</x:v>
      </x:c>
      <x:c r="Q959" s="235" t="n">
        <x:v>0</x:v>
      </x:c>
      <x:c r="R959" s="235" t="str">
        <x:v>INVOICE_OR_PLAN</x:v>
      </x:c>
      <x:c r="S959" s="238" t="n">
        <x:f>'Model_Calc'!AF164</x:f>
        <x:v>9810.296654526166</x:v>
      </x:c>
      <x:c r="T959" s="238" t="n">
        <x:f>ROUND(S959-O959,4)</x:f>
        <x:v>0</x:v>
      </x:c>
    </x:row>
    <x:row r="960">
      <x:c r="A960" s="187" t="str">
        <x:v>ACTUAL_2026_08_CLOSE_V1</x:v>
      </x:c>
      <x:c r="B960" s="187" t="str">
        <x:v>ACTUAL</x:v>
      </x:c>
      <x:c r="C960" s="187"/>
      <x:c r="D960" s="217" t="n">
        <x:v>46113</x:v>
      </x:c>
      <x:c r="E960" s="187" t="str">
        <x:v>R_GB_FR_B_AIR</x:v>
      </x:c>
      <x:c r="F960" s="187" t="str">
        <x:v>GB</x:v>
      </x:c>
      <x:c r="G960" s="187" t="str">
        <x:v>FR_FC</x:v>
      </x:c>
      <x:c r="H960" s="187" t="str">
        <x:v>CARRIER_B</x:v>
      </x:c>
      <x:c r="I960" s="187" t="str">
        <x:v>AIR</x:v>
      </x:c>
      <x:c r="J960" s="187" t="str">
        <x:v>FUEL_SURCHARGE</x:v>
      </x:c>
      <x:c r="K960" s="187" t="str">
        <x:v>EUR</x:v>
      </x:c>
      <x:c r="L960" s="232" t="n">
        <x:v>132.43900483610324</x:v>
      </x:c>
      <x:c r="M960" s="232" t="n">
        <x:v>7.84</x:v>
      </x:c>
      <x:c r="N960" s="187" t="str">
        <x:v>1038.3217979150494707425280000000</x:v>
      </x:c>
      <x:c r="O960" s="235" t="n">
        <x:v>1038.3218</x:v>
      </x:c>
      <x:c r="P960" s="235" t="n">
        <x:v>1038.3218</x:v>
      </x:c>
      <x:c r="Q960" s="235" t="n">
        <x:v>0</x:v>
      </x:c>
      <x:c r="R960" s="235" t="str">
        <x:v>INVOICE_OR_PLAN</x:v>
      </x:c>
      <x:c r="S960" s="238" t="n">
        <x:f>'Model_Calc'!AG164</x:f>
        <x:v>1038.3217979150495</x:v>
      </x:c>
      <x:c r="T960" s="238" t="n">
        <x:f>ROUND(S960-O960,4)</x:f>
        <x:v>0</x:v>
      </x:c>
    </x:row>
    <x:row r="961">
      <x:c r="A961" s="187" t="str">
        <x:v>ACTUAL_2026_08_CLOSE_V1</x:v>
      </x:c>
      <x:c r="B961" s="187" t="str">
        <x:v>ACTUAL</x:v>
      </x:c>
      <x:c r="C961" s="187"/>
      <x:c r="D961" s="217" t="n">
        <x:v>46113</x:v>
      </x:c>
      <x:c r="E961" s="187" t="str">
        <x:v>R_GB_FR_B_AIR</x:v>
      </x:c>
      <x:c r="F961" s="187" t="str">
        <x:v>GB</x:v>
      </x:c>
      <x:c r="G961" s="187" t="str">
        <x:v>FR_FC</x:v>
      </x:c>
      <x:c r="H961" s="187" t="str">
        <x:v>CARRIER_B</x:v>
      </x:c>
      <x:c r="I961" s="187" t="str">
        <x:v>AIR</x:v>
      </x:c>
      <x:c r="J961" s="187" t="str">
        <x:v>WAREHOUSE_OPERATION</x:v>
      </x:c>
      <x:c r="K961" s="187" t="str">
        <x:v>EUR</x:v>
      </x:c>
      <x:c r="L961" s="232" t="n">
        <x:v>187.9633728</x:v>
      </x:c>
      <x:c r="M961" s="232" t="n">
        <x:v>7.84</x:v>
      </x:c>
      <x:c r="N961" s="187" t="str">
        <x:v>1473.632842752000</x:v>
      </x:c>
      <x:c r="O961" s="235" t="n">
        <x:v>1473.6328</x:v>
      </x:c>
      <x:c r="P961" s="235" t="n">
        <x:v>1473.6328</x:v>
      </x:c>
      <x:c r="Q961" s="235" t="n">
        <x:v>0</x:v>
      </x:c>
      <x:c r="R961" s="235" t="str">
        <x:v>INVOICE_OR_PLAN</x:v>
      </x:c>
      <x:c r="S961" s="238" t="n">
        <x:f>'Model_Calc'!AL164</x:f>
        <x:v>1473.632842752</x:v>
      </x:c>
      <x:c r="T961" s="238" t="n">
        <x:f>ROUND(S961-O961,4)</x:f>
        <x:v>0</x:v>
      </x:c>
    </x:row>
    <x:row r="962">
      <x:c r="A962" s="187" t="str">
        <x:v>ACTUAL_2026_08_CLOSE_V1</x:v>
      </x:c>
      <x:c r="B962" s="187" t="str">
        <x:v>ACTUAL</x:v>
      </x:c>
      <x:c r="C962" s="187"/>
      <x:c r="D962" s="217" t="n">
        <x:v>46113</x:v>
      </x:c>
      <x:c r="E962" s="187" t="str">
        <x:v>R_GB_FR_B_AIR</x:v>
      </x:c>
      <x:c r="F962" s="187" t="str">
        <x:v>GB</x:v>
      </x:c>
      <x:c r="G962" s="187" t="str">
        <x:v>FR_FC</x:v>
      </x:c>
      <x:c r="H962" s="187" t="str">
        <x:v>CARRIER_B</x:v>
      </x:c>
      <x:c r="I962" s="187" t="str">
        <x:v>AIR</x:v>
      </x:c>
      <x:c r="J962" s="187" t="str">
        <x:v>PACKAGING</x:v>
      </x:c>
      <x:c r="K962" s="187" t="str">
        <x:v>EUR</x:v>
      </x:c>
      <x:c r="L962" s="232" t="n">
        <x:v>78.463251328896</x:v>
      </x:c>
      <x:c r="M962" s="232" t="n">
        <x:v>7.84</x:v>
      </x:c>
      <x:c r="N962" s="187" t="str">
        <x:v>615.15189041854464000</x:v>
      </x:c>
      <x:c r="O962" s="235" t="n">
        <x:v>615.1519</x:v>
      </x:c>
      <x:c r="P962" s="235" t="n">
        <x:v>615.1519</x:v>
      </x:c>
      <x:c r="Q962" s="235" t="n">
        <x:v>0</x:v>
      </x:c>
      <x:c r="R962" s="235" t="str">
        <x:v>INVOICE_OR_PLAN</x:v>
      </x:c>
      <x:c r="S962" s="238" t="n">
        <x:f>'Model_Calc'!AQ164</x:f>
        <x:v>615.1518904185447</x:v>
      </x:c>
      <x:c r="T962" s="238" t="n">
        <x:f>ROUND(S962-O962,4)</x:f>
        <x:v>0</x:v>
      </x:c>
    </x:row>
    <x:row r="963">
      <x:c r="A963" s="187" t="str">
        <x:v>ACTUAL_2026_08_CLOSE_V1</x:v>
      </x:c>
      <x:c r="B963" s="187" t="str">
        <x:v>ACTUAL</x:v>
      </x:c>
      <x:c r="C963" s="187"/>
      <x:c r="D963" s="217" t="n">
        <x:v>46113</x:v>
      </x:c>
      <x:c r="E963" s="187" t="str">
        <x:v>R_GB_FR_B_AIR</x:v>
      </x:c>
      <x:c r="F963" s="187" t="str">
        <x:v>GB</x:v>
      </x:c>
      <x:c r="G963" s="187" t="str">
        <x:v>FR_FC</x:v>
      </x:c>
      <x:c r="H963" s="187" t="str">
        <x:v>CARRIER_B</x:v>
      </x:c>
      <x:c r="I963" s="187" t="str">
        <x:v>AIR</x:v>
      </x:c>
      <x:c r="J963" s="187" t="str">
        <x:v>RETURN_LOGISTICS</x:v>
      </x:c>
      <x:c r="K963" s="187" t="str">
        <x:v>EUR</x:v>
      </x:c>
      <x:c r="L963" s="232" t="n">
        <x:v>74.469298176</x:v>
      </x:c>
      <x:c r="M963" s="232" t="n">
        <x:v>7.84</x:v>
      </x:c>
      <x:c r="N963" s="187" t="str">
        <x:v>583.839297699840000</x:v>
      </x:c>
      <x:c r="O963" s="235" t="n">
        <x:v>583.8393</x:v>
      </x:c>
      <x:c r="P963" s="235" t="n">
        <x:v>583.8393</x:v>
      </x:c>
      <x:c r="Q963" s="235" t="n">
        <x:v>0</x:v>
      </x:c>
      <x:c r="R963" s="235" t="str">
        <x:v>ACCRUAL</x:v>
      </x:c>
      <x:c r="S963" s="238" t="n">
        <x:f>'Model_Calc'!AV164</x:f>
        <x:v>583.83929769984</x:v>
      </x:c>
      <x:c r="T963" s="238" t="n">
        <x:f>ROUND(S963-O963,4)</x:f>
        <x:v>0</x:v>
      </x:c>
    </x:row>
    <x:row r="964">
      <x:c r="A964" s="187" t="str">
        <x:v>ACTUAL_2026_08_CLOSE_V1</x:v>
      </x:c>
      <x:c r="B964" s="187" t="str">
        <x:v>ACTUAL</x:v>
      </x:c>
      <x:c r="C964" s="187"/>
      <x:c r="D964" s="217" t="n">
        <x:v>46113</x:v>
      </x:c>
      <x:c r="E964" s="187" t="str">
        <x:v>R_GB_FR_B_AIR</x:v>
      </x:c>
      <x:c r="F964" s="187" t="str">
        <x:v>GB</x:v>
      </x:c>
      <x:c r="G964" s="187" t="str">
        <x:v>FR_FC</x:v>
      </x:c>
      <x:c r="H964" s="187" t="str">
        <x:v>CARRIER_B</x:v>
      </x:c>
      <x:c r="I964" s="187" t="str">
        <x:v>AIR</x:v>
      </x:c>
      <x:c r="J964" s="187" t="str">
        <x:v>BILLABLE_EXCEPTION</x:v>
      </x:c>
      <x:c r="K964" s="187" t="str">
        <x:v>EUR</x:v>
      </x:c>
      <x:c r="L964" s="232" t="n">
        <x:v>7.076559340905062</x:v>
      </x:c>
      <x:c r="M964" s="232" t="n">
        <x:v>7.84</x:v>
      </x:c>
      <x:c r="N964" s="187" t="str">
        <x:v>55.4802252326956892160000</x:v>
      </x:c>
      <x:c r="O964" s="235" t="n">
        <x:v>55.4802</x:v>
      </x:c>
      <x:c r="P964" s="235" t="n">
        <x:v>55.4802</x:v>
      </x:c>
      <x:c r="Q964" s="235" t="n">
        <x:v>0</x:v>
      </x:c>
      <x:c r="R964" s="235" t="str">
        <x:v>ACCRUAL</x:v>
      </x:c>
      <x:c r="S964" s="238" t="n">
        <x:f>'Model_Calc'!BA164</x:f>
        <x:v>55.480225232695695</x:v>
      </x:c>
      <x:c r="T964" s="238" t="n">
        <x:f>ROUND(S964-O964,4)</x:f>
        <x:v>0</x:v>
      </x:c>
    </x:row>
    <x:row r="965">
      <x:c r="A965" s="187" t="str">
        <x:v>ACTUAL_2026_08_CLOSE_V1</x:v>
      </x:c>
      <x:c r="B965" s="187" t="str">
        <x:v>ACTUAL</x:v>
      </x:c>
      <x:c r="C965" s="187"/>
      <x:c r="D965" s="217" t="n">
        <x:v>46143</x:v>
      </x:c>
      <x:c r="E965" s="187" t="str">
        <x:v>R_DE_DE_A_ROAD</x:v>
      </x:c>
      <x:c r="F965" s="187" t="str">
        <x:v>DE</x:v>
      </x:c>
      <x:c r="G965" s="187" t="str">
        <x:v>DE_FC</x:v>
      </x:c>
      <x:c r="H965" s="187" t="str">
        <x:v>CARRIER_A</x:v>
      </x:c>
      <x:c r="I965" s="187" t="str">
        <x:v>ROAD</x:v>
      </x:c>
      <x:c r="J965" s="187" t="str">
        <x:v>BASE_FREIGHT</x:v>
      </x:c>
      <x:c r="K965" s="187" t="str">
        <x:v>EUR</x:v>
      </x:c>
      <x:c r="L965" s="232" t="n">
        <x:v>6847.721803076106</x:v>
      </x:c>
      <x:c r="M965" s="232" t="n">
        <x:v>7.87</x:v>
      </x:c>
      <x:c r="N965" s="187" t="str">
        <x:v>53891.570590208953842240000000</x:v>
      </x:c>
      <x:c r="O965" s="235" t="n">
        <x:v>53891.5706</x:v>
      </x:c>
      <x:c r="P965" s="235" t="n">
        <x:v>53891.5706</x:v>
      </x:c>
      <x:c r="Q965" s="235" t="n">
        <x:v>0</x:v>
      </x:c>
      <x:c r="R965" s="235" t="str">
        <x:v>INVOICE_OR_PLAN</x:v>
      </x:c>
      <x:c r="S965" s="238" t="n">
        <x:f>'Model_Calc'!AF165</x:f>
        <x:v>53891.57059020896</x:v>
      </x:c>
      <x:c r="T965" s="238" t="n">
        <x:f>ROUND(S965-O965,4)</x:f>
        <x:v>0</x:v>
      </x:c>
    </x:row>
    <x:row r="966">
      <x:c r="A966" s="187" t="str">
        <x:v>ACTUAL_2026_08_CLOSE_V1</x:v>
      </x:c>
      <x:c r="B966" s="187" t="str">
        <x:v>ACTUAL</x:v>
      </x:c>
      <x:c r="C966" s="187"/>
      <x:c r="D966" s="217" t="n">
        <x:v>46143</x:v>
      </x:c>
      <x:c r="E966" s="187" t="str">
        <x:v>R_DE_DE_A_ROAD</x:v>
      </x:c>
      <x:c r="F966" s="187" t="str">
        <x:v>DE</x:v>
      </x:c>
      <x:c r="G966" s="187" t="str">
        <x:v>DE_FC</x:v>
      </x:c>
      <x:c r="H966" s="187" t="str">
        <x:v>CARRIER_A</x:v>
      </x:c>
      <x:c r="I966" s="187" t="str">
        <x:v>ROAD</x:v>
      </x:c>
      <x:c r="J966" s="187" t="str">
        <x:v>FUEL_SURCHARGE</x:v>
      </x:c>
      <x:c r="K966" s="187" t="str">
        <x:v>EUR</x:v>
      </x:c>
      <x:c r="L966" s="232" t="n">
        <x:v>657.0389070051524</x:v>
      </x:c>
      <x:c r="M966" s="232" t="n">
        <x:v>7.87</x:v>
      </x:c>
      <x:c r="N966" s="187" t="str">
        <x:v>5170.896198130549121162928000000000</x:v>
      </x:c>
      <x:c r="O966" s="235" t="n">
        <x:v>5170.8962</x:v>
      </x:c>
      <x:c r="P966" s="235" t="n">
        <x:v>5170.8962</x:v>
      </x:c>
      <x:c r="Q966" s="235" t="n">
        <x:v>0</x:v>
      </x:c>
      <x:c r="R966" s="235" t="str">
        <x:v>INVOICE_OR_PLAN</x:v>
      </x:c>
      <x:c r="S966" s="238" t="n">
        <x:f>'Model_Calc'!AG165</x:f>
        <x:v>5170.896198130549</x:v>
      </x:c>
      <x:c r="T966" s="238" t="n">
        <x:f>ROUND(S966-O966,4)</x:f>
        <x:v>0</x:v>
      </x:c>
    </x:row>
    <x:row r="967">
      <x:c r="A967" s="187" t="str">
        <x:v>ACTUAL_2026_08_CLOSE_V1</x:v>
      </x:c>
      <x:c r="B967" s="187" t="str">
        <x:v>ACTUAL</x:v>
      </x:c>
      <x:c r="C967" s="187"/>
      <x:c r="D967" s="217" t="n">
        <x:v>46143</x:v>
      </x:c>
      <x:c r="E967" s="187" t="str">
        <x:v>R_DE_DE_A_ROAD</x:v>
      </x:c>
      <x:c r="F967" s="187" t="str">
        <x:v>DE</x:v>
      </x:c>
      <x:c r="G967" s="187" t="str">
        <x:v>DE_FC</x:v>
      </x:c>
      <x:c r="H967" s="187" t="str">
        <x:v>CARRIER_A</x:v>
      </x:c>
      <x:c r="I967" s="187" t="str">
        <x:v>ROAD</x:v>
      </x:c>
      <x:c r="J967" s="187" t="str">
        <x:v>WAREHOUSE_OPERATION</x:v>
      </x:c>
      <x:c r="K967" s="187" t="str">
        <x:v>EUR</x:v>
      </x:c>
      <x:c r="L967" s="232" t="n">
        <x:v>4444.48820976</x:v>
      </x:c>
      <x:c r="M967" s="232" t="n">
        <x:v>7.87</x:v>
      </x:c>
      <x:c r="N967" s="187" t="str">
        <x:v>34978.12221081120000</x:v>
      </x:c>
      <x:c r="O967" s="235" t="n">
        <x:v>34978.1222</x:v>
      </x:c>
      <x:c r="P967" s="235" t="n">
        <x:v>34978.1222</x:v>
      </x:c>
      <x:c r="Q967" s="235" t="n">
        <x:v>0</x:v>
      </x:c>
      <x:c r="R967" s="235" t="str">
        <x:v>INVOICE_OR_PLAN</x:v>
      </x:c>
      <x:c r="S967" s="238" t="n">
        <x:f>'Model_Calc'!AL165</x:f>
        <x:v>34978.1222108112</x:v>
      </x:c>
      <x:c r="T967" s="238" t="n">
        <x:f>ROUND(S967-O967,4)</x:f>
        <x:v>0</x:v>
      </x:c>
    </x:row>
    <x:row r="968">
      <x:c r="A968" s="187" t="str">
        <x:v>ACTUAL_2026_08_CLOSE_V1</x:v>
      </x:c>
      <x:c r="B968" s="187" t="str">
        <x:v>ACTUAL</x:v>
      </x:c>
      <x:c r="C968" s="187"/>
      <x:c r="D968" s="217" t="n">
        <x:v>46143</x:v>
      </x:c>
      <x:c r="E968" s="187" t="str">
        <x:v>R_DE_DE_A_ROAD</x:v>
      </x:c>
      <x:c r="F968" s="187" t="str">
        <x:v>DE</x:v>
      </x:c>
      <x:c r="G968" s="187" t="str">
        <x:v>DE_FC</x:v>
      </x:c>
      <x:c r="H968" s="187" t="str">
        <x:v>CARRIER_A</x:v>
      </x:c>
      <x:c r="I968" s="187" t="str">
        <x:v>ROAD</x:v>
      </x:c>
      <x:c r="J968" s="187" t="str">
        <x:v>PACKAGING</x:v>
      </x:c>
      <x:c r="K968" s="187" t="str">
        <x:v>EUR</x:v>
      </x:c>
      <x:c r="L968" s="232" t="n">
        <x:v>1667.677438734048</x:v>
      </x:c>
      <x:c r="M968" s="232" t="n">
        <x:v>7.87</x:v>
      </x:c>
      <x:c r="N968" s="187" t="str">
        <x:v>13124.6214428369577600000</x:v>
      </x:c>
      <x:c r="O968" s="235" t="n">
        <x:v>13124.6214</x:v>
      </x:c>
      <x:c r="P968" s="235" t="n">
        <x:v>13124.6214</x:v>
      </x:c>
      <x:c r="Q968" s="235" t="n">
        <x:v>0</x:v>
      </x:c>
      <x:c r="R968" s="235" t="str">
        <x:v>INVOICE_OR_PLAN</x:v>
      </x:c>
      <x:c r="S968" s="238" t="n">
        <x:f>'Model_Calc'!AQ165</x:f>
        <x:v>13124.621442836959</x:v>
      </x:c>
      <x:c r="T968" s="238" t="n">
        <x:f>ROUND(S968-O968,4)</x:f>
        <x:v>0</x:v>
      </x:c>
    </x:row>
    <x:row r="969">
      <x:c r="A969" s="187" t="str">
        <x:v>ACTUAL_2026_08_CLOSE_V1</x:v>
      </x:c>
      <x:c r="B969" s="187" t="str">
        <x:v>ACTUAL</x:v>
      </x:c>
      <x:c r="C969" s="187"/>
      <x:c r="D969" s="217" t="n">
        <x:v>46143</x:v>
      </x:c>
      <x:c r="E969" s="187" t="str">
        <x:v>R_DE_DE_A_ROAD</x:v>
      </x:c>
      <x:c r="F969" s="187" t="str">
        <x:v>DE</x:v>
      </x:c>
      <x:c r="G969" s="187" t="str">
        <x:v>DE_FC</x:v>
      </x:c>
      <x:c r="H969" s="187" t="str">
        <x:v>CARRIER_A</x:v>
      </x:c>
      <x:c r="I969" s="187" t="str">
        <x:v>ROAD</x:v>
      </x:c>
      <x:c r="J969" s="187" t="str">
        <x:v>RETURN_LOGISTICS</x:v>
      </x:c>
      <x:c r="K969" s="187" t="str">
        <x:v>EUR</x:v>
      </x:c>
      <x:c r="L969" s="232" t="n">
        <x:v>602.64246912</x:v>
      </x:c>
      <x:c r="M969" s="232" t="n">
        <x:v>7.87</x:v>
      </x:c>
      <x:c r="N969" s="187" t="str">
        <x:v>4742.79623197440000000</x:v>
      </x:c>
      <x:c r="O969" s="235" t="n">
        <x:v>4742.7962</x:v>
      </x:c>
      <x:c r="P969" s="235" t="n">
        <x:v>4742.7962</x:v>
      </x:c>
      <x:c r="Q969" s="235" t="n">
        <x:v>0</x:v>
      </x:c>
      <x:c r="R969" s="235" t="str">
        <x:v>INVOICE_OR_PLAN</x:v>
      </x:c>
      <x:c r="S969" s="238" t="n">
        <x:f>'Model_Calc'!AV165</x:f>
        <x:v>4742.796231974401</x:v>
      </x:c>
      <x:c r="T969" s="238" t="n">
        <x:f>ROUND(S969-O969,4)</x:f>
        <x:v>0</x:v>
      </x:c>
    </x:row>
    <x:row r="970">
      <x:c r="A970" s="187" t="str">
        <x:v>ACTUAL_2026_08_CLOSE_V1</x:v>
      </x:c>
      <x:c r="B970" s="187" t="str">
        <x:v>ACTUAL</x:v>
      </x:c>
      <x:c r="C970" s="187"/>
      <x:c r="D970" s="217" t="n">
        <x:v>46143</x:v>
      </x:c>
      <x:c r="E970" s="187" t="str">
        <x:v>R_DE_DE_A_ROAD</x:v>
      </x:c>
      <x:c r="F970" s="187" t="str">
        <x:v>DE</x:v>
      </x:c>
      <x:c r="G970" s="187" t="str">
        <x:v>DE_FC</x:v>
      </x:c>
      <x:c r="H970" s="187" t="str">
        <x:v>CARRIER_A</x:v>
      </x:c>
      <x:c r="I970" s="187" t="str">
        <x:v>ROAD</x:v>
      </x:c>
      <x:c r="J970" s="187" t="str">
        <x:v>BILLABLE_EXCEPTION</x:v>
      </x:c>
      <x:c r="K970" s="187" t="str">
        <x:v>EUR</x:v>
      </x:c>
      <x:c r="L970" s="232" t="n">
        <x:v>149.04271509600292</x:v>
      </x:c>
      <x:c r="M970" s="232" t="n">
        <x:v>7.87</x:v>
      </x:c>
      <x:c r="N970" s="187" t="str">
        <x:v>1172.966167805542967808000000</x:v>
      </x:c>
      <x:c r="O970" s="235" t="n">
        <x:v>1172.9662</x:v>
      </x:c>
      <x:c r="P970" s="235" t="n">
        <x:v>1172.9662</x:v>
      </x:c>
      <x:c r="Q970" s="235" t="n">
        <x:v>0</x:v>
      </x:c>
      <x:c r="R970" s="235" t="str">
        <x:v>INVOICE_OR_PLAN</x:v>
      </x:c>
      <x:c r="S970" s="238" t="n">
        <x:f>'Model_Calc'!BA165</x:f>
        <x:v>1172.966167805543</x:v>
      </x:c>
      <x:c r="T970" s="238" t="n">
        <x:f>ROUND(S970-O970,4)</x:f>
        <x:v>0</x:v>
      </x:c>
    </x:row>
    <x:row r="971">
      <x:c r="A971" s="187" t="str">
        <x:v>ACTUAL_2026_08_CLOSE_V1</x:v>
      </x:c>
      <x:c r="B971" s="187" t="str">
        <x:v>ACTUAL</x:v>
      </x:c>
      <x:c r="C971" s="187"/>
      <x:c r="D971" s="217" t="n">
        <x:v>46143</x:v>
      </x:c>
      <x:c r="E971" s="187" t="str">
        <x:v>R_DE_DE_B_ROAD</x:v>
      </x:c>
      <x:c r="F971" s="187" t="str">
        <x:v>DE</x:v>
      </x:c>
      <x:c r="G971" s="187" t="str">
        <x:v>DE_FC</x:v>
      </x:c>
      <x:c r="H971" s="187" t="str">
        <x:v>CARRIER_B</x:v>
      </x:c>
      <x:c r="I971" s="187" t="str">
        <x:v>ROAD</x:v>
      </x:c>
      <x:c r="J971" s="187" t="str">
        <x:v>BASE_FREIGHT</x:v>
      </x:c>
      <x:c r="K971" s="187" t="str">
        <x:v>EUR</x:v>
      </x:c>
      <x:c r="L971" s="232" t="n">
        <x:v>5852.753677842826</x:v>
      </x:c>
      <x:c r="M971" s="232" t="n">
        <x:v>7.87</x:v>
      </x:c>
      <x:c r="N971" s="187" t="str">
        <x:v>46061.171444623037472000000000</x:v>
      </x:c>
      <x:c r="O971" s="235" t="n">
        <x:v>46061.1714</x:v>
      </x:c>
      <x:c r="P971" s="235" t="n">
        <x:v>46061.1714</x:v>
      </x:c>
      <x:c r="Q971" s="235" t="n">
        <x:v>0</x:v>
      </x:c>
      <x:c r="R971" s="235" t="str">
        <x:v>INVOICE_OR_PLAN</x:v>
      </x:c>
      <x:c r="S971" s="238" t="n">
        <x:f>'Model_Calc'!AF166</x:f>
        <x:v>46061.17144462305</x:v>
      </x:c>
      <x:c r="T971" s="238" t="n">
        <x:f>ROUND(S971-O971,4)</x:f>
        <x:v>0</x:v>
      </x:c>
    </x:row>
    <x:row r="972">
      <x:c r="A972" s="187" t="str">
        <x:v>ACTUAL_2026_08_CLOSE_V1</x:v>
      </x:c>
      <x:c r="B972" s="187" t="str">
        <x:v>ACTUAL</x:v>
      </x:c>
      <x:c r="C972" s="187"/>
      <x:c r="D972" s="217" t="n">
        <x:v>46143</x:v>
      </x:c>
      <x:c r="E972" s="187" t="str">
        <x:v>R_DE_DE_B_ROAD</x:v>
      </x:c>
      <x:c r="F972" s="187" t="str">
        <x:v>DE</x:v>
      </x:c>
      <x:c r="G972" s="187" t="str">
        <x:v>DE_FC</x:v>
      </x:c>
      <x:c r="H972" s="187" t="str">
        <x:v>CARRIER_B</x:v>
      </x:c>
      <x:c r="I972" s="187" t="str">
        <x:v>ROAD</x:v>
      </x:c>
      <x:c r="J972" s="187" t="str">
        <x:v>FUEL_SURCHARGE</x:v>
      </x:c>
      <x:c r="K972" s="187" t="str">
        <x:v>EUR</x:v>
      </x:c>
      <x:c r="L972" s="232" t="n">
        <x:v>446.93755358072485</x:v>
      </x:c>
      <x:c r="M972" s="232" t="n">
        <x:v>7.87</x:v>
      </x:c>
      <x:c r="N972" s="187" t="str">
        <x:v>3517.398546680304679680000000</x:v>
      </x:c>
      <x:c r="O972" s="235" t="n">
        <x:v>3517.3985</x:v>
      </x:c>
      <x:c r="P972" s="235" t="n">
        <x:v>3517.3985</x:v>
      </x:c>
      <x:c r="Q972" s="235" t="n">
        <x:v>0</x:v>
      </x:c>
      <x:c r="R972" s="235" t="str">
        <x:v>INVOICE_OR_PLAN</x:v>
      </x:c>
      <x:c r="S972" s="238" t="n">
        <x:f>'Model_Calc'!AG166</x:f>
        <x:v>3517.3985466803056</x:v>
      </x:c>
      <x:c r="T972" s="238" t="n">
        <x:f>ROUND(S972-O972,4)</x:f>
        <x:v>0</x:v>
      </x:c>
    </x:row>
    <x:row r="973">
      <x:c r="A973" s="187" t="str">
        <x:v>ACTUAL_2026_08_CLOSE_V1</x:v>
      </x:c>
      <x:c r="B973" s="187" t="str">
        <x:v>ACTUAL</x:v>
      </x:c>
      <x:c r="C973" s="187"/>
      <x:c r="D973" s="217" t="n">
        <x:v>46143</x:v>
      </x:c>
      <x:c r="E973" s="187" t="str">
        <x:v>R_DE_DE_B_ROAD</x:v>
      </x:c>
      <x:c r="F973" s="187" t="str">
        <x:v>DE</x:v>
      </x:c>
      <x:c r="G973" s="187" t="str">
        <x:v>DE_FC</x:v>
      </x:c>
      <x:c r="H973" s="187" t="str">
        <x:v>CARRIER_B</x:v>
      </x:c>
      <x:c r="I973" s="187" t="str">
        <x:v>ROAD</x:v>
      </x:c>
      <x:c r="J973" s="187" t="str">
        <x:v>WAREHOUSE_OPERATION</x:v>
      </x:c>
      <x:c r="K973" s="187" t="str">
        <x:v>EUR</x:v>
      </x:c>
      <x:c r="L973" s="232" t="n">
        <x:v>2962.99213984</x:v>
      </x:c>
      <x:c r="M973" s="232" t="n">
        <x:v>7.87</x:v>
      </x:c>
      <x:c r="N973" s="187" t="str">
        <x:v>23318.74814054080000</x:v>
      </x:c>
      <x:c r="O973" s="235" t="n">
        <x:v>23318.7481</x:v>
      </x:c>
      <x:c r="P973" s="235" t="n">
        <x:v>23318.7481</x:v>
      </x:c>
      <x:c r="Q973" s="235" t="n">
        <x:v>0</x:v>
      </x:c>
      <x:c r="R973" s="235" t="str">
        <x:v>INVOICE_OR_PLAN</x:v>
      </x:c>
      <x:c r="S973" s="238" t="n">
        <x:f>'Model_Calc'!AL166</x:f>
        <x:v>23318.748140540803</x:v>
      </x:c>
      <x:c r="T973" s="238" t="n">
        <x:f>ROUND(S973-O973,4)</x:f>
        <x:v>0</x:v>
      </x:c>
    </x:row>
    <x:row r="974">
      <x:c r="A974" s="187" t="str">
        <x:v>ACTUAL_2026_08_CLOSE_V1</x:v>
      </x:c>
      <x:c r="B974" s="187" t="str">
        <x:v>ACTUAL</x:v>
      </x:c>
      <x:c r="C974" s="187"/>
      <x:c r="D974" s="217" t="n">
        <x:v>46143</x:v>
      </x:c>
      <x:c r="E974" s="187" t="str">
        <x:v>R_DE_DE_B_ROAD</x:v>
      </x:c>
      <x:c r="F974" s="187" t="str">
        <x:v>DE</x:v>
      </x:c>
      <x:c r="G974" s="187" t="str">
        <x:v>DE_FC</x:v>
      </x:c>
      <x:c r="H974" s="187" t="str">
        <x:v>CARRIER_B</x:v>
      </x:c>
      <x:c r="I974" s="187" t="str">
        <x:v>ROAD</x:v>
      </x:c>
      <x:c r="J974" s="187" t="str">
        <x:v>PACKAGING</x:v>
      </x:c>
      <x:c r="K974" s="187" t="str">
        <x:v>EUR</x:v>
      </x:c>
      <x:c r="L974" s="232" t="n">
        <x:v>1111.784959156032</x:v>
      </x:c>
      <x:c r="M974" s="232" t="n">
        <x:v>7.87</x:v>
      </x:c>
      <x:c r="N974" s="187" t="str">
        <x:v>8749.7476285579718400000</x:v>
      </x:c>
      <x:c r="O974" s="235" t="n">
        <x:v>8749.7476</x:v>
      </x:c>
      <x:c r="P974" s="235" t="n">
        <x:v>8749.7476</x:v>
      </x:c>
      <x:c r="Q974" s="235" t="n">
        <x:v>0</x:v>
      </x:c>
      <x:c r="R974" s="235" t="str">
        <x:v>INVOICE_OR_PLAN</x:v>
      </x:c>
      <x:c r="S974" s="238" t="n">
        <x:f>'Model_Calc'!AQ166</x:f>
        <x:v>8749.747628557972</x:v>
      </x:c>
      <x:c r="T974" s="238" t="n">
        <x:f>ROUND(S974-O974,4)</x:f>
        <x:v>0</x:v>
      </x:c>
    </x:row>
    <x:row r="975">
      <x:c r="A975" s="187" t="str">
        <x:v>ACTUAL_2026_08_CLOSE_V1</x:v>
      </x:c>
      <x:c r="B975" s="187" t="str">
        <x:v>ACTUAL</x:v>
      </x:c>
      <x:c r="C975" s="187"/>
      <x:c r="D975" s="217" t="n">
        <x:v>46143</x:v>
      </x:c>
      <x:c r="E975" s="187" t="str">
        <x:v>R_DE_DE_B_ROAD</x:v>
      </x:c>
      <x:c r="F975" s="187" t="str">
        <x:v>DE</x:v>
      </x:c>
      <x:c r="G975" s="187" t="str">
        <x:v>DE_FC</x:v>
      </x:c>
      <x:c r="H975" s="187" t="str">
        <x:v>CARRIER_B</x:v>
      </x:c>
      <x:c r="I975" s="187" t="str">
        <x:v>ROAD</x:v>
      </x:c>
      <x:c r="J975" s="187" t="str">
        <x:v>RETURN_LOGISTICS</x:v>
      </x:c>
      <x:c r="K975" s="187" t="str">
        <x:v>EUR</x:v>
      </x:c>
      <x:c r="L975" s="232" t="n">
        <x:v>401.76164608</x:v>
      </x:c>
      <x:c r="M975" s="232" t="n">
        <x:v>7.87</x:v>
      </x:c>
      <x:c r="N975" s="187" t="str">
        <x:v>3161.86415464960000000</x:v>
      </x:c>
      <x:c r="O975" s="235" t="n">
        <x:v>3161.8642</x:v>
      </x:c>
      <x:c r="P975" s="235" t="n">
        <x:v>3161.8642</x:v>
      </x:c>
      <x:c r="Q975" s="235" t="n">
        <x:v>0</x:v>
      </x:c>
      <x:c r="R975" s="235" t="str">
        <x:v>INVOICE_OR_PLAN</x:v>
      </x:c>
      <x:c r="S975" s="238" t="n">
        <x:f>'Model_Calc'!AV166</x:f>
        <x:v>3161.864154649601</x:v>
      </x:c>
      <x:c r="T975" s="238" t="n">
        <x:f>ROUND(S975-O975,4)</x:f>
        <x:v>0</x:v>
      </x:c>
    </x:row>
    <x:row r="976">
      <x:c r="A976" s="187" t="str">
        <x:v>ACTUAL_2026_08_CLOSE_V1</x:v>
      </x:c>
      <x:c r="B976" s="187" t="str">
        <x:v>ACTUAL</x:v>
      </x:c>
      <x:c r="C976" s="187"/>
      <x:c r="D976" s="217" t="n">
        <x:v>46143</x:v>
      </x:c>
      <x:c r="E976" s="187" t="str">
        <x:v>R_DE_DE_B_ROAD</x:v>
      </x:c>
      <x:c r="F976" s="187" t="str">
        <x:v>DE</x:v>
      </x:c>
      <x:c r="G976" s="187" t="str">
        <x:v>DE_FC</x:v>
      </x:c>
      <x:c r="H976" s="187" t="str">
        <x:v>CARRIER_B</x:v>
      </x:c>
      <x:c r="I976" s="187" t="str">
        <x:v>ROAD</x:v>
      </x:c>
      <x:c r="J976" s="187" t="str">
        <x:v>BILLABLE_EXCEPTION</x:v>
      </x:c>
      <x:c r="K976" s="187" t="str">
        <x:v>EUR</x:v>
      </x:c>
      <x:c r="L976" s="232" t="n">
        <x:v>80.73147067700158</x:v>
      </x:c>
      <x:c r="M976" s="232" t="n">
        <x:v>7.87</x:v>
      </x:c>
      <x:c r="N976" s="187" t="str">
        <x:v>635.356674228002440896000000</x:v>
      </x:c>
      <x:c r="O976" s="235" t="n">
        <x:v>635.3567</x:v>
      </x:c>
      <x:c r="P976" s="235" t="n">
        <x:v>635.3567</x:v>
      </x:c>
      <x:c r="Q976" s="235" t="n">
        <x:v>0</x:v>
      </x:c>
      <x:c r="R976" s="235" t="str">
        <x:v>INVOICE_OR_PLAN</x:v>
      </x:c>
      <x:c r="S976" s="238" t="n">
        <x:f>'Model_Calc'!BA166</x:f>
        <x:v>635.3566742280025</x:v>
      </x:c>
      <x:c r="T976" s="238" t="n">
        <x:f>ROUND(S976-O976,4)</x:f>
        <x:v>0</x:v>
      </x:c>
    </x:row>
    <x:row r="977">
      <x:c r="A977" s="187" t="str">
        <x:v>ACTUAL_2026_08_CLOSE_V1</x:v>
      </x:c>
      <x:c r="B977" s="187" t="str">
        <x:v>ACTUAL</x:v>
      </x:c>
      <x:c r="C977" s="187"/>
      <x:c r="D977" s="217" t="n">
        <x:v>46143</x:v>
      </x:c>
      <x:c r="E977" s="187" t="str">
        <x:v>R_DE_FR_B_ROAD</x:v>
      </x:c>
      <x:c r="F977" s="187" t="str">
        <x:v>DE</x:v>
      </x:c>
      <x:c r="G977" s="187" t="str">
        <x:v>FR_FC</x:v>
      </x:c>
      <x:c r="H977" s="187" t="str">
        <x:v>CARRIER_B</x:v>
      </x:c>
      <x:c r="I977" s="187" t="str">
        <x:v>ROAD</x:v>
      </x:c>
      <x:c r="J977" s="187" t="str">
        <x:v>BASE_FREIGHT</x:v>
      </x:c>
      <x:c r="K977" s="187" t="str">
        <x:v>EUR</x:v>
      </x:c>
      <x:c r="L977" s="232" t="n">
        <x:v>600.445981146585</x:v>
      </x:c>
      <x:c r="M977" s="232" t="n">
        <x:v>7.87</x:v>
      </x:c>
      <x:c r="N977" s="187" t="str">
        <x:v>4725.5098716236241388800000</x:v>
      </x:c>
      <x:c r="O977" s="235" t="n">
        <x:v>4725.5099</x:v>
      </x:c>
      <x:c r="P977" s="235" t="n">
        <x:v>4725.5099</x:v>
      </x:c>
      <x:c r="Q977" s="235" t="n">
        <x:v>0</x:v>
      </x:c>
      <x:c r="R977" s="235" t="str">
        <x:v>INVOICE_OR_PLAN</x:v>
      </x:c>
      <x:c r="S977" s="238" t="n">
        <x:f>'Model_Calc'!AF167</x:f>
        <x:v>4725.509871623624</x:v>
      </x:c>
      <x:c r="T977" s="238" t="n">
        <x:f>ROUND(S977-O977,4)</x:f>
        <x:v>0</x:v>
      </x:c>
    </x:row>
    <x:row r="978">
      <x:c r="A978" s="187" t="str">
        <x:v>ACTUAL_2026_08_CLOSE_V1</x:v>
      </x:c>
      <x:c r="B978" s="187" t="str">
        <x:v>ACTUAL</x:v>
      </x:c>
      <x:c r="C978" s="187"/>
      <x:c r="D978" s="217" t="n">
        <x:v>46143</x:v>
      </x:c>
      <x:c r="E978" s="187" t="str">
        <x:v>R_DE_FR_B_ROAD</x:v>
      </x:c>
      <x:c r="F978" s="187" t="str">
        <x:v>DE</x:v>
      </x:c>
      <x:c r="G978" s="187" t="str">
        <x:v>FR_FC</x:v>
      </x:c>
      <x:c r="H978" s="187" t="str">
        <x:v>CARRIER_B</x:v>
      </x:c>
      <x:c r="I978" s="187" t="str">
        <x:v>ROAD</x:v>
      </x:c>
      <x:c r="J978" s="187" t="str">
        <x:v>FUEL_SURCHARGE</x:v>
      </x:c>
      <x:c r="K978" s="187" t="str">
        <x:v>EUR</x:v>
      </x:c>
      <x:c r="L978" s="232" t="n">
        <x:v>43.668798628842545</x:v>
      </x:c>
      <x:c r="M978" s="232" t="n">
        <x:v>7.87</x:v>
      </x:c>
      <x:c r="N978" s="187" t="str">
        <x:v>343.6734452089908464640000</x:v>
      </x:c>
      <x:c r="O978" s="235" t="n">
        <x:v>343.6734</x:v>
      </x:c>
      <x:c r="P978" s="235" t="n">
        <x:v>343.6734</x:v>
      </x:c>
      <x:c r="Q978" s="235" t="n">
        <x:v>0</x:v>
      </x:c>
      <x:c r="R978" s="235" t="str">
        <x:v>INVOICE_OR_PLAN</x:v>
      </x:c>
      <x:c r="S978" s="238" t="n">
        <x:f>'Model_Calc'!AG167</x:f>
        <x:v>343.6734452089908</x:v>
      </x:c>
      <x:c r="T978" s="238" t="n">
        <x:f>ROUND(S978-O978,4)</x:f>
        <x:v>0</x:v>
      </x:c>
    </x:row>
    <x:row r="979">
      <x:c r="A979" s="187" t="str">
        <x:v>ACTUAL_2026_08_CLOSE_V1</x:v>
      </x:c>
      <x:c r="B979" s="187" t="str">
        <x:v>ACTUAL</x:v>
      </x:c>
      <x:c r="C979" s="187"/>
      <x:c r="D979" s="217" t="n">
        <x:v>46143</x:v>
      </x:c>
      <x:c r="E979" s="187" t="str">
        <x:v>R_DE_FR_B_ROAD</x:v>
      </x:c>
      <x:c r="F979" s="187" t="str">
        <x:v>DE</x:v>
      </x:c>
      <x:c r="G979" s="187" t="str">
        <x:v>FR_FC</x:v>
      </x:c>
      <x:c r="H979" s="187" t="str">
        <x:v>CARRIER_B</x:v>
      </x:c>
      <x:c r="I979" s="187" t="str">
        <x:v>ROAD</x:v>
      </x:c>
      <x:c r="J979" s="187" t="str">
        <x:v>WAREHOUSE_OPERATION</x:v>
      </x:c>
      <x:c r="K979" s="187" t="str">
        <x:v>EUR</x:v>
      </x:c>
      <x:c r="L979" s="232" t="n">
        <x:v>203.857794</x:v>
      </x:c>
      <x:c r="M979" s="232" t="n">
        <x:v>7.87</x:v>
      </x:c>
      <x:c r="N979" s="187" t="str">
        <x:v>1604.360838780000</x:v>
      </x:c>
      <x:c r="O979" s="235" t="n">
        <x:v>1604.3608</x:v>
      </x:c>
      <x:c r="P979" s="235" t="n">
        <x:v>1604.3608</x:v>
      </x:c>
      <x:c r="Q979" s="235" t="n">
        <x:v>0</x:v>
      </x:c>
      <x:c r="R979" s="235" t="str">
        <x:v>INVOICE_OR_PLAN</x:v>
      </x:c>
      <x:c r="S979" s="238" t="n">
        <x:f>'Model_Calc'!AL167</x:f>
        <x:v>1604.3608387800002</x:v>
      </x:c>
      <x:c r="T979" s="238" t="n">
        <x:f>ROUND(S979-O979,4)</x:f>
        <x:v>0</x:v>
      </x:c>
    </x:row>
    <x:row r="980">
      <x:c r="A980" s="187" t="str">
        <x:v>ACTUAL_2026_08_CLOSE_V1</x:v>
      </x:c>
      <x:c r="B980" s="187" t="str">
        <x:v>ACTUAL</x:v>
      </x:c>
      <x:c r="C980" s="187"/>
      <x:c r="D980" s="217" t="n">
        <x:v>46143</x:v>
      </x:c>
      <x:c r="E980" s="187" t="str">
        <x:v>R_DE_FR_B_ROAD</x:v>
      </x:c>
      <x:c r="F980" s="187" t="str">
        <x:v>DE</x:v>
      </x:c>
      <x:c r="G980" s="187" t="str">
        <x:v>FR_FC</x:v>
      </x:c>
      <x:c r="H980" s="187" t="str">
        <x:v>CARRIER_B</x:v>
      </x:c>
      <x:c r="I980" s="187" t="str">
        <x:v>ROAD</x:v>
      </x:c>
      <x:c r="J980" s="187" t="str">
        <x:v>PACKAGING</x:v>
      </x:c>
      <x:c r="K980" s="187" t="str">
        <x:v>EUR</x:v>
      </x:c>
      <x:c r="L980" s="232" t="n">
        <x:v>79.997992011648</x:v>
      </x:c>
      <x:c r="M980" s="232" t="n">
        <x:v>7.87</x:v>
      </x:c>
      <x:c r="N980" s="187" t="str">
        <x:v>629.58419713166976000</x:v>
      </x:c>
      <x:c r="O980" s="235" t="n">
        <x:v>629.5842</x:v>
      </x:c>
      <x:c r="P980" s="235" t="n">
        <x:v>629.5842</x:v>
      </x:c>
      <x:c r="Q980" s="235" t="n">
        <x:v>0</x:v>
      </x:c>
      <x:c r="R980" s="235" t="str">
        <x:v>INVOICE_OR_PLAN</x:v>
      </x:c>
      <x:c r="S980" s="238" t="n">
        <x:f>'Model_Calc'!AQ167</x:f>
        <x:v>629.5841971316697</x:v>
      </x:c>
      <x:c r="T980" s="238" t="n">
        <x:f>ROUND(S980-O980,4)</x:f>
        <x:v>0</x:v>
      </x:c>
    </x:row>
    <x:row r="981">
      <x:c r="A981" s="187" t="str">
        <x:v>ACTUAL_2026_08_CLOSE_V1</x:v>
      </x:c>
      <x:c r="B981" s="187" t="str">
        <x:v>ACTUAL</x:v>
      </x:c>
      <x:c r="C981" s="187"/>
      <x:c r="D981" s="217" t="n">
        <x:v>46143</x:v>
      </x:c>
      <x:c r="E981" s="187" t="str">
        <x:v>R_DE_FR_B_ROAD</x:v>
      </x:c>
      <x:c r="F981" s="187" t="str">
        <x:v>DE</x:v>
      </x:c>
      <x:c r="G981" s="187" t="str">
        <x:v>FR_FC</x:v>
      </x:c>
      <x:c r="H981" s="187" t="str">
        <x:v>CARRIER_B</x:v>
      </x:c>
      <x:c r="I981" s="187" t="str">
        <x:v>ROAD</x:v>
      </x:c>
      <x:c r="J981" s="187" t="str">
        <x:v>RETURN_LOGISTICS</x:v>
      </x:c>
      <x:c r="K981" s="187" t="str">
        <x:v>EUR</x:v>
      </x:c>
      <x:c r="L981" s="232" t="n">
        <x:v>36.8885532</x:v>
      </x:c>
      <x:c r="M981" s="232" t="n">
        <x:v>7.87</x:v>
      </x:c>
      <x:c r="N981" s="187" t="str">
        <x:v>290.312913684000000</x:v>
      </x:c>
      <x:c r="O981" s="235" t="n">
        <x:v>290.3129</x:v>
      </x:c>
      <x:c r="P981" s="235" t="n">
        <x:v>290.3129</x:v>
      </x:c>
      <x:c r="Q981" s="235" t="n">
        <x:v>0</x:v>
      </x:c>
      <x:c r="R981" s="235" t="str">
        <x:v>INVOICE_OR_PLAN</x:v>
      </x:c>
      <x:c r="S981" s="238" t="n">
        <x:f>'Model_Calc'!AV167</x:f>
        <x:v>290.312913684</x:v>
      </x:c>
      <x:c r="T981" s="238" t="n">
        <x:f>ROUND(S981-O981,4)</x:f>
        <x:v>0</x:v>
      </x:c>
    </x:row>
    <x:row r="982">
      <x:c r="A982" s="187" t="str">
        <x:v>ACTUAL_2026_08_CLOSE_V1</x:v>
      </x:c>
      <x:c r="B982" s="187" t="str">
        <x:v>ACTUAL</x:v>
      </x:c>
      <x:c r="C982" s="187"/>
      <x:c r="D982" s="217" t="n">
        <x:v>46143</x:v>
      </x:c>
      <x:c r="E982" s="187" t="str">
        <x:v>R_DE_FR_B_ROAD</x:v>
      </x:c>
      <x:c r="F982" s="187" t="str">
        <x:v>DE</x:v>
      </x:c>
      <x:c r="G982" s="187" t="str">
        <x:v>FR_FC</x:v>
      </x:c>
      <x:c r="H982" s="187" t="str">
        <x:v>CARRIER_B</x:v>
      </x:c>
      <x:c r="I982" s="187" t="str">
        <x:v>ROAD</x:v>
      </x:c>
      <x:c r="J982" s="187" t="str">
        <x:v>BILLABLE_EXCEPTION</x:v>
      </x:c>
      <x:c r="K982" s="187" t="str">
        <x:v>EUR</x:v>
      </x:c>
      <x:c r="L982" s="232" t="n">
        <x:v>6.914352762185702</x:v>
      </x:c>
      <x:c r="M982" s="232" t="n">
        <x:v>7.87</x:v>
      </x:c>
      <x:c r="N982" s="187" t="str">
        <x:v>54.4159562384014778880000</x:v>
      </x:c>
      <x:c r="O982" s="235" t="n">
        <x:v>54.416</x:v>
      </x:c>
      <x:c r="P982" s="235" t="n">
        <x:v>54.416</x:v>
      </x:c>
      <x:c r="Q982" s="235" t="n">
        <x:v>0</x:v>
      </x:c>
      <x:c r="R982" s="235" t="str">
        <x:v>INVOICE_OR_PLAN</x:v>
      </x:c>
      <x:c r="S982" s="238" t="n">
        <x:f>'Model_Calc'!BA167</x:f>
        <x:v>54.41595623840148</x:v>
      </x:c>
      <x:c r="T982" s="238" t="n">
        <x:f>ROUND(S982-O982,4)</x:f>
        <x:v>0</x:v>
      </x:c>
    </x:row>
    <x:row r="983">
      <x:c r="A983" s="187" t="str">
        <x:v>ACTUAL_2026_08_CLOSE_V1</x:v>
      </x:c>
      <x:c r="B983" s="187" t="str">
        <x:v>ACTUAL</x:v>
      </x:c>
      <x:c r="C983" s="187"/>
      <x:c r="D983" s="217" t="n">
        <x:v>46143</x:v>
      </x:c>
      <x:c r="E983" s="187" t="str">
        <x:v>R_FR_FR_A_ROAD</x:v>
      </x:c>
      <x:c r="F983" s="187" t="str">
        <x:v>FR</x:v>
      </x:c>
      <x:c r="G983" s="187" t="str">
        <x:v>FR_FC</x:v>
      </x:c>
      <x:c r="H983" s="187" t="str">
        <x:v>CARRIER_A</x:v>
      </x:c>
      <x:c r="I983" s="187" t="str">
        <x:v>ROAD</x:v>
      </x:c>
      <x:c r="J983" s="187" t="str">
        <x:v>BASE_FREIGHT</x:v>
      </x:c>
      <x:c r="K983" s="187" t="str">
        <x:v>EUR</x:v>
      </x:c>
      <x:c r="L983" s="232" t="n">
        <x:v>3195.410927777117</x:v>
      </x:c>
      <x:c r="M983" s="232" t="n">
        <x:v>7.87</x:v>
      </x:c>
      <x:c r="N983" s="187" t="str">
        <x:v>25147.8840016059129936000000</x:v>
      </x:c>
      <x:c r="O983" s="235" t="n">
        <x:v>25147.884</x:v>
      </x:c>
      <x:c r="P983" s="235" t="n">
        <x:v>25147.884</x:v>
      </x:c>
      <x:c r="Q983" s="235" t="n">
        <x:v>0</x:v>
      </x:c>
      <x:c r="R983" s="235" t="str">
        <x:v>INVOICE_OR_PLAN</x:v>
      </x:c>
      <x:c r="S983" s="238" t="n">
        <x:f>'Model_Calc'!AF168</x:f>
        <x:v>25147.88400160592</x:v>
      </x:c>
      <x:c r="T983" s="238" t="n">
        <x:f>ROUND(S983-O983,4)</x:f>
        <x:v>0</x:v>
      </x:c>
    </x:row>
    <x:row r="984">
      <x:c r="A984" s="187" t="str">
        <x:v>ACTUAL_2026_08_CLOSE_V1</x:v>
      </x:c>
      <x:c r="B984" s="187" t="str">
        <x:v>ACTUAL</x:v>
      </x:c>
      <x:c r="C984" s="187"/>
      <x:c r="D984" s="217" t="n">
        <x:v>46143</x:v>
      </x:c>
      <x:c r="E984" s="187" t="str">
        <x:v>R_FR_FR_A_ROAD</x:v>
      </x:c>
      <x:c r="F984" s="187" t="str">
        <x:v>FR</x:v>
      </x:c>
      <x:c r="G984" s="187" t="str">
        <x:v>FR_FC</x:v>
      </x:c>
      <x:c r="H984" s="187" t="str">
        <x:v>CARRIER_A</x:v>
      </x:c>
      <x:c r="I984" s="187" t="str">
        <x:v>ROAD</x:v>
      </x:c>
      <x:c r="J984" s="187" t="str">
        <x:v>FUEL_SURCHARGE</x:v>
      </x:c>
      <x:c r="K984" s="187" t="str">
        <x:v>EUR</x:v>
      </x:c>
      <x:c r="L984" s="232" t="n">
        <x:v>290.46285333493995</x:v>
      </x:c>
      <x:c r="M984" s="232" t="n">
        <x:v>7.87</x:v>
      </x:c>
      <x:c r="N984" s="187" t="str">
        <x:v>2285.9426557459774911182400000000</x:v>
      </x:c>
      <x:c r="O984" s="235" t="n">
        <x:v>2285.9427</x:v>
      </x:c>
      <x:c r="P984" s="235" t="n">
        <x:v>2285.9427</x:v>
      </x:c>
      <x:c r="Q984" s="235" t="n">
        <x:v>0</x:v>
      </x:c>
      <x:c r="R984" s="235" t="str">
        <x:v>INVOICE_OR_PLAN</x:v>
      </x:c>
      <x:c r="S984" s="238" t="n">
        <x:f>'Model_Calc'!AG168</x:f>
        <x:v>2285.942655745978</x:v>
      </x:c>
      <x:c r="T984" s="238" t="n">
        <x:f>ROUND(S984-O984,4)</x:f>
        <x:v>0</x:v>
      </x:c>
    </x:row>
    <x:row r="985">
      <x:c r="A985" s="187" t="str">
        <x:v>ACTUAL_2026_08_CLOSE_V1</x:v>
      </x:c>
      <x:c r="B985" s="187" t="str">
        <x:v>ACTUAL</x:v>
      </x:c>
      <x:c r="C985" s="187"/>
      <x:c r="D985" s="217" t="n">
        <x:v>46143</x:v>
      </x:c>
      <x:c r="E985" s="187" t="str">
        <x:v>R_FR_FR_A_ROAD</x:v>
      </x:c>
      <x:c r="F985" s="187" t="str">
        <x:v>FR</x:v>
      </x:c>
      <x:c r="G985" s="187" t="str">
        <x:v>FR_FC</x:v>
      </x:c>
      <x:c r="H985" s="187" t="str">
        <x:v>CARRIER_A</x:v>
      </x:c>
      <x:c r="I985" s="187" t="str">
        <x:v>ROAD</x:v>
      </x:c>
      <x:c r="J985" s="187" t="str">
        <x:v>WAREHOUSE_OPERATION</x:v>
      </x:c>
      <x:c r="K985" s="187" t="str">
        <x:v>EUR</x:v>
      </x:c>
      <x:c r="L985" s="232" t="n">
        <x:v>1965.520095</x:v>
      </x:c>
      <x:c r="M985" s="232" t="n">
        <x:v>7.87</x:v>
      </x:c>
      <x:c r="N985" s="187" t="str">
        <x:v>15468.643147650000</x:v>
      </x:c>
      <x:c r="O985" s="235" t="n">
        <x:v>15468.6431</x:v>
      </x:c>
      <x:c r="P985" s="235" t="n">
        <x:v>15468.6431</x:v>
      </x:c>
      <x:c r="Q985" s="235" t="n">
        <x:v>0</x:v>
      </x:c>
      <x:c r="R985" s="235" t="str">
        <x:v>INVOICE_OR_PLAN</x:v>
      </x:c>
      <x:c r="S985" s="238" t="n">
        <x:f>'Model_Calc'!AL168</x:f>
        <x:v>15468.64314765</x:v>
      </x:c>
      <x:c r="T985" s="238" t="n">
        <x:f>ROUND(S985-O985,4)</x:f>
        <x:v>0</x:v>
      </x:c>
    </x:row>
    <x:row r="986">
      <x:c r="A986" s="187" t="str">
        <x:v>ACTUAL_2026_08_CLOSE_V1</x:v>
      </x:c>
      <x:c r="B986" s="187" t="str">
        <x:v>ACTUAL</x:v>
      </x:c>
      <x:c r="C986" s="187"/>
      <x:c r="D986" s="217" t="n">
        <x:v>46143</x:v>
      </x:c>
      <x:c r="E986" s="187" t="str">
        <x:v>R_FR_FR_A_ROAD</x:v>
      </x:c>
      <x:c r="F986" s="187" t="str">
        <x:v>FR</x:v>
      </x:c>
      <x:c r="G986" s="187" t="str">
        <x:v>FR_FC</x:v>
      </x:c>
      <x:c r="H986" s="187" t="str">
        <x:v>CARRIER_A</x:v>
      </x:c>
      <x:c r="I986" s="187" t="str">
        <x:v>ROAD</x:v>
      </x:c>
      <x:c r="J986" s="187" t="str">
        <x:v>PACKAGING</x:v>
      </x:c>
      <x:c r="K986" s="187" t="str">
        <x:v>EUR</x:v>
      </x:c>
      <x:c r="L986" s="232" t="n">
        <x:v>757.02699070768</x:v>
      </x:c>
      <x:c r="M986" s="232" t="n">
        <x:v>7.87</x:v>
      </x:c>
      <x:c r="N986" s="187" t="str">
        <x:v>5957.80241686944160000</x:v>
      </x:c>
      <x:c r="O986" s="235" t="n">
        <x:v>5957.8024</x:v>
      </x:c>
      <x:c r="P986" s="235" t="n">
        <x:v>5957.8024</x:v>
      </x:c>
      <x:c r="Q986" s="235" t="n">
        <x:v>0</x:v>
      </x:c>
      <x:c r="R986" s="235" t="str">
        <x:v>INVOICE_OR_PLAN</x:v>
      </x:c>
      <x:c r="S986" s="238" t="n">
        <x:f>'Model_Calc'!AQ168</x:f>
        <x:v>5957.802416869442</x:v>
      </x:c>
      <x:c r="T986" s="238" t="n">
        <x:f>ROUND(S986-O986,4)</x:f>
        <x:v>0</x:v>
      </x:c>
    </x:row>
    <x:row r="987">
      <x:c r="A987" s="187" t="str">
        <x:v>ACTUAL_2026_08_CLOSE_V1</x:v>
      </x:c>
      <x:c r="B987" s="187" t="str">
        <x:v>ACTUAL</x:v>
      </x:c>
      <x:c r="C987" s="187"/>
      <x:c r="D987" s="217" t="n">
        <x:v>46143</x:v>
      </x:c>
      <x:c r="E987" s="187" t="str">
        <x:v>R_FR_FR_A_ROAD</x:v>
      </x:c>
      <x:c r="F987" s="187" t="str">
        <x:v>FR</x:v>
      </x:c>
      <x:c r="G987" s="187" t="str">
        <x:v>FR_FC</x:v>
      </x:c>
      <x:c r="H987" s="187" t="str">
        <x:v>CARRIER_A</x:v>
      </x:c>
      <x:c r="I987" s="187" t="str">
        <x:v>ROAD</x:v>
      </x:c>
      <x:c r="J987" s="187" t="str">
        <x:v>RETURN_LOGISTICS</x:v>
      </x:c>
      <x:c r="K987" s="187" t="str">
        <x:v>EUR</x:v>
      </x:c>
      <x:c r="L987" s="232" t="n">
        <x:v>336.946302</x:v>
      </x:c>
      <x:c r="M987" s="232" t="n">
        <x:v>7.87</x:v>
      </x:c>
      <x:c r="N987" s="187" t="str">
        <x:v>2651.767396740000000</x:v>
      </x:c>
      <x:c r="O987" s="235" t="n">
        <x:v>2651.7674</x:v>
      </x:c>
      <x:c r="P987" s="235" t="n">
        <x:v>2651.7674</x:v>
      </x:c>
      <x:c r="Q987" s="235" t="n">
        <x:v>0</x:v>
      </x:c>
      <x:c r="R987" s="235" t="str">
        <x:v>INVOICE_OR_PLAN</x:v>
      </x:c>
      <x:c r="S987" s="238" t="n">
        <x:f>'Model_Calc'!AV168</x:f>
        <x:v>2651.76739674</x:v>
      </x:c>
      <x:c r="T987" s="238" t="n">
        <x:f>ROUND(S987-O987,4)</x:f>
        <x:v>0</x:v>
      </x:c>
    </x:row>
    <x:row r="988">
      <x:c r="A988" s="187" t="str">
        <x:v>ACTUAL_2026_08_CLOSE_V1</x:v>
      </x:c>
      <x:c r="B988" s="187" t="str">
        <x:v>ACTUAL</x:v>
      </x:c>
      <x:c r="C988" s="187"/>
      <x:c r="D988" s="217" t="n">
        <x:v>46143</x:v>
      </x:c>
      <x:c r="E988" s="187" t="str">
        <x:v>R_FR_FR_A_ROAD</x:v>
      </x:c>
      <x:c r="F988" s="187" t="str">
        <x:v>FR</x:v>
      </x:c>
      <x:c r="G988" s="187" t="str">
        <x:v>FR_FC</x:v>
      </x:c>
      <x:c r="H988" s="187" t="str">
        <x:v>CARRIER_A</x:v>
      </x:c>
      <x:c r="I988" s="187" t="str">
        <x:v>ROAD</x:v>
      </x:c>
      <x:c r="J988" s="187" t="str">
        <x:v>BILLABLE_EXCEPTION</x:v>
      </x:c>
      <x:c r="K988" s="187" t="str">
        <x:v>EUR</x:v>
      </x:c>
      <x:c r="L988" s="232" t="n">
        <x:v>79.45197485106235</x:v>
      </x:c>
      <x:c r="M988" s="232" t="n">
        <x:v>7.87</x:v>
      </x:c>
      <x:c r="N988" s="187" t="str">
        <x:v>625.2870420778607102400000</x:v>
      </x:c>
      <x:c r="O988" s="235" t="n">
        <x:v>625.287</x:v>
      </x:c>
      <x:c r="P988" s="235" t="n">
        <x:v>625.287</x:v>
      </x:c>
      <x:c r="Q988" s="235" t="n">
        <x:v>0</x:v>
      </x:c>
      <x:c r="R988" s="235" t="str">
        <x:v>INVOICE_OR_PLAN</x:v>
      </x:c>
      <x:c r="S988" s="238" t="n">
        <x:f>'Model_Calc'!BA168</x:f>
        <x:v>625.2870420778609</x:v>
      </x:c>
      <x:c r="T988" s="238" t="n">
        <x:f>ROUND(S988-O988,4)</x:f>
        <x:v>0</x:v>
      </x:c>
    </x:row>
    <x:row r="989">
      <x:c r="A989" s="187" t="str">
        <x:v>ACTUAL_2026_08_CLOSE_V1</x:v>
      </x:c>
      <x:c r="B989" s="187" t="str">
        <x:v>ACTUAL</x:v>
      </x:c>
      <x:c r="C989" s="187"/>
      <x:c r="D989" s="217" t="n">
        <x:v>46143</x:v>
      </x:c>
      <x:c r="E989" s="187" t="str">
        <x:v>R_FR_FR_B_ROAD</x:v>
      </x:c>
      <x:c r="F989" s="187" t="str">
        <x:v>FR</x:v>
      </x:c>
      <x:c r="G989" s="187" t="str">
        <x:v>FR_FC</x:v>
      </x:c>
      <x:c r="H989" s="187" t="str">
        <x:v>CARRIER_B</x:v>
      </x:c>
      <x:c r="I989" s="187" t="str">
        <x:v>ROAD</x:v>
      </x:c>
      <x:c r="J989" s="187" t="str">
        <x:v>BASE_FREIGHT</x:v>
      </x:c>
      <x:c r="K989" s="187" t="str">
        <x:v>EUR</x:v>
      </x:c>
      <x:c r="L989" s="232" t="n">
        <x:v>7637.295255415735</x:v>
      </x:c>
      <x:c r="M989" s="232" t="n">
        <x:v>7.87</x:v>
      </x:c>
      <x:c r="N989" s="187" t="str">
        <x:v>60105.5136601218303576000000</x:v>
      </x:c>
      <x:c r="O989" s="235" t="n">
        <x:v>60105.5137</x:v>
      </x:c>
      <x:c r="P989" s="235" t="n">
        <x:v>60105.5137</x:v>
      </x:c>
      <x:c r="Q989" s="235" t="n">
        <x:v>0</x:v>
      </x:c>
      <x:c r="R989" s="235" t="str">
        <x:v>INVOICE_OR_PLAN</x:v>
      </x:c>
      <x:c r="S989" s="238" t="n">
        <x:f>'Model_Calc'!AF169</x:f>
        <x:v>60105.51366012185</x:v>
      </x:c>
      <x:c r="T989" s="238" t="n">
        <x:f>ROUND(S989-O989,4)</x:f>
        <x:v>0</x:v>
      </x:c>
    </x:row>
    <x:row r="990">
      <x:c r="A990" s="187" t="str">
        <x:v>ACTUAL_2026_08_CLOSE_V1</x:v>
      </x:c>
      <x:c r="B990" s="187" t="str">
        <x:v>ACTUAL</x:v>
      </x:c>
      <x:c r="C990" s="187"/>
      <x:c r="D990" s="217" t="n">
        <x:v>46143</x:v>
      </x:c>
      <x:c r="E990" s="187" t="str">
        <x:v>R_FR_FR_B_ROAD</x:v>
      </x:c>
      <x:c r="F990" s="187" t="str">
        <x:v>FR</x:v>
      </x:c>
      <x:c r="G990" s="187" t="str">
        <x:v>FR_FC</x:v>
      </x:c>
      <x:c r="H990" s="187" t="str">
        <x:v>CARRIER_B</x:v>
      </x:c>
      <x:c r="I990" s="187" t="str">
        <x:v>ROAD</x:v>
      </x:c>
      <x:c r="J990" s="187" t="str">
        <x:v>FUEL_SURCHARGE</x:v>
      </x:c>
      <x:c r="K990" s="187" t="str">
        <x:v>EUR</x:v>
      </x:c>
      <x:c r="L990" s="232" t="n">
        <x:v>587.4842504165949</x:v>
      </x:c>
      <x:c r="M990" s="232" t="n">
        <x:v>7.87</x:v>
      </x:c>
      <x:c r="N990" s="187" t="str">
        <x:v>4623.5010507786023352000000</x:v>
      </x:c>
      <x:c r="O990" s="235" t="n">
        <x:v>4623.5011</x:v>
      </x:c>
      <x:c r="P990" s="235" t="n">
        <x:v>4623.5011</x:v>
      </x:c>
      <x:c r="Q990" s="235" t="n">
        <x:v>0</x:v>
      </x:c>
      <x:c r="R990" s="235" t="str">
        <x:v>INVOICE_OR_PLAN</x:v>
      </x:c>
      <x:c r="S990" s="238" t="n">
        <x:f>'Model_Calc'!AG169</x:f>
        <x:v>4623.501050778604</x:v>
      </x:c>
      <x:c r="T990" s="238" t="n">
        <x:f>ROUND(S990-O990,4)</x:f>
        <x:v>0</x:v>
      </x:c>
    </x:row>
    <x:row r="991">
      <x:c r="A991" s="187" t="str">
        <x:v>ACTUAL_2026_08_CLOSE_V1</x:v>
      </x:c>
      <x:c r="B991" s="187" t="str">
        <x:v>ACTUAL</x:v>
      </x:c>
      <x:c r="C991" s="187"/>
      <x:c r="D991" s="217" t="n">
        <x:v>46143</x:v>
      </x:c>
      <x:c r="E991" s="187" t="str">
        <x:v>R_FR_FR_B_ROAD</x:v>
      </x:c>
      <x:c r="F991" s="187" t="str">
        <x:v>FR</x:v>
      </x:c>
      <x:c r="G991" s="187" t="str">
        <x:v>FR_FC</x:v>
      </x:c>
      <x:c r="H991" s="187" t="str">
        <x:v>CARRIER_B</x:v>
      </x:c>
      <x:c r="I991" s="187" t="str">
        <x:v>ROAD</x:v>
      </x:c>
      <x:c r="J991" s="187" t="str">
        <x:v>WAREHOUSE_OPERATION</x:v>
      </x:c>
      <x:c r="K991" s="187" t="str">
        <x:v>EUR</x:v>
      </x:c>
      <x:c r="L991" s="232" t="n">
        <x:v>3650.251605</x:v>
      </x:c>
      <x:c r="M991" s="232" t="n">
        <x:v>7.87</x:v>
      </x:c>
      <x:c r="N991" s="187" t="str">
        <x:v>28727.480131350000</x:v>
      </x:c>
      <x:c r="O991" s="235" t="n">
        <x:v>28727.4801</x:v>
      </x:c>
      <x:c r="P991" s="235" t="n">
        <x:v>28727.4801</x:v>
      </x:c>
      <x:c r="Q991" s="235" t="n">
        <x:v>0</x:v>
      </x:c>
      <x:c r="R991" s="235" t="str">
        <x:v>INVOICE_OR_PLAN</x:v>
      </x:c>
      <x:c r="S991" s="238" t="n">
        <x:f>'Model_Calc'!AL169</x:f>
        <x:v>28727.480131350007</x:v>
      </x:c>
      <x:c r="T991" s="238" t="n">
        <x:f>ROUND(S991-O991,4)</x:f>
        <x:v>0</x:v>
      </x:c>
    </x:row>
    <x:row r="992">
      <x:c r="A992" s="187" t="str">
        <x:v>ACTUAL_2026_08_CLOSE_V1</x:v>
      </x:c>
      <x:c r="B992" s="187" t="str">
        <x:v>ACTUAL</x:v>
      </x:c>
      <x:c r="C992" s="187"/>
      <x:c r="D992" s="217" t="n">
        <x:v>46143</x:v>
      </x:c>
      <x:c r="E992" s="187" t="str">
        <x:v>R_FR_FR_B_ROAD</x:v>
      </x:c>
      <x:c r="F992" s="187" t="str">
        <x:v>FR</x:v>
      </x:c>
      <x:c r="G992" s="187" t="str">
        <x:v>FR_FC</x:v>
      </x:c>
      <x:c r="H992" s="187" t="str">
        <x:v>CARRIER_B</x:v>
      </x:c>
      <x:c r="I992" s="187" t="str">
        <x:v>ROAD</x:v>
      </x:c>
      <x:c r="J992" s="187" t="str">
        <x:v>PACKAGING</x:v>
      </x:c>
      <x:c r="K992" s="187" t="str">
        <x:v>EUR</x:v>
      </x:c>
      <x:c r="L992" s="232" t="n">
        <x:v>1405.90726845712</x:v>
      </x:c>
      <x:c r="M992" s="232" t="n">
        <x:v>7.87</x:v>
      </x:c>
      <x:c r="N992" s="187" t="str">
        <x:v>11064.49020275753440000</x:v>
      </x:c>
      <x:c r="O992" s="235" t="n">
        <x:v>11064.4902</x:v>
      </x:c>
      <x:c r="P992" s="235" t="n">
        <x:v>11064.4902</x:v>
      </x:c>
      <x:c r="Q992" s="235" t="n">
        <x:v>0</x:v>
      </x:c>
      <x:c r="R992" s="235" t="str">
        <x:v>INVOICE_OR_PLAN</x:v>
      </x:c>
      <x:c r="S992" s="238" t="n">
        <x:f>'Model_Calc'!AQ169</x:f>
        <x:v>11064.490202757535</x:v>
      </x:c>
      <x:c r="T992" s="238" t="n">
        <x:f>ROUND(S992-O992,4)</x:f>
        <x:v>0</x:v>
      </x:c>
    </x:row>
    <x:row r="993">
      <x:c r="A993" s="187" t="str">
        <x:v>ACTUAL_2026_08_CLOSE_V1</x:v>
      </x:c>
      <x:c r="B993" s="187" t="str">
        <x:v>ACTUAL</x:v>
      </x:c>
      <x:c r="C993" s="187"/>
      <x:c r="D993" s="217" t="n">
        <x:v>46143</x:v>
      </x:c>
      <x:c r="E993" s="187" t="str">
        <x:v>R_FR_FR_B_ROAD</x:v>
      </x:c>
      <x:c r="F993" s="187" t="str">
        <x:v>FR</x:v>
      </x:c>
      <x:c r="G993" s="187" t="str">
        <x:v>FR_FC</x:v>
      </x:c>
      <x:c r="H993" s="187" t="str">
        <x:v>CARRIER_B</x:v>
      </x:c>
      <x:c r="I993" s="187" t="str">
        <x:v>ROAD</x:v>
      </x:c>
      <x:c r="J993" s="187" t="str">
        <x:v>RETURN_LOGISTICS</x:v>
      </x:c>
      <x:c r="K993" s="187" t="str">
        <x:v>EUR</x:v>
      </x:c>
      <x:c r="L993" s="232" t="n">
        <x:v>625.757418</x:v>
      </x:c>
      <x:c r="M993" s="232" t="n">
        <x:v>7.87</x:v>
      </x:c>
      <x:c r="N993" s="187" t="str">
        <x:v>4924.710879660000000</x:v>
      </x:c>
      <x:c r="O993" s="235" t="n">
        <x:v>4924.7109</x:v>
      </x:c>
      <x:c r="P993" s="235" t="n">
        <x:v>4924.7109</x:v>
      </x:c>
      <x:c r="Q993" s="235" t="n">
        <x:v>0</x:v>
      </x:c>
      <x:c r="R993" s="235" t="str">
        <x:v>INVOICE_OR_PLAN</x:v>
      </x:c>
      <x:c r="S993" s="238" t="n">
        <x:f>'Model_Calc'!AV169</x:f>
        <x:v>4924.7108796600005</x:v>
      </x:c>
      <x:c r="T993" s="238" t="n">
        <x:f>ROUND(S993-O993,4)</x:f>
        <x:v>0</x:v>
      </x:c>
    </x:row>
    <x:row r="994">
      <x:c r="A994" s="187" t="str">
        <x:v>ACTUAL_2026_08_CLOSE_V1</x:v>
      </x:c>
      <x:c r="B994" s="187" t="str">
        <x:v>ACTUAL</x:v>
      </x:c>
      <x:c r="C994" s="187"/>
      <x:c r="D994" s="217" t="n">
        <x:v>46143</x:v>
      </x:c>
      <x:c r="E994" s="187" t="str">
        <x:v>R_FR_FR_B_ROAD</x:v>
      </x:c>
      <x:c r="F994" s="187" t="str">
        <x:v>FR</x:v>
      </x:c>
      <x:c r="G994" s="187" t="str">
        <x:v>FR_FC</x:v>
      </x:c>
      <x:c r="H994" s="187" t="str">
        <x:v>CARRIER_B</x:v>
      </x:c>
      <x:c r="I994" s="187" t="str">
        <x:v>ROAD</x:v>
      </x:c>
      <x:c r="J994" s="187" t="str">
        <x:v>BILLABLE_EXCEPTION</x:v>
      </x:c>
      <x:c r="K994" s="187" t="str">
        <x:v>EUR</x:v>
      </x:c>
      <x:c r="L994" s="232" t="n">
        <x:v>121.51478506633066</x:v>
      </x:c>
      <x:c r="M994" s="232" t="n">
        <x:v>7.87</x:v>
      </x:c>
      <x:c r="N994" s="187" t="str">
        <x:v>956.3213584720222627200000</x:v>
      </x:c>
      <x:c r="O994" s="235" t="n">
        <x:v>956.3214</x:v>
      </x:c>
      <x:c r="P994" s="235" t="n">
        <x:v>956.3214</x:v>
      </x:c>
      <x:c r="Q994" s="235" t="n">
        <x:v>0</x:v>
      </x:c>
      <x:c r="R994" s="235" t="str">
        <x:v>INVOICE_OR_PLAN</x:v>
      </x:c>
      <x:c r="S994" s="238" t="n">
        <x:f>'Model_Calc'!BA169</x:f>
        <x:v>956.3213584720224</x:v>
      </x:c>
      <x:c r="T994" s="238" t="n">
        <x:f>ROUND(S994-O994,4)</x:f>
        <x:v>0</x:v>
      </x:c>
    </x:row>
    <x:row r="995">
      <x:c r="A995" s="187" t="str">
        <x:v>ACTUAL_2026_08_CLOSE_V1</x:v>
      </x:c>
      <x:c r="B995" s="187" t="str">
        <x:v>ACTUAL</x:v>
      </x:c>
      <x:c r="C995" s="187"/>
      <x:c r="D995" s="217" t="n">
        <x:v>46143</x:v>
      </x:c>
      <x:c r="E995" s="187" t="str">
        <x:v>R_GB_DE_A_ROAD</x:v>
      </x:c>
      <x:c r="F995" s="187" t="str">
        <x:v>GB</x:v>
      </x:c>
      <x:c r="G995" s="187" t="str">
        <x:v>DE_FC</x:v>
      </x:c>
      <x:c r="H995" s="187" t="str">
        <x:v>CARRIER_A</x:v>
      </x:c>
      <x:c r="I995" s="187" t="str">
        <x:v>ROAD</x:v>
      </x:c>
      <x:c r="J995" s="187" t="str">
        <x:v>BASE_FREIGHT</x:v>
      </x:c>
      <x:c r="K995" s="187" t="str">
        <x:v>GBP</x:v>
      </x:c>
      <x:c r="L995" s="232" t="n">
        <x:v>13573.516045740393</x:v>
      </x:c>
      <x:c r="M995" s="232" t="n">
        <x:v>9.13</x:v>
      </x:c>
      <x:c r="N995" s="187" t="str">
        <x:v>123926.201497609783050240000000</x:v>
      </x:c>
      <x:c r="O995" s="235" t="n">
        <x:v>123926.2015</x:v>
      </x:c>
      <x:c r="P995" s="235" t="n">
        <x:v>123926.2015</x:v>
      </x:c>
      <x:c r="Q995" s="235" t="n">
        <x:v>0</x:v>
      </x:c>
      <x:c r="R995" s="235" t="str">
        <x:v>INVOICE_OR_PLAN</x:v>
      </x:c>
      <x:c r="S995" s="238" t="n">
        <x:f>'Model_Calc'!AF170</x:f>
        <x:v>123926.20149760976</x:v>
      </x:c>
      <x:c r="T995" s="238" t="n">
        <x:f>ROUND(S995-O995,4)</x:f>
        <x:v>0</x:v>
      </x:c>
    </x:row>
    <x:row r="996">
      <x:c r="A996" s="187" t="str">
        <x:v>ACTUAL_2026_08_CLOSE_V1</x:v>
      </x:c>
      <x:c r="B996" s="187" t="str">
        <x:v>ACTUAL</x:v>
      </x:c>
      <x:c r="C996" s="187"/>
      <x:c r="D996" s="217" t="n">
        <x:v>46143</x:v>
      </x:c>
      <x:c r="E996" s="187" t="str">
        <x:v>R_GB_DE_A_ROAD</x:v>
      </x:c>
      <x:c r="F996" s="187" t="str">
        <x:v>GB</x:v>
      </x:c>
      <x:c r="G996" s="187" t="str">
        <x:v>DE_FC</x:v>
      </x:c>
      <x:c r="H996" s="187" t="str">
        <x:v>CARRIER_A</x:v>
      </x:c>
      <x:c r="I996" s="187" t="str">
        <x:v>ROAD</x:v>
      </x:c>
      <x:c r="J996" s="187" t="str">
        <x:v>FUEL_SURCHARGE</x:v>
      </x:c>
      <x:c r="K996" s="187" t="str">
        <x:v>GBP</x:v>
      </x:c>
      <x:c r="L996" s="232" t="n">
        <x:v>1370.9251206197796</x:v>
      </x:c>
      <x:c r="M996" s="232" t="n">
        <x:v>9.13</x:v>
      </x:c>
      <x:c r="N996" s="187" t="str">
        <x:v>12516.546351258588088074240000000000</x:v>
      </x:c>
      <x:c r="O996" s="235" t="n">
        <x:v>12516.5464</x:v>
      </x:c>
      <x:c r="P996" s="235" t="n">
        <x:v>12516.5464</x:v>
      </x:c>
      <x:c r="Q996" s="235" t="n">
        <x:v>0</x:v>
      </x:c>
      <x:c r="R996" s="235" t="str">
        <x:v>INVOICE_OR_PLAN</x:v>
      </x:c>
      <x:c r="S996" s="238" t="n">
        <x:f>'Model_Calc'!AG170</x:f>
        <x:v>12516.546351258587</x:v>
      </x:c>
      <x:c r="T996" s="238" t="n">
        <x:f>ROUND(S996-O996,4)</x:f>
        <x:v>0</x:v>
      </x:c>
    </x:row>
    <x:row r="997">
      <x:c r="A997" s="187" t="str">
        <x:v>ACTUAL_2026_08_CLOSE_V1</x:v>
      </x:c>
      <x:c r="B997" s="187" t="str">
        <x:v>ACTUAL</x:v>
      </x:c>
      <x:c r="C997" s="187"/>
      <x:c r="D997" s="217" t="n">
        <x:v>46143</x:v>
      </x:c>
      <x:c r="E997" s="187" t="str">
        <x:v>R_GB_DE_A_ROAD</x:v>
      </x:c>
      <x:c r="F997" s="187" t="str">
        <x:v>GB</x:v>
      </x:c>
      <x:c r="G997" s="187" t="str">
        <x:v>DE_FC</x:v>
      </x:c>
      <x:c r="H997" s="187" t="str">
        <x:v>CARRIER_A</x:v>
      </x:c>
      <x:c r="I997" s="187" t="str">
        <x:v>ROAD</x:v>
      </x:c>
      <x:c r="J997" s="187" t="str">
        <x:v>WAREHOUSE_OPERATION</x:v>
      </x:c>
      <x:c r="K997" s="187" t="str">
        <x:v>EUR</x:v>
      </x:c>
      <x:c r="L997" s="232" t="n">
        <x:v>3473.73278592</x:v>
      </x:c>
      <x:c r="M997" s="232" t="n">
        <x:v>7.87</x:v>
      </x:c>
      <x:c r="N997" s="187" t="str">
        <x:v>27338.27702519040000</x:v>
      </x:c>
      <x:c r="O997" s="235" t="n">
        <x:v>27338.277</x:v>
      </x:c>
      <x:c r="P997" s="235" t="n">
        <x:v>27338.277</x:v>
      </x:c>
      <x:c r="Q997" s="235" t="n">
        <x:v>0</x:v>
      </x:c>
      <x:c r="R997" s="235" t="str">
        <x:v>INVOICE_OR_PLAN</x:v>
      </x:c>
      <x:c r="S997" s="238" t="n">
        <x:f>'Model_Calc'!AL170</x:f>
        <x:v>27338.2770251904</x:v>
      </x:c>
      <x:c r="T997" s="238" t="n">
        <x:f>ROUND(S997-O997,4)</x:f>
        <x:v>0</x:v>
      </x:c>
    </x:row>
    <x:row r="998">
      <x:c r="A998" s="187" t="str">
        <x:v>ACTUAL_2026_08_CLOSE_V1</x:v>
      </x:c>
      <x:c r="B998" s="187" t="str">
        <x:v>ACTUAL</x:v>
      </x:c>
      <x:c r="C998" s="187"/>
      <x:c r="D998" s="217" t="n">
        <x:v>46143</x:v>
      </x:c>
      <x:c r="E998" s="187" t="str">
        <x:v>R_GB_DE_A_ROAD</x:v>
      </x:c>
      <x:c r="F998" s="187" t="str">
        <x:v>GB</x:v>
      </x:c>
      <x:c r="G998" s="187" t="str">
        <x:v>DE_FC</x:v>
      </x:c>
      <x:c r="H998" s="187" t="str">
        <x:v>CARRIER_A</x:v>
      </x:c>
      <x:c r="I998" s="187" t="str">
        <x:v>ROAD</x:v>
      </x:c>
      <x:c r="J998" s="187" t="str">
        <x:v>PACKAGING</x:v>
      </x:c>
      <x:c r="K998" s="187" t="str">
        <x:v>EUR</x:v>
      </x:c>
      <x:c r="L998" s="232" t="n">
        <x:v>1390.3221000904705</x:v>
      </x:c>
      <x:c r="M998" s="232" t="n">
        <x:v>7.87</x:v>
      </x:c>
      <x:c r="N998" s="187" t="str">
        <x:v>10941.8349277120020480000</x:v>
      </x:c>
      <x:c r="O998" s="235" t="n">
        <x:v>10941.8349</x:v>
      </x:c>
      <x:c r="P998" s="235" t="n">
        <x:v>10941.8349</x:v>
      </x:c>
      <x:c r="Q998" s="235" t="n">
        <x:v>0</x:v>
      </x:c>
      <x:c r="R998" s="235" t="str">
        <x:v>INVOICE_OR_PLAN</x:v>
      </x:c>
      <x:c r="S998" s="238" t="n">
        <x:f>'Model_Calc'!AQ170</x:f>
        <x:v>10941.834927712001</x:v>
      </x:c>
      <x:c r="T998" s="238" t="n">
        <x:f>ROUND(S998-O998,4)</x:f>
        <x:v>0</x:v>
      </x:c>
    </x:row>
    <x:row r="999">
      <x:c r="A999" s="187" t="str">
        <x:v>ACTUAL_2026_08_CLOSE_V1</x:v>
      </x:c>
      <x:c r="B999" s="187" t="str">
        <x:v>ACTUAL</x:v>
      </x:c>
      <x:c r="C999" s="187"/>
      <x:c r="D999" s="217" t="n">
        <x:v>46143</x:v>
      </x:c>
      <x:c r="E999" s="187" t="str">
        <x:v>R_GB_DE_A_ROAD</x:v>
      </x:c>
      <x:c r="F999" s="187" t="str">
        <x:v>GB</x:v>
      </x:c>
      <x:c r="G999" s="187" t="str">
        <x:v>DE_FC</x:v>
      </x:c>
      <x:c r="H999" s="187" t="str">
        <x:v>CARRIER_A</x:v>
      </x:c>
      <x:c r="I999" s="187" t="str">
        <x:v>ROAD</x:v>
      </x:c>
      <x:c r="J999" s="187" t="str">
        <x:v>RETURN_LOGISTICS</x:v>
      </x:c>
      <x:c r="K999" s="187" t="str">
        <x:v>GBP</x:v>
      </x:c>
      <x:c r="L999" s="232" t="n">
        <x:v>1130.435076096</x:v>
      </x:c>
      <x:c r="M999" s="232" t="n">
        <x:v>9.13</x:v>
      </x:c>
      <x:c r="N999" s="187" t="str">
        <x:v>10320.87224475648000000</x:v>
      </x:c>
      <x:c r="O999" s="235" t="n">
        <x:v>10320.8722</x:v>
      </x:c>
      <x:c r="P999" s="235" t="n">
        <x:v>10320.8722</x:v>
      </x:c>
      <x:c r="Q999" s="235" t="n">
        <x:v>0</x:v>
      </x:c>
      <x:c r="R999" s="235" t="str">
        <x:v>INVOICE_OR_PLAN</x:v>
      </x:c>
      <x:c r="S999" s="238" t="n">
        <x:f>'Model_Calc'!AV170</x:f>
        <x:v>10320.87224475648</x:v>
      </x:c>
      <x:c r="T999" s="238" t="n">
        <x:f>ROUND(S999-O999,4)</x:f>
        <x:v>0</x:v>
      </x:c>
    </x:row>
    <x:row r="1000">
      <x:c r="A1000" s="187" t="str">
        <x:v>ACTUAL_2026_08_CLOSE_V1</x:v>
      </x:c>
      <x:c r="B1000" s="187" t="str">
        <x:v>ACTUAL</x:v>
      </x:c>
      <x:c r="C1000" s="187"/>
      <x:c r="D1000" s="217" t="n">
        <x:v>46143</x:v>
      </x:c>
      <x:c r="E1000" s="187" t="str">
        <x:v>R_GB_DE_A_ROAD</x:v>
      </x:c>
      <x:c r="F1000" s="187" t="str">
        <x:v>GB</x:v>
      </x:c>
      <x:c r="G1000" s="187" t="str">
        <x:v>DE_FC</x:v>
      </x:c>
      <x:c r="H1000" s="187" t="str">
        <x:v>CARRIER_A</x:v>
      </x:c>
      <x:c r="I1000" s="187" t="str">
        <x:v>ROAD</x:v>
      </x:c>
      <x:c r="J1000" s="187" t="str">
        <x:v>BILLABLE_EXCEPTION</x:v>
      </x:c>
      <x:c r="K1000" s="187" t="str">
        <x:v>GBP</x:v>
      </x:c>
      <x:c r="L1000" s="232" t="n">
        <x:v>170.85072435683182</x:v>
      </x:c>
      <x:c r="M1000" s="232" t="n">
        <x:v>9.13</x:v>
      </x:c>
      <x:c r="N1000" s="187" t="str">
        <x:v>1559.867113377874383667200000</x:v>
      </x:c>
      <x:c r="O1000" s="235" t="n">
        <x:v>1559.8671</x:v>
      </x:c>
      <x:c r="P1000" s="235" t="n">
        <x:v>1559.8671</x:v>
      </x:c>
      <x:c r="Q1000" s="235" t="n">
        <x:v>0</x:v>
      </x:c>
      <x:c r="R1000" s="235" t="str">
        <x:v>INVOICE_OR_PLAN</x:v>
      </x:c>
      <x:c r="S1000" s="238" t="n">
        <x:f>'Model_Calc'!BA170</x:f>
        <x:v>1559.8671133778741</x:v>
      </x:c>
      <x:c r="T1000" s="238" t="n">
        <x:f>ROUND(S1000-O1000,4)</x:f>
        <x:v>0</x:v>
      </x:c>
    </x:row>
    <x:row r="1001">
      <x:c r="A1001" s="187" t="str">
        <x:v>ACTUAL_2026_08_CLOSE_V1</x:v>
      </x:c>
      <x:c r="B1001" s="187" t="str">
        <x:v>ACTUAL</x:v>
      </x:c>
      <x:c r="C1001" s="187"/>
      <x:c r="D1001" s="217" t="n">
        <x:v>46143</x:v>
      </x:c>
      <x:c r="E1001" s="187" t="str">
        <x:v>R_GB_DE_B_ROAD</x:v>
      </x:c>
      <x:c r="F1001" s="187" t="str">
        <x:v>GB</x:v>
      </x:c>
      <x:c r="G1001" s="187" t="str">
        <x:v>DE_FC</x:v>
      </x:c>
      <x:c r="H1001" s="187" t="str">
        <x:v>CARRIER_B</x:v>
      </x:c>
      <x:c r="I1001" s="187" t="str">
        <x:v>ROAD</x:v>
      </x:c>
      <x:c r="J1001" s="187" t="str">
        <x:v>BASE_FREIGHT</x:v>
      </x:c>
      <x:c r="K1001" s="187" t="str">
        <x:v>GBP</x:v>
      </x:c>
      <x:c r="L1001" s="232" t="n">
        <x:v>6304.902495945984</x:v>
      </x:c>
      <x:c r="M1001" s="232" t="n">
        <x:v>9.13</x:v>
      </x:c>
      <x:c r="N1001" s="187" t="str">
        <x:v>57563.759787986833920000000000</x:v>
      </x:c>
      <x:c r="O1001" s="235" t="n">
        <x:v>57563.7598</x:v>
      </x:c>
      <x:c r="P1001" s="235" t="n">
        <x:v>57563.7598</x:v>
      </x:c>
      <x:c r="Q1001" s="235" t="n">
        <x:v>0</x:v>
      </x:c>
      <x:c r="R1001" s="235" t="str">
        <x:v>INVOICE_OR_PLAN</x:v>
      </x:c>
      <x:c r="S1001" s="238" t="n">
        <x:f>'Model_Calc'!AF171</x:f>
        <x:v>57563.759787986826</x:v>
      </x:c>
      <x:c r="T1001" s="238" t="n">
        <x:f>ROUND(S1001-O1001,4)</x:f>
        <x:v>0</x:v>
      </x:c>
    </x:row>
    <x:row r="1002">
      <x:c r="A1002" s="187" t="str">
        <x:v>ACTUAL_2026_08_CLOSE_V1</x:v>
      </x:c>
      <x:c r="B1002" s="187" t="str">
        <x:v>ACTUAL</x:v>
      </x:c>
      <x:c r="C1002" s="187"/>
      <x:c r="D1002" s="217" t="n">
        <x:v>46143</x:v>
      </x:c>
      <x:c r="E1002" s="187" t="str">
        <x:v>R_GB_DE_B_ROAD</x:v>
      </x:c>
      <x:c r="F1002" s="187" t="str">
        <x:v>GB</x:v>
      </x:c>
      <x:c r="G1002" s="187" t="str">
        <x:v>DE_FC</x:v>
      </x:c>
      <x:c r="H1002" s="187" t="str">
        <x:v>CARRIER_B</x:v>
      </x:c>
      <x:c r="I1002" s="187" t="str">
        <x:v>ROAD</x:v>
      </x:c>
      <x:c r="J1002" s="187" t="str">
        <x:v>FUEL_SURCHARGE</x:v>
      </x:c>
      <x:c r="K1002" s="187" t="str">
        <x:v>GBP</x:v>
      </x:c>
      <x:c r="L1002" s="232" t="n">
        <x:v>442.6846433323776</x:v>
      </x:c>
      <x:c r="M1002" s="232" t="n">
        <x:v>9.13</x:v>
      </x:c>
      <x:c r="N1002" s="187" t="str">
        <x:v>4041.710793624607488000000000</x:v>
      </x:c>
      <x:c r="O1002" s="235" t="n">
        <x:v>4041.7108</x:v>
      </x:c>
      <x:c r="P1002" s="235" t="n">
        <x:v>4041.7108</x:v>
      </x:c>
      <x:c r="Q1002" s="235" t="n">
        <x:v>0</x:v>
      </x:c>
      <x:c r="R1002" s="235" t="str">
        <x:v>INVOICE_OR_PLAN</x:v>
      </x:c>
      <x:c r="S1002" s="238" t="n">
        <x:f>'Model_Calc'!AG171</x:f>
        <x:v>4041.710793624607</x:v>
      </x:c>
      <x:c r="T1002" s="238" t="n">
        <x:f>ROUND(S1002-O1002,4)</x:f>
        <x:v>0</x:v>
      </x:c>
    </x:row>
    <x:row r="1003">
      <x:c r="A1003" s="187" t="str">
        <x:v>ACTUAL_2026_08_CLOSE_V1</x:v>
      </x:c>
      <x:c r="B1003" s="187" t="str">
        <x:v>ACTUAL</x:v>
      </x:c>
      <x:c r="C1003" s="187"/>
      <x:c r="D1003" s="217" t="n">
        <x:v>46143</x:v>
      </x:c>
      <x:c r="E1003" s="187" t="str">
        <x:v>R_GB_DE_B_ROAD</x:v>
      </x:c>
      <x:c r="F1003" s="187" t="str">
        <x:v>GB</x:v>
      </x:c>
      <x:c r="G1003" s="187" t="str">
        <x:v>DE_FC</x:v>
      </x:c>
      <x:c r="H1003" s="187" t="str">
        <x:v>CARRIER_B</x:v>
      </x:c>
      <x:c r="I1003" s="187" t="str">
        <x:v>ROAD</x:v>
      </x:c>
      <x:c r="J1003" s="187" t="str">
        <x:v>WAREHOUSE_OPERATION</x:v>
      </x:c>
      <x:c r="K1003" s="187" t="str">
        <x:v>EUR</x:v>
      </x:c>
      <x:c r="L1003" s="232" t="n">
        <x:v>1400.698704</x:v>
      </x:c>
      <x:c r="M1003" s="232" t="n">
        <x:v>7.87</x:v>
      </x:c>
      <x:c r="N1003" s="187" t="str">
        <x:v>11023.49880048000000</x:v>
      </x:c>
      <x:c r="O1003" s="235" t="n">
        <x:v>11023.4988</x:v>
      </x:c>
      <x:c r="P1003" s="235" t="n">
        <x:v>11023.4988</x:v>
      </x:c>
      <x:c r="Q1003" s="235" t="n">
        <x:v>0</x:v>
      </x:c>
      <x:c r="R1003" s="235" t="str">
        <x:v>INVOICE_OR_PLAN</x:v>
      </x:c>
      <x:c r="S1003" s="238" t="n">
        <x:f>'Model_Calc'!AL171</x:f>
        <x:v>11023.49880048</x:v>
      </x:c>
      <x:c r="T1003" s="238" t="n">
        <x:f>ROUND(S1003-O1003,4)</x:f>
        <x:v>0</x:v>
      </x:c>
    </x:row>
    <x:row r="1004">
      <x:c r="A1004" s="187" t="str">
        <x:v>ACTUAL_2026_08_CLOSE_V1</x:v>
      </x:c>
      <x:c r="B1004" s="187" t="str">
        <x:v>ACTUAL</x:v>
      </x:c>
      <x:c r="C1004" s="187"/>
      <x:c r="D1004" s="217" t="n">
        <x:v>46143</x:v>
      </x:c>
      <x:c r="E1004" s="187" t="str">
        <x:v>R_GB_DE_B_ROAD</x:v>
      </x:c>
      <x:c r="F1004" s="187" t="str">
        <x:v>GB</x:v>
      </x:c>
      <x:c r="G1004" s="187" t="str">
        <x:v>DE_FC</x:v>
      </x:c>
      <x:c r="H1004" s="187" t="str">
        <x:v>CARRIER_B</x:v>
      </x:c>
      <x:c r="I1004" s="187" t="str">
        <x:v>ROAD</x:v>
      </x:c>
      <x:c r="J1004" s="187" t="str">
        <x:v>PACKAGING</x:v>
      </x:c>
      <x:c r="K1004" s="187" t="str">
        <x:v>EUR</x:v>
      </x:c>
      <x:c r="L1004" s="232" t="n">
        <x:v>560.61375003648</x:v>
      </x:c>
      <x:c r="M1004" s="232" t="n">
        <x:v>7.87</x:v>
      </x:c>
      <x:c r="N1004" s="187" t="str">
        <x:v>4412.0302127870976000000</x:v>
      </x:c>
      <x:c r="O1004" s="235" t="n">
        <x:v>4412.0302</x:v>
      </x:c>
      <x:c r="P1004" s="235" t="n">
        <x:v>4412.0302</x:v>
      </x:c>
      <x:c r="Q1004" s="235" t="n">
        <x:v>0</x:v>
      </x:c>
      <x:c r="R1004" s="235" t="str">
        <x:v>INVOICE_OR_PLAN</x:v>
      </x:c>
      <x:c r="S1004" s="238" t="n">
        <x:f>'Model_Calc'!AQ171</x:f>
        <x:v>4412.030212787098</x:v>
      </x:c>
      <x:c r="T1004" s="238" t="n">
        <x:f>ROUND(S1004-O1004,4)</x:f>
        <x:v>0</x:v>
      </x:c>
    </x:row>
    <x:row r="1005">
      <x:c r="A1005" s="187" t="str">
        <x:v>ACTUAL_2026_08_CLOSE_V1</x:v>
      </x:c>
      <x:c r="B1005" s="187" t="str">
        <x:v>ACTUAL</x:v>
      </x:c>
      <x:c r="C1005" s="187"/>
      <x:c r="D1005" s="217" t="n">
        <x:v>46143</x:v>
      </x:c>
      <x:c r="E1005" s="187" t="str">
        <x:v>R_GB_DE_B_ROAD</x:v>
      </x:c>
      <x:c r="F1005" s="187" t="str">
        <x:v>GB</x:v>
      </x:c>
      <x:c r="G1005" s="187" t="str">
        <x:v>DE_FC</x:v>
      </x:c>
      <x:c r="H1005" s="187" t="str">
        <x:v>CARRIER_B</x:v>
      </x:c>
      <x:c r="I1005" s="187" t="str">
        <x:v>ROAD</x:v>
      </x:c>
      <x:c r="J1005" s="187" t="str">
        <x:v>RETURN_LOGISTICS</x:v>
      </x:c>
      <x:c r="K1005" s="187" t="str">
        <x:v>GBP</x:v>
      </x:c>
      <x:c r="L1005" s="232" t="n">
        <x:v>455.8205952</x:v>
      </x:c>
      <x:c r="M1005" s="232" t="n">
        <x:v>9.13</x:v>
      </x:c>
      <x:c r="N1005" s="187" t="str">
        <x:v>4161.64203417600000000</x:v>
      </x:c>
      <x:c r="O1005" s="235" t="n">
        <x:v>4161.642</x:v>
      </x:c>
      <x:c r="P1005" s="235" t="n">
        <x:v>4161.642</x:v>
      </x:c>
      <x:c r="Q1005" s="235" t="n">
        <x:v>0</x:v>
      </x:c>
      <x:c r="R1005" s="235" t="str">
        <x:v>INVOICE_OR_PLAN</x:v>
      </x:c>
      <x:c r="S1005" s="238" t="n">
        <x:f>'Model_Calc'!AV171</x:f>
        <x:v>4161.642034176</x:v>
      </x:c>
      <x:c r="T1005" s="238" t="n">
        <x:f>ROUND(S1005-O1005,4)</x:f>
        <x:v>0</x:v>
      </x:c>
    </x:row>
    <x:row r="1006">
      <x:c r="A1006" s="187" t="str">
        <x:v>ACTUAL_2026_08_CLOSE_V1</x:v>
      </x:c>
      <x:c r="B1006" s="187" t="str">
        <x:v>ACTUAL</x:v>
      </x:c>
      <x:c r="C1006" s="187"/>
      <x:c r="D1006" s="217" t="n">
        <x:v>46143</x:v>
      </x:c>
      <x:c r="E1006" s="187" t="str">
        <x:v>R_GB_DE_B_ROAD</x:v>
      </x:c>
      <x:c r="F1006" s="187" t="str">
        <x:v>GB</x:v>
      </x:c>
      <x:c r="G1006" s="187" t="str">
        <x:v>DE_FC</x:v>
      </x:c>
      <x:c r="H1006" s="187" t="str">
        <x:v>CARRIER_B</x:v>
      </x:c>
      <x:c r="I1006" s="187" t="str">
        <x:v>ROAD</x:v>
      </x:c>
      <x:c r="J1006" s="187" t="str">
        <x:v>BILLABLE_EXCEPTION</x:v>
      </x:c>
      <x:c r="K1006" s="187" t="str">
        <x:v>GBP</x:v>
      </x:c>
      <x:c r="L1006" s="232" t="n">
        <x:v>53.23427994989261</x:v>
      </x:c>
      <x:c r="M1006" s="232" t="n">
        <x:v>9.13</x:v>
      </x:c>
      <x:c r="N1006" s="187" t="str">
        <x:v>486.028975942519511040000000</x:v>
      </x:c>
      <x:c r="O1006" s="235" t="n">
        <x:v>486.029</x:v>
      </x:c>
      <x:c r="P1006" s="235" t="n">
        <x:v>486.029</x:v>
      </x:c>
      <x:c r="Q1006" s="235" t="n">
        <x:v>0</x:v>
      </x:c>
      <x:c r="R1006" s="235" t="str">
        <x:v>INVOICE_OR_PLAN</x:v>
      </x:c>
      <x:c r="S1006" s="238" t="n">
        <x:f>'Model_Calc'!BA171</x:f>
        <x:v>486.0289759425196</x:v>
      </x:c>
      <x:c r="T1006" s="238" t="n">
        <x:f>ROUND(S1006-O1006,4)</x:f>
        <x:v>0</x:v>
      </x:c>
    </x:row>
    <x:row r="1007">
      <x:c r="A1007" s="187" t="str">
        <x:v>ACTUAL_2026_08_CLOSE_V1</x:v>
      </x:c>
      <x:c r="B1007" s="187" t="str">
        <x:v>ACTUAL</x:v>
      </x:c>
      <x:c r="C1007" s="187"/>
      <x:c r="D1007" s="217" t="n">
        <x:v>46143</x:v>
      </x:c>
      <x:c r="E1007" s="187" t="str">
        <x:v>R_GB_DE_B_AIR</x:v>
      </x:c>
      <x:c r="F1007" s="187" t="str">
        <x:v>GB</x:v>
      </x:c>
      <x:c r="G1007" s="187" t="str">
        <x:v>DE_FC</x:v>
      </x:c>
      <x:c r="H1007" s="187" t="str">
        <x:v>CARRIER_B</x:v>
      </x:c>
      <x:c r="I1007" s="187" t="str">
        <x:v>AIR</x:v>
      </x:c>
      <x:c r="J1007" s="187" t="str">
        <x:v>BASE_FREIGHT</x:v>
      </x:c>
      <x:c r="K1007" s="187" t="str">
        <x:v>GBP</x:v>
      </x:c>
      <x:c r="L1007" s="232" t="n">
        <x:v>2814.5084741902874</x:v>
      </x:c>
      <x:c r="M1007" s="232" t="n">
        <x:v>9.13</x:v>
      </x:c>
      <x:c r="N1007" s="187" t="str">
        <x:v>25696.462369357322661888000000</x:v>
      </x:c>
      <x:c r="O1007" s="235" t="n">
        <x:v>25696.4624</x:v>
      </x:c>
      <x:c r="P1007" s="235" t="n">
        <x:v>25696.4624</x:v>
      </x:c>
      <x:c r="Q1007" s="235" t="n">
        <x:v>0</x:v>
      </x:c>
      <x:c r="R1007" s="235" t="str">
        <x:v>INVOICE_OR_PLAN</x:v>
      </x:c>
      <x:c r="S1007" s="238" t="n">
        <x:f>'Model_Calc'!AF172</x:f>
        <x:v>25696.462369357323</x:v>
      </x:c>
      <x:c r="T1007" s="238" t="n">
        <x:f>ROUND(S1007-O1007,4)</x:f>
        <x:v>0</x:v>
      </x:c>
    </x:row>
    <x:row r="1008">
      <x:c r="A1008" s="187" t="str">
        <x:v>ACTUAL_2026_08_CLOSE_V1</x:v>
      </x:c>
      <x:c r="B1008" s="187" t="str">
        <x:v>ACTUAL</x:v>
      </x:c>
      <x:c r="C1008" s="187"/>
      <x:c r="D1008" s="217" t="n">
        <x:v>46143</x:v>
      </x:c>
      <x:c r="E1008" s="187" t="str">
        <x:v>R_GB_DE_B_AIR</x:v>
      </x:c>
      <x:c r="F1008" s="187" t="str">
        <x:v>GB</x:v>
      </x:c>
      <x:c r="G1008" s="187" t="str">
        <x:v>DE_FC</x:v>
      </x:c>
      <x:c r="H1008" s="187" t="str">
        <x:v>CARRIER_B</x:v>
      </x:c>
      <x:c r="I1008" s="187" t="str">
        <x:v>AIR</x:v>
      </x:c>
      <x:c r="J1008" s="187" t="str">
        <x:v>FUEL_SURCHARGE</x:v>
      </x:c>
      <x:c r="K1008" s="187" t="str">
        <x:v>GBP</x:v>
      </x:c>
      <x:c r="L1008" s="232" t="n">
        <x:v>326.90515927720185</x:v>
      </x:c>
      <x:c r="M1008" s="232" t="n">
        <x:v>9.13</x:v>
      </x:c>
      <x:c r="N1008" s="187" t="str">
        <x:v>2984.644104200853027178291200000000</x:v>
      </x:c>
      <x:c r="O1008" s="235" t="n">
        <x:v>2984.6441</x:v>
      </x:c>
      <x:c r="P1008" s="235" t="n">
        <x:v>2984.6441</x:v>
      </x:c>
      <x:c r="Q1008" s="235" t="n">
        <x:v>0</x:v>
      </x:c>
      <x:c r="R1008" s="235" t="str">
        <x:v>INVOICE_OR_PLAN</x:v>
      </x:c>
      <x:c r="S1008" s="238" t="n">
        <x:f>'Model_Calc'!AG172</x:f>
        <x:v>2984.6441042008532</x:v>
      </x:c>
      <x:c r="T1008" s="238" t="n">
        <x:f>ROUND(S1008-O1008,4)</x:f>
        <x:v>0</x:v>
      </x:c>
    </x:row>
    <x:row r="1009">
      <x:c r="A1009" s="187" t="str">
        <x:v>ACTUAL_2026_08_CLOSE_V1</x:v>
      </x:c>
      <x:c r="B1009" s="187" t="str">
        <x:v>ACTUAL</x:v>
      </x:c>
      <x:c r="C1009" s="187"/>
      <x:c r="D1009" s="217" t="n">
        <x:v>46143</x:v>
      </x:c>
      <x:c r="E1009" s="187" t="str">
        <x:v>R_GB_DE_B_AIR</x:v>
      </x:c>
      <x:c r="F1009" s="187" t="str">
        <x:v>GB</x:v>
      </x:c>
      <x:c r="G1009" s="187" t="str">
        <x:v>DE_FC</x:v>
      </x:c>
      <x:c r="H1009" s="187" t="str">
        <x:v>CARRIER_B</x:v>
      </x:c>
      <x:c r="I1009" s="187" t="str">
        <x:v>AIR</x:v>
      </x:c>
      <x:c r="J1009" s="187" t="str">
        <x:v>WAREHOUSE_OPERATION</x:v>
      </x:c>
      <x:c r="K1009" s="187" t="str">
        <x:v>EUR</x:v>
      </x:c>
      <x:c r="L1009" s="232" t="n">
        <x:v>504.25153344</x:v>
      </x:c>
      <x:c r="M1009" s="232" t="n">
        <x:v>7.87</x:v>
      </x:c>
      <x:c r="N1009" s="187" t="str">
        <x:v>3968.45956817280000</x:v>
      </x:c>
      <x:c r="O1009" s="235" t="n">
        <x:v>3968.4596</x:v>
      </x:c>
      <x:c r="P1009" s="235" t="n">
        <x:v>3968.4596</x:v>
      </x:c>
      <x:c r="Q1009" s="235" t="n">
        <x:v>0</x:v>
      </x:c>
      <x:c r="R1009" s="235" t="str">
        <x:v>INVOICE_OR_PLAN</x:v>
      </x:c>
      <x:c r="S1009" s="238" t="n">
        <x:f>'Model_Calc'!AL172</x:f>
        <x:v>3968.4595681728</x:v>
      </x:c>
      <x:c r="T1009" s="238" t="n">
        <x:f>ROUND(S1009-O1009,4)</x:f>
        <x:v>0</x:v>
      </x:c>
    </x:row>
    <x:row r="1010">
      <x:c r="A1010" s="187" t="str">
        <x:v>ACTUAL_2026_08_CLOSE_V1</x:v>
      </x:c>
      <x:c r="B1010" s="187" t="str">
        <x:v>ACTUAL</x:v>
      </x:c>
      <x:c r="C1010" s="187"/>
      <x:c r="D1010" s="217" t="n">
        <x:v>46143</x:v>
      </x:c>
      <x:c r="E1010" s="187" t="str">
        <x:v>R_GB_DE_B_AIR</x:v>
      </x:c>
      <x:c r="F1010" s="187" t="str">
        <x:v>GB</x:v>
      </x:c>
      <x:c r="G1010" s="187" t="str">
        <x:v>DE_FC</x:v>
      </x:c>
      <x:c r="H1010" s="187" t="str">
        <x:v>CARRIER_B</x:v>
      </x:c>
      <x:c r="I1010" s="187" t="str">
        <x:v>AIR</x:v>
      </x:c>
      <x:c r="J1010" s="187" t="str">
        <x:v>PACKAGING</x:v>
      </x:c>
      <x:c r="K1010" s="187" t="str">
        <x:v>EUR</x:v>
      </x:c>
      <x:c r="L1010" s="232" t="n">
        <x:v>201.8209500131328</x:v>
      </x:c>
      <x:c r="M1010" s="232" t="n">
        <x:v>7.87</x:v>
      </x:c>
      <x:c r="N1010" s="187" t="str">
        <x:v>1588.3308766033551360000</x:v>
      </x:c>
      <x:c r="O1010" s="235" t="n">
        <x:v>1588.3309</x:v>
      </x:c>
      <x:c r="P1010" s="235" t="n">
        <x:v>1588.3309</x:v>
      </x:c>
      <x:c r="Q1010" s="235" t="n">
        <x:v>0</x:v>
      </x:c>
      <x:c r="R1010" s="235" t="str">
        <x:v>INVOICE_OR_PLAN</x:v>
      </x:c>
      <x:c r="S1010" s="238" t="n">
        <x:f>'Model_Calc'!AQ172</x:f>
        <x:v>1588.3308766033551</x:v>
      </x:c>
      <x:c r="T1010" s="238" t="n">
        <x:f>ROUND(S1010-O1010,4)</x:f>
        <x:v>0</x:v>
      </x:c>
    </x:row>
    <x:row r="1011">
      <x:c r="A1011" s="187" t="str">
        <x:v>ACTUAL_2026_08_CLOSE_V1</x:v>
      </x:c>
      <x:c r="B1011" s="187" t="str">
        <x:v>ACTUAL</x:v>
      </x:c>
      <x:c r="C1011" s="187"/>
      <x:c r="D1011" s="217" t="n">
        <x:v>46143</x:v>
      </x:c>
      <x:c r="E1011" s="187" t="str">
        <x:v>R_GB_DE_B_AIR</x:v>
      </x:c>
      <x:c r="F1011" s="187" t="str">
        <x:v>GB</x:v>
      </x:c>
      <x:c r="G1011" s="187" t="str">
        <x:v>DE_FC</x:v>
      </x:c>
      <x:c r="H1011" s="187" t="str">
        <x:v>CARRIER_B</x:v>
      </x:c>
      <x:c r="I1011" s="187" t="str">
        <x:v>AIR</x:v>
      </x:c>
      <x:c r="J1011" s="187" t="str">
        <x:v>RETURN_LOGISTICS</x:v>
      </x:c>
      <x:c r="K1011" s="187" t="str">
        <x:v>GBP</x:v>
      </x:c>
      <x:c r="L1011" s="232" t="n">
        <x:v>164.095414272</x:v>
      </x:c>
      <x:c r="M1011" s="232" t="n">
        <x:v>9.13</x:v>
      </x:c>
      <x:c r="N1011" s="187" t="str">
        <x:v>1498.19113230336000000</x:v>
      </x:c>
      <x:c r="O1011" s="235" t="n">
        <x:v>1498.1911</x:v>
      </x:c>
      <x:c r="P1011" s="235" t="n">
        <x:v>1498.1911</x:v>
      </x:c>
      <x:c r="Q1011" s="235" t="n">
        <x:v>0</x:v>
      </x:c>
      <x:c r="R1011" s="235" t="str">
        <x:v>INVOICE_OR_PLAN</x:v>
      </x:c>
      <x:c r="S1011" s="238" t="n">
        <x:f>'Model_Calc'!AV172</x:f>
        <x:v>1498.19113230336</x:v>
      </x:c>
      <x:c r="T1011" s="238" t="n">
        <x:f>ROUND(S1011-O1011,4)</x:f>
        <x:v>0</x:v>
      </x:c>
    </x:row>
    <x:row r="1012">
      <x:c r="A1012" s="187" t="str">
        <x:v>ACTUAL_2026_08_CLOSE_V1</x:v>
      </x:c>
      <x:c r="B1012" s="187" t="str">
        <x:v>ACTUAL</x:v>
      </x:c>
      <x:c r="C1012" s="187"/>
      <x:c r="D1012" s="217" t="n">
        <x:v>46143</x:v>
      </x:c>
      <x:c r="E1012" s="187" t="str">
        <x:v>R_GB_DE_B_AIR</x:v>
      </x:c>
      <x:c r="F1012" s="187" t="str">
        <x:v>GB</x:v>
      </x:c>
      <x:c r="G1012" s="187" t="str">
        <x:v>DE_FC</x:v>
      </x:c>
      <x:c r="H1012" s="187" t="str">
        <x:v>CARRIER_B</x:v>
      </x:c>
      <x:c r="I1012" s="187" t="str">
        <x:v>AIR</x:v>
      </x:c>
      <x:c r="J1012" s="187" t="str">
        <x:v>BILLABLE_EXCEPTION</x:v>
      </x:c>
      <x:c r="K1012" s="187" t="str">
        <x:v>GBP</x:v>
      </x:c>
      <x:c r="L1012" s="232" t="n">
        <x:v>17.84097198116094</x:v>
      </x:c>
      <x:c r="M1012" s="232" t="n">
        <x:v>9.13</x:v>
      </x:c>
      <x:c r="N1012" s="187" t="str">
        <x:v>162.888074187999377817600000</x:v>
      </x:c>
      <x:c r="O1012" s="235" t="n">
        <x:v>162.8881</x:v>
      </x:c>
      <x:c r="P1012" s="235" t="n">
        <x:v>162.8881</x:v>
      </x:c>
      <x:c r="Q1012" s="235" t="n">
        <x:v>0</x:v>
      </x:c>
      <x:c r="R1012" s="235" t="str">
        <x:v>INVOICE_OR_PLAN</x:v>
      </x:c>
      <x:c r="S1012" s="238" t="n">
        <x:f>'Model_Calc'!BA172</x:f>
        <x:v>162.88807418799936</x:v>
      </x:c>
      <x:c r="T1012" s="238" t="n">
        <x:f>ROUND(S1012-O1012,4)</x:f>
        <x:v>0</x:v>
      </x:c>
    </x:row>
    <x:row r="1013">
      <x:c r="A1013" s="187" t="str">
        <x:v>ACTUAL_2026_08_CLOSE_V1</x:v>
      </x:c>
      <x:c r="B1013" s="187" t="str">
        <x:v>ACTUAL</x:v>
      </x:c>
      <x:c r="C1013" s="187"/>
      <x:c r="D1013" s="217" t="n">
        <x:v>46143</x:v>
      </x:c>
      <x:c r="E1013" s="187" t="str">
        <x:v>R_GB_DE_C_AIR</x:v>
      </x:c>
      <x:c r="F1013" s="187" t="str">
        <x:v>GB</x:v>
      </x:c>
      <x:c r="G1013" s="187" t="str">
        <x:v>DE_FC</x:v>
      </x:c>
      <x:c r="H1013" s="187" t="str">
        <x:v>CARRIER_C</x:v>
      </x:c>
      <x:c r="I1013" s="187" t="str">
        <x:v>AIR</x:v>
      </x:c>
      <x:c r="J1013" s="187" t="str">
        <x:v>BASE_FREIGHT</x:v>
      </x:c>
      <x:c r="K1013" s="187" t="str">
        <x:v>GBP</x:v>
      </x:c>
      <x:c r="L1013" s="232" t="n">
        <x:v>1480.981352239227</x:v>
      </x:c>
      <x:c r="M1013" s="232" t="n">
        <x:v>9.13</x:v>
      </x:c>
      <x:c r="N1013" s="187" t="str">
        <x:v>13521.359745944141414400000000</x:v>
      </x:c>
      <x:c r="O1013" s="235" t="n">
        <x:v>13521.3597</x:v>
      </x:c>
      <x:c r="P1013" s="235" t="n">
        <x:v>13521.3597</x:v>
      </x:c>
      <x:c r="Q1013" s="235" t="n">
        <x:v>0</x:v>
      </x:c>
      <x:c r="R1013" s="235" t="str">
        <x:v>INVOICE_OR_PLAN</x:v>
      </x:c>
      <x:c r="S1013" s="238" t="n">
        <x:f>'Model_Calc'!AF173</x:f>
        <x:v>13521.359745944143</x:v>
      </x:c>
      <x:c r="T1013" s="238" t="n">
        <x:f>ROUND(S1013-O1013,4)</x:f>
        <x:v>0</x:v>
      </x:c>
    </x:row>
    <x:row r="1014">
      <x:c r="A1014" s="187" t="str">
        <x:v>ACTUAL_2026_08_CLOSE_V1</x:v>
      </x:c>
      <x:c r="B1014" s="187" t="str">
        <x:v>ACTUAL</x:v>
      </x:c>
      <x:c r="C1014" s="187"/>
      <x:c r="D1014" s="217" t="n">
        <x:v>46143</x:v>
      </x:c>
      <x:c r="E1014" s="187" t="str">
        <x:v>R_GB_DE_C_AIR</x:v>
      </x:c>
      <x:c r="F1014" s="187" t="str">
        <x:v>GB</x:v>
      </x:c>
      <x:c r="G1014" s="187" t="str">
        <x:v>DE_FC</x:v>
      </x:c>
      <x:c r="H1014" s="187" t="str">
        <x:v>CARRIER_C</x:v>
      </x:c>
      <x:c r="I1014" s="187" t="str">
        <x:v>AIR</x:v>
      </x:c>
      <x:c r="J1014" s="187" t="str">
        <x:v>FUEL_SURCHARGE</x:v>
      </x:c>
      <x:c r="K1014" s="187" t="str">
        <x:v>GBP</x:v>
      </x:c>
      <x:c r="L1014" s="232" t="n">
        <x:v>114.52922457316689</x:v>
      </x:c>
      <x:c r="M1014" s="232" t="n">
        <x:v>9.13</x:v>
      </x:c>
      <x:c r="N1014" s="187" t="str">
        <x:v>1045.651820353013602713600000</x:v>
      </x:c>
      <x:c r="O1014" s="235" t="n">
        <x:v>1045.6518</x:v>
      </x:c>
      <x:c r="P1014" s="235" t="n">
        <x:v>1045.6518</x:v>
      </x:c>
      <x:c r="Q1014" s="235" t="n">
        <x:v>0</x:v>
      </x:c>
      <x:c r="R1014" s="235" t="str">
        <x:v>INVOICE_OR_PLAN</x:v>
      </x:c>
      <x:c r="S1014" s="238" t="n">
        <x:f>'Model_Calc'!AG173</x:f>
        <x:v>1045.6518203530136</x:v>
      </x:c>
      <x:c r="T1014" s="238" t="n">
        <x:f>ROUND(S1014-O1014,4)</x:f>
        <x:v>0</x:v>
      </x:c>
    </x:row>
    <x:row r="1015">
      <x:c r="A1015" s="187" t="str">
        <x:v>ACTUAL_2026_08_CLOSE_V1</x:v>
      </x:c>
      <x:c r="B1015" s="187" t="str">
        <x:v>ACTUAL</x:v>
      </x:c>
      <x:c r="C1015" s="187"/>
      <x:c r="D1015" s="217" t="n">
        <x:v>46143</x:v>
      </x:c>
      <x:c r="E1015" s="187" t="str">
        <x:v>R_GB_DE_C_AIR</x:v>
      </x:c>
      <x:c r="F1015" s="187" t="str">
        <x:v>GB</x:v>
      </x:c>
      <x:c r="G1015" s="187" t="str">
        <x:v>DE_FC</x:v>
      </x:c>
      <x:c r="H1015" s="187" t="str">
        <x:v>CARRIER_C</x:v>
      </x:c>
      <x:c r="I1015" s="187" t="str">
        <x:v>AIR</x:v>
      </x:c>
      <x:c r="J1015" s="187" t="str">
        <x:v>WAREHOUSE_OPERATION</x:v>
      </x:c>
      <x:c r="K1015" s="187" t="str">
        <x:v>EUR</x:v>
      </x:c>
      <x:c r="L1015" s="232" t="n">
        <x:v>224.11179264</x:v>
      </x:c>
      <x:c r="M1015" s="232" t="n">
        <x:v>7.87</x:v>
      </x:c>
      <x:c r="N1015" s="187" t="str">
        <x:v>1763.75980807680000</x:v>
      </x:c>
      <x:c r="O1015" s="235" t="n">
        <x:v>1763.7598</x:v>
      </x:c>
      <x:c r="P1015" s="235" t="n">
        <x:v>1763.7598</x:v>
      </x:c>
      <x:c r="Q1015" s="235" t="n">
        <x:v>0</x:v>
      </x:c>
      <x:c r="R1015" s="235" t="str">
        <x:v>INVOICE_OR_PLAN</x:v>
      </x:c>
      <x:c r="S1015" s="238" t="n">
        <x:f>'Model_Calc'!AL173</x:f>
        <x:v>1763.7598080768</x:v>
      </x:c>
      <x:c r="T1015" s="238" t="n">
        <x:f>ROUND(S1015-O1015,4)</x:f>
        <x:v>0</x:v>
      </x:c>
    </x:row>
    <x:row r="1016">
      <x:c r="A1016" s="187" t="str">
        <x:v>ACTUAL_2026_08_CLOSE_V1</x:v>
      </x:c>
      <x:c r="B1016" s="187" t="str">
        <x:v>ACTUAL</x:v>
      </x:c>
      <x:c r="C1016" s="187"/>
      <x:c r="D1016" s="217" t="n">
        <x:v>46143</x:v>
      </x:c>
      <x:c r="E1016" s="187" t="str">
        <x:v>R_GB_DE_C_AIR</x:v>
      </x:c>
      <x:c r="F1016" s="187" t="str">
        <x:v>GB</x:v>
      </x:c>
      <x:c r="G1016" s="187" t="str">
        <x:v>DE_FC</x:v>
      </x:c>
      <x:c r="H1016" s="187" t="str">
        <x:v>CARRIER_C</x:v>
      </x:c>
      <x:c r="I1016" s="187" t="str">
        <x:v>AIR</x:v>
      </x:c>
      <x:c r="J1016" s="187" t="str">
        <x:v>PACKAGING</x:v>
      </x:c>
      <x:c r="K1016" s="187" t="str">
        <x:v>EUR</x:v>
      </x:c>
      <x:c r="L1016" s="232" t="n">
        <x:v>89.6982000058368</x:v>
      </x:c>
      <x:c r="M1016" s="232" t="n">
        <x:v>7.87</x:v>
      </x:c>
      <x:c r="N1016" s="187" t="str">
        <x:v>705.9248340459356160000</x:v>
      </x:c>
      <x:c r="O1016" s="235" t="n">
        <x:v>705.9248</x:v>
      </x:c>
      <x:c r="P1016" s="235" t="n">
        <x:v>705.9248</x:v>
      </x:c>
      <x:c r="Q1016" s="235" t="n">
        <x:v>0</x:v>
      </x:c>
      <x:c r="R1016" s="235" t="str">
        <x:v>INVOICE_OR_PLAN</x:v>
      </x:c>
      <x:c r="S1016" s="238" t="n">
        <x:f>'Model_Calc'!AQ173</x:f>
        <x:v>705.9248340459357</x:v>
      </x:c>
      <x:c r="T1016" s="238" t="n">
        <x:f>ROUND(S1016-O1016,4)</x:f>
        <x:v>0</x:v>
      </x:c>
    </x:row>
    <x:row r="1017">
      <x:c r="A1017" s="187" t="str">
        <x:v>ACTUAL_2026_08_CLOSE_V1</x:v>
      </x:c>
      <x:c r="B1017" s="187" t="str">
        <x:v>ACTUAL</x:v>
      </x:c>
      <x:c r="C1017" s="187"/>
      <x:c r="D1017" s="217" t="n">
        <x:v>46143</x:v>
      </x:c>
      <x:c r="E1017" s="187" t="str">
        <x:v>R_GB_DE_C_AIR</x:v>
      </x:c>
      <x:c r="F1017" s="187" t="str">
        <x:v>GB</x:v>
      </x:c>
      <x:c r="G1017" s="187" t="str">
        <x:v>DE_FC</x:v>
      </x:c>
      <x:c r="H1017" s="187" t="str">
        <x:v>CARRIER_C</x:v>
      </x:c>
      <x:c r="I1017" s="187" t="str">
        <x:v>AIR</x:v>
      </x:c>
      <x:c r="J1017" s="187" t="str">
        <x:v>RETURN_LOGISTICS</x:v>
      </x:c>
      <x:c r="K1017" s="187" t="str">
        <x:v>GBP</x:v>
      </x:c>
      <x:c r="L1017" s="232" t="n">
        <x:v>72.931295232</x:v>
      </x:c>
      <x:c r="M1017" s="232" t="n">
        <x:v>9.13</x:v>
      </x:c>
      <x:c r="N1017" s="187" t="str">
        <x:v>665.86272546816000000</x:v>
      </x:c>
      <x:c r="O1017" s="235" t="n">
        <x:v>665.8627</x:v>
      </x:c>
      <x:c r="P1017" s="235" t="n">
        <x:v>665.8627</x:v>
      </x:c>
      <x:c r="Q1017" s="235" t="n">
        <x:v>0</x:v>
      </x:c>
      <x:c r="R1017" s="235" t="str">
        <x:v>INVOICE_OR_PLAN</x:v>
      </x:c>
      <x:c r="S1017" s="238" t="n">
        <x:f>'Model_Calc'!AV173</x:f>
        <x:v>665.8627254681601</x:v>
      </x:c>
      <x:c r="T1017" s="238" t="n">
        <x:f>ROUND(S1017-O1017,4)</x:f>
        <x:v>0</x:v>
      </x:c>
    </x:row>
    <x:row r="1018">
      <x:c r="A1018" s="187" t="str">
        <x:v>ACTUAL_2026_08_CLOSE_V1</x:v>
      </x:c>
      <x:c r="B1018" s="187" t="str">
        <x:v>ACTUAL</x:v>
      </x:c>
      <x:c r="C1018" s="187"/>
      <x:c r="D1018" s="217" t="n">
        <x:v>46143</x:v>
      </x:c>
      <x:c r="E1018" s="187" t="str">
        <x:v>R_GB_DE_C_AIR</x:v>
      </x:c>
      <x:c r="F1018" s="187" t="str">
        <x:v>GB</x:v>
      </x:c>
      <x:c r="G1018" s="187" t="str">
        <x:v>DE_FC</x:v>
      </x:c>
      <x:c r="H1018" s="187" t="str">
        <x:v>CARRIER_C</x:v>
      </x:c>
      <x:c r="I1018" s="187" t="str">
        <x:v>AIR</x:v>
      </x:c>
      <x:c r="J1018" s="187" t="str">
        <x:v>BILLABLE_EXCEPTION</x:v>
      </x:c>
      <x:c r="K1018" s="187" t="str">
        <x:v>GBP</x:v>
      </x:c>
      <x:c r="L1018" s="232" t="n">
        <x:v>7.05796693760213</x:v>
      </x:c>
      <x:c r="M1018" s="232" t="n">
        <x:v>9.13</x:v>
      </x:c>
      <x:c r="N1018" s="187" t="str">
        <x:v>64.439238140307446169600000</x:v>
      </x:c>
      <x:c r="O1018" s="235" t="n">
        <x:v>64.4392</x:v>
      </x:c>
      <x:c r="P1018" s="235" t="n">
        <x:v>64.4392</x:v>
      </x:c>
      <x:c r="Q1018" s="235" t="n">
        <x:v>0</x:v>
      </x:c>
      <x:c r="R1018" s="235" t="str">
        <x:v>INVOICE_OR_PLAN</x:v>
      </x:c>
      <x:c r="S1018" s="238" t="n">
        <x:f>'Model_Calc'!BA173</x:f>
        <x:v>64.43923814030747</x:v>
      </x:c>
      <x:c r="T1018" s="238" t="n">
        <x:f>ROUND(S1018-O1018,4)</x:f>
        <x:v>0</x:v>
      </x:c>
    </x:row>
    <x:row r="1019">
      <x:c r="A1019" s="187" t="str">
        <x:v>ACTUAL_2026_08_CLOSE_V1</x:v>
      </x:c>
      <x:c r="B1019" s="187" t="str">
        <x:v>ACTUAL</x:v>
      </x:c>
      <x:c r="C1019" s="187"/>
      <x:c r="D1019" s="217" t="n">
        <x:v>46143</x:v>
      </x:c>
      <x:c r="E1019" s="187" t="str">
        <x:v>R_GB_FR_B_AIR</x:v>
      </x:c>
      <x:c r="F1019" s="187" t="str">
        <x:v>GB</x:v>
      </x:c>
      <x:c r="G1019" s="187" t="str">
        <x:v>FR_FC</x:v>
      </x:c>
      <x:c r="H1019" s="187" t="str">
        <x:v>CARRIER_B</x:v>
      </x:c>
      <x:c r="I1019" s="187" t="str">
        <x:v>AIR</x:v>
      </x:c>
      <x:c r="J1019" s="187" t="str">
        <x:v>BASE_FREIGHT</x:v>
      </x:c>
      <x:c r="K1019" s="187" t="str">
        <x:v>EUR</x:v>
      </x:c>
      <x:c r="L1019" s="232" t="n">
        <x:v>1384.287815290572</x:v>
      </x:c>
      <x:c r="M1019" s="232" t="n">
        <x:v>7.87</x:v>
      </x:c>
      <x:c r="N1019" s="187" t="str">
        <x:v>10894.3451063368016400000000</x:v>
      </x:c>
      <x:c r="O1019" s="235" t="n">
        <x:v>10894.3451</x:v>
      </x:c>
      <x:c r="P1019" s="235" t="n">
        <x:v>10894.3451</x:v>
      </x:c>
      <x:c r="Q1019" s="235" t="n">
        <x:v>0</x:v>
      </x:c>
      <x:c r="R1019" s="235" t="str">
        <x:v>INVOICE_OR_PLAN</x:v>
      </x:c>
      <x:c r="S1019" s="238" t="n">
        <x:f>'Model_Calc'!AF174</x:f>
        <x:v>10894.345106336803</x:v>
      </x:c>
      <x:c r="T1019" s="238" t="n">
        <x:f>ROUND(S1019-O1019,4)</x:f>
        <x:v>0</x:v>
      </x:c>
    </x:row>
    <x:row r="1020">
      <x:c r="A1020" s="187" t="str">
        <x:v>ACTUAL_2026_08_CLOSE_V1</x:v>
      </x:c>
      <x:c r="B1020" s="187" t="str">
        <x:v>ACTUAL</x:v>
      </x:c>
      <x:c r="C1020" s="187"/>
      <x:c r="D1020" s="217" t="n">
        <x:v>46143</x:v>
      </x:c>
      <x:c r="E1020" s="187" t="str">
        <x:v>R_GB_FR_B_AIR</x:v>
      </x:c>
      <x:c r="F1020" s="187" t="str">
        <x:v>GB</x:v>
      </x:c>
      <x:c r="G1020" s="187" t="str">
        <x:v>FR_FC</x:v>
      </x:c>
      <x:c r="H1020" s="187" t="str">
        <x:v>CARRIER_B</x:v>
      </x:c>
      <x:c r="I1020" s="187" t="str">
        <x:v>AIR</x:v>
      </x:c>
      <x:c r="J1020" s="187" t="str">
        <x:v>FUEL_SURCHARGE</x:v>
      </x:c>
      <x:c r="K1020" s="187" t="str">
        <x:v>EUR</x:v>
      </x:c>
      <x:c r="L1020" s="232" t="n">
        <x:v>146.80372281156517</x:v>
      </x:c>
      <x:c r="M1020" s="232" t="n">
        <x:v>7.87</x:v>
      </x:c>
      <x:c r="N1020" s="187" t="str">
        <x:v>1155.3452985270178139220000000000</x:v>
      </x:c>
      <x:c r="O1020" s="235" t="n">
        <x:v>1155.3453</x:v>
      </x:c>
      <x:c r="P1020" s="235" t="n">
        <x:v>1155.3453</x:v>
      </x:c>
      <x:c r="Q1020" s="235" t="n">
        <x:v>0</x:v>
      </x:c>
      <x:c r="R1020" s="235" t="str">
        <x:v>INVOICE_OR_PLAN</x:v>
      </x:c>
      <x:c r="S1020" s="238" t="n">
        <x:f>'Model_Calc'!AG174</x:f>
        <x:v>1155.3452985270178</x:v>
      </x:c>
      <x:c r="T1020" s="238" t="n">
        <x:f>ROUND(S1020-O1020,4)</x:f>
        <x:v>0</x:v>
      </x:c>
    </x:row>
    <x:row r="1021">
      <x:c r="A1021" s="187" t="str">
        <x:v>ACTUAL_2026_08_CLOSE_V1</x:v>
      </x:c>
      <x:c r="B1021" s="187" t="str">
        <x:v>ACTUAL</x:v>
      </x:c>
      <x:c r="C1021" s="187"/>
      <x:c r="D1021" s="217" t="n">
        <x:v>46143</x:v>
      </x:c>
      <x:c r="E1021" s="187" t="str">
        <x:v>R_GB_FR_B_AIR</x:v>
      </x:c>
      <x:c r="F1021" s="187" t="str">
        <x:v>GB</x:v>
      </x:c>
      <x:c r="G1021" s="187" t="str">
        <x:v>FR_FC</x:v>
      </x:c>
      <x:c r="H1021" s="187" t="str">
        <x:v>CARRIER_B</x:v>
      </x:c>
      <x:c r="I1021" s="187" t="str">
        <x:v>AIR</x:v>
      </x:c>
      <x:c r="J1021" s="187" t="str">
        <x:v>WAREHOUSE_OPERATION</x:v>
      </x:c>
      <x:c r="K1021" s="187" t="str">
        <x:v>EUR</x:v>
      </x:c>
      <x:c r="L1021" s="232" t="n">
        <x:v>207.73074</x:v>
      </x:c>
      <x:c r="M1021" s="232" t="n">
        <x:v>7.87</x:v>
      </x:c>
      <x:c r="N1021" s="187" t="str">
        <x:v>1634.840923800000</x:v>
      </x:c>
      <x:c r="O1021" s="235" t="n">
        <x:v>1634.8409</x:v>
      </x:c>
      <x:c r="P1021" s="235" t="n">
        <x:v>1634.8409</x:v>
      </x:c>
      <x:c r="Q1021" s="235" t="n">
        <x:v>0</x:v>
      </x:c>
      <x:c r="R1021" s="235" t="str">
        <x:v>INVOICE_OR_PLAN</x:v>
      </x:c>
      <x:c r="S1021" s="238" t="n">
        <x:f>'Model_Calc'!AL174</x:f>
        <x:v>1634.8409238</x:v>
      </x:c>
      <x:c r="T1021" s="238" t="n">
        <x:f>ROUND(S1021-O1021,4)</x:f>
        <x:v>0</x:v>
      </x:c>
    </x:row>
    <x:row r="1022">
      <x:c r="A1022" s="187" t="str">
        <x:v>ACTUAL_2026_08_CLOSE_V1</x:v>
      </x:c>
      <x:c r="B1022" s="187" t="str">
        <x:v>ACTUAL</x:v>
      </x:c>
      <x:c r="C1022" s="187"/>
      <x:c r="D1022" s="217" t="n">
        <x:v>46143</x:v>
      </x:c>
      <x:c r="E1022" s="187" t="str">
        <x:v>R_GB_FR_B_AIR</x:v>
      </x:c>
      <x:c r="F1022" s="187" t="str">
        <x:v>GB</x:v>
      </x:c>
      <x:c r="G1022" s="187" t="str">
        <x:v>FR_FC</x:v>
      </x:c>
      <x:c r="H1022" s="187" t="str">
        <x:v>CARRIER_B</x:v>
      </x:c>
      <x:c r="I1022" s="187" t="str">
        <x:v>AIR</x:v>
      </x:c>
      <x:c r="J1022" s="187" t="str">
        <x:v>PACKAGING</x:v>
      </x:c>
      <x:c r="K1022" s="187" t="str">
        <x:v>EUR</x:v>
      </x:c>
      <x:c r="L1022" s="232" t="n">
        <x:v>86.8013778224</x:v>
      </x:c>
      <x:c r="M1022" s="232" t="n">
        <x:v>7.87</x:v>
      </x:c>
      <x:c r="N1022" s="187" t="str">
        <x:v>683.12684346228800000</x:v>
      </x:c>
      <x:c r="O1022" s="235" t="n">
        <x:v>683.1268</x:v>
      </x:c>
      <x:c r="P1022" s="235" t="n">
        <x:v>683.1268</x:v>
      </x:c>
      <x:c r="Q1022" s="235" t="n">
        <x:v>0</x:v>
      </x:c>
      <x:c r="R1022" s="235" t="str">
        <x:v>INVOICE_OR_PLAN</x:v>
      </x:c>
      <x:c r="S1022" s="238" t="n">
        <x:f>'Model_Calc'!AQ174</x:f>
        <x:v>683.126843462288</x:v>
      </x:c>
      <x:c r="T1022" s="238" t="n">
        <x:f>ROUND(S1022-O1022,4)</x:f>
        <x:v>0</x:v>
      </x:c>
    </x:row>
    <x:row r="1023">
      <x:c r="A1023" s="187" t="str">
        <x:v>ACTUAL_2026_08_CLOSE_V1</x:v>
      </x:c>
      <x:c r="B1023" s="187" t="str">
        <x:v>ACTUAL</x:v>
      </x:c>
      <x:c r="C1023" s="187"/>
      <x:c r="D1023" s="217" t="n">
        <x:v>46143</x:v>
      </x:c>
      <x:c r="E1023" s="187" t="str">
        <x:v>R_GB_FR_B_AIR</x:v>
      </x:c>
      <x:c r="F1023" s="187" t="str">
        <x:v>GB</x:v>
      </x:c>
      <x:c r="G1023" s="187" t="str">
        <x:v>FR_FC</x:v>
      </x:c>
      <x:c r="H1023" s="187" t="str">
        <x:v>CARRIER_B</x:v>
      </x:c>
      <x:c r="I1023" s="187" t="str">
        <x:v>AIR</x:v>
      </x:c>
      <x:c r="J1023" s="187" t="str">
        <x:v>RETURN_LOGISTICS</x:v>
      </x:c>
      <x:c r="K1023" s="187" t="str">
        <x:v>EUR</x:v>
      </x:c>
      <x:c r="L1023" s="232" t="n">
        <x:v>82.3009408</x:v>
      </x:c>
      <x:c r="M1023" s="232" t="n">
        <x:v>7.87</x:v>
      </x:c>
      <x:c r="N1023" s="187" t="str">
        <x:v>647.708404096000000</x:v>
      </x:c>
      <x:c r="O1023" s="235" t="n">
        <x:v>647.7084</x:v>
      </x:c>
      <x:c r="P1023" s="235" t="n">
        <x:v>647.7084</x:v>
      </x:c>
      <x:c r="Q1023" s="235" t="n">
        <x:v>0</x:v>
      </x:c>
      <x:c r="R1023" s="235" t="str">
        <x:v>INVOICE_OR_PLAN</x:v>
      </x:c>
      <x:c r="S1023" s="238" t="n">
        <x:f>'Model_Calc'!AV174</x:f>
        <x:v>647.7084040960001</x:v>
      </x:c>
      <x:c r="T1023" s="238" t="n">
        <x:f>ROUND(S1023-O1023,4)</x:f>
        <x:v>0</x:v>
      </x:c>
    </x:row>
    <x:row r="1024">
      <x:c r="A1024" s="187" t="str">
        <x:v>ACTUAL_2026_08_CLOSE_V1</x:v>
      </x:c>
      <x:c r="B1024" s="187" t="str">
        <x:v>ACTUAL</x:v>
      </x:c>
      <x:c r="C1024" s="187"/>
      <x:c r="D1024" s="217" t="n">
        <x:v>46143</x:v>
      </x:c>
      <x:c r="E1024" s="187" t="str">
        <x:v>R_GB_FR_B_AIR</x:v>
      </x:c>
      <x:c r="F1024" s="187" t="str">
        <x:v>GB</x:v>
      </x:c>
      <x:c r="G1024" s="187" t="str">
        <x:v>FR_FC</x:v>
      </x:c>
      <x:c r="H1024" s="187" t="str">
        <x:v>CARRIER_B</x:v>
      </x:c>
      <x:c r="I1024" s="187" t="str">
        <x:v>AIR</x:v>
      </x:c>
      <x:c r="J1024" s="187" t="str">
        <x:v>BILLABLE_EXCEPTION</x:v>
      </x:c>
      <x:c r="K1024" s="187" t="str">
        <x:v>EUR</x:v>
      </x:c>
      <x:c r="L1024" s="232" t="n">
        <x:v>7.82857058086656</x:v>
      </x:c>
      <x:c r="M1024" s="232" t="n">
        <x:v>7.87</x:v>
      </x:c>
      <x:c r="N1024" s="187" t="str">
        <x:v>61.6108504714198272000000</x:v>
      </x:c>
      <x:c r="O1024" s="235" t="n">
        <x:v>61.6109</x:v>
      </x:c>
      <x:c r="P1024" s="235" t="n">
        <x:v>61.6109</x:v>
      </x:c>
      <x:c r="Q1024" s="235" t="n">
        <x:v>0</x:v>
      </x:c>
      <x:c r="R1024" s="235" t="str">
        <x:v>INVOICE_OR_PLAN</x:v>
      </x:c>
      <x:c r="S1024" s="238" t="n">
        <x:f>'Model_Calc'!BA174</x:f>
        <x:v>61.610850471419816</x:v>
      </x:c>
      <x:c r="T1024" s="238" t="n">
        <x:f>ROUND(S1024-O1024,4)</x:f>
        <x:v>0</x:v>
      </x:c>
    </x:row>
    <x:row r="1025">
      <x:c r="A1025" s="187" t="str">
        <x:v>ACTUAL_2026_08_CLOSE_V1</x:v>
      </x:c>
      <x:c r="B1025" s="187" t="str">
        <x:v>ACTUAL</x:v>
      </x:c>
      <x:c r="C1025" s="187"/>
      <x:c r="D1025" s="217" t="n">
        <x:v>46174</x:v>
      </x:c>
      <x:c r="E1025" s="187" t="str">
        <x:v>R_DE_DE_A_ROAD</x:v>
      </x:c>
      <x:c r="F1025" s="187" t="str">
        <x:v>DE</x:v>
      </x:c>
      <x:c r="G1025" s="187" t="str">
        <x:v>DE_FC</x:v>
      </x:c>
      <x:c r="H1025" s="187" t="str">
        <x:v>CARRIER_A</x:v>
      </x:c>
      <x:c r="I1025" s="187" t="str">
        <x:v>ROAD</x:v>
      </x:c>
      <x:c r="J1025" s="187" t="str">
        <x:v>BASE_FREIGHT</x:v>
      </x:c>
      <x:c r="K1025" s="187" t="str">
        <x:v>EUR</x:v>
      </x:c>
      <x:c r="L1025" s="232" t="n">
        <x:v>7042.616065210838</x:v>
      </x:c>
      <x:c r="M1025" s="232" t="n">
        <x:v>7.89</x:v>
      </x:c>
      <x:c r="N1025" s="187" t="str">
        <x:v>55566.240754513512703680000000</x:v>
      </x:c>
      <x:c r="O1025" s="235" t="n">
        <x:v>55566.2408</x:v>
      </x:c>
      <x:c r="P1025" s="235" t="n">
        <x:v>55566.2408</x:v>
      </x:c>
      <x:c r="Q1025" s="235" t="n">
        <x:v>0</x:v>
      </x:c>
      <x:c r="R1025" s="235" t="str">
        <x:v>INVOICE_OR_PLAN</x:v>
      </x:c>
      <x:c r="S1025" s="238" t="n">
        <x:f>'Model_Calc'!AF175</x:f>
        <x:v>55566.240754513514</x:v>
      </x:c>
      <x:c r="T1025" s="238" t="n">
        <x:f>ROUND(S1025-O1025,4)</x:f>
        <x:v>0</x:v>
      </x:c>
    </x:row>
    <x:row r="1026">
      <x:c r="A1026" s="187" t="str">
        <x:v>ACTUAL_2026_08_CLOSE_V1</x:v>
      </x:c>
      <x:c r="B1026" s="187" t="str">
        <x:v>ACTUAL</x:v>
      </x:c>
      <x:c r="C1026" s="187"/>
      <x:c r="D1026" s="217" t="n">
        <x:v>46174</x:v>
      </x:c>
      <x:c r="E1026" s="187" t="str">
        <x:v>R_DE_DE_A_ROAD</x:v>
      </x:c>
      <x:c r="F1026" s="187" t="str">
        <x:v>DE</x:v>
      </x:c>
      <x:c r="G1026" s="187" t="str">
        <x:v>DE_FC</x:v>
      </x:c>
      <x:c r="H1026" s="187" t="str">
        <x:v>CARRIER_A</x:v>
      </x:c>
      <x:c r="I1026" s="187" t="str">
        <x:v>ROAD</x:v>
      </x:c>
      <x:c r="J1026" s="187" t="str">
        <x:v>FUEL_SURCHARGE</x:v>
      </x:c>
      <x:c r="K1026" s="187" t="str">
        <x:v>EUR</x:v>
      </x:c>
      <x:c r="L1026" s="232" t="n">
        <x:v>677.07710850937</x:v>
      </x:c>
      <x:c r="M1026" s="232" t="n">
        <x:v>7.89</x:v>
      </x:c>
      <x:c r="N1026" s="187" t="str">
        <x:v>5342.138386138929111331795200000000</x:v>
      </x:c>
      <x:c r="O1026" s="235" t="n">
        <x:v>5342.1384</x:v>
      </x:c>
      <x:c r="P1026" s="235" t="n">
        <x:v>5342.1384</x:v>
      </x:c>
      <x:c r="Q1026" s="235" t="n">
        <x:v>0</x:v>
      </x:c>
      <x:c r="R1026" s="235" t="str">
        <x:v>INVOICE_OR_PLAN</x:v>
      </x:c>
      <x:c r="S1026" s="238" t="n">
        <x:f>'Model_Calc'!AG175</x:f>
        <x:v>5342.138386138929</x:v>
      </x:c>
      <x:c r="T1026" s="238" t="n">
        <x:f>ROUND(S1026-O1026,4)</x:f>
        <x:v>0</x:v>
      </x:c>
    </x:row>
    <x:row r="1027">
      <x:c r="A1027" s="187" t="str">
        <x:v>ACTUAL_2026_08_CLOSE_V1</x:v>
      </x:c>
      <x:c r="B1027" s="187" t="str">
        <x:v>ACTUAL</x:v>
      </x:c>
      <x:c r="C1027" s="187"/>
      <x:c r="D1027" s="217" t="n">
        <x:v>46174</x:v>
      </x:c>
      <x:c r="E1027" s="187" t="str">
        <x:v>R_DE_DE_A_ROAD</x:v>
      </x:c>
      <x:c r="F1027" s="187" t="str">
        <x:v>DE</x:v>
      </x:c>
      <x:c r="G1027" s="187" t="str">
        <x:v>DE_FC</x:v>
      </x:c>
      <x:c r="H1027" s="187" t="str">
        <x:v>CARRIER_A</x:v>
      </x:c>
      <x:c r="I1027" s="187" t="str">
        <x:v>ROAD</x:v>
      </x:c>
      <x:c r="J1027" s="187" t="str">
        <x:v>WAREHOUSE_OPERATION</x:v>
      </x:c>
      <x:c r="K1027" s="187" t="str">
        <x:v>EUR</x:v>
      </x:c>
      <x:c r="L1027" s="232" t="n">
        <x:v>4566.435358848</x:v>
      </x:c>
      <x:c r="M1027" s="232" t="n">
        <x:v>7.89</x:v>
      </x:c>
      <x:c r="N1027" s="187" t="str">
        <x:v>36029.17498131072000</x:v>
      </x:c>
      <x:c r="O1027" s="235" t="n">
        <x:v>36029.175</x:v>
      </x:c>
      <x:c r="P1027" s="235" t="n">
        <x:v>36029.175</x:v>
      </x:c>
      <x:c r="Q1027" s="235" t="n">
        <x:v>0</x:v>
      </x:c>
      <x:c r="R1027" s="235" t="str">
        <x:v>INVOICE_OR_PLAN</x:v>
      </x:c>
      <x:c r="S1027" s="238" t="n">
        <x:f>'Model_Calc'!AL175</x:f>
        <x:v>36029.17498131072</x:v>
      </x:c>
      <x:c r="T1027" s="238" t="n">
        <x:f>ROUND(S1027-O1027,4)</x:f>
        <x:v>0</x:v>
      </x:c>
    </x:row>
    <x:row r="1028">
      <x:c r="A1028" s="187" t="str">
        <x:v>ACTUAL_2026_08_CLOSE_V1</x:v>
      </x:c>
      <x:c r="B1028" s="187" t="str">
        <x:v>ACTUAL</x:v>
      </x:c>
      <x:c r="C1028" s="187"/>
      <x:c r="D1028" s="217" t="n">
        <x:v>46174</x:v>
      </x:c>
      <x:c r="E1028" s="187" t="str">
        <x:v>R_DE_DE_A_ROAD</x:v>
      </x:c>
      <x:c r="F1028" s="187" t="str">
        <x:v>DE</x:v>
      </x:c>
      <x:c r="G1028" s="187" t="str">
        <x:v>DE_FC</x:v>
      </x:c>
      <x:c r="H1028" s="187" t="str">
        <x:v>CARRIER_A</x:v>
      </x:c>
      <x:c r="I1028" s="187" t="str">
        <x:v>ROAD</x:v>
      </x:c>
      <x:c r="J1028" s="187" t="str">
        <x:v>PACKAGING</x:v>
      </x:c>
      <x:c r="K1028" s="187" t="str">
        <x:v>EUR</x:v>
      </x:c>
      <x:c r="L1028" s="232" t="n">
        <x:v>1715.141511201888</x:v>
      </x:c>
      <x:c r="M1028" s="232" t="n">
        <x:v>7.89</x:v>
      </x:c>
      <x:c r="N1028" s="187" t="str">
        <x:v>13532.4665233828963200000</x:v>
      </x:c>
      <x:c r="O1028" s="235" t="n">
        <x:v>13532.4665</x:v>
      </x:c>
      <x:c r="P1028" s="235" t="n">
        <x:v>13532.4665</x:v>
      </x:c>
      <x:c r="Q1028" s="235" t="n">
        <x:v>0</x:v>
      </x:c>
      <x:c r="R1028" s="235" t="str">
        <x:v>INVOICE_OR_PLAN</x:v>
      </x:c>
      <x:c r="S1028" s="238" t="n">
        <x:f>'Model_Calc'!AQ175</x:f>
        <x:v>13532.466523382895</x:v>
      </x:c>
      <x:c r="T1028" s="238" t="n">
        <x:f>ROUND(S1028-O1028,4)</x:f>
        <x:v>0</x:v>
      </x:c>
    </x:row>
    <x:row r="1029">
      <x:c r="A1029" s="187" t="str">
        <x:v>ACTUAL_2026_08_CLOSE_V1</x:v>
      </x:c>
      <x:c r="B1029" s="187" t="str">
        <x:v>ACTUAL</x:v>
      </x:c>
      <x:c r="C1029" s="187"/>
      <x:c r="D1029" s="217" t="n">
        <x:v>46174</x:v>
      </x:c>
      <x:c r="E1029" s="187" t="str">
        <x:v>R_DE_DE_A_ROAD</x:v>
      </x:c>
      <x:c r="F1029" s="187" t="str">
        <x:v>DE</x:v>
      </x:c>
      <x:c r="G1029" s="187" t="str">
        <x:v>DE_FC</x:v>
      </x:c>
      <x:c r="H1029" s="187" t="str">
        <x:v>CARRIER_A</x:v>
      </x:c>
      <x:c r="I1029" s="187" t="str">
        <x:v>ROAD</x:v>
      </x:c>
      <x:c r="J1029" s="187" t="str">
        <x:v>RETURN_LOGISTICS</x:v>
      </x:c>
      <x:c r="K1029" s="187" t="str">
        <x:v>EUR</x:v>
      </x:c>
      <x:c r="L1029" s="232" t="n">
        <x:v>619.177675776</x:v>
      </x:c>
      <x:c r="M1029" s="232" t="n">
        <x:v>7.89</x:v>
      </x:c>
      <x:c r="N1029" s="187" t="str">
        <x:v>4885.31186187264000000</x:v>
      </x:c>
      <x:c r="O1029" s="235" t="n">
        <x:v>4885.3119</x:v>
      </x:c>
      <x:c r="P1029" s="235" t="n">
        <x:v>4885.3119</x:v>
      </x:c>
      <x:c r="Q1029" s="235" t="n">
        <x:v>0</x:v>
      </x:c>
      <x:c r="R1029" s="235" t="str">
        <x:v>INVOICE_OR_PLAN</x:v>
      </x:c>
      <x:c r="S1029" s="238" t="n">
        <x:f>'Model_Calc'!AV175</x:f>
        <x:v>4885.311861872639</x:v>
      </x:c>
      <x:c r="T1029" s="238" t="n">
        <x:f>ROUND(S1029-O1029,4)</x:f>
        <x:v>0</x:v>
      </x:c>
    </x:row>
    <x:row r="1030">
      <x:c r="A1030" s="187" t="str">
        <x:v>ACTUAL_2026_08_CLOSE_V1</x:v>
      </x:c>
      <x:c r="B1030" s="187" t="str">
        <x:v>ACTUAL</x:v>
      </x:c>
      <x:c r="C1030" s="187"/>
      <x:c r="D1030" s="217" t="n">
        <x:v>46174</x:v>
      </x:c>
      <x:c r="E1030" s="187" t="str">
        <x:v>R_DE_DE_A_ROAD</x:v>
      </x:c>
      <x:c r="F1030" s="187" t="str">
        <x:v>DE</x:v>
      </x:c>
      <x:c r="G1030" s="187" t="str">
        <x:v>DE_FC</x:v>
      </x:c>
      <x:c r="H1030" s="187" t="str">
        <x:v>CARRIER_A</x:v>
      </x:c>
      <x:c r="I1030" s="187" t="str">
        <x:v>ROAD</x:v>
      </x:c>
      <x:c r="J1030" s="187" t="str">
        <x:v>BILLABLE_EXCEPTION</x:v>
      </x:c>
      <x:c r="K1030" s="187" t="str">
        <x:v>EUR</x:v>
      </x:c>
      <x:c r="L1030" s="232" t="n">
        <x:v>153.2846470582716</x:v>
      </x:c>
      <x:c r="M1030" s="232" t="n">
        <x:v>7.89</x:v>
      </x:c>
      <x:c r="N1030" s="187" t="str">
        <x:v>1209.415865289762848256000000</x:v>
      </x:c>
      <x:c r="O1030" s="235" t="n">
        <x:v>1209.4159</x:v>
      </x:c>
      <x:c r="P1030" s="235" t="n">
        <x:v>1209.4159</x:v>
      </x:c>
      <x:c r="Q1030" s="235" t="n">
        <x:v>0</x:v>
      </x:c>
      <x:c r="R1030" s="235" t="str">
        <x:v>INVOICE_OR_PLAN</x:v>
      </x:c>
      <x:c r="S1030" s="238" t="n">
        <x:f>'Model_Calc'!BA175</x:f>
        <x:v>1209.4158652897627</x:v>
      </x:c>
      <x:c r="T1030" s="238" t="n">
        <x:f>ROUND(S1030-O1030,4)</x:f>
        <x:v>0</x:v>
      </x:c>
    </x:row>
    <x:row r="1031">
      <x:c r="A1031" s="187" t="str">
        <x:v>ACTUAL_2026_08_CLOSE_V1</x:v>
      </x:c>
      <x:c r="B1031" s="187" t="str">
        <x:v>ACTUAL</x:v>
      </x:c>
      <x:c r="C1031" s="187"/>
      <x:c r="D1031" s="217" t="n">
        <x:v>46174</x:v>
      </x:c>
      <x:c r="E1031" s="187" t="str">
        <x:v>R_DE_DE_B_ROAD</x:v>
      </x:c>
      <x:c r="F1031" s="187" t="str">
        <x:v>DE</x:v>
      </x:c>
      <x:c r="G1031" s="187" t="str">
        <x:v>DE_FC</x:v>
      </x:c>
      <x:c r="H1031" s="187" t="str">
        <x:v>CARRIER_B</x:v>
      </x:c>
      <x:c r="I1031" s="187" t="str">
        <x:v>ROAD</x:v>
      </x:c>
      <x:c r="J1031" s="187" t="str">
        <x:v>BASE_FREIGHT</x:v>
      </x:c>
      <x:c r="K1031" s="187" t="str">
        <x:v>EUR</x:v>
      </x:c>
      <x:c r="L1031" s="232" t="n">
        <x:v>6019.329970265673</x:v>
      </x:c>
      <x:c r="M1031" s="232" t="n">
        <x:v>7.89</x:v>
      </x:c>
      <x:c r="N1031" s="187" t="str">
        <x:v>47492.513465396164704000000000</x:v>
      </x:c>
      <x:c r="O1031" s="235" t="n">
        <x:v>47492.5135</x:v>
      </x:c>
      <x:c r="P1031" s="235" t="n">
        <x:v>47492.5135</x:v>
      </x:c>
      <x:c r="Q1031" s="235" t="n">
        <x:v>0</x:v>
      </x:c>
      <x:c r="R1031" s="235" t="str">
        <x:v>INVOICE_OR_PLAN</x:v>
      </x:c>
      <x:c r="S1031" s="238" t="n">
        <x:f>'Model_Calc'!AF176</x:f>
        <x:v>47492.51346539617</x:v>
      </x:c>
      <x:c r="T1031" s="238" t="n">
        <x:f>ROUND(S1031-O1031,4)</x:f>
        <x:v>0</x:v>
      </x:c>
    </x:row>
    <x:row r="1032">
      <x:c r="A1032" s="187" t="str">
        <x:v>ACTUAL_2026_08_CLOSE_V1</x:v>
      </x:c>
      <x:c r="B1032" s="187" t="str">
        <x:v>ACTUAL</x:v>
      </x:c>
      <x:c r="C1032" s="187"/>
      <x:c r="D1032" s="217" t="n">
        <x:v>46174</x:v>
      </x:c>
      <x:c r="E1032" s="187" t="str">
        <x:v>R_DE_DE_B_ROAD</x:v>
      </x:c>
      <x:c r="F1032" s="187" t="str">
        <x:v>DE</x:v>
      </x:c>
      <x:c r="G1032" s="187" t="str">
        <x:v>DE_FC</x:v>
      </x:c>
      <x:c r="H1032" s="187" t="str">
        <x:v>CARRIER_B</x:v>
      </x:c>
      <x:c r="I1032" s="187" t="str">
        <x:v>ROAD</x:v>
      </x:c>
      <x:c r="J1032" s="187" t="str">
        <x:v>FUEL_SURCHARGE</x:v>
      </x:c>
      <x:c r="K1032" s="187" t="str">
        <x:v>EUR</x:v>
      </x:c>
      <x:c r="L1032" s="232" t="n">
        <x:v>459.65792500210597</x:v>
      </x:c>
      <x:c r="M1032" s="232" t="n">
        <x:v>7.89</x:v>
      </x:c>
      <x:c r="N1032" s="187" t="str">
        <x:v>3626.701028266616213760000000</x:v>
      </x:c>
      <x:c r="O1032" s="235" t="n">
        <x:v>3626.701</x:v>
      </x:c>
      <x:c r="P1032" s="235" t="n">
        <x:v>3626.701</x:v>
      </x:c>
      <x:c r="Q1032" s="235" t="n">
        <x:v>0</x:v>
      </x:c>
      <x:c r="R1032" s="235" t="str">
        <x:v>INVOICE_OR_PLAN</x:v>
      </x:c>
      <x:c r="S1032" s="238" t="n">
        <x:f>'Model_Calc'!AG176</x:f>
        <x:v>3626.701028266617</x:v>
      </x:c>
      <x:c r="T1032" s="238" t="n">
        <x:f>ROUND(S1032-O1032,4)</x:f>
        <x:v>0</x:v>
      </x:c>
    </x:row>
    <x:row r="1033">
      <x:c r="A1033" s="187" t="str">
        <x:v>ACTUAL_2026_08_CLOSE_V1</x:v>
      </x:c>
      <x:c r="B1033" s="187" t="str">
        <x:v>ACTUAL</x:v>
      </x:c>
      <x:c r="C1033" s="187"/>
      <x:c r="D1033" s="217" t="n">
        <x:v>46174</x:v>
      </x:c>
      <x:c r="E1033" s="187" t="str">
        <x:v>R_DE_DE_B_ROAD</x:v>
      </x:c>
      <x:c r="F1033" s="187" t="str">
        <x:v>DE</x:v>
      </x:c>
      <x:c r="G1033" s="187" t="str">
        <x:v>DE_FC</x:v>
      </x:c>
      <x:c r="H1033" s="187" t="str">
        <x:v>CARRIER_B</x:v>
      </x:c>
      <x:c r="I1033" s="187" t="str">
        <x:v>ROAD</x:v>
      </x:c>
      <x:c r="J1033" s="187" t="str">
        <x:v>WAREHOUSE_OPERATION</x:v>
      </x:c>
      <x:c r="K1033" s="187" t="str">
        <x:v>EUR</x:v>
      </x:c>
      <x:c r="L1033" s="232" t="n">
        <x:v>3044.290239232</x:v>
      </x:c>
      <x:c r="M1033" s="232" t="n">
        <x:v>7.89</x:v>
      </x:c>
      <x:c r="N1033" s="187" t="str">
        <x:v>24019.44998754048000</x:v>
      </x:c>
      <x:c r="O1033" s="235" t="n">
        <x:v>24019.45</x:v>
      </x:c>
      <x:c r="P1033" s="235" t="n">
        <x:v>24019.45</x:v>
      </x:c>
      <x:c r="Q1033" s="235" t="n">
        <x:v>0</x:v>
      </x:c>
      <x:c r="R1033" s="235" t="str">
        <x:v>INVOICE_OR_PLAN</x:v>
      </x:c>
      <x:c r="S1033" s="238" t="n">
        <x:f>'Model_Calc'!AL176</x:f>
        <x:v>24019.449987540484</x:v>
      </x:c>
      <x:c r="T1033" s="238" t="n">
        <x:f>ROUND(S1033-O1033,4)</x:f>
        <x:v>0</x:v>
      </x:c>
    </x:row>
    <x:row r="1034">
      <x:c r="A1034" s="187" t="str">
        <x:v>ACTUAL_2026_08_CLOSE_V1</x:v>
      </x:c>
      <x:c r="B1034" s="187" t="str">
        <x:v>ACTUAL</x:v>
      </x:c>
      <x:c r="C1034" s="187"/>
      <x:c r="D1034" s="217" t="n">
        <x:v>46174</x:v>
      </x:c>
      <x:c r="E1034" s="187" t="str">
        <x:v>R_DE_DE_B_ROAD</x:v>
      </x:c>
      <x:c r="F1034" s="187" t="str">
        <x:v>DE</x:v>
      </x:c>
      <x:c r="G1034" s="187" t="str">
        <x:v>DE_FC</x:v>
      </x:c>
      <x:c r="H1034" s="187" t="str">
        <x:v>CARRIER_B</x:v>
      </x:c>
      <x:c r="I1034" s="187" t="str">
        <x:v>ROAD</x:v>
      </x:c>
      <x:c r="J1034" s="187" t="str">
        <x:v>PACKAGING</x:v>
      </x:c>
      <x:c r="K1034" s="187" t="str">
        <x:v>EUR</x:v>
      </x:c>
      <x:c r="L1034" s="232" t="n">
        <x:v>1143.427674134592</x:v>
      </x:c>
      <x:c r="M1034" s="232" t="n">
        <x:v>7.89</x:v>
      </x:c>
      <x:c r="N1034" s="187" t="str">
        <x:v>9021.6443489219308800000</x:v>
      </x:c>
      <x:c r="O1034" s="235" t="n">
        <x:v>9021.6443</x:v>
      </x:c>
      <x:c r="P1034" s="235" t="n">
        <x:v>9021.6443</x:v>
      </x:c>
      <x:c r="Q1034" s="235" t="n">
        <x:v>0</x:v>
      </x:c>
      <x:c r="R1034" s="235" t="str">
        <x:v>INVOICE_OR_PLAN</x:v>
      </x:c>
      <x:c r="S1034" s="238" t="n">
        <x:f>'Model_Calc'!AQ176</x:f>
        <x:v>9021.644348921931</x:v>
      </x:c>
      <x:c r="T1034" s="238" t="n">
        <x:f>ROUND(S1034-O1034,4)</x:f>
        <x:v>0</x:v>
      </x:c>
    </x:row>
    <x:row r="1035">
      <x:c r="A1035" s="187" t="str">
        <x:v>ACTUAL_2026_08_CLOSE_V1</x:v>
      </x:c>
      <x:c r="B1035" s="187" t="str">
        <x:v>ACTUAL</x:v>
      </x:c>
      <x:c r="C1035" s="187"/>
      <x:c r="D1035" s="217" t="n">
        <x:v>46174</x:v>
      </x:c>
      <x:c r="E1035" s="187" t="str">
        <x:v>R_DE_DE_B_ROAD</x:v>
      </x:c>
      <x:c r="F1035" s="187" t="str">
        <x:v>DE</x:v>
      </x:c>
      <x:c r="G1035" s="187" t="str">
        <x:v>DE_FC</x:v>
      </x:c>
      <x:c r="H1035" s="187" t="str">
        <x:v>CARRIER_B</x:v>
      </x:c>
      <x:c r="I1035" s="187" t="str">
        <x:v>ROAD</x:v>
      </x:c>
      <x:c r="J1035" s="187" t="str">
        <x:v>RETURN_LOGISTICS</x:v>
      </x:c>
      <x:c r="K1035" s="187" t="str">
        <x:v>EUR</x:v>
      </x:c>
      <x:c r="L1035" s="232" t="n">
        <x:v>412.785117184</x:v>
      </x:c>
      <x:c r="M1035" s="232" t="n">
        <x:v>7.89</x:v>
      </x:c>
      <x:c r="N1035" s="187" t="str">
        <x:v>3256.87457458176000000</x:v>
      </x:c>
      <x:c r="O1035" s="235" t="n">
        <x:v>3256.8746</x:v>
      </x:c>
      <x:c r="P1035" s="235" t="n">
        <x:v>3256.8746</x:v>
      </x:c>
      <x:c r="Q1035" s="235" t="n">
        <x:v>0</x:v>
      </x:c>
      <x:c r="R1035" s="235" t="str">
        <x:v>INVOICE_OR_PLAN</x:v>
      </x:c>
      <x:c r="S1035" s="238" t="n">
        <x:f>'Model_Calc'!AV176</x:f>
        <x:v>3256.874574581761</x:v>
      </x:c>
      <x:c r="T1035" s="238" t="n">
        <x:f>ROUND(S1035-O1035,4)</x:f>
        <x:v>0</x:v>
      </x:c>
    </x:row>
    <x:row r="1036">
      <x:c r="A1036" s="187" t="str">
        <x:v>ACTUAL_2026_08_CLOSE_V1</x:v>
      </x:c>
      <x:c r="B1036" s="187" t="str">
        <x:v>ACTUAL</x:v>
      </x:c>
      <x:c r="C1036" s="187"/>
      <x:c r="D1036" s="217" t="n">
        <x:v>46174</x:v>
      </x:c>
      <x:c r="E1036" s="187" t="str">
        <x:v>R_DE_DE_B_ROAD</x:v>
      </x:c>
      <x:c r="F1036" s="187" t="str">
        <x:v>DE</x:v>
      </x:c>
      <x:c r="G1036" s="187" t="str">
        <x:v>DE_FC</x:v>
      </x:c>
      <x:c r="H1036" s="187" t="str">
        <x:v>CARRIER_B</x:v>
      </x:c>
      <x:c r="I1036" s="187" t="str">
        <x:v>ROAD</x:v>
      </x:c>
      <x:c r="J1036" s="187" t="str">
        <x:v>BILLABLE_EXCEPTION</x:v>
      </x:c>
      <x:c r="K1036" s="187" t="str">
        <x:v>EUR</x:v>
      </x:c>
      <x:c r="L1036" s="232" t="n">
        <x:v>83.02918382323044</x:v>
      </x:c>
      <x:c r="M1036" s="232" t="n">
        <x:v>7.89</x:v>
      </x:c>
      <x:c r="N1036" s="187" t="str">
        <x:v>655.100260365288209472000000</x:v>
      </x:c>
      <x:c r="O1036" s="235" t="n">
        <x:v>655.1003</x:v>
      </x:c>
      <x:c r="P1036" s="235" t="n">
        <x:v>655.1003</x:v>
      </x:c>
      <x:c r="Q1036" s="235" t="n">
        <x:v>0</x:v>
      </x:c>
      <x:c r="R1036" s="235" t="str">
        <x:v>INVOICE_OR_PLAN</x:v>
      </x:c>
      <x:c r="S1036" s="238" t="n">
        <x:f>'Model_Calc'!BA176</x:f>
        <x:v>655.1002603652882</x:v>
      </x:c>
      <x:c r="T1036" s="238" t="n">
        <x:f>ROUND(S1036-O1036,4)</x:f>
        <x:v>0</x:v>
      </x:c>
    </x:row>
    <x:row r="1037">
      <x:c r="A1037" s="187" t="str">
        <x:v>ACTUAL_2026_08_CLOSE_V1</x:v>
      </x:c>
      <x:c r="B1037" s="187" t="str">
        <x:v>ACTUAL</x:v>
      </x:c>
      <x:c r="C1037" s="187"/>
      <x:c r="D1037" s="217" t="n">
        <x:v>46174</x:v>
      </x:c>
      <x:c r="E1037" s="187" t="str">
        <x:v>R_DE_FR_B_ROAD</x:v>
      </x:c>
      <x:c r="F1037" s="187" t="str">
        <x:v>DE</x:v>
      </x:c>
      <x:c r="G1037" s="187" t="str">
        <x:v>FR_FC</x:v>
      </x:c>
      <x:c r="H1037" s="187" t="str">
        <x:v>CARRIER_B</x:v>
      </x:c>
      <x:c r="I1037" s="187" t="str">
        <x:v>ROAD</x:v>
      </x:c>
      <x:c r="J1037" s="187" t="str">
        <x:v>BASE_FREIGHT</x:v>
      </x:c>
      <x:c r="K1037" s="187" t="str">
        <x:v>EUR</x:v>
      </x:c>
      <x:c r="L1037" s="232" t="n">
        <x:v>617.5353839892589</x:v>
      </x:c>
      <x:c r="M1037" s="232" t="n">
        <x:v>7.89</x:v>
      </x:c>
      <x:c r="N1037" s="187" t="str">
        <x:v>4872.3541796752530681600000</x:v>
      </x:c>
      <x:c r="O1037" s="235" t="n">
        <x:v>4872.3542</x:v>
      </x:c>
      <x:c r="P1037" s="235" t="n">
        <x:v>4872.3542</x:v>
      </x:c>
      <x:c r="Q1037" s="235" t="n">
        <x:v>0</x:v>
      </x:c>
      <x:c r="R1037" s="235" t="str">
        <x:v>INVOICE_OR_PLAN</x:v>
      </x:c>
      <x:c r="S1037" s="238" t="n">
        <x:f>'Model_Calc'!AF177</x:f>
        <x:v>4872.354179675252</x:v>
      </x:c>
      <x:c r="T1037" s="238" t="n">
        <x:f>ROUND(S1037-O1037,4)</x:f>
        <x:v>0</x:v>
      </x:c>
    </x:row>
    <x:row r="1038">
      <x:c r="A1038" s="187" t="str">
        <x:v>ACTUAL_2026_08_CLOSE_V1</x:v>
      </x:c>
      <x:c r="B1038" s="187" t="str">
        <x:v>ACTUAL</x:v>
      </x:c>
      <x:c r="C1038" s="187"/>
      <x:c r="D1038" s="217" t="n">
        <x:v>46174</x:v>
      </x:c>
      <x:c r="E1038" s="187" t="str">
        <x:v>R_DE_FR_B_ROAD</x:v>
      </x:c>
      <x:c r="F1038" s="187" t="str">
        <x:v>DE</x:v>
      </x:c>
      <x:c r="G1038" s="187" t="str">
        <x:v>FR_FC</x:v>
      </x:c>
      <x:c r="H1038" s="187" t="str">
        <x:v>CARRIER_B</x:v>
      </x:c>
      <x:c r="I1038" s="187" t="str">
        <x:v>ROAD</x:v>
      </x:c>
      <x:c r="J1038" s="187" t="str">
        <x:v>FUEL_SURCHARGE</x:v>
      </x:c>
      <x:c r="K1038" s="187" t="str">
        <x:v>EUR</x:v>
      </x:c>
      <x:c r="L1038" s="232" t="n">
        <x:v>44.91166429012792</x:v>
      </x:c>
      <x:c r="M1038" s="232" t="n">
        <x:v>7.89</x:v>
      </x:c>
      <x:c r="N1038" s="187" t="str">
        <x:v>354.3530312491093140480000</x:v>
      </x:c>
      <x:c r="O1038" s="235" t="n">
        <x:v>354.353</x:v>
      </x:c>
      <x:c r="P1038" s="235" t="n">
        <x:v>354.353</x:v>
      </x:c>
      <x:c r="Q1038" s="235" t="n">
        <x:v>0</x:v>
      </x:c>
      <x:c r="R1038" s="235" t="str">
        <x:v>INVOICE_OR_PLAN</x:v>
      </x:c>
      <x:c r="S1038" s="238" t="n">
        <x:f>'Model_Calc'!AG177</x:f>
        <x:v>354.3530312491093</x:v>
      </x:c>
      <x:c r="T1038" s="238" t="n">
        <x:f>ROUND(S1038-O1038,4)</x:f>
        <x:v>0</x:v>
      </x:c>
    </x:row>
    <x:row r="1039">
      <x:c r="A1039" s="187" t="str">
        <x:v>ACTUAL_2026_08_CLOSE_V1</x:v>
      </x:c>
      <x:c r="B1039" s="187" t="str">
        <x:v>ACTUAL</x:v>
      </x:c>
      <x:c r="C1039" s="187"/>
      <x:c r="D1039" s="217" t="n">
        <x:v>46174</x:v>
      </x:c>
      <x:c r="E1039" s="187" t="str">
        <x:v>R_DE_FR_B_ROAD</x:v>
      </x:c>
      <x:c r="F1039" s="187" t="str">
        <x:v>DE</x:v>
      </x:c>
      <x:c r="G1039" s="187" t="str">
        <x:v>FR_FC</x:v>
      </x:c>
      <x:c r="H1039" s="187" t="str">
        <x:v>CARRIER_B</x:v>
      </x:c>
      <x:c r="I1039" s="187" t="str">
        <x:v>ROAD</x:v>
      </x:c>
      <x:c r="J1039" s="187" t="str">
        <x:v>WAREHOUSE_OPERATION</x:v>
      </x:c>
      <x:c r="K1039" s="187" t="str">
        <x:v>EUR</x:v>
      </x:c>
      <x:c r="L1039" s="232" t="n">
        <x:v>209.4512112</x:v>
      </x:c>
      <x:c r="M1039" s="232" t="n">
        <x:v>7.89</x:v>
      </x:c>
      <x:c r="N1039" s="187" t="str">
        <x:v>1652.570056368000</x:v>
      </x:c>
      <x:c r="O1039" s="235" t="n">
        <x:v>1652.5701</x:v>
      </x:c>
      <x:c r="P1039" s="235" t="n">
        <x:v>1652.5701</x:v>
      </x:c>
      <x:c r="Q1039" s="235" t="n">
        <x:v>0</x:v>
      </x:c>
      <x:c r="R1039" s="235" t="str">
        <x:v>INVOICE_OR_PLAN</x:v>
      </x:c>
      <x:c r="S1039" s="238" t="n">
        <x:f>'Model_Calc'!AL177</x:f>
        <x:v>1652.570056368</x:v>
      </x:c>
      <x:c r="T1039" s="238" t="n">
        <x:f>ROUND(S1039-O1039,4)</x:f>
        <x:v>0</x:v>
      </x:c>
    </x:row>
    <x:row r="1040">
      <x:c r="A1040" s="187" t="str">
        <x:v>ACTUAL_2026_08_CLOSE_V1</x:v>
      </x:c>
      <x:c r="B1040" s="187" t="str">
        <x:v>ACTUAL</x:v>
      </x:c>
      <x:c r="C1040" s="187"/>
      <x:c r="D1040" s="217" t="n">
        <x:v>46174</x:v>
      </x:c>
      <x:c r="E1040" s="187" t="str">
        <x:v>R_DE_FR_B_ROAD</x:v>
      </x:c>
      <x:c r="F1040" s="187" t="str">
        <x:v>DE</x:v>
      </x:c>
      <x:c r="G1040" s="187" t="str">
        <x:v>FR_FC</x:v>
      </x:c>
      <x:c r="H1040" s="187" t="str">
        <x:v>CARRIER_B</x:v>
      </x:c>
      <x:c r="I1040" s="187" t="str">
        <x:v>ROAD</x:v>
      </x:c>
      <x:c r="J1040" s="187" t="str">
        <x:v>PACKAGING</x:v>
      </x:c>
      <x:c r="K1040" s="187" t="str">
        <x:v>EUR</x:v>
      </x:c>
      <x:c r="L1040" s="232" t="n">
        <x:v>82.274829487488</x:v>
      </x:c>
      <x:c r="M1040" s="232" t="n">
        <x:v>7.89</x:v>
      </x:c>
      <x:c r="N1040" s="187" t="str">
        <x:v>649.14840465628032000</x:v>
      </x:c>
      <x:c r="O1040" s="235" t="n">
        <x:v>649.1484</x:v>
      </x:c>
      <x:c r="P1040" s="235" t="n">
        <x:v>649.1484</x:v>
      </x:c>
      <x:c r="Q1040" s="235" t="n">
        <x:v>0</x:v>
      </x:c>
      <x:c r="R1040" s="235" t="str">
        <x:v>INVOICE_OR_PLAN</x:v>
      </x:c>
      <x:c r="S1040" s="238" t="n">
        <x:f>'Model_Calc'!AQ177</x:f>
        <x:v>649.1484046562804</x:v>
      </x:c>
      <x:c r="T1040" s="238" t="n">
        <x:f>ROUND(S1040-O1040,4)</x:f>
        <x:v>0</x:v>
      </x:c>
    </x:row>
    <x:row r="1041">
      <x:c r="A1041" s="187" t="str">
        <x:v>ACTUAL_2026_08_CLOSE_V1</x:v>
      </x:c>
      <x:c r="B1041" s="187" t="str">
        <x:v>ACTUAL</x:v>
      </x:c>
      <x:c r="C1041" s="187"/>
      <x:c r="D1041" s="217" t="n">
        <x:v>46174</x:v>
      </x:c>
      <x:c r="E1041" s="187" t="str">
        <x:v>R_DE_FR_B_ROAD</x:v>
      </x:c>
      <x:c r="F1041" s="187" t="str">
        <x:v>DE</x:v>
      </x:c>
      <x:c r="G1041" s="187" t="str">
        <x:v>FR_FC</x:v>
      </x:c>
      <x:c r="H1041" s="187" t="str">
        <x:v>CARRIER_B</x:v>
      </x:c>
      <x:c r="I1041" s="187" t="str">
        <x:v>ROAD</x:v>
      </x:c>
      <x:c r="J1041" s="187" t="str">
        <x:v>RETURN_LOGISTICS</x:v>
      </x:c>
      <x:c r="K1041" s="187" t="str">
        <x:v>EUR</x:v>
      </x:c>
      <x:c r="L1041" s="232" t="n">
        <x:v>37.90069536</x:v>
      </x:c>
      <x:c r="M1041" s="232" t="n">
        <x:v>7.89</x:v>
      </x:c>
      <x:c r="N1041" s="187" t="str">
        <x:v>299.036486390400000</x:v>
      </x:c>
      <x:c r="O1041" s="235" t="n">
        <x:v>299.0365</x:v>
      </x:c>
      <x:c r="P1041" s="235" t="n">
        <x:v>299.0365</x:v>
      </x:c>
      <x:c r="Q1041" s="235" t="n">
        <x:v>0</x:v>
      </x:c>
      <x:c r="R1041" s="235" t="str">
        <x:v>INVOICE_OR_PLAN</x:v>
      </x:c>
      <x:c r="S1041" s="238" t="n">
        <x:f>'Model_Calc'!AV177</x:f>
        <x:v>299.0364863904001</x:v>
      </x:c>
      <x:c r="T1041" s="238" t="n">
        <x:f>ROUND(S1041-O1041,4)</x:f>
        <x:v>0</x:v>
      </x:c>
    </x:row>
    <x:row r="1042">
      <x:c r="A1042" s="187" t="str">
        <x:v>ACTUAL_2026_08_CLOSE_V1</x:v>
      </x:c>
      <x:c r="B1042" s="187" t="str">
        <x:v>ACTUAL</x:v>
      </x:c>
      <x:c r="C1042" s="187"/>
      <x:c r="D1042" s="217" t="n">
        <x:v>46174</x:v>
      </x:c>
      <x:c r="E1042" s="187" t="str">
        <x:v>R_DE_FR_B_ROAD</x:v>
      </x:c>
      <x:c r="F1042" s="187" t="str">
        <x:v>DE</x:v>
      </x:c>
      <x:c r="G1042" s="187" t="str">
        <x:v>FR_FC</x:v>
      </x:c>
      <x:c r="H1042" s="187" t="str">
        <x:v>CARRIER_B</x:v>
      </x:c>
      <x:c r="I1042" s="187" t="str">
        <x:v>ROAD</x:v>
      </x:c>
      <x:c r="J1042" s="187" t="str">
        <x:v>BILLABLE_EXCEPTION</x:v>
      </x:c>
      <x:c r="K1042" s="187" t="str">
        <x:v>EUR</x:v>
      </x:c>
      <x:c r="L1042" s="232" t="n">
        <x:v>7.111143420229094</x:v>
      </x:c>
      <x:c r="M1042" s="232" t="n">
        <x:v>7.89</x:v>
      </x:c>
      <x:c r="N1042" s="187" t="str">
        <x:v>56.1069215856075548160000</x:v>
      </x:c>
      <x:c r="O1042" s="235" t="n">
        <x:v>56.1069</x:v>
      </x:c>
      <x:c r="P1042" s="235" t="n">
        <x:v>56.1069</x:v>
      </x:c>
      <x:c r="Q1042" s="235" t="n">
        <x:v>0</x:v>
      </x:c>
      <x:c r="R1042" s="235" t="str">
        <x:v>INVOICE_OR_PLAN</x:v>
      </x:c>
      <x:c r="S1042" s="238" t="n">
        <x:f>'Model_Calc'!BA177</x:f>
        <x:v>56.10692158560755</x:v>
      </x:c>
      <x:c r="T1042" s="238" t="n">
        <x:f>ROUND(S1042-O1042,4)</x:f>
        <x:v>0</x:v>
      </x:c>
    </x:row>
    <x:row r="1043">
      <x:c r="A1043" s="187" t="str">
        <x:v>ACTUAL_2026_08_CLOSE_V1</x:v>
      </x:c>
      <x:c r="B1043" s="187" t="str">
        <x:v>ACTUAL</x:v>
      </x:c>
      <x:c r="C1043" s="187"/>
      <x:c r="D1043" s="217" t="n">
        <x:v>46174</x:v>
      </x:c>
      <x:c r="E1043" s="187" t="str">
        <x:v>R_FR_FR_A_ROAD</x:v>
      </x:c>
      <x:c r="F1043" s="187" t="str">
        <x:v>FR</x:v>
      </x:c>
      <x:c r="G1043" s="187" t="str">
        <x:v>FR_FC</x:v>
      </x:c>
      <x:c r="H1043" s="187" t="str">
        <x:v>CARRIER_A</x:v>
      </x:c>
      <x:c r="I1043" s="187" t="str">
        <x:v>ROAD</x:v>
      </x:c>
      <x:c r="J1043" s="187" t="str">
        <x:v>BASE_FREIGHT</x:v>
      </x:c>
      <x:c r="K1043" s="187" t="str">
        <x:v>EUR</x:v>
      </x:c>
      <x:c r="L1043" s="232" t="n">
        <x:v>3279.1284814121063</x:v>
      </x:c>
      <x:c r="M1043" s="232" t="n">
        <x:v>7.89</x:v>
      </x:c>
      <x:c r="N1043" s="187" t="str">
        <x:v>25872.3237183415194960000000</x:v>
      </x:c>
      <x:c r="O1043" s="235" t="n">
        <x:v>25872.3237</x:v>
      </x:c>
      <x:c r="P1043" s="235" t="n">
        <x:v>25872.3237</x:v>
      </x:c>
      <x:c r="Q1043" s="235" t="n">
        <x:v>0</x:v>
      </x:c>
      <x:c r="R1043" s="235" t="str">
        <x:v>INVOICE_OR_PLAN</x:v>
      </x:c>
      <x:c r="S1043" s="238" t="n">
        <x:f>'Model_Calc'!AF178</x:f>
        <x:v>25872.32371834152</x:v>
      </x:c>
      <x:c r="T1043" s="238" t="n">
        <x:f>ROUND(S1043-O1043,4)</x:f>
        <x:v>0</x:v>
      </x:c>
    </x:row>
    <x:row r="1044">
      <x:c r="A1044" s="187" t="str">
        <x:v>ACTUAL_2026_08_CLOSE_V1</x:v>
      </x:c>
      <x:c r="B1044" s="187" t="str">
        <x:v>ACTUAL</x:v>
      </x:c>
      <x:c r="C1044" s="187"/>
      <x:c r="D1044" s="217" t="n">
        <x:v>46174</x:v>
      </x:c>
      <x:c r="E1044" s="187" t="str">
        <x:v>R_FR_FR_A_ROAD</x:v>
      </x:c>
      <x:c r="F1044" s="187" t="str">
        <x:v>FR</x:v>
      </x:c>
      <x:c r="G1044" s="187" t="str">
        <x:v>FR_FC</x:v>
      </x:c>
      <x:c r="H1044" s="187" t="str">
        <x:v>CARRIER_A</x:v>
      </x:c>
      <x:c r="I1044" s="187" t="str">
        <x:v>ROAD</x:v>
      </x:c>
      <x:c r="J1044" s="187" t="str">
        <x:v>FUEL_SURCHARGE</x:v>
      </x:c>
      <x:c r="K1044" s="187" t="str">
        <x:v>EUR</x:v>
      </x:c>
      <x:c r="L1044" s="232" t="n">
        <x:v>298.66302208701467</x:v>
      </x:c>
      <x:c r="M1044" s="232" t="n">
        <x:v>7.89</x:v>
      </x:c>
      <x:c r="N1044" s="187" t="str">
        <x:v>2356.4512442665455956956800000000</x:v>
      </x:c>
      <x:c r="O1044" s="235" t="n">
        <x:v>2356.4512</x:v>
      </x:c>
      <x:c r="P1044" s="235" t="n">
        <x:v>2356.4512</x:v>
      </x:c>
      <x:c r="Q1044" s="235" t="n">
        <x:v>0</x:v>
      </x:c>
      <x:c r="R1044" s="235" t="str">
        <x:v>INVOICE_OR_PLAN</x:v>
      </x:c>
      <x:c r="S1044" s="238" t="n">
        <x:f>'Model_Calc'!AG178</x:f>
        <x:v>2356.451244266545</x:v>
      </x:c>
      <x:c r="T1044" s="238" t="n">
        <x:f>ROUND(S1044-O1044,4)</x:f>
        <x:v>0</x:v>
      </x:c>
    </x:row>
    <x:row r="1045">
      <x:c r="A1045" s="187" t="str">
        <x:v>ACTUAL_2026_08_CLOSE_V1</x:v>
      </x:c>
      <x:c r="B1045" s="187" t="str">
        <x:v>ACTUAL</x:v>
      </x:c>
      <x:c r="C1045" s="187"/>
      <x:c r="D1045" s="217" t="n">
        <x:v>46174</x:v>
      </x:c>
      <x:c r="E1045" s="187" t="str">
        <x:v>R_FR_FR_A_ROAD</x:v>
      </x:c>
      <x:c r="F1045" s="187" t="str">
        <x:v>FR</x:v>
      </x:c>
      <x:c r="G1045" s="187" t="str">
        <x:v>FR_FC</x:v>
      </x:c>
      <x:c r="H1045" s="187" t="str">
        <x:v>CARRIER_A</x:v>
      </x:c>
      <x:c r="I1045" s="187" t="str">
        <x:v>ROAD</x:v>
      </x:c>
      <x:c r="J1045" s="187" t="str">
        <x:v>WAREHOUSE_OPERATION</x:v>
      </x:c>
      <x:c r="K1045" s="187" t="str">
        <x:v>EUR</x:v>
      </x:c>
      <x:c r="L1045" s="232" t="n">
        <x:v>2015.00838</x:v>
      </x:c>
      <x:c r="M1045" s="232" t="n">
        <x:v>7.89</x:v>
      </x:c>
      <x:c r="N1045" s="187" t="str">
        <x:v>15898.416118200000</x:v>
      </x:c>
      <x:c r="O1045" s="235" t="n">
        <x:v>15898.4161</x:v>
      </x:c>
      <x:c r="P1045" s="235" t="n">
        <x:v>15898.4161</x:v>
      </x:c>
      <x:c r="Q1045" s="235" t="n">
        <x:v>0</x:v>
      </x:c>
      <x:c r="R1045" s="235" t="str">
        <x:v>INVOICE_OR_PLAN</x:v>
      </x:c>
      <x:c r="S1045" s="238" t="n">
        <x:f>'Model_Calc'!AL178</x:f>
        <x:v>15898.416118199999</x:v>
      </x:c>
      <x:c r="T1045" s="238" t="n">
        <x:f>ROUND(S1045-O1045,4)</x:f>
        <x:v>0</x:v>
      </x:c>
    </x:row>
    <x:row r="1046">
      <x:c r="A1046" s="187" t="str">
        <x:v>ACTUAL_2026_08_CLOSE_V1</x:v>
      </x:c>
      <x:c r="B1046" s="187" t="str">
        <x:v>ACTUAL</x:v>
      </x:c>
      <x:c r="C1046" s="187"/>
      <x:c r="D1046" s="217" t="n">
        <x:v>46174</x:v>
      </x:c>
      <x:c r="E1046" s="187" t="str">
        <x:v>R_FR_FR_A_ROAD</x:v>
      </x:c>
      <x:c r="F1046" s="187" t="str">
        <x:v>FR</x:v>
      </x:c>
      <x:c r="G1046" s="187" t="str">
        <x:v>FR_FC</x:v>
      </x:c>
      <x:c r="H1046" s="187" t="str">
        <x:v>CARRIER_A</x:v>
      </x:c>
      <x:c r="I1046" s="187" t="str">
        <x:v>ROAD</x:v>
      </x:c>
      <x:c r="J1046" s="187" t="str">
        <x:v>PACKAGING</x:v>
      </x:c>
      <x:c r="K1046" s="187" t="str">
        <x:v>EUR</x:v>
      </x:c>
      <x:c r="L1046" s="232" t="n">
        <x:v>776.8605736584</x:v>
      </x:c>
      <x:c r="M1046" s="232" t="n">
        <x:v>7.89</x:v>
      </x:c>
      <x:c r="N1046" s="187" t="str">
        <x:v>6129.42992616477600000</x:v>
      </x:c>
      <x:c r="O1046" s="235" t="n">
        <x:v>6129.4299</x:v>
      </x:c>
      <x:c r="P1046" s="235" t="n">
        <x:v>6129.4299</x:v>
      </x:c>
      <x:c r="Q1046" s="235" t="n">
        <x:v>0</x:v>
      </x:c>
      <x:c r="R1046" s="235" t="str">
        <x:v>INVOICE_OR_PLAN</x:v>
      </x:c>
      <x:c r="S1046" s="238" t="n">
        <x:f>'Model_Calc'!AQ178</x:f>
        <x:v>6129.429926164776</x:v>
      </x:c>
      <x:c r="T1046" s="238" t="n">
        <x:f>ROUND(S1046-O1046,4)</x:f>
        <x:v>0</x:v>
      </x:c>
    </x:row>
    <x:row r="1047">
      <x:c r="A1047" s="187" t="str">
        <x:v>ACTUAL_2026_08_CLOSE_V1</x:v>
      </x:c>
      <x:c r="B1047" s="187" t="str">
        <x:v>ACTUAL</x:v>
      </x:c>
      <x:c r="C1047" s="187"/>
      <x:c r="D1047" s="217" t="n">
        <x:v>46174</x:v>
      </x:c>
      <x:c r="E1047" s="187" t="str">
        <x:v>R_FR_FR_A_ROAD</x:v>
      </x:c>
      <x:c r="F1047" s="187" t="str">
        <x:v>FR</x:v>
      </x:c>
      <x:c r="G1047" s="187" t="str">
        <x:v>FR_FC</x:v>
      </x:c>
      <x:c r="H1047" s="187" t="str">
        <x:v>CARRIER_A</x:v>
      </x:c>
      <x:c r="I1047" s="187" t="str">
        <x:v>ROAD</x:v>
      </x:c>
      <x:c r="J1047" s="187" t="str">
        <x:v>RETURN_LOGISTICS</x:v>
      </x:c>
      <x:c r="K1047" s="187" t="str">
        <x:v>EUR</x:v>
      </x:c>
      <x:c r="L1047" s="232" t="n">
        <x:v>345.430008</x:v>
      </x:c>
      <x:c r="M1047" s="232" t="n">
        <x:v>7.89</x:v>
      </x:c>
      <x:c r="N1047" s="187" t="str">
        <x:v>2725.442763120000000</x:v>
      </x:c>
      <x:c r="O1047" s="235" t="n">
        <x:v>2725.4428</x:v>
      </x:c>
      <x:c r="P1047" s="235" t="n">
        <x:v>2725.4428</x:v>
      </x:c>
      <x:c r="Q1047" s="235" t="n">
        <x:v>0</x:v>
      </x:c>
      <x:c r="R1047" s="235" t="str">
        <x:v>INVOICE_OR_PLAN</x:v>
      </x:c>
      <x:c r="S1047" s="238" t="n">
        <x:f>'Model_Calc'!AV178</x:f>
        <x:v>2725.4427631199997</x:v>
      </x:c>
      <x:c r="T1047" s="238" t="n">
        <x:f>ROUND(S1047-O1047,4)</x:f>
        <x:v>0</x:v>
      </x:c>
    </x:row>
    <x:row r="1048">
      <x:c r="A1048" s="187" t="str">
        <x:v>ACTUAL_2026_08_CLOSE_V1</x:v>
      </x:c>
      <x:c r="B1048" s="187" t="str">
        <x:v>ACTUAL</x:v>
      </x:c>
      <x:c r="C1048" s="187"/>
      <x:c r="D1048" s="217" t="n">
        <x:v>46174</x:v>
      </x:c>
      <x:c r="E1048" s="187" t="str">
        <x:v>R_FR_FR_A_ROAD</x:v>
      </x:c>
      <x:c r="F1048" s="187" t="str">
        <x:v>FR</x:v>
      </x:c>
      <x:c r="G1048" s="187" t="str">
        <x:v>FR_FC</x:v>
      </x:c>
      <x:c r="H1048" s="187" t="str">
        <x:v>CARRIER_A</x:v>
      </x:c>
      <x:c r="I1048" s="187" t="str">
        <x:v>ROAD</x:v>
      </x:c>
      <x:c r="J1048" s="187" t="str">
        <x:v>BILLABLE_EXCEPTION</x:v>
      </x:c>
      <x:c r="K1048" s="187" t="str">
        <x:v>EUR</x:v>
      </x:c>
      <x:c r="L1048" s="232" t="n">
        <x:v>81.53356157537976</x:v>
      </x:c>
      <x:c r="M1048" s="232" t="n">
        <x:v>7.89</x:v>
      </x:c>
      <x:c r="N1048" s="187" t="str">
        <x:v>643.2998008297463064000000</x:v>
      </x:c>
      <x:c r="O1048" s="235" t="n">
        <x:v>643.2998</x:v>
      </x:c>
      <x:c r="P1048" s="235" t="n">
        <x:v>643.2998</x:v>
      </x:c>
      <x:c r="Q1048" s="235" t="n">
        <x:v>0</x:v>
      </x:c>
      <x:c r="R1048" s="235" t="str">
        <x:v>INVOICE_OR_PLAN</x:v>
      </x:c>
      <x:c r="S1048" s="238" t="n">
        <x:f>'Model_Calc'!BA178</x:f>
        <x:v>643.2998008297462</x:v>
      </x:c>
      <x:c r="T1048" s="238" t="n">
        <x:f>ROUND(S1048-O1048,4)</x:f>
        <x:v>0</x:v>
      </x:c>
    </x:row>
    <x:row r="1049">
      <x:c r="A1049" s="187" t="str">
        <x:v>ACTUAL_2026_08_CLOSE_V1</x:v>
      </x:c>
      <x:c r="B1049" s="187" t="str">
        <x:v>ACTUAL</x:v>
      </x:c>
      <x:c r="C1049" s="187"/>
      <x:c r="D1049" s="217" t="n">
        <x:v>46174</x:v>
      </x:c>
      <x:c r="E1049" s="187" t="str">
        <x:v>R_FR_FR_B_ROAD</x:v>
      </x:c>
      <x:c r="F1049" s="187" t="str">
        <x:v>FR</x:v>
      </x:c>
      <x:c r="G1049" s="187" t="str">
        <x:v>FR_FC</x:v>
      </x:c>
      <x:c r="H1049" s="187" t="str">
        <x:v>CARRIER_B</x:v>
      </x:c>
      <x:c r="I1049" s="187" t="str">
        <x:v>ROAD</x:v>
      </x:c>
      <x:c r="J1049" s="187" t="str">
        <x:v>BASE_FREIGHT</x:v>
      </x:c>
      <x:c r="K1049" s="187" t="str">
        <x:v>EUR</x:v>
      </x:c>
      <x:c r="L1049" s="232" t="n">
        <x:v>7837.387102637493</x:v>
      </x:c>
      <x:c r="M1049" s="232" t="n">
        <x:v>7.89</x:v>
      </x:c>
      <x:c r="N1049" s="187" t="str">
        <x:v>61836.9842398098150360000000</x:v>
      </x:c>
      <x:c r="O1049" s="235" t="n">
        <x:v>61836.9842</x:v>
      </x:c>
      <x:c r="P1049" s="235" t="n">
        <x:v>61836.9842</x:v>
      </x:c>
      <x:c r="Q1049" s="235" t="n">
        <x:v>0</x:v>
      </x:c>
      <x:c r="R1049" s="235" t="str">
        <x:v>INVOICE_OR_PLAN</x:v>
      </x:c>
      <x:c r="S1049" s="238" t="n">
        <x:f>'Model_Calc'!AF179</x:f>
        <x:v>61836.98423980981</x:v>
      </x:c>
      <x:c r="T1049" s="238" t="n">
        <x:f>ROUND(S1049-O1049,4)</x:f>
        <x:v>0</x:v>
      </x:c>
    </x:row>
    <x:row r="1050">
      <x:c r="A1050" s="187" t="str">
        <x:v>ACTUAL_2026_08_CLOSE_V1</x:v>
      </x:c>
      <x:c r="B1050" s="187" t="str">
        <x:v>ACTUAL</x:v>
      </x:c>
      <x:c r="C1050" s="187"/>
      <x:c r="D1050" s="217" t="n">
        <x:v>46174</x:v>
      </x:c>
      <x:c r="E1050" s="187" t="str">
        <x:v>R_FR_FR_B_ROAD</x:v>
      </x:c>
      <x:c r="F1050" s="187" t="str">
        <x:v>FR</x:v>
      </x:c>
      <x:c r="G1050" s="187" t="str">
        <x:v>FR_FC</x:v>
      </x:c>
      <x:c r="H1050" s="187" t="str">
        <x:v>CARRIER_B</x:v>
      </x:c>
      <x:c r="I1050" s="187" t="str">
        <x:v>ROAD</x:v>
      </x:c>
      <x:c r="J1050" s="187" t="str">
        <x:v>FUEL_SURCHARGE</x:v>
      </x:c>
      <x:c r="K1050" s="187" t="str">
        <x:v>EUR</x:v>
      </x:c>
      <x:c r="L1050" s="232" t="n">
        <x:v>602.8759309721148</x:v>
      </x:c>
      <x:c r="M1050" s="232" t="n">
        <x:v>7.89</x:v>
      </x:c>
      <x:c r="N1050" s="187" t="str">
        <x:v>4756.6910953699857720000000</x:v>
      </x:c>
      <x:c r="O1050" s="235" t="n">
        <x:v>4756.6911</x:v>
      </x:c>
      <x:c r="P1050" s="235" t="n">
        <x:v>4756.6911</x:v>
      </x:c>
      <x:c r="Q1050" s="235" t="n">
        <x:v>0</x:v>
      </x:c>
      <x:c r="R1050" s="235" t="str">
        <x:v>INVOICE_OR_PLAN</x:v>
      </x:c>
      <x:c r="S1050" s="238" t="n">
        <x:f>'Model_Calc'!AG179</x:f>
        <x:v>4756.691095369985</x:v>
      </x:c>
      <x:c r="T1050" s="238" t="n">
        <x:f>ROUND(S1050-O1050,4)</x:f>
        <x:v>0</x:v>
      </x:c>
    </x:row>
    <x:row r="1051">
      <x:c r="A1051" s="187" t="str">
        <x:v>ACTUAL_2026_08_CLOSE_V1</x:v>
      </x:c>
      <x:c r="B1051" s="187" t="str">
        <x:v>ACTUAL</x:v>
      </x:c>
      <x:c r="C1051" s="187"/>
      <x:c r="D1051" s="217" t="n">
        <x:v>46174</x:v>
      </x:c>
      <x:c r="E1051" s="187" t="str">
        <x:v>R_FR_FR_B_ROAD</x:v>
      </x:c>
      <x:c r="F1051" s="187" t="str">
        <x:v>FR</x:v>
      </x:c>
      <x:c r="G1051" s="187" t="str">
        <x:v>FR_FC</x:v>
      </x:c>
      <x:c r="H1051" s="187" t="str">
        <x:v>CARRIER_B</x:v>
      </x:c>
      <x:c r="I1051" s="187" t="str">
        <x:v>ROAD</x:v>
      </x:c>
      <x:c r="J1051" s="187" t="str">
        <x:v>WAREHOUSE_OPERATION</x:v>
      </x:c>
      <x:c r="K1051" s="187" t="str">
        <x:v>EUR</x:v>
      </x:c>
      <x:c r="L1051" s="232" t="n">
        <x:v>3742.15842</x:v>
      </x:c>
      <x:c r="M1051" s="232" t="n">
        <x:v>7.89</x:v>
      </x:c>
      <x:c r="N1051" s="187" t="str">
        <x:v>29525.629933800000</x:v>
      </x:c>
      <x:c r="O1051" s="235" t="n">
        <x:v>29525.6299</x:v>
      </x:c>
      <x:c r="P1051" s="235" t="n">
        <x:v>29525.6299</x:v>
      </x:c>
      <x:c r="Q1051" s="235" t="n">
        <x:v>0</x:v>
      </x:c>
      <x:c r="R1051" s="235" t="str">
        <x:v>INVOICE_OR_PLAN</x:v>
      </x:c>
      <x:c r="S1051" s="238" t="n">
        <x:f>'Model_Calc'!AL179</x:f>
        <x:v>29525.6299338</x:v>
      </x:c>
      <x:c r="T1051" s="238" t="n">
        <x:f>ROUND(S1051-O1051,4)</x:f>
        <x:v>0</x:v>
      </x:c>
    </x:row>
    <x:row r="1052">
      <x:c r="A1052" s="187" t="str">
        <x:v>ACTUAL_2026_08_CLOSE_V1</x:v>
      </x:c>
      <x:c r="B1052" s="187" t="str">
        <x:v>ACTUAL</x:v>
      </x:c>
      <x:c r="C1052" s="187"/>
      <x:c r="D1052" s="217" t="n">
        <x:v>46174</x:v>
      </x:c>
      <x:c r="E1052" s="187" t="str">
        <x:v>R_FR_FR_B_ROAD</x:v>
      </x:c>
      <x:c r="F1052" s="187" t="str">
        <x:v>FR</x:v>
      </x:c>
      <x:c r="G1052" s="187" t="str">
        <x:v>FR_FC</x:v>
      </x:c>
      <x:c r="H1052" s="187" t="str">
        <x:v>CARRIER_B</x:v>
      </x:c>
      <x:c r="I1052" s="187" t="str">
        <x:v>ROAD</x:v>
      </x:c>
      <x:c r="J1052" s="187" t="str">
        <x:v>PACKAGING</x:v>
      </x:c>
      <x:c r="K1052" s="187" t="str">
        <x:v>EUR</x:v>
      </x:c>
      <x:c r="L1052" s="232" t="n">
        <x:v>1442.7410653656</x:v>
      </x:c>
      <x:c r="M1052" s="232" t="n">
        <x:v>7.89</x:v>
      </x:c>
      <x:c r="N1052" s="187" t="str">
        <x:v>11383.22700573458400000</x:v>
      </x:c>
      <x:c r="O1052" s="235" t="n">
        <x:v>11383.227</x:v>
      </x:c>
      <x:c r="P1052" s="235" t="n">
        <x:v>11383.227</x:v>
      </x:c>
      <x:c r="Q1052" s="235" t="n">
        <x:v>0</x:v>
      </x:c>
      <x:c r="R1052" s="235" t="str">
        <x:v>INVOICE_OR_PLAN</x:v>
      </x:c>
      <x:c r="S1052" s="238" t="n">
        <x:f>'Model_Calc'!AQ179</x:f>
        <x:v>11383.227005734585</x:v>
      </x:c>
      <x:c r="T1052" s="238" t="n">
        <x:f>ROUND(S1052-O1052,4)</x:f>
        <x:v>0</x:v>
      </x:c>
    </x:row>
    <x:row r="1053">
      <x:c r="A1053" s="187" t="str">
        <x:v>ACTUAL_2026_08_CLOSE_V1</x:v>
      </x:c>
      <x:c r="B1053" s="187" t="str">
        <x:v>ACTUAL</x:v>
      </x:c>
      <x:c r="C1053" s="187"/>
      <x:c r="D1053" s="217" t="n">
        <x:v>46174</x:v>
      </x:c>
      <x:c r="E1053" s="187" t="str">
        <x:v>R_FR_FR_B_ROAD</x:v>
      </x:c>
      <x:c r="F1053" s="187" t="str">
        <x:v>FR</x:v>
      </x:c>
      <x:c r="G1053" s="187" t="str">
        <x:v>FR_FC</x:v>
      </x:c>
      <x:c r="H1053" s="187" t="str">
        <x:v>CARRIER_B</x:v>
      </x:c>
      <x:c r="I1053" s="187" t="str">
        <x:v>ROAD</x:v>
      </x:c>
      <x:c r="J1053" s="187" t="str">
        <x:v>RETURN_LOGISTICS</x:v>
      </x:c>
      <x:c r="K1053" s="187" t="str">
        <x:v>EUR</x:v>
      </x:c>
      <x:c r="L1053" s="232" t="n">
        <x:v>641.512872</x:v>
      </x:c>
      <x:c r="M1053" s="232" t="n">
        <x:v>7.89</x:v>
      </x:c>
      <x:c r="N1053" s="187" t="str">
        <x:v>5061.536560080000000</x:v>
      </x:c>
      <x:c r="O1053" s="235" t="n">
        <x:v>5061.5366</x:v>
      </x:c>
      <x:c r="P1053" s="235" t="n">
        <x:v>5061.5366</x:v>
      </x:c>
      <x:c r="Q1053" s="235" t="n">
        <x:v>0</x:v>
      </x:c>
      <x:c r="R1053" s="235" t="str">
        <x:v>INVOICE_OR_PLAN</x:v>
      </x:c>
      <x:c r="S1053" s="238" t="n">
        <x:f>'Model_Calc'!AV179</x:f>
        <x:v>5061.53656008</x:v>
      </x:c>
      <x:c r="T1053" s="238" t="n">
        <x:f>ROUND(S1053-O1053,4)</x:f>
        <x:v>0</x:v>
      </x:c>
    </x:row>
    <x:row r="1054">
      <x:c r="A1054" s="187" t="str">
        <x:v>ACTUAL_2026_08_CLOSE_V1</x:v>
      </x:c>
      <x:c r="B1054" s="187" t="str">
        <x:v>ACTUAL</x:v>
      </x:c>
      <x:c r="C1054" s="187"/>
      <x:c r="D1054" s="217" t="n">
        <x:v>46174</x:v>
      </x:c>
      <x:c r="E1054" s="187" t="str">
        <x:v>R_FR_FR_B_ROAD</x:v>
      </x:c>
      <x:c r="F1054" s="187" t="str">
        <x:v>FR</x:v>
      </x:c>
      <x:c r="G1054" s="187" t="str">
        <x:v>FR_FC</x:v>
      </x:c>
      <x:c r="H1054" s="187" t="str">
        <x:v>CARRIER_B</x:v>
      </x:c>
      <x:c r="I1054" s="187" t="str">
        <x:v>ROAD</x:v>
      </x:c>
      <x:c r="J1054" s="187" t="str">
        <x:v>BILLABLE_EXCEPTION</x:v>
      </x:c>
      <x:c r="K1054" s="187" t="str">
        <x:v>EUR</x:v>
      </x:c>
      <x:c r="L1054" s="232" t="n">
        <x:v>124.69838829175728</x:v>
      </x:c>
      <x:c r="M1054" s="232" t="n">
        <x:v>7.89</x:v>
      </x:c>
      <x:c r="N1054" s="187" t="str">
        <x:v>983.8702836219649392000000</x:v>
      </x:c>
      <x:c r="O1054" s="235" t="n">
        <x:v>983.8703</x:v>
      </x:c>
      <x:c r="P1054" s="235" t="n">
        <x:v>983.8703</x:v>
      </x:c>
      <x:c r="Q1054" s="235" t="n">
        <x:v>0</x:v>
      </x:c>
      <x:c r="R1054" s="235" t="str">
        <x:v>INVOICE_OR_PLAN</x:v>
      </x:c>
      <x:c r="S1054" s="238" t="n">
        <x:f>'Model_Calc'!BA179</x:f>
        <x:v>983.8702836219649</x:v>
      </x:c>
      <x:c r="T1054" s="238" t="n">
        <x:f>ROUND(S1054-O1054,4)</x:f>
        <x:v>0</x:v>
      </x:c>
    </x:row>
    <x:row r="1055">
      <x:c r="A1055" s="187" t="str">
        <x:v>ACTUAL_2026_08_CLOSE_V1</x:v>
      </x:c>
      <x:c r="B1055" s="187" t="str">
        <x:v>ACTUAL</x:v>
      </x:c>
      <x:c r="C1055" s="187"/>
      <x:c r="D1055" s="217" t="n">
        <x:v>46174</x:v>
      </x:c>
      <x:c r="E1055" s="187" t="str">
        <x:v>R_GB_DE_A_ROAD</x:v>
      </x:c>
      <x:c r="F1055" s="187" t="str">
        <x:v>GB</x:v>
      </x:c>
      <x:c r="G1055" s="187" t="str">
        <x:v>DE_FC</x:v>
      </x:c>
      <x:c r="H1055" s="187" t="str">
        <x:v>CARRIER_A</x:v>
      </x:c>
      <x:c r="I1055" s="187" t="str">
        <x:v>ROAD</x:v>
      </x:c>
      <x:c r="J1055" s="187" t="str">
        <x:v>BASE_FREIGHT</x:v>
      </x:c>
      <x:c r="K1055" s="187" t="str">
        <x:v>GBP</x:v>
      </x:c>
      <x:c r="L1055" s="232" t="n">
        <x:v>14488.546525379092</x:v>
      </x:c>
      <x:c r="M1055" s="232" t="n">
        <x:v>9.16</x:v>
      </x:c>
      <x:c r="N1055" s="187" t="str">
        <x:v>132715.086172472472109056000000</x:v>
      </x:c>
      <x:c r="O1055" s="235" t="n">
        <x:v>132715.0862</x:v>
      </x:c>
      <x:c r="P1055" s="235" t="n">
        <x:v>132715.0862</x:v>
      </x:c>
      <x:c r="Q1055" s="235" t="n">
        <x:v>0</x:v>
      </x:c>
      <x:c r="R1055" s="235" t="str">
        <x:v>INVOICE_OR_PLAN</x:v>
      </x:c>
      <x:c r="S1055" s="238" t="n">
        <x:f>'Model_Calc'!AF180</x:f>
        <x:v>132715.08617247242</x:v>
      </x:c>
      <x:c r="T1055" s="238" t="n">
        <x:f>ROUND(S1055-O1055,4)</x:f>
        <x:v>0</x:v>
      </x:c>
    </x:row>
    <x:row r="1056">
      <x:c r="A1056" s="187" t="str">
        <x:v>ACTUAL_2026_08_CLOSE_V1</x:v>
      </x:c>
      <x:c r="B1056" s="187" t="str">
        <x:v>ACTUAL</x:v>
      </x:c>
      <x:c r="C1056" s="187"/>
      <x:c r="D1056" s="217" t="n">
        <x:v>46174</x:v>
      </x:c>
      <x:c r="E1056" s="187" t="str">
        <x:v>R_GB_DE_A_ROAD</x:v>
      </x:c>
      <x:c r="F1056" s="187" t="str">
        <x:v>GB</x:v>
      </x:c>
      <x:c r="G1056" s="187" t="str">
        <x:v>DE_FC</x:v>
      </x:c>
      <x:c r="H1056" s="187" t="str">
        <x:v>CARRIER_A</x:v>
      </x:c>
      <x:c r="I1056" s="187" t="str">
        <x:v>ROAD</x:v>
      </x:c>
      <x:c r="J1056" s="187" t="str">
        <x:v>FUEL_SURCHARGE</x:v>
      </x:c>
      <x:c r="K1056" s="187" t="str">
        <x:v>GBP</x:v>
      </x:c>
      <x:c r="L1056" s="232" t="n">
        <x:v>1466.240908368364</x:v>
      </x:c>
      <x:c r="M1056" s="232" t="n">
        <x:v>9.16</x:v>
      </x:c>
      <x:c r="N1056" s="187" t="str">
        <x:v>13430.766720654214177436467200000000</x:v>
      </x:c>
      <x:c r="O1056" s="235" t="n">
        <x:v>13430.7667</x:v>
      </x:c>
      <x:c r="P1056" s="235" t="n">
        <x:v>13430.7667</x:v>
      </x:c>
      <x:c r="Q1056" s="235" t="n">
        <x:v>0</x:v>
      </x:c>
      <x:c r="R1056" s="235" t="str">
        <x:v>INVOICE_OR_PLAN</x:v>
      </x:c>
      <x:c r="S1056" s="238" t="n">
        <x:f>'Model_Calc'!AG180</x:f>
        <x:v>13430.76672065421</x:v>
      </x:c>
      <x:c r="T1056" s="238" t="n">
        <x:f>ROUND(S1056-O1056,4)</x:f>
        <x:v>0</x:v>
      </x:c>
    </x:row>
    <x:row r="1057">
      <x:c r="A1057" s="187" t="str">
        <x:v>ACTUAL_2026_08_CLOSE_V1</x:v>
      </x:c>
      <x:c r="B1057" s="187" t="str">
        <x:v>ACTUAL</x:v>
      </x:c>
      <x:c r="C1057" s="187"/>
      <x:c r="D1057" s="217" t="n">
        <x:v>46174</x:v>
      </x:c>
      <x:c r="E1057" s="187" t="str">
        <x:v>R_GB_DE_A_ROAD</x:v>
      </x:c>
      <x:c r="F1057" s="187" t="str">
        <x:v>GB</x:v>
      </x:c>
      <x:c r="G1057" s="187" t="str">
        <x:v>DE_FC</x:v>
      </x:c>
      <x:c r="H1057" s="187" t="str">
        <x:v>CARRIER_A</x:v>
      </x:c>
      <x:c r="I1057" s="187" t="str">
        <x:v>ROAD</x:v>
      </x:c>
      <x:c r="J1057" s="187" t="str">
        <x:v>WAREHOUSE_OPERATION</x:v>
      </x:c>
      <x:c r="K1057" s="187" t="str">
        <x:v>EUR</x:v>
      </x:c>
      <x:c r="L1057" s="232" t="n">
        <x:v>3704.2178291712</x:v>
      </x:c>
      <x:c r="M1057" s="232" t="n">
        <x:v>7.89</x:v>
      </x:c>
      <x:c r="N1057" s="187" t="str">
        <x:v>29226.27867216076800</x:v>
      </x:c>
      <x:c r="O1057" s="235" t="n">
        <x:v>29226.2787</x:v>
      </x:c>
      <x:c r="P1057" s="235" t="n">
        <x:v>29226.2787</x:v>
      </x:c>
      <x:c r="Q1057" s="235" t="n">
        <x:v>0</x:v>
      </x:c>
      <x:c r="R1057" s="235" t="str">
        <x:v>INVOICE_OR_PLAN</x:v>
      </x:c>
      <x:c r="S1057" s="238" t="n">
        <x:f>'Model_Calc'!AL180</x:f>
        <x:v>29226.278672160766</x:v>
      </x:c>
      <x:c r="T1057" s="238" t="n">
        <x:f>ROUND(S1057-O1057,4)</x:f>
        <x:v>0</x:v>
      </x:c>
    </x:row>
    <x:row r="1058">
      <x:c r="A1058" s="187" t="str">
        <x:v>ACTUAL_2026_08_CLOSE_V1</x:v>
      </x:c>
      <x:c r="B1058" s="187" t="str">
        <x:v>ACTUAL</x:v>
      </x:c>
      <x:c r="C1058" s="187"/>
      <x:c r="D1058" s="217" t="n">
        <x:v>46174</x:v>
      </x:c>
      <x:c r="E1058" s="187" t="str">
        <x:v>R_GB_DE_A_ROAD</x:v>
      </x:c>
      <x:c r="F1058" s="187" t="str">
        <x:v>GB</x:v>
      </x:c>
      <x:c r="G1058" s="187" t="str">
        <x:v>DE_FC</x:v>
      </x:c>
      <x:c r="H1058" s="187" t="str">
        <x:v>CARRIER_A</x:v>
      </x:c>
      <x:c r="I1058" s="187" t="str">
        <x:v>ROAD</x:v>
      </x:c>
      <x:c r="J1058" s="187" t="str">
        <x:v>PACKAGING</x:v>
      </x:c>
      <x:c r="K1058" s="187" t="str">
        <x:v>EUR</x:v>
      </x:c>
      <x:c r="L1058" s="232" t="n">
        <x:v>1484.0477857426638</x:v>
      </x:c>
      <x:c r="M1058" s="232" t="n">
        <x:v>7.89</x:v>
      </x:c>
      <x:c r="N1058" s="187" t="str">
        <x:v>11709.1370295096164352000</x:v>
      </x:c>
      <x:c r="O1058" s="235" t="n">
        <x:v>11709.137</x:v>
      </x:c>
      <x:c r="P1058" s="235" t="n">
        <x:v>11709.137</x:v>
      </x:c>
      <x:c r="Q1058" s="235" t="n">
        <x:v>0</x:v>
      </x:c>
      <x:c r="R1058" s="235" t="str">
        <x:v>INVOICE_OR_PLAN</x:v>
      </x:c>
      <x:c r="S1058" s="238" t="n">
        <x:f>'Model_Calc'!AQ180</x:f>
        <x:v>11709.137029509613</x:v>
      </x:c>
      <x:c r="T1058" s="238" t="n">
        <x:f>ROUND(S1058-O1058,4)</x:f>
        <x:v>0</x:v>
      </x:c>
    </x:row>
    <x:row r="1059">
      <x:c r="A1059" s="187" t="str">
        <x:v>ACTUAL_2026_08_CLOSE_V1</x:v>
      </x:c>
      <x:c r="B1059" s="187" t="str">
        <x:v>ACTUAL</x:v>
      </x:c>
      <x:c r="C1059" s="187"/>
      <x:c r="D1059" s="217" t="n">
        <x:v>46174</x:v>
      </x:c>
      <x:c r="E1059" s="187" t="str">
        <x:v>R_GB_DE_A_ROAD</x:v>
      </x:c>
      <x:c r="F1059" s="187" t="str">
        <x:v>GB</x:v>
      </x:c>
      <x:c r="G1059" s="187" t="str">
        <x:v>DE_FC</x:v>
      </x:c>
      <x:c r="H1059" s="187" t="str">
        <x:v>CARRIER_A</x:v>
      </x:c>
      <x:c r="I1059" s="187" t="str">
        <x:v>ROAD</x:v>
      </x:c>
      <x:c r="J1059" s="187" t="str">
        <x:v>RETURN_LOGISTICS</x:v>
      </x:c>
      <x:c r="K1059" s="187" t="str">
        <x:v>GBP</x:v>
      </x:c>
      <x:c r="L1059" s="232" t="n">
        <x:v>1205.44037830656</x:v>
      </x:c>
      <x:c r="M1059" s="232" t="n">
        <x:v>9.16</x:v>
      </x:c>
      <x:c r="N1059" s="187" t="str">
        <x:v>11041.83386528808960000</x:v>
      </x:c>
      <x:c r="O1059" s="235" t="n">
        <x:v>11041.8339</x:v>
      </x:c>
      <x:c r="P1059" s="235" t="n">
        <x:v>11041.8339</x:v>
      </x:c>
      <x:c r="Q1059" s="235" t="n">
        <x:v>0</x:v>
      </x:c>
      <x:c r="R1059" s="235" t="str">
        <x:v>INVOICE_OR_PLAN</x:v>
      </x:c>
      <x:c r="S1059" s="238" t="n">
        <x:f>'Model_Calc'!AV180</x:f>
        <x:v>11041.833865288087</x:v>
      </x:c>
      <x:c r="T1059" s="238" t="n">
        <x:f>ROUND(S1059-O1059,4)</x:f>
        <x:v>0</x:v>
      </x:c>
    </x:row>
    <x:row r="1060">
      <x:c r="A1060" s="187" t="str">
        <x:v>ACTUAL_2026_08_CLOSE_V1</x:v>
      </x:c>
      <x:c r="B1060" s="187" t="str">
        <x:v>ACTUAL</x:v>
      </x:c>
      <x:c r="C1060" s="187"/>
      <x:c r="D1060" s="217" t="n">
        <x:v>46174</x:v>
      </x:c>
      <x:c r="E1060" s="187" t="str">
        <x:v>R_GB_DE_A_ROAD</x:v>
      </x:c>
      <x:c r="F1060" s="187" t="str">
        <x:v>GB</x:v>
      </x:c>
      <x:c r="G1060" s="187" t="str">
        <x:v>DE_FC</x:v>
      </x:c>
      <x:c r="H1060" s="187" t="str">
        <x:v>CARRIER_A</x:v>
      </x:c>
      <x:c r="I1060" s="187" t="str">
        <x:v>ROAD</x:v>
      </x:c>
      <x:c r="J1060" s="187" t="str">
        <x:v>BILLABLE_EXCEPTION</x:v>
      </x:c>
      <x:c r="K1060" s="187" t="str">
        <x:v>GBP</x:v>
      </x:c>
      <x:c r="L1060" s="232" t="n">
        <x:v>182.3682721851199</x:v>
      </x:c>
      <x:c r="M1060" s="232" t="n">
        <x:v>9.16</x:v>
      </x:c>
      <x:c r="N1060" s="187" t="str">
        <x:v>1670.493373215698280775680000</x:v>
      </x:c>
      <x:c r="O1060" s="235" t="n">
        <x:v>1670.4934</x:v>
      </x:c>
      <x:c r="P1060" s="235" t="n">
        <x:v>1670.4934</x:v>
      </x:c>
      <x:c r="Q1060" s="235" t="n">
        <x:v>0</x:v>
      </x:c>
      <x:c r="R1060" s="235" t="str">
        <x:v>INVOICE_OR_PLAN</x:v>
      </x:c>
      <x:c r="S1060" s="238" t="n">
        <x:f>'Model_Calc'!BA180</x:f>
        <x:v>1670.493373215698</x:v>
      </x:c>
      <x:c r="T1060" s="238" t="n">
        <x:f>ROUND(S1060-O1060,4)</x:f>
        <x:v>0</x:v>
      </x:c>
    </x:row>
    <x:row r="1061">
      <x:c r="A1061" s="187" t="str">
        <x:v>ACTUAL_2026_08_CLOSE_V1</x:v>
      </x:c>
      <x:c r="B1061" s="187" t="str">
        <x:v>ACTUAL</x:v>
      </x:c>
      <x:c r="C1061" s="187"/>
      <x:c r="D1061" s="217" t="n">
        <x:v>46174</x:v>
      </x:c>
      <x:c r="E1061" s="187" t="str">
        <x:v>R_GB_DE_B_ROAD</x:v>
      </x:c>
      <x:c r="F1061" s="187" t="str">
        <x:v>GB</x:v>
      </x:c>
      <x:c r="G1061" s="187" t="str">
        <x:v>DE_FC</x:v>
      </x:c>
      <x:c r="H1061" s="187" t="str">
        <x:v>CARRIER_B</x:v>
      </x:c>
      <x:c r="I1061" s="187" t="str">
        <x:v>ROAD</x:v>
      </x:c>
      <x:c r="J1061" s="187" t="str">
        <x:v>BASE_FREIGHT</x:v>
      </x:c>
      <x:c r="K1061" s="187" t="str">
        <x:v>GBP</x:v>
      </x:c>
      <x:c r="L1061" s="232" t="n">
        <x:v>6729.934443121613</x:v>
      </x:c>
      <x:c r="M1061" s="232" t="n">
        <x:v>9.16</x:v>
      </x:c>
      <x:c r="N1061" s="187" t="str">
        <x:v>61646.199498993973248000000000</x:v>
      </x:c>
      <x:c r="O1061" s="235" t="n">
        <x:v>61646.1995</x:v>
      </x:c>
      <x:c r="P1061" s="235" t="n">
        <x:v>61646.1995</x:v>
      </x:c>
      <x:c r="Q1061" s="235" t="n">
        <x:v>0</x:v>
      </x:c>
      <x:c r="R1061" s="235" t="str">
        <x:v>INVOICE_OR_PLAN</x:v>
      </x:c>
      <x:c r="S1061" s="238" t="n">
        <x:f>'Model_Calc'!AF181</x:f>
        <x:v>61646.19949899396</x:v>
      </x:c>
      <x:c r="T1061" s="238" t="n">
        <x:f>ROUND(S1061-O1061,4)</x:f>
        <x:v>0</x:v>
      </x:c>
    </x:row>
    <x:row r="1062">
      <x:c r="A1062" s="187" t="str">
        <x:v>ACTUAL_2026_08_CLOSE_V1</x:v>
      </x:c>
      <x:c r="B1062" s="187" t="str">
        <x:v>ACTUAL</x:v>
      </x:c>
      <x:c r="C1062" s="187"/>
      <x:c r="D1062" s="217" t="n">
        <x:v>46174</x:v>
      </x:c>
      <x:c r="E1062" s="187" t="str">
        <x:v>R_GB_DE_B_ROAD</x:v>
      </x:c>
      <x:c r="F1062" s="187" t="str">
        <x:v>GB</x:v>
      </x:c>
      <x:c r="G1062" s="187" t="str">
        <x:v>DE_FC</x:v>
      </x:c>
      <x:c r="H1062" s="187" t="str">
        <x:v>CARRIER_B</x:v>
      </x:c>
      <x:c r="I1062" s="187" t="str">
        <x:v>ROAD</x:v>
      </x:c>
      <x:c r="J1062" s="187" t="str">
        <x:v>FUEL_SURCHARGE</x:v>
      </x:c>
      <x:c r="K1062" s="187" t="str">
        <x:v>GBP</x:v>
      </x:c>
      <x:c r="L1062" s="232" t="n">
        <x:v>472.5273119638579</x:v>
      </x:c>
      <x:c r="M1062" s="232" t="n">
        <x:v>9.16</x:v>
      </x:c>
      <x:c r="N1062" s="187" t="str">
        <x:v>4328.350177588938547200000000</x:v>
      </x:c>
      <x:c r="O1062" s="235" t="n">
        <x:v>4328.3502</x:v>
      </x:c>
      <x:c r="P1062" s="235" t="n">
        <x:v>4328.3502</x:v>
      </x:c>
      <x:c r="Q1062" s="235" t="n">
        <x:v>0</x:v>
      </x:c>
      <x:c r="R1062" s="235" t="str">
        <x:v>INVOICE_OR_PLAN</x:v>
      </x:c>
      <x:c r="S1062" s="238" t="n">
        <x:f>'Model_Calc'!AG181</x:f>
        <x:v>4328.350177588937</x:v>
      </x:c>
      <x:c r="T1062" s="238" t="n">
        <x:f>ROUND(S1062-O1062,4)</x:f>
        <x:v>0</x:v>
      </x:c>
    </x:row>
    <x:row r="1063">
      <x:c r="A1063" s="187" t="str">
        <x:v>ACTUAL_2026_08_CLOSE_V1</x:v>
      </x:c>
      <x:c r="B1063" s="187" t="str">
        <x:v>ACTUAL</x:v>
      </x:c>
      <x:c r="C1063" s="187"/>
      <x:c r="D1063" s="217" t="n">
        <x:v>46174</x:v>
      </x:c>
      <x:c r="E1063" s="187" t="str">
        <x:v>R_GB_DE_B_ROAD</x:v>
      </x:c>
      <x:c r="F1063" s="187" t="str">
        <x:v>GB</x:v>
      </x:c>
      <x:c r="G1063" s="187" t="str">
        <x:v>DE_FC</x:v>
      </x:c>
      <x:c r="H1063" s="187" t="str">
        <x:v>CARRIER_B</x:v>
      </x:c>
      <x:c r="I1063" s="187" t="str">
        <x:v>ROAD</x:v>
      </x:c>
      <x:c r="J1063" s="187" t="str">
        <x:v>WAREHOUSE_OPERATION</x:v>
      </x:c>
      <x:c r="K1063" s="187" t="str">
        <x:v>EUR</x:v>
      </x:c>
      <x:c r="L1063" s="232" t="n">
        <x:v>1493.63622144</x:v>
      </x:c>
      <x:c r="M1063" s="232" t="n">
        <x:v>7.89</x:v>
      </x:c>
      <x:c r="N1063" s="187" t="str">
        <x:v>11784.78978716160000</x:v>
      </x:c>
      <x:c r="O1063" s="235" t="n">
        <x:v>11784.7898</x:v>
      </x:c>
      <x:c r="P1063" s="235" t="n">
        <x:v>11784.7898</x:v>
      </x:c>
      <x:c r="Q1063" s="235" t="n">
        <x:v>0</x:v>
      </x:c>
      <x:c r="R1063" s="235" t="str">
        <x:v>INVOICE_OR_PLAN</x:v>
      </x:c>
      <x:c r="S1063" s="238" t="n">
        <x:f>'Model_Calc'!AL181</x:f>
        <x:v>11784.7897871616</x:v>
      </x:c>
      <x:c r="T1063" s="238" t="n">
        <x:f>ROUND(S1063-O1063,4)</x:f>
        <x:v>0</x:v>
      </x:c>
    </x:row>
    <x:row r="1064">
      <x:c r="A1064" s="187" t="str">
        <x:v>ACTUAL_2026_08_CLOSE_V1</x:v>
      </x:c>
      <x:c r="B1064" s="187" t="str">
        <x:v>ACTUAL</x:v>
      </x:c>
      <x:c r="C1064" s="187"/>
      <x:c r="D1064" s="217" t="n">
        <x:v>46174</x:v>
      </x:c>
      <x:c r="E1064" s="187" t="str">
        <x:v>R_GB_DE_B_ROAD</x:v>
      </x:c>
      <x:c r="F1064" s="187" t="str">
        <x:v>GB</x:v>
      </x:c>
      <x:c r="G1064" s="187" t="str">
        <x:v>DE_FC</x:v>
      </x:c>
      <x:c r="H1064" s="187" t="str">
        <x:v>CARRIER_B</x:v>
      </x:c>
      <x:c r="I1064" s="187" t="str">
        <x:v>ROAD</x:v>
      </x:c>
      <x:c r="J1064" s="187" t="str">
        <x:v>PACKAGING</x:v>
      </x:c>
      <x:c r="K1064" s="187" t="str">
        <x:v>EUR</x:v>
      </x:c>
      <x:c r="L1064" s="232" t="n">
        <x:v>598.406365218816</x:v>
      </x:c>
      <x:c r="M1064" s="232" t="n">
        <x:v>7.89</x:v>
      </x:c>
      <x:c r="N1064" s="187" t="str">
        <x:v>4721.4262215764582400000</x:v>
      </x:c>
      <x:c r="O1064" s="235" t="n">
        <x:v>4721.4262</x:v>
      </x:c>
      <x:c r="P1064" s="235" t="n">
        <x:v>4721.4262</x:v>
      </x:c>
      <x:c r="Q1064" s="235" t="n">
        <x:v>0</x:v>
      </x:c>
      <x:c r="R1064" s="235" t="str">
        <x:v>INVOICE_OR_PLAN</x:v>
      </x:c>
      <x:c r="S1064" s="238" t="n">
        <x:f>'Model_Calc'!AQ181</x:f>
        <x:v>4721.4262215764575</x:v>
      </x:c>
      <x:c r="T1064" s="238" t="n">
        <x:f>ROUND(S1064-O1064,4)</x:f>
        <x:v>0</x:v>
      </x:c>
    </x:row>
    <x:row r="1065">
      <x:c r="A1065" s="187" t="str">
        <x:v>ACTUAL_2026_08_CLOSE_V1</x:v>
      </x:c>
      <x:c r="B1065" s="187" t="str">
        <x:v>ACTUAL</x:v>
      </x:c>
      <x:c r="C1065" s="187"/>
      <x:c r="D1065" s="217" t="n">
        <x:v>46174</x:v>
      </x:c>
      <x:c r="E1065" s="187" t="str">
        <x:v>R_GB_DE_B_ROAD</x:v>
      </x:c>
      <x:c r="F1065" s="187" t="str">
        <x:v>GB</x:v>
      </x:c>
      <x:c r="G1065" s="187" t="str">
        <x:v>DE_FC</x:v>
      </x:c>
      <x:c r="H1065" s="187" t="str">
        <x:v>CARRIER_B</x:v>
      </x:c>
      <x:c r="I1065" s="187" t="str">
        <x:v>ROAD</x:v>
      </x:c>
      <x:c r="J1065" s="187" t="str">
        <x:v>RETURN_LOGISTICS</x:v>
      </x:c>
      <x:c r="K1065" s="187" t="str">
        <x:v>GBP</x:v>
      </x:c>
      <x:c r="L1065" s="232" t="n">
        <x:v>486.064668672</x:v>
      </x:c>
      <x:c r="M1065" s="232" t="n">
        <x:v>9.16</x:v>
      </x:c>
      <x:c r="N1065" s="187" t="str">
        <x:v>4452.35236503552000000</x:v>
      </x:c>
      <x:c r="O1065" s="235" t="n">
        <x:v>4452.3524</x:v>
      </x:c>
      <x:c r="P1065" s="235" t="n">
        <x:v>4452.3524</x:v>
      </x:c>
      <x:c r="Q1065" s="235" t="n">
        <x:v>0</x:v>
      </x:c>
      <x:c r="R1065" s="235" t="str">
        <x:v>INVOICE_OR_PLAN</x:v>
      </x:c>
      <x:c r="S1065" s="238" t="n">
        <x:f>'Model_Calc'!AV181</x:f>
        <x:v>4452.35236503552</x:v>
      </x:c>
      <x:c r="T1065" s="238" t="n">
        <x:f>ROUND(S1065-O1065,4)</x:f>
        <x:v>0</x:v>
      </x:c>
    </x:row>
    <x:row r="1066">
      <x:c r="A1066" s="187" t="str">
        <x:v>ACTUAL_2026_08_CLOSE_V1</x:v>
      </x:c>
      <x:c r="B1066" s="187" t="str">
        <x:v>ACTUAL</x:v>
      </x:c>
      <x:c r="C1066" s="187"/>
      <x:c r="D1066" s="217" t="n">
        <x:v>46174</x:v>
      </x:c>
      <x:c r="E1066" s="187" t="str">
        <x:v>R_GB_DE_B_ROAD</x:v>
      </x:c>
      <x:c r="F1066" s="187" t="str">
        <x:v>GB</x:v>
      </x:c>
      <x:c r="G1066" s="187" t="str">
        <x:v>DE_FC</x:v>
      </x:c>
      <x:c r="H1066" s="187" t="str">
        <x:v>CARRIER_B</x:v>
      </x:c>
      <x:c r="I1066" s="187" t="str">
        <x:v>ROAD</x:v>
      </x:c>
      <x:c r="J1066" s="187" t="str">
        <x:v>BILLABLE_EXCEPTION</x:v>
      </x:c>
      <x:c r="K1066" s="187" t="str">
        <x:v>GBP</x:v>
      </x:c>
      <x:c r="L1066" s="232" t="n">
        <x:v>56.822958708706715</x:v>
      </x:c>
      <x:c r="M1066" s="232" t="n">
        <x:v>9.16</x:v>
      </x:c>
      <x:c r="N1066" s="187" t="str">
        <x:v>520.498301771753496576000000</x:v>
      </x:c>
      <x:c r="O1066" s="235" t="n">
        <x:v>520.4983</x:v>
      </x:c>
      <x:c r="P1066" s="235" t="n">
        <x:v>520.4983</x:v>
      </x:c>
      <x:c r="Q1066" s="235" t="n">
        <x:v>0</x:v>
      </x:c>
      <x:c r="R1066" s="235" t="str">
        <x:v>INVOICE_OR_PLAN</x:v>
      </x:c>
      <x:c r="S1066" s="238" t="n">
        <x:f>'Model_Calc'!BA181</x:f>
        <x:v>520.4983017717535</x:v>
      </x:c>
      <x:c r="T1066" s="238" t="n">
        <x:f>ROUND(S1066-O1066,4)</x:f>
        <x:v>0</x:v>
      </x:c>
    </x:row>
    <x:row r="1067">
      <x:c r="A1067" s="187" t="str">
        <x:v>ACTUAL_2026_08_CLOSE_V1</x:v>
      </x:c>
      <x:c r="B1067" s="187" t="str">
        <x:v>ACTUAL</x:v>
      </x:c>
      <x:c r="C1067" s="187"/>
      <x:c r="D1067" s="217" t="n">
        <x:v>46174</x:v>
      </x:c>
      <x:c r="E1067" s="187" t="str">
        <x:v>R_GB_DE_B_AIR</x:v>
      </x:c>
      <x:c r="F1067" s="187" t="str">
        <x:v>GB</x:v>
      </x:c>
      <x:c r="G1067" s="187" t="str">
        <x:v>DE_FC</x:v>
      </x:c>
      <x:c r="H1067" s="187" t="str">
        <x:v>CARRIER_B</x:v>
      </x:c>
      <x:c r="I1067" s="187" t="str">
        <x:v>AIR</x:v>
      </x:c>
      <x:c r="J1067" s="187" t="str">
        <x:v>BASE_FREIGHT</x:v>
      </x:c>
      <x:c r="K1067" s="187" t="str">
        <x:v>GBP</x:v>
      </x:c>
      <x:c r="L1067" s="232" t="n">
        <x:v>3004.242735409488</x:v>
      </x:c>
      <x:c r="M1067" s="232" t="n">
        <x:v>9.16</x:v>
      </x:c>
      <x:c r="N1067" s="187" t="str">
        <x:v>27518.863456350909657907200000</x:v>
      </x:c>
      <x:c r="O1067" s="235" t="n">
        <x:v>27518.8635</x:v>
      </x:c>
      <x:c r="P1067" s="235" t="n">
        <x:v>27518.8635</x:v>
      </x:c>
      <x:c r="Q1067" s="235" t="n">
        <x:v>0</x:v>
      </x:c>
      <x:c r="R1067" s="235" t="str">
        <x:v>INVOICE_OR_PLAN</x:v>
      </x:c>
      <x:c r="S1067" s="238" t="n">
        <x:f>'Model_Calc'!AF182</x:f>
        <x:v>27518.8634563509</x:v>
      </x:c>
      <x:c r="T1067" s="238" t="n">
        <x:f>ROUND(S1067-O1067,4)</x:f>
        <x:v>0</x:v>
      </x:c>
    </x:row>
    <x:row r="1068">
      <x:c r="A1068" s="187" t="str">
        <x:v>ACTUAL_2026_08_CLOSE_V1</x:v>
      </x:c>
      <x:c r="B1068" s="187" t="str">
        <x:v>ACTUAL</x:v>
      </x:c>
      <x:c r="C1068" s="187"/>
      <x:c r="D1068" s="217" t="n">
        <x:v>46174</x:v>
      </x:c>
      <x:c r="E1068" s="187" t="str">
        <x:v>R_GB_DE_B_AIR</x:v>
      </x:c>
      <x:c r="F1068" s="187" t="str">
        <x:v>GB</x:v>
      </x:c>
      <x:c r="G1068" s="187" t="str">
        <x:v>DE_FC</x:v>
      </x:c>
      <x:c r="H1068" s="187" t="str">
        <x:v>CARRIER_B</x:v>
      </x:c>
      <x:c r="I1068" s="187" t="str">
        <x:v>AIR</x:v>
      </x:c>
      <x:c r="J1068" s="187" t="str">
        <x:v>FUEL_SURCHARGE</x:v>
      </x:c>
      <x:c r="K1068" s="187" t="str">
        <x:v>GBP</x:v>
      </x:c>
      <x:c r="L1068" s="232" t="n">
        <x:v>349.6337695469562</x:v>
      </x:c>
      <x:c r="M1068" s="232" t="n">
        <x:v>9.16</x:v>
      </x:c>
      <x:c r="N1068" s="187" t="str">
        <x:v>3202.645329050118865987239936000000</x:v>
      </x:c>
      <x:c r="O1068" s="235" t="n">
        <x:v>3202.6453</x:v>
      </x:c>
      <x:c r="P1068" s="235" t="n">
        <x:v>3202.6453</x:v>
      </x:c>
      <x:c r="Q1068" s="235" t="n">
        <x:v>0</x:v>
      </x:c>
      <x:c r="R1068" s="235" t="str">
        <x:v>INVOICE_OR_PLAN</x:v>
      </x:c>
      <x:c r="S1068" s="238" t="n">
        <x:f>'Model_Calc'!AG182</x:f>
        <x:v>3202.645329050118</x:v>
      </x:c>
      <x:c r="T1068" s="238" t="n">
        <x:f>ROUND(S1068-O1068,4)</x:f>
        <x:v>0</x:v>
      </x:c>
    </x:row>
    <x:row r="1069">
      <x:c r="A1069" s="187" t="str">
        <x:v>ACTUAL_2026_08_CLOSE_V1</x:v>
      </x:c>
      <x:c r="B1069" s="187" t="str">
        <x:v>ACTUAL</x:v>
      </x:c>
      <x:c r="C1069" s="187"/>
      <x:c r="D1069" s="217" t="n">
        <x:v>46174</x:v>
      </x:c>
      <x:c r="E1069" s="187" t="str">
        <x:v>R_GB_DE_B_AIR</x:v>
      </x:c>
      <x:c r="F1069" s="187" t="str">
        <x:v>GB</x:v>
      </x:c>
      <x:c r="G1069" s="187" t="str">
        <x:v>DE_FC</x:v>
      </x:c>
      <x:c r="H1069" s="187" t="str">
        <x:v>CARRIER_B</x:v>
      </x:c>
      <x:c r="I1069" s="187" t="str">
        <x:v>AIR</x:v>
      </x:c>
      <x:c r="J1069" s="187" t="str">
        <x:v>WAREHOUSE_OPERATION</x:v>
      </x:c>
      <x:c r="K1069" s="187" t="str">
        <x:v>EUR</x:v>
      </x:c>
      <x:c r="L1069" s="232" t="n">
        <x:v>537.7090397184</x:v>
      </x:c>
      <x:c r="M1069" s="232" t="n">
        <x:v>7.89</x:v>
      </x:c>
      <x:c r="N1069" s="187" t="str">
        <x:v>4242.52432337817600</x:v>
      </x:c>
      <x:c r="O1069" s="235" t="n">
        <x:v>4242.5243</x:v>
      </x:c>
      <x:c r="P1069" s="235" t="n">
        <x:v>4242.5243</x:v>
      </x:c>
      <x:c r="Q1069" s="235" t="n">
        <x:v>0</x:v>
      </x:c>
      <x:c r="R1069" s="235" t="str">
        <x:v>INVOICE_OR_PLAN</x:v>
      </x:c>
      <x:c r="S1069" s="238" t="n">
        <x:f>'Model_Calc'!AL182</x:f>
        <x:v>4242.524323378176</x:v>
      </x:c>
      <x:c r="T1069" s="238" t="n">
        <x:f>ROUND(S1069-O1069,4)</x:f>
        <x:v>0</x:v>
      </x:c>
    </x:row>
    <x:row r="1070">
      <x:c r="A1070" s="187" t="str">
        <x:v>ACTUAL_2026_08_CLOSE_V1</x:v>
      </x:c>
      <x:c r="B1070" s="187" t="str">
        <x:v>ACTUAL</x:v>
      </x:c>
      <x:c r="C1070" s="187"/>
      <x:c r="D1070" s="217" t="n">
        <x:v>46174</x:v>
      </x:c>
      <x:c r="E1070" s="187" t="str">
        <x:v>R_GB_DE_B_AIR</x:v>
      </x:c>
      <x:c r="F1070" s="187" t="str">
        <x:v>GB</x:v>
      </x:c>
      <x:c r="G1070" s="187" t="str">
        <x:v>DE_FC</x:v>
      </x:c>
      <x:c r="H1070" s="187" t="str">
        <x:v>CARRIER_B</x:v>
      </x:c>
      <x:c r="I1070" s="187" t="str">
        <x:v>AIR</x:v>
      </x:c>
      <x:c r="J1070" s="187" t="str">
        <x:v>PACKAGING</x:v>
      </x:c>
      <x:c r="K1070" s="187" t="str">
        <x:v>EUR</x:v>
      </x:c>
      <x:c r="L1070" s="232" t="n">
        <x:v>215.42629147877375</x:v>
      </x:c>
      <x:c r="M1070" s="232" t="n">
        <x:v>7.89</x:v>
      </x:c>
      <x:c r="N1070" s="187" t="str">
        <x:v>1699.7134397675249664000</x:v>
      </x:c>
      <x:c r="O1070" s="235" t="n">
        <x:v>1699.7134</x:v>
      </x:c>
      <x:c r="P1070" s="235" t="n">
        <x:v>1699.7134</x:v>
      </x:c>
      <x:c r="Q1070" s="235" t="n">
        <x:v>0</x:v>
      </x:c>
      <x:c r="R1070" s="235" t="str">
        <x:v>INVOICE_OR_PLAN</x:v>
      </x:c>
      <x:c r="S1070" s="238" t="n">
        <x:f>'Model_Calc'!AQ182</x:f>
        <x:v>1699.7134397675243</x:v>
      </x:c>
      <x:c r="T1070" s="238" t="n">
        <x:f>ROUND(S1070-O1070,4)</x:f>
        <x:v>0</x:v>
      </x:c>
    </x:row>
    <x:row r="1071">
      <x:c r="A1071" s="187" t="str">
        <x:v>ACTUAL_2026_08_CLOSE_V1</x:v>
      </x:c>
      <x:c r="B1071" s="187" t="str">
        <x:v>ACTUAL</x:v>
      </x:c>
      <x:c r="C1071" s="187"/>
      <x:c r="D1071" s="217" t="n">
        <x:v>46174</x:v>
      </x:c>
      <x:c r="E1071" s="187" t="str">
        <x:v>R_GB_DE_B_AIR</x:v>
      </x:c>
      <x:c r="F1071" s="187" t="str">
        <x:v>GB</x:v>
      </x:c>
      <x:c r="G1071" s="187" t="str">
        <x:v>DE_FC</x:v>
      </x:c>
      <x:c r="H1071" s="187" t="str">
        <x:v>CARRIER_B</x:v>
      </x:c>
      <x:c r="I1071" s="187" t="str">
        <x:v>AIR</x:v>
      </x:c>
      <x:c r="J1071" s="187" t="str">
        <x:v>RETURN_LOGISTICS</x:v>
      </x:c>
      <x:c r="K1071" s="187" t="str">
        <x:v>GBP</x:v>
      </x:c>
      <x:c r="L1071" s="232" t="n">
        <x:v>174.98328072192</x:v>
      </x:c>
      <x:c r="M1071" s="232" t="n">
        <x:v>9.16</x:v>
      </x:c>
      <x:c r="N1071" s="187" t="str">
        <x:v>1602.84685141278720000</x:v>
      </x:c>
      <x:c r="O1071" s="235" t="n">
        <x:v>1602.8469</x:v>
      </x:c>
      <x:c r="P1071" s="235" t="n">
        <x:v>1602.8469</x:v>
      </x:c>
      <x:c r="Q1071" s="235" t="n">
        <x:v>0</x:v>
      </x:c>
      <x:c r="R1071" s="235" t="str">
        <x:v>INVOICE_OR_PLAN</x:v>
      </x:c>
      <x:c r="S1071" s="238" t="n">
        <x:f>'Model_Calc'!AV182</x:f>
        <x:v>1602.8468514127867</x:v>
      </x:c>
      <x:c r="T1071" s="238" t="n">
        <x:f>ROUND(S1071-O1071,4)</x:f>
        <x:v>0</x:v>
      </x:c>
    </x:row>
    <x:row r="1072">
      <x:c r="A1072" s="187" t="str">
        <x:v>ACTUAL_2026_08_CLOSE_V1</x:v>
      </x:c>
      <x:c r="B1072" s="187" t="str">
        <x:v>ACTUAL</x:v>
      </x:c>
      <x:c r="C1072" s="187"/>
      <x:c r="D1072" s="217" t="n">
        <x:v>46174</x:v>
      </x:c>
      <x:c r="E1072" s="187" t="str">
        <x:v>R_GB_DE_B_AIR</x:v>
      </x:c>
      <x:c r="F1072" s="187" t="str">
        <x:v>GB</x:v>
      </x:c>
      <x:c r="G1072" s="187" t="str">
        <x:v>DE_FC</x:v>
      </x:c>
      <x:c r="H1072" s="187" t="str">
        <x:v>CARRIER_B</x:v>
      </x:c>
      <x:c r="I1072" s="187" t="str">
        <x:v>AIR</x:v>
      </x:c>
      <x:c r="J1072" s="187" t="str">
        <x:v>BILLABLE_EXCEPTION</x:v>
      </x:c>
      <x:c r="K1072" s="187" t="str">
        <x:v>GBP</x:v>
      </x:c>
      <x:c r="L1072" s="232" t="n">
        <x:v>19.0436841667236</x:v>
      </x:c>
      <x:c r="M1072" s="232" t="n">
        <x:v>9.16</x:v>
      </x:c>
      <x:c r="N1072" s="187" t="str">
        <x:v>174.440146967188179517440000</x:v>
      </x:c>
      <x:c r="O1072" s="235" t="n">
        <x:v>174.4401</x:v>
      </x:c>
      <x:c r="P1072" s="235" t="n">
        <x:v>174.4401</x:v>
      </x:c>
      <x:c r="Q1072" s="235" t="n">
        <x:v>0</x:v>
      </x:c>
      <x:c r="R1072" s="235" t="str">
        <x:v>INVOICE_OR_PLAN</x:v>
      </x:c>
      <x:c r="S1072" s="238" t="n">
        <x:f>'Model_Calc'!BA182</x:f>
        <x:v>174.44014696718816</x:v>
      </x:c>
      <x:c r="T1072" s="238" t="n">
        <x:f>ROUND(S1072-O1072,4)</x:f>
        <x:v>0</x:v>
      </x:c>
    </x:row>
    <x:row r="1073">
      <x:c r="A1073" s="187" t="str">
        <x:v>ACTUAL_2026_08_CLOSE_V1</x:v>
      </x:c>
      <x:c r="B1073" s="187" t="str">
        <x:v>ACTUAL</x:v>
      </x:c>
      <x:c r="C1073" s="187"/>
      <x:c r="D1073" s="217" t="n">
        <x:v>46174</x:v>
      </x:c>
      <x:c r="E1073" s="187" t="str">
        <x:v>R_GB_DE_C_AIR</x:v>
      </x:c>
      <x:c r="F1073" s="187" t="str">
        <x:v>GB</x:v>
      </x:c>
      <x:c r="G1073" s="187" t="str">
        <x:v>DE_FC</x:v>
      </x:c>
      <x:c r="H1073" s="187" t="str">
        <x:v>CARRIER_C</x:v>
      </x:c>
      <x:c r="I1073" s="187" t="str">
        <x:v>AIR</x:v>
      </x:c>
      <x:c r="J1073" s="187" t="str">
        <x:v>BASE_FREIGHT</x:v>
      </x:c>
      <x:c r="K1073" s="187" t="str">
        <x:v>GBP</x:v>
      </x:c>
      <x:c r="L1073" s="232" t="n">
        <x:v>1580.8186436609064</x:v>
      </x:c>
      <x:c r="M1073" s="232" t="n">
        <x:v>9.16</x:v>
      </x:c>
      <x:c r="N1073" s="187" t="str">
        <x:v>14480.298775933903503360000000</x:v>
      </x:c>
      <x:c r="O1073" s="235" t="n">
        <x:v>14480.2988</x:v>
      </x:c>
      <x:c r="P1073" s="235" t="n">
        <x:v>14480.2988</x:v>
      </x:c>
      <x:c r="Q1073" s="235" t="n">
        <x:v>0</x:v>
      </x:c>
      <x:c r="R1073" s="235" t="str">
        <x:v>INVOICE_OR_PLAN</x:v>
      </x:c>
      <x:c r="S1073" s="238" t="n">
        <x:f>'Model_Calc'!AF183</x:f>
        <x:v>14480.298775933901</x:v>
      </x:c>
      <x:c r="T1073" s="238" t="n">
        <x:f>ROUND(S1073-O1073,4)</x:f>
        <x:v>0</x:v>
      </x:c>
    </x:row>
    <x:row r="1074">
      <x:c r="A1074" s="187" t="str">
        <x:v>ACTUAL_2026_08_CLOSE_V1</x:v>
      </x:c>
      <x:c r="B1074" s="187" t="str">
        <x:v>ACTUAL</x:v>
      </x:c>
      <x:c r="C1074" s="187"/>
      <x:c r="D1074" s="217" t="n">
        <x:v>46174</x:v>
      </x:c>
      <x:c r="E1074" s="187" t="str">
        <x:v>R_GB_DE_C_AIR</x:v>
      </x:c>
      <x:c r="F1074" s="187" t="str">
        <x:v>GB</x:v>
      </x:c>
      <x:c r="G1074" s="187" t="str">
        <x:v>DE_FC</x:v>
      </x:c>
      <x:c r="H1074" s="187" t="str">
        <x:v>CARRIER_C</x:v>
      </x:c>
      <x:c r="I1074" s="187" t="str">
        <x:v>AIR</x:v>
      </x:c>
      <x:c r="J1074" s="187" t="str">
        <x:v>FUEL_SURCHARGE</x:v>
      </x:c>
      <x:c r="K1074" s="187" t="str">
        <x:v>GBP</x:v>
      </x:c>
      <x:c r="L1074" s="232" t="n">
        <x:v>122.24997510977677</x:v>
      </x:c>
      <x:c r="M1074" s="232" t="n">
        <x:v>9.16</x:v>
      </x:c>
      <x:c r="N1074" s="187" t="str">
        <x:v>1119.809772005555204259840000</x:v>
      </x:c>
      <x:c r="O1074" s="235" t="n">
        <x:v>1119.8098</x:v>
      </x:c>
      <x:c r="P1074" s="235" t="n">
        <x:v>1119.8098</x:v>
      </x:c>
      <x:c r="Q1074" s="235" t="n">
        <x:v>0</x:v>
      </x:c>
      <x:c r="R1074" s="235" t="str">
        <x:v>INVOICE_OR_PLAN</x:v>
      </x:c>
      <x:c r="S1074" s="238" t="n">
        <x:f>'Model_Calc'!AG183</x:f>
        <x:v>1119.809772005555</x:v>
      </x:c>
      <x:c r="T1074" s="238" t="n">
        <x:f>ROUND(S1074-O1074,4)</x:f>
        <x:v>0</x:v>
      </x:c>
    </x:row>
    <x:row r="1075">
      <x:c r="A1075" s="187" t="str">
        <x:v>ACTUAL_2026_08_CLOSE_V1</x:v>
      </x:c>
      <x:c r="B1075" s="187" t="str">
        <x:v>ACTUAL</x:v>
      </x:c>
      <x:c r="C1075" s="187"/>
      <x:c r="D1075" s="217" t="n">
        <x:v>46174</x:v>
      </x:c>
      <x:c r="E1075" s="187" t="str">
        <x:v>R_GB_DE_C_AIR</x:v>
      </x:c>
      <x:c r="F1075" s="187" t="str">
        <x:v>GB</x:v>
      </x:c>
      <x:c r="G1075" s="187" t="str">
        <x:v>DE_FC</x:v>
      </x:c>
      <x:c r="H1075" s="187" t="str">
        <x:v>CARRIER_C</x:v>
      </x:c>
      <x:c r="I1075" s="187" t="str">
        <x:v>AIR</x:v>
      </x:c>
      <x:c r="J1075" s="187" t="str">
        <x:v>WAREHOUSE_OPERATION</x:v>
      </x:c>
      <x:c r="K1075" s="187" t="str">
        <x:v>EUR</x:v>
      </x:c>
      <x:c r="L1075" s="232" t="n">
        <x:v>238.9817954304</x:v>
      </x:c>
      <x:c r="M1075" s="232" t="n">
        <x:v>7.89</x:v>
      </x:c>
      <x:c r="N1075" s="187" t="str">
        <x:v>1885.56636594585600</x:v>
      </x:c>
      <x:c r="O1075" s="235" t="n">
        <x:v>1885.5664</x:v>
      </x:c>
      <x:c r="P1075" s="235" t="n">
        <x:v>1885.5664</x:v>
      </x:c>
      <x:c r="Q1075" s="235" t="n">
        <x:v>0</x:v>
      </x:c>
      <x:c r="R1075" s="235" t="str">
        <x:v>INVOICE_OR_PLAN</x:v>
      </x:c>
      <x:c r="S1075" s="238" t="n">
        <x:f>'Model_Calc'!AL183</x:f>
        <x:v>1885.566365945856</x:v>
      </x:c>
      <x:c r="T1075" s="238" t="n">
        <x:f>ROUND(S1075-O1075,4)</x:f>
        <x:v>0</x:v>
      </x:c>
    </x:row>
    <x:row r="1076">
      <x:c r="A1076" s="187" t="str">
        <x:v>ACTUAL_2026_08_CLOSE_V1</x:v>
      </x:c>
      <x:c r="B1076" s="187" t="str">
        <x:v>ACTUAL</x:v>
      </x:c>
      <x:c r="C1076" s="187"/>
      <x:c r="D1076" s="217" t="n">
        <x:v>46174</x:v>
      </x:c>
      <x:c r="E1076" s="187" t="str">
        <x:v>R_GB_DE_C_AIR</x:v>
      </x:c>
      <x:c r="F1076" s="187" t="str">
        <x:v>GB</x:v>
      </x:c>
      <x:c r="G1076" s="187" t="str">
        <x:v>DE_FC</x:v>
      </x:c>
      <x:c r="H1076" s="187" t="str">
        <x:v>CARRIER_C</x:v>
      </x:c>
      <x:c r="I1076" s="187" t="str">
        <x:v>AIR</x:v>
      </x:c>
      <x:c r="J1076" s="187" t="str">
        <x:v>PACKAGING</x:v>
      </x:c>
      <x:c r="K1076" s="187" t="str">
        <x:v>EUR</x:v>
      </x:c>
      <x:c r="L1076" s="232" t="n">
        <x:v>95.74501843501056</x:v>
      </x:c>
      <x:c r="M1076" s="232" t="n">
        <x:v>7.89</x:v>
      </x:c>
      <x:c r="N1076" s="187" t="str">
        <x:v>755.4281954522333184000</x:v>
      </x:c>
      <x:c r="O1076" s="235" t="n">
        <x:v>755.4282</x:v>
      </x:c>
      <x:c r="P1076" s="235" t="n">
        <x:v>755.4282</x:v>
      </x:c>
      <x:c r="Q1076" s="235" t="n">
        <x:v>0</x:v>
      </x:c>
      <x:c r="R1076" s="235" t="str">
        <x:v>INVOICE_OR_PLAN</x:v>
      </x:c>
      <x:c r="S1076" s="238" t="n">
        <x:f>'Model_Calc'!AQ183</x:f>
        <x:v>755.4281954522332</x:v>
      </x:c>
      <x:c r="T1076" s="238" t="n">
        <x:f>ROUND(S1076-O1076,4)</x:f>
        <x:v>0</x:v>
      </x:c>
    </x:row>
    <x:row r="1077">
      <x:c r="A1077" s="187" t="str">
        <x:v>ACTUAL_2026_08_CLOSE_V1</x:v>
      </x:c>
      <x:c r="B1077" s="187" t="str">
        <x:v>ACTUAL</x:v>
      </x:c>
      <x:c r="C1077" s="187"/>
      <x:c r="D1077" s="217" t="n">
        <x:v>46174</x:v>
      </x:c>
      <x:c r="E1077" s="187" t="str">
        <x:v>R_GB_DE_C_AIR</x:v>
      </x:c>
      <x:c r="F1077" s="187" t="str">
        <x:v>GB</x:v>
      </x:c>
      <x:c r="G1077" s="187" t="str">
        <x:v>DE_FC</x:v>
      </x:c>
      <x:c r="H1077" s="187" t="str">
        <x:v>CARRIER_C</x:v>
      </x:c>
      <x:c r="I1077" s="187" t="str">
        <x:v>AIR</x:v>
      </x:c>
      <x:c r="J1077" s="187" t="str">
        <x:v>RETURN_LOGISTICS</x:v>
      </x:c>
      <x:c r="K1077" s="187" t="str">
        <x:v>GBP</x:v>
      </x:c>
      <x:c r="L1077" s="232" t="n">
        <x:v>77.77034698752</x:v>
      </x:c>
      <x:c r="M1077" s="232" t="n">
        <x:v>9.16</x:v>
      </x:c>
      <x:c r="N1077" s="187" t="str">
        <x:v>712.37637840568320000</x:v>
      </x:c>
      <x:c r="O1077" s="235" t="n">
        <x:v>712.3764</x:v>
      </x:c>
      <x:c r="P1077" s="235" t="n">
        <x:v>712.3764</x:v>
      </x:c>
      <x:c r="Q1077" s="235" t="n">
        <x:v>0</x:v>
      </x:c>
      <x:c r="R1077" s="235" t="str">
        <x:v>INVOICE_OR_PLAN</x:v>
      </x:c>
      <x:c r="S1077" s="238" t="n">
        <x:f>'Model_Calc'!AV183</x:f>
        <x:v>712.3763784056832</x:v>
      </x:c>
      <x:c r="T1077" s="238" t="n">
        <x:f>ROUND(S1077-O1077,4)</x:f>
        <x:v>0</x:v>
      </x:c>
    </x:row>
    <x:row r="1078">
      <x:c r="A1078" s="187" t="str">
        <x:v>ACTUAL_2026_08_CLOSE_V1</x:v>
      </x:c>
      <x:c r="B1078" s="187" t="str">
        <x:v>ACTUAL</x:v>
      </x:c>
      <x:c r="C1078" s="187"/>
      <x:c r="D1078" s="217" t="n">
        <x:v>46174</x:v>
      </x:c>
      <x:c r="E1078" s="187" t="str">
        <x:v>R_GB_DE_C_AIR</x:v>
      </x:c>
      <x:c r="F1078" s="187" t="str">
        <x:v>GB</x:v>
      </x:c>
      <x:c r="G1078" s="187" t="str">
        <x:v>DE_FC</x:v>
      </x:c>
      <x:c r="H1078" s="187" t="str">
        <x:v>CARRIER_C</x:v>
      </x:c>
      <x:c r="I1078" s="187" t="str">
        <x:v>AIR</x:v>
      </x:c>
      <x:c r="J1078" s="187" t="str">
        <x:v>BILLABLE_EXCEPTION</x:v>
      </x:c>
      <x:c r="K1078" s="187" t="str">
        <x:v>GBP</x:v>
      </x:c>
      <x:c r="L1078" s="232" t="n">
        <x:v>7.533765164857688</x:v>
      </x:c>
      <x:c r="M1078" s="232" t="n">
        <x:v>9.16</x:v>
      </x:c>
      <x:c r="N1078" s="187" t="str">
        <x:v>69.009288910096422666240000</x:v>
      </x:c>
      <x:c r="O1078" s="235" t="n">
        <x:v>69.0093</x:v>
      </x:c>
      <x:c r="P1078" s="235" t="n">
        <x:v>69.0093</x:v>
      </x:c>
      <x:c r="Q1078" s="235" t="n">
        <x:v>0</x:v>
      </x:c>
      <x:c r="R1078" s="235" t="str">
        <x:v>INVOICE_OR_PLAN</x:v>
      </x:c>
      <x:c r="S1078" s="238" t="n">
        <x:f>'Model_Calc'!BA183</x:f>
        <x:v>69.00928891009643</x:v>
      </x:c>
      <x:c r="T1078" s="238" t="n">
        <x:f>ROUND(S1078-O1078,4)</x:f>
        <x:v>0</x:v>
      </x:c>
    </x:row>
    <x:row r="1079">
      <x:c r="A1079" s="187" t="str">
        <x:v>ACTUAL_2026_08_CLOSE_V1</x:v>
      </x:c>
      <x:c r="B1079" s="187" t="str">
        <x:v>ACTUAL</x:v>
      </x:c>
      <x:c r="C1079" s="187"/>
      <x:c r="D1079" s="217" t="n">
        <x:v>46174</x:v>
      </x:c>
      <x:c r="E1079" s="187" t="str">
        <x:v>R_GB_FR_B_AIR</x:v>
      </x:c>
      <x:c r="F1079" s="187" t="str">
        <x:v>GB</x:v>
      </x:c>
      <x:c r="G1079" s="187" t="str">
        <x:v>FR_FC</x:v>
      </x:c>
      <x:c r="H1079" s="187" t="str">
        <x:v>CARRIER_B</x:v>
      </x:c>
      <x:c r="I1079" s="187" t="str">
        <x:v>AIR</x:v>
      </x:c>
      <x:c r="J1079" s="187" t="str">
        <x:v>BASE_FREIGHT</x:v>
      </x:c>
      <x:c r="K1079" s="187" t="str">
        <x:v>EUR</x:v>
      </x:c>
      <x:c r="L1079" s="232" t="n">
        <x:v>1477.6067121272424</x:v>
      </x:c>
      <x:c r="M1079" s="232" t="n">
        <x:v>7.89</x:v>
      </x:c>
      <x:c r="N1079" s="187" t="str">
        <x:v>11658.3169586839425360000000</x:v>
      </x:c>
      <x:c r="O1079" s="235" t="n">
        <x:v>11658.317</x:v>
      </x:c>
      <x:c r="P1079" s="235" t="n">
        <x:v>11658.317</x:v>
      </x:c>
      <x:c r="Q1079" s="235" t="n">
        <x:v>0</x:v>
      </x:c>
      <x:c r="R1079" s="235" t="str">
        <x:v>INVOICE_OR_PLAN</x:v>
      </x:c>
      <x:c r="S1079" s="238" t="n">
        <x:f>'Model_Calc'!AF184</x:f>
        <x:v>11658.316958683941</x:v>
      </x:c>
      <x:c r="T1079" s="238" t="n">
        <x:f>ROUND(S1079-O1079,4)</x:f>
        <x:v>0</x:v>
      </x:c>
    </x:row>
    <x:row r="1080">
      <x:c r="A1080" s="187" t="str">
        <x:v>ACTUAL_2026_08_CLOSE_V1</x:v>
      </x:c>
      <x:c r="B1080" s="187" t="str">
        <x:v>ACTUAL</x:v>
      </x:c>
      <x:c r="C1080" s="187"/>
      <x:c r="D1080" s="217" t="n">
        <x:v>46174</x:v>
      </x:c>
      <x:c r="E1080" s="187" t="str">
        <x:v>R_GB_FR_B_AIR</x:v>
      </x:c>
      <x:c r="F1080" s="187" t="str">
        <x:v>GB</x:v>
      </x:c>
      <x:c r="G1080" s="187" t="str">
        <x:v>FR_FC</x:v>
      </x:c>
      <x:c r="H1080" s="187" t="str">
        <x:v>CARRIER_B</x:v>
      </x:c>
      <x:c r="I1080" s="187" t="str">
        <x:v>AIR</x:v>
      </x:c>
      <x:c r="J1080" s="187" t="str">
        <x:v>FUEL_SURCHARGE</x:v>
      </x:c>
      <x:c r="K1080" s="187" t="str">
        <x:v>EUR</x:v>
      </x:c>
      <x:c r="L1080" s="232" t="n">
        <x:v>157.0104892306408</x:v>
      </x:c>
      <x:c r="M1080" s="232" t="n">
        <x:v>7.89</x:v>
      </x:c>
      <x:c r="N1080" s="187" t="str">
        <x:v>1238.8127600297557338753600000000</x:v>
      </x:c>
      <x:c r="O1080" s="235" t="n">
        <x:v>1238.8128</x:v>
      </x:c>
      <x:c r="P1080" s="235" t="n">
        <x:v>1238.8128</x:v>
      </x:c>
      <x:c r="Q1080" s="235" t="n">
        <x:v>0</x:v>
      </x:c>
      <x:c r="R1080" s="235" t="str">
        <x:v>INVOICE_OR_PLAN</x:v>
      </x:c>
      <x:c r="S1080" s="238" t="n">
        <x:f>'Model_Calc'!AG184</x:f>
        <x:v>1238.8127600297555</x:v>
      </x:c>
      <x:c r="T1080" s="238" t="n">
        <x:f>ROUND(S1080-O1080,4)</x:f>
        <x:v>0</x:v>
      </x:c>
    </x:row>
    <x:row r="1081">
      <x:c r="A1081" s="187" t="str">
        <x:v>ACTUAL_2026_08_CLOSE_V1</x:v>
      </x:c>
      <x:c r="B1081" s="187" t="str">
        <x:v>ACTUAL</x:v>
      </x:c>
      <x:c r="C1081" s="187"/>
      <x:c r="D1081" s="217" t="n">
        <x:v>46174</x:v>
      </x:c>
      <x:c r="E1081" s="187" t="str">
        <x:v>R_GB_FR_B_AIR</x:v>
      </x:c>
      <x:c r="F1081" s="187" t="str">
        <x:v>GB</x:v>
      </x:c>
      <x:c r="G1081" s="187" t="str">
        <x:v>FR_FC</x:v>
      </x:c>
      <x:c r="H1081" s="187" t="str">
        <x:v>CARRIER_B</x:v>
      </x:c>
      <x:c r="I1081" s="187" t="str">
        <x:v>AIR</x:v>
      </x:c>
      <x:c r="J1081" s="187" t="str">
        <x:v>WAREHOUSE_OPERATION</x:v>
      </x:c>
      <x:c r="K1081" s="187" t="str">
        <x:v>EUR</x:v>
      </x:c>
      <x:c r="L1081" s="232" t="n">
        <x:v>221.5138464</x:v>
      </x:c>
      <x:c r="M1081" s="232" t="n">
        <x:v>7.89</x:v>
      </x:c>
      <x:c r="N1081" s="187" t="str">
        <x:v>1747.744248096000</x:v>
      </x:c>
      <x:c r="O1081" s="235" t="n">
        <x:v>1747.7442</x:v>
      </x:c>
      <x:c r="P1081" s="235" t="n">
        <x:v>1747.7442</x:v>
      </x:c>
      <x:c r="Q1081" s="235" t="n">
        <x:v>0</x:v>
      </x:c>
      <x:c r="R1081" s="235" t="str">
        <x:v>INVOICE_OR_PLAN</x:v>
      </x:c>
      <x:c r="S1081" s="238" t="n">
        <x:f>'Model_Calc'!AL184</x:f>
        <x:v>1747.7442480959996</x:v>
      </x:c>
      <x:c r="T1081" s="238" t="n">
        <x:f>ROUND(S1081-O1081,4)</x:f>
        <x:v>0</x:v>
      </x:c>
    </x:row>
    <x:row r="1082">
      <x:c r="A1082" s="187" t="str">
        <x:v>ACTUAL_2026_08_CLOSE_V1</x:v>
      </x:c>
      <x:c r="B1082" s="187" t="str">
        <x:v>ACTUAL</x:v>
      </x:c>
      <x:c r="C1082" s="187"/>
      <x:c r="D1082" s="217" t="n">
        <x:v>46174</x:v>
      </x:c>
      <x:c r="E1082" s="187" t="str">
        <x:v>R_GB_FR_B_AIR</x:v>
      </x:c>
      <x:c r="F1082" s="187" t="str">
        <x:v>GB</x:v>
      </x:c>
      <x:c r="G1082" s="187" t="str">
        <x:v>FR_FC</x:v>
      </x:c>
      <x:c r="H1082" s="187" t="str">
        <x:v>CARRIER_B</x:v>
      </x:c>
      <x:c r="I1082" s="187" t="str">
        <x:v>AIR</x:v>
      </x:c>
      <x:c r="J1082" s="187" t="str">
        <x:v>PACKAGING</x:v>
      </x:c>
      <x:c r="K1082" s="187" t="str">
        <x:v>EUR</x:v>
      </x:c>
      <x:c r="L1082" s="232" t="n">
        <x:v>92.65291298208</x:v>
      </x:c>
      <x:c r="M1082" s="232" t="n">
        <x:v>7.89</x:v>
      </x:c>
      <x:c r="N1082" s="187" t="str">
        <x:v>731.03148342861120000</x:v>
      </x:c>
      <x:c r="O1082" s="235" t="n">
        <x:v>731.0315</x:v>
      </x:c>
      <x:c r="P1082" s="235" t="n">
        <x:v>731.0315</x:v>
      </x:c>
      <x:c r="Q1082" s="235" t="n">
        <x:v>0</x:v>
      </x:c>
      <x:c r="R1082" s="235" t="str">
        <x:v>INVOICE_OR_PLAN</x:v>
      </x:c>
      <x:c r="S1082" s="238" t="n">
        <x:f>'Model_Calc'!AQ184</x:f>
        <x:v>731.0314834286112</x:v>
      </x:c>
      <x:c r="T1082" s="238" t="n">
        <x:f>ROUND(S1082-O1082,4)</x:f>
        <x:v>0</x:v>
      </x:c>
    </x:row>
    <x:row r="1083">
      <x:c r="A1083" s="187" t="str">
        <x:v>ACTUAL_2026_08_CLOSE_V1</x:v>
      </x:c>
      <x:c r="B1083" s="187" t="str">
        <x:v>ACTUAL</x:v>
      </x:c>
      <x:c r="C1083" s="187"/>
      <x:c r="D1083" s="217" t="n">
        <x:v>46174</x:v>
      </x:c>
      <x:c r="E1083" s="187" t="str">
        <x:v>R_GB_FR_B_AIR</x:v>
      </x:c>
      <x:c r="F1083" s="187" t="str">
        <x:v>GB</x:v>
      </x:c>
      <x:c r="G1083" s="187" t="str">
        <x:v>FR_FC</x:v>
      </x:c>
      <x:c r="H1083" s="187" t="str">
        <x:v>CARRIER_B</x:v>
      </x:c>
      <x:c r="I1083" s="187" t="str">
        <x:v>AIR</x:v>
      </x:c>
      <x:c r="J1083" s="187" t="str">
        <x:v>RETURN_LOGISTICS</x:v>
      </x:c>
      <x:c r="K1083" s="187" t="str">
        <x:v>EUR</x:v>
      </x:c>
      <x:c r="L1083" s="232" t="n">
        <x:v>87.761676288</x:v>
      </x:c>
      <x:c r="M1083" s="232" t="n">
        <x:v>7.89</x:v>
      </x:c>
      <x:c r="N1083" s="187" t="str">
        <x:v>692.439625912320000</x:v>
      </x:c>
      <x:c r="O1083" s="235" t="n">
        <x:v>692.4396</x:v>
      </x:c>
      <x:c r="P1083" s="235" t="n">
        <x:v>692.4396</x:v>
      </x:c>
      <x:c r="Q1083" s="235" t="n">
        <x:v>0</x:v>
      </x:c>
      <x:c r="R1083" s="235" t="str">
        <x:v>INVOICE_OR_PLAN</x:v>
      </x:c>
      <x:c r="S1083" s="238" t="n">
        <x:f>'Model_Calc'!AV184</x:f>
        <x:v>692.43962591232</x:v>
      </x:c>
      <x:c r="T1083" s="238" t="n">
        <x:f>ROUND(S1083-O1083,4)</x:f>
        <x:v>0</x:v>
      </x:c>
    </x:row>
    <x:row r="1084">
      <x:c r="A1084" s="187" t="str">
        <x:v>ACTUAL_2026_08_CLOSE_V1</x:v>
      </x:c>
      <x:c r="B1084" s="187" t="str">
        <x:v>ACTUAL</x:v>
      </x:c>
      <x:c r="C1084" s="187"/>
      <x:c r="D1084" s="217" t="n">
        <x:v>46174</x:v>
      </x:c>
      <x:c r="E1084" s="187" t="str">
        <x:v>R_GB_FR_B_AIR</x:v>
      </x:c>
      <x:c r="F1084" s="187" t="str">
        <x:v>GB</x:v>
      </x:c>
      <x:c r="G1084" s="187" t="str">
        <x:v>FR_FC</x:v>
      </x:c>
      <x:c r="H1084" s="187" t="str">
        <x:v>CARRIER_B</x:v>
      </x:c>
      <x:c r="I1084" s="187" t="str">
        <x:v>AIR</x:v>
      </x:c>
      <x:c r="J1084" s="187" t="str">
        <x:v>BILLABLE_EXCEPTION</x:v>
      </x:c>
      <x:c r="K1084" s="187" t="str">
        <x:v>EUR</x:v>
      </x:c>
      <x:c r="L1084" s="232" t="n">
        <x:v>8.356317457162753</x:v>
      </x:c>
      <x:c r="M1084" s="232" t="n">
        <x:v>7.89</x:v>
      </x:c>
      <x:c r="N1084" s="187" t="str">
        <x:v>65.9313447370141132800000</x:v>
      </x:c>
      <x:c r="O1084" s="235" t="n">
        <x:v>65.9313</x:v>
      </x:c>
      <x:c r="P1084" s="235" t="n">
        <x:v>65.9313</x:v>
      </x:c>
      <x:c r="Q1084" s="235" t="n">
        <x:v>0</x:v>
      </x:c>
      <x:c r="R1084" s="235" t="str">
        <x:v>INVOICE_OR_PLAN</x:v>
      </x:c>
      <x:c r="S1084" s="238" t="n">
        <x:f>'Model_Calc'!BA184</x:f>
        <x:v>65.9313447370141</x:v>
      </x:c>
      <x:c r="T1084" s="238" t="n">
        <x:f>ROUND(S1084-O1084,4)</x:f>
        <x:v>0</x:v>
      </x:c>
    </x:row>
    <x:row r="1085">
      <x:c r="A1085" s="187" t="str">
        <x:v>ACTUAL_2026_08_CLOSE_V1</x:v>
      </x:c>
      <x:c r="B1085" s="187" t="str">
        <x:v>ACTUAL</x:v>
      </x:c>
      <x:c r="C1085" s="187"/>
      <x:c r="D1085" s="217" t="n">
        <x:v>46204</x:v>
      </x:c>
      <x:c r="E1085" s="187" t="str">
        <x:v>R_DE_DE_A_ROAD</x:v>
      </x:c>
      <x:c r="F1085" s="187" t="str">
        <x:v>DE</x:v>
      </x:c>
      <x:c r="G1085" s="187" t="str">
        <x:v>DE_FC</x:v>
      </x:c>
      <x:c r="H1085" s="187" t="str">
        <x:v>CARRIER_A</x:v>
      </x:c>
      <x:c r="I1085" s="187" t="str">
        <x:v>ROAD</x:v>
      </x:c>
      <x:c r="J1085" s="187" t="str">
        <x:v>BASE_FREIGHT</x:v>
      </x:c>
      <x:c r="K1085" s="187" t="str">
        <x:v>EUR</x:v>
      </x:c>
      <x:c r="L1085" s="232" t="n">
        <x:v>7063.1256830488755</x:v>
      </x:c>
      <x:c r="M1085" s="232" t="n">
        <x:v>7.91</x:v>
      </x:c>
      <x:c r="N1085" s="187" t="str">
        <x:v>55869.324152916604730400000000</x:v>
      </x:c>
      <x:c r="O1085" s="235" t="n">
        <x:v>55869.3242</x:v>
      </x:c>
      <x:c r="P1085" s="235" t="n">
        <x:v>55869.3242</x:v>
      </x:c>
      <x:c r="Q1085" s="235" t="n">
        <x:v>0</x:v>
      </x:c>
      <x:c r="R1085" s="235" t="str">
        <x:v>INVOICE_OR_PLAN</x:v>
      </x:c>
      <x:c r="S1085" s="238" t="n">
        <x:f>'Model_Calc'!AF185</x:f>
        <x:v>55869.3241529166</x:v>
      </x:c>
      <x:c r="T1085" s="238" t="n">
        <x:f>ROUND(S1085-O1085,4)</x:f>
        <x:v>0</x:v>
      </x:c>
    </x:row>
    <x:row r="1086">
      <x:c r="A1086" s="187" t="str">
        <x:v>ACTUAL_2026_08_CLOSE_V1</x:v>
      </x:c>
      <x:c r="B1086" s="187" t="str">
        <x:v>ACTUAL</x:v>
      </x:c>
      <x:c r="C1086" s="187"/>
      <x:c r="D1086" s="217" t="n">
        <x:v>46204</x:v>
      </x:c>
      <x:c r="E1086" s="187" t="str">
        <x:v>R_DE_DE_A_ROAD</x:v>
      </x:c>
      <x:c r="F1086" s="187" t="str">
        <x:v>DE</x:v>
      </x:c>
      <x:c r="G1086" s="187" t="str">
        <x:v>DE_FC</x:v>
      </x:c>
      <x:c r="H1086" s="187" t="str">
        <x:v>CARRIER_A</x:v>
      </x:c>
      <x:c r="I1086" s="187" t="str">
        <x:v>ROAD</x:v>
      </x:c>
      <x:c r="J1086" s="187" t="str">
        <x:v>FUEL_SURCHARGE</x:v>
      </x:c>
      <x:c r="K1086" s="187" t="str">
        <x:v>EUR</x:v>
      </x:c>
      <x:c r="L1086" s="232" t="n">
        <x:v>680.3908970480982</x:v>
      </x:c>
      <x:c r="M1086" s="232" t="n">
        <x:v>7.91</x:v>
      </x:c>
      <x:c r="N1086" s="187" t="str">
        <x:v>5381.891995650456533679432000000000</x:v>
      </x:c>
      <x:c r="O1086" s="235" t="n">
        <x:v>5381.892</x:v>
      </x:c>
      <x:c r="P1086" s="235" t="n">
        <x:v>5381.892</x:v>
      </x:c>
      <x:c r="Q1086" s="235" t="n">
        <x:v>0</x:v>
      </x:c>
      <x:c r="R1086" s="235" t="str">
        <x:v>INVOICE_OR_PLAN</x:v>
      </x:c>
      <x:c r="S1086" s="238" t="n">
        <x:f>'Model_Calc'!AG185</x:f>
        <x:v>5381.891995650456</x:v>
      </x:c>
      <x:c r="T1086" s="238" t="n">
        <x:f>ROUND(S1086-O1086,4)</x:f>
        <x:v>0</x:v>
      </x:c>
    </x:row>
    <x:row r="1087">
      <x:c r="A1087" s="187" t="str">
        <x:v>ACTUAL_2026_08_CLOSE_V1</x:v>
      </x:c>
      <x:c r="B1087" s="187" t="str">
        <x:v>ACTUAL</x:v>
      </x:c>
      <x:c r="C1087" s="187"/>
      <x:c r="D1087" s="217" t="n">
        <x:v>46204</x:v>
      </x:c>
      <x:c r="E1087" s="187" t="str">
        <x:v>R_DE_DE_A_ROAD</x:v>
      </x:c>
      <x:c r="F1087" s="187" t="str">
        <x:v>DE</x:v>
      </x:c>
      <x:c r="G1087" s="187" t="str">
        <x:v>DE_FC</x:v>
      </x:c>
      <x:c r="H1087" s="187" t="str">
        <x:v>CARRIER_A</x:v>
      </x:c>
      <x:c r="I1087" s="187" t="str">
        <x:v>ROAD</x:v>
      </x:c>
      <x:c r="J1087" s="187" t="str">
        <x:v>WAREHOUSE_OPERATION</x:v>
      </x:c>
      <x:c r="K1087" s="187" t="str">
        <x:v>EUR</x:v>
      </x:c>
      <x:c r="L1087" s="232" t="n">
        <x:v>4575.1813848</x:v>
      </x:c>
      <x:c r="M1087" s="232" t="n">
        <x:v>7.91</x:v>
      </x:c>
      <x:c r="N1087" s="187" t="str">
        <x:v>36189.68475376800000</x:v>
      </x:c>
      <x:c r="O1087" s="235" t="n">
        <x:v>36189.6848</x:v>
      </x:c>
      <x:c r="P1087" s="235" t="n">
        <x:v>36189.6848</x:v>
      </x:c>
      <x:c r="Q1087" s="235" t="n">
        <x:v>0</x:v>
      </x:c>
      <x:c r="R1087" s="235" t="str">
        <x:v>INVOICE_OR_PLAN</x:v>
      </x:c>
      <x:c r="S1087" s="238" t="n">
        <x:f>'Model_Calc'!AL185</x:f>
        <x:v>36189.684753768</x:v>
      </x:c>
      <x:c r="T1087" s="238" t="n">
        <x:f>ROUND(S1087-O1087,4)</x:f>
        <x:v>0</x:v>
      </x:c>
    </x:row>
    <x:row r="1088">
      <x:c r="A1088" s="187" t="str">
        <x:v>ACTUAL_2026_08_CLOSE_V1</x:v>
      </x:c>
      <x:c r="B1088" s="187" t="str">
        <x:v>ACTUAL</x:v>
      </x:c>
      <x:c r="C1088" s="187"/>
      <x:c r="D1088" s="217" t="n">
        <x:v>46204</x:v>
      </x:c>
      <x:c r="E1088" s="187" t="str">
        <x:v>R_DE_DE_A_ROAD</x:v>
      </x:c>
      <x:c r="F1088" s="187" t="str">
        <x:v>DE</x:v>
      </x:c>
      <x:c r="G1088" s="187" t="str">
        <x:v>DE_FC</x:v>
      </x:c>
      <x:c r="H1088" s="187" t="str">
        <x:v>CARRIER_A</x:v>
      </x:c>
      <x:c r="I1088" s="187" t="str">
        <x:v>ROAD</x:v>
      </x:c>
      <x:c r="J1088" s="187" t="str">
        <x:v>PACKAGING</x:v>
      </x:c>
      <x:c r="K1088" s="187" t="str">
        <x:v>EUR</x:v>
      </x:c>
      <x:c r="L1088" s="232" t="n">
        <x:v>1720.13637342456</x:v>
      </x:c>
      <x:c r="M1088" s="232" t="n">
        <x:v>7.91</x:v>
      </x:c>
      <x:c r="N1088" s="187" t="str">
        <x:v>13606.2787137882696000000</x:v>
      </x:c>
      <x:c r="O1088" s="235" t="n">
        <x:v>13606.2787</x:v>
      </x:c>
      <x:c r="P1088" s="235" t="n">
        <x:v>13606.2787</x:v>
      </x:c>
      <x:c r="Q1088" s="235" t="n">
        <x:v>0</x:v>
      </x:c>
      <x:c r="R1088" s="235" t="str">
        <x:v>INVOICE_OR_PLAN</x:v>
      </x:c>
      <x:c r="S1088" s="238" t="n">
        <x:f>'Model_Calc'!AQ185</x:f>
        <x:v>13606.27871378827</x:v>
      </x:c>
      <x:c r="T1088" s="238" t="n">
        <x:f>ROUND(S1088-O1088,4)</x:f>
        <x:v>0</x:v>
      </x:c>
    </x:row>
    <x:row r="1089">
      <x:c r="A1089" s="187" t="str">
        <x:v>ACTUAL_2026_08_CLOSE_V1</x:v>
      </x:c>
      <x:c r="B1089" s="187" t="str">
        <x:v>ACTUAL</x:v>
      </x:c>
      <x:c r="C1089" s="187"/>
      <x:c r="D1089" s="217" t="n">
        <x:v>46204</x:v>
      </x:c>
      <x:c r="E1089" s="187" t="str">
        <x:v>R_DE_DE_A_ROAD</x:v>
      </x:c>
      <x:c r="F1089" s="187" t="str">
        <x:v>DE</x:v>
      </x:c>
      <x:c r="G1089" s="187" t="str">
        <x:v>DE_FC</x:v>
      </x:c>
      <x:c r="H1089" s="187" t="str">
        <x:v>CARRIER_A</x:v>
      </x:c>
      <x:c r="I1089" s="187" t="str">
        <x:v>ROAD</x:v>
      </x:c>
      <x:c r="J1089" s="187" t="str">
        <x:v>RETURN_LOGISTICS</x:v>
      </x:c>
      <x:c r="K1089" s="187" t="str">
        <x:v>EUR</x:v>
      </x:c>
      <x:c r="L1089" s="232" t="n">
        <x:v>620.3635776</x:v>
      </x:c>
      <x:c r="M1089" s="232" t="n">
        <x:v>7.91</x:v>
      </x:c>
      <x:c r="N1089" s="187" t="str">
        <x:v>4907.07589881600000000</x:v>
      </x:c>
      <x:c r="O1089" s="235" t="n">
        <x:v>4907.0759</x:v>
      </x:c>
      <x:c r="P1089" s="235" t="n">
        <x:v>4907.0759</x:v>
      </x:c>
      <x:c r="Q1089" s="235" t="n">
        <x:v>0</x:v>
      </x:c>
      <x:c r="R1089" s="235" t="str">
        <x:v>ACCRUAL</x:v>
      </x:c>
      <x:c r="S1089" s="238" t="n">
        <x:f>'Model_Calc'!AV185</x:f>
        <x:v>4907.0758988160005</x:v>
      </x:c>
      <x:c r="T1089" s="238" t="n">
        <x:f>ROUND(S1089-O1089,4)</x:f>
        <x:v>0</x:v>
      </x:c>
    </x:row>
    <x:row r="1090">
      <x:c r="A1090" s="187" t="str">
        <x:v>ACTUAL_2026_08_CLOSE_V1</x:v>
      </x:c>
      <x:c r="B1090" s="187" t="str">
        <x:v>ACTUAL</x:v>
      </x:c>
      <x:c r="C1090" s="187"/>
      <x:c r="D1090" s="217" t="n">
        <x:v>46204</x:v>
      </x:c>
      <x:c r="E1090" s="187" t="str">
        <x:v>R_DE_DE_A_ROAD</x:v>
      </x:c>
      <x:c r="F1090" s="187" t="str">
        <x:v>DE</x:v>
      </x:c>
      <x:c r="G1090" s="187" t="str">
        <x:v>DE_FC</x:v>
      </x:c>
      <x:c r="H1090" s="187" t="str">
        <x:v>CARRIER_A</x:v>
      </x:c>
      <x:c r="I1090" s="187" t="str">
        <x:v>ROAD</x:v>
      </x:c>
      <x:c r="J1090" s="187" t="str">
        <x:v>BILLABLE_EXCEPTION</x:v>
      </x:c>
      <x:c r="K1090" s="187" t="str">
        <x:v>EUR</x:v>
      </x:c>
      <x:c r="L1090" s="232" t="n">
        <x:v>153.73104503062925</x:v>
      </x:c>
      <x:c r="M1090" s="232" t="n">
        <x:v>7.91</x:v>
      </x:c>
      <x:c r="N1090" s="187" t="str">
        <x:v>1216.012566192277351680000000</x:v>
      </x:c>
      <x:c r="O1090" s="235" t="n">
        <x:v>1216.0126</x:v>
      </x:c>
      <x:c r="P1090" s="235" t="n">
        <x:v>1216.0126</x:v>
      </x:c>
      <x:c r="Q1090" s="235" t="n">
        <x:v>0</x:v>
      </x:c>
      <x:c r="R1090" s="235" t="str">
        <x:v>ACCRUAL</x:v>
      </x:c>
      <x:c r="S1090" s="238" t="n">
        <x:f>'Model_Calc'!BA185</x:f>
        <x:v>1216.0125661922773</x:v>
      </x:c>
      <x:c r="T1090" s="238" t="n">
        <x:f>ROUND(S1090-O1090,4)</x:f>
        <x:v>0</x:v>
      </x:c>
    </x:row>
    <x:row r="1091">
      <x:c r="A1091" s="187" t="str">
        <x:v>ACTUAL_2026_08_CLOSE_V1</x:v>
      </x:c>
      <x:c r="B1091" s="187" t="str">
        <x:v>ACTUAL</x:v>
      </x:c>
      <x:c r="C1091" s="187"/>
      <x:c r="D1091" s="217" t="n">
        <x:v>46204</x:v>
      </x:c>
      <x:c r="E1091" s="187" t="str">
        <x:v>R_DE_DE_B_ROAD</x:v>
      </x:c>
      <x:c r="F1091" s="187" t="str">
        <x:v>DE</x:v>
      </x:c>
      <x:c r="G1091" s="187" t="str">
        <x:v>DE_FC</x:v>
      </x:c>
      <x:c r="H1091" s="187" t="str">
        <x:v>CARRIER_B</x:v>
      </x:c>
      <x:c r="I1091" s="187" t="str">
        <x:v>ROAD</x:v>
      </x:c>
      <x:c r="J1091" s="187" t="str">
        <x:v>BASE_FREIGHT</x:v>
      </x:c>
      <x:c r="K1091" s="187" t="str">
        <x:v>EUR</x:v>
      </x:c>
      <x:c r="L1091" s="232" t="n">
        <x:v>6036.859558161432</x:v>
      </x:c>
      <x:c r="M1091" s="232" t="n">
        <x:v>7.91</x:v>
      </x:c>
      <x:c r="N1091" s="187" t="str">
        <x:v>47751.559105056927120000000000</x:v>
      </x:c>
      <x:c r="O1091" s="235" t="n">
        <x:v>47751.5591</x:v>
      </x:c>
      <x:c r="P1091" s="235" t="n">
        <x:v>47751.5591</x:v>
      </x:c>
      <x:c r="Q1091" s="235" t="n">
        <x:v>0</x:v>
      </x:c>
      <x:c r="R1091" s="235" t="str">
        <x:v>INVOICE_OR_PLAN</x:v>
      </x:c>
      <x:c r="S1091" s="238" t="n">
        <x:f>'Model_Calc'!AF186</x:f>
        <x:v>47751.55910505693</x:v>
      </x:c>
      <x:c r="T1091" s="238" t="n">
        <x:f>ROUND(S1091-O1091,4)</x:f>
        <x:v>0</x:v>
      </x:c>
    </x:row>
    <x:row r="1092">
      <x:c r="A1092" s="187" t="str">
        <x:v>ACTUAL_2026_08_CLOSE_V1</x:v>
      </x:c>
      <x:c r="B1092" s="187" t="str">
        <x:v>ACTUAL</x:v>
      </x:c>
      <x:c r="C1092" s="187"/>
      <x:c r="D1092" s="217" t="n">
        <x:v>46204</x:v>
      </x:c>
      <x:c r="E1092" s="187" t="str">
        <x:v>R_DE_DE_B_ROAD</x:v>
      </x:c>
      <x:c r="F1092" s="187" t="str">
        <x:v>DE</x:v>
      </x:c>
      <x:c r="G1092" s="187" t="str">
        <x:v>DE_FC</x:v>
      </x:c>
      <x:c r="H1092" s="187" t="str">
        <x:v>CARRIER_B</x:v>
      </x:c>
      <x:c r="I1092" s="187" t="str">
        <x:v>ROAD</x:v>
      </x:c>
      <x:c r="J1092" s="187" t="str">
        <x:v>FUEL_SURCHARGE</x:v>
      </x:c>
      <x:c r="K1092" s="187" t="str">
        <x:v>EUR</x:v>
      </x:c>
      <x:c r="L1092" s="232" t="n">
        <x:v>460.99654807778205</x:v>
      </x:c>
      <x:c r="M1092" s="232" t="n">
        <x:v>7.91</x:v>
      </x:c>
      <x:c r="N1092" s="187" t="str">
        <x:v>3646.482695295256252800000000</x:v>
      </x:c>
      <x:c r="O1092" s="235" t="n">
        <x:v>3646.4827</x:v>
      </x:c>
      <x:c r="P1092" s="235" t="n">
        <x:v>3646.4827</x:v>
      </x:c>
      <x:c r="Q1092" s="235" t="n">
        <x:v>0</x:v>
      </x:c>
      <x:c r="R1092" s="235" t="str">
        <x:v>INVOICE_OR_PLAN</x:v>
      </x:c>
      <x:c r="S1092" s="238" t="n">
        <x:f>'Model_Calc'!AG186</x:f>
        <x:v>3646.4826952952562</x:v>
      </x:c>
      <x:c r="T1092" s="238" t="n">
        <x:f>ROUND(S1092-O1092,4)</x:f>
        <x:v>0</x:v>
      </x:c>
    </x:row>
    <x:row r="1093">
      <x:c r="A1093" s="187" t="str">
        <x:v>ACTUAL_2026_08_CLOSE_V1</x:v>
      </x:c>
      <x:c r="B1093" s="187" t="str">
        <x:v>ACTUAL</x:v>
      </x:c>
      <x:c r="C1093" s="187"/>
      <x:c r="D1093" s="217" t="n">
        <x:v>46204</x:v>
      </x:c>
      <x:c r="E1093" s="187" t="str">
        <x:v>R_DE_DE_B_ROAD</x:v>
      </x:c>
      <x:c r="F1093" s="187" t="str">
        <x:v>DE</x:v>
      </x:c>
      <x:c r="G1093" s="187" t="str">
        <x:v>DE_FC</x:v>
      </x:c>
      <x:c r="H1093" s="187" t="str">
        <x:v>CARRIER_B</x:v>
      </x:c>
      <x:c r="I1093" s="187" t="str">
        <x:v>ROAD</x:v>
      </x:c>
      <x:c r="J1093" s="187" t="str">
        <x:v>WAREHOUSE_OPERATION</x:v>
      </x:c>
      <x:c r="K1093" s="187" t="str">
        <x:v>EUR</x:v>
      </x:c>
      <x:c r="L1093" s="232" t="n">
        <x:v>3050.1209232</x:v>
      </x:c>
      <x:c r="M1093" s="232" t="n">
        <x:v>7.91</x:v>
      </x:c>
      <x:c r="N1093" s="187" t="str">
        <x:v>24126.45650251200000</x:v>
      </x:c>
      <x:c r="O1093" s="235" t="n">
        <x:v>24126.4565</x:v>
      </x:c>
      <x:c r="P1093" s="235" t="n">
        <x:v>24126.4565</x:v>
      </x:c>
      <x:c r="Q1093" s="235" t="n">
        <x:v>0</x:v>
      </x:c>
      <x:c r="R1093" s="235" t="str">
        <x:v>INVOICE_OR_PLAN</x:v>
      </x:c>
      <x:c r="S1093" s="238" t="n">
        <x:f>'Model_Calc'!AL186</x:f>
        <x:v>24126.456502512003</x:v>
      </x:c>
      <x:c r="T1093" s="238" t="n">
        <x:f>ROUND(S1093-O1093,4)</x:f>
        <x:v>0</x:v>
      </x:c>
    </x:row>
    <x:row r="1094">
      <x:c r="A1094" s="187" t="str">
        <x:v>ACTUAL_2026_08_CLOSE_V1</x:v>
      </x:c>
      <x:c r="B1094" s="187" t="str">
        <x:v>ACTUAL</x:v>
      </x:c>
      <x:c r="C1094" s="187"/>
      <x:c r="D1094" s="217" t="n">
        <x:v>46204</x:v>
      </x:c>
      <x:c r="E1094" s="187" t="str">
        <x:v>R_DE_DE_B_ROAD</x:v>
      </x:c>
      <x:c r="F1094" s="187" t="str">
        <x:v>DE</x:v>
      </x:c>
      <x:c r="G1094" s="187" t="str">
        <x:v>DE_FC</x:v>
      </x:c>
      <x:c r="H1094" s="187" t="str">
        <x:v>CARRIER_B</x:v>
      </x:c>
      <x:c r="I1094" s="187" t="str">
        <x:v>ROAD</x:v>
      </x:c>
      <x:c r="J1094" s="187" t="str">
        <x:v>PACKAGING</x:v>
      </x:c>
      <x:c r="K1094" s="187" t="str">
        <x:v>EUR</x:v>
      </x:c>
      <x:c r="L1094" s="232" t="n">
        <x:v>1146.75758228304</x:v>
      </x:c>
      <x:c r="M1094" s="232" t="n">
        <x:v>7.91</x:v>
      </x:c>
      <x:c r="N1094" s="187" t="str">
        <x:v>9070.8524758588464000000</x:v>
      </x:c>
      <x:c r="O1094" s="235" t="n">
        <x:v>9070.8525</x:v>
      </x:c>
      <x:c r="P1094" s="235" t="n">
        <x:v>9070.8525</x:v>
      </x:c>
      <x:c r="Q1094" s="235" t="n">
        <x:v>0</x:v>
      </x:c>
      <x:c r="R1094" s="235" t="str">
        <x:v>INVOICE_OR_PLAN</x:v>
      </x:c>
      <x:c r="S1094" s="238" t="n">
        <x:f>'Model_Calc'!AQ186</x:f>
        <x:v>9070.852475858846</x:v>
      </x:c>
      <x:c r="T1094" s="238" t="n">
        <x:f>ROUND(S1094-O1094,4)</x:f>
        <x:v>0</x:v>
      </x:c>
    </x:row>
    <x:row r="1095">
      <x:c r="A1095" s="187" t="str">
        <x:v>ACTUAL_2026_08_CLOSE_V1</x:v>
      </x:c>
      <x:c r="B1095" s="187" t="str">
        <x:v>ACTUAL</x:v>
      </x:c>
      <x:c r="C1095" s="187"/>
      <x:c r="D1095" s="217" t="n">
        <x:v>46204</x:v>
      </x:c>
      <x:c r="E1095" s="187" t="str">
        <x:v>R_DE_DE_B_ROAD</x:v>
      </x:c>
      <x:c r="F1095" s="187" t="str">
        <x:v>DE</x:v>
      </x:c>
      <x:c r="G1095" s="187" t="str">
        <x:v>DE_FC</x:v>
      </x:c>
      <x:c r="H1095" s="187" t="str">
        <x:v>CARRIER_B</x:v>
      </x:c>
      <x:c r="I1095" s="187" t="str">
        <x:v>ROAD</x:v>
      </x:c>
      <x:c r="J1095" s="187" t="str">
        <x:v>RETURN_LOGISTICS</x:v>
      </x:c>
      <x:c r="K1095" s="187" t="str">
        <x:v>EUR</x:v>
      </x:c>
      <x:c r="L1095" s="232" t="n">
        <x:v>413.5757184</x:v>
      </x:c>
      <x:c r="M1095" s="232" t="n">
        <x:v>7.91</x:v>
      </x:c>
      <x:c r="N1095" s="187" t="str">
        <x:v>3271.38393254400000000</x:v>
      </x:c>
      <x:c r="O1095" s="235" t="n">
        <x:v>3271.3839</x:v>
      </x:c>
      <x:c r="P1095" s="235" t="n">
        <x:v>3271.3839</x:v>
      </x:c>
      <x:c r="Q1095" s="235" t="n">
        <x:v>0</x:v>
      </x:c>
      <x:c r="R1095" s="235" t="str">
        <x:v>ACCRUAL</x:v>
      </x:c>
      <x:c r="S1095" s="238" t="n">
        <x:f>'Model_Calc'!AV186</x:f>
        <x:v>3271.3839325440003</x:v>
      </x:c>
      <x:c r="T1095" s="238" t="n">
        <x:f>ROUND(S1095-O1095,4)</x:f>
        <x:v>0</x:v>
      </x:c>
    </x:row>
    <x:row r="1096">
      <x:c r="A1096" s="187" t="str">
        <x:v>ACTUAL_2026_08_CLOSE_V1</x:v>
      </x:c>
      <x:c r="B1096" s="187" t="str">
        <x:v>ACTUAL</x:v>
      </x:c>
      <x:c r="C1096" s="187"/>
      <x:c r="D1096" s="217" t="n">
        <x:v>46204</x:v>
      </x:c>
      <x:c r="E1096" s="187" t="str">
        <x:v>R_DE_DE_B_ROAD</x:v>
      </x:c>
      <x:c r="F1096" s="187" t="str">
        <x:v>DE</x:v>
      </x:c>
      <x:c r="G1096" s="187" t="str">
        <x:v>DE_FC</x:v>
      </x:c>
      <x:c r="H1096" s="187" t="str">
        <x:v>CARRIER_B</x:v>
      </x:c>
      <x:c r="I1096" s="187" t="str">
        <x:v>ROAD</x:v>
      </x:c>
      <x:c r="J1096" s="187" t="str">
        <x:v>BILLABLE_EXCEPTION</x:v>
      </x:c>
      <x:c r="K1096" s="187" t="str">
        <x:v>EUR</x:v>
      </x:c>
      <x:c r="L1096" s="232" t="n">
        <x:v>83.27098272492418</x:v>
      </x:c>
      <x:c r="M1096" s="232" t="n">
        <x:v>7.91</x:v>
      </x:c>
      <x:c r="N1096" s="187" t="str">
        <x:v>658.673473354150232160000000</x:v>
      </x:c>
      <x:c r="O1096" s="235" t="n">
        <x:v>658.6735</x:v>
      </x:c>
      <x:c r="P1096" s="235" t="n">
        <x:v>658.6735</x:v>
      </x:c>
      <x:c r="Q1096" s="235" t="n">
        <x:v>0</x:v>
      </x:c>
      <x:c r="R1096" s="235" t="str">
        <x:v>ACCRUAL</x:v>
      </x:c>
      <x:c r="S1096" s="238" t="n">
        <x:f>'Model_Calc'!BA186</x:f>
        <x:v>658.67347335415</x:v>
      </x:c>
      <x:c r="T1096" s="238" t="n">
        <x:f>ROUND(S1096-O1096,4)</x:f>
        <x:v>0</x:v>
      </x:c>
    </x:row>
    <x:row r="1097">
      <x:c r="A1097" s="187" t="str">
        <x:v>ACTUAL_2026_08_CLOSE_V1</x:v>
      </x:c>
      <x:c r="B1097" s="187" t="str">
        <x:v>ACTUAL</x:v>
      </x:c>
      <x:c r="C1097" s="187"/>
      <x:c r="D1097" s="217" t="n">
        <x:v>46204</x:v>
      </x:c>
      <x:c r="E1097" s="187" t="str">
        <x:v>R_DE_FR_B_ROAD</x:v>
      </x:c>
      <x:c r="F1097" s="187" t="str">
        <x:v>DE</x:v>
      </x:c>
      <x:c r="G1097" s="187" t="str">
        <x:v>FR_FC</x:v>
      </x:c>
      <x:c r="H1097" s="187" t="str">
        <x:v>CARRIER_B</x:v>
      </x:c>
      <x:c r="I1097" s="187" t="str">
        <x:v>ROAD</x:v>
      </x:c>
      <x:c r="J1097" s="187" t="str">
        <x:v>BASE_FREIGHT</x:v>
      </x:c>
      <x:c r="K1097" s="187" t="str">
        <x:v>EUR</x:v>
      </x:c>
      <x:c r="L1097" s="232" t="n">
        <x:v>619.3337802967973</x:v>
      </x:c>
      <x:c r="M1097" s="232" t="n">
        <x:v>7.91</x:v>
      </x:c>
      <x:c r="N1097" s="187" t="str">
        <x:v>4898.9302021476664848000000</x:v>
      </x:c>
      <x:c r="O1097" s="235" t="n">
        <x:v>4898.9302</x:v>
      </x:c>
      <x:c r="P1097" s="235" t="n">
        <x:v>4898.9302</x:v>
      </x:c>
      <x:c r="Q1097" s="235" t="n">
        <x:v>0</x:v>
      </x:c>
      <x:c r="R1097" s="235" t="str">
        <x:v>INVOICE_OR_PLAN</x:v>
      </x:c>
      <x:c r="S1097" s="238" t="n">
        <x:f>'Model_Calc'!AF187</x:f>
        <x:v>4898.930202147666</x:v>
      </x:c>
      <x:c r="T1097" s="238" t="n">
        <x:f>ROUND(S1097-O1097,4)</x:f>
        <x:v>0</x:v>
      </x:c>
    </x:row>
    <x:row r="1098">
      <x:c r="A1098" s="187" t="str">
        <x:v>ACTUAL_2026_08_CLOSE_V1</x:v>
      </x:c>
      <x:c r="B1098" s="187" t="str">
        <x:v>ACTUAL</x:v>
      </x:c>
      <x:c r="C1098" s="187"/>
      <x:c r="D1098" s="217" t="n">
        <x:v>46204</x:v>
      </x:c>
      <x:c r="E1098" s="187" t="str">
        <x:v>R_DE_FR_B_ROAD</x:v>
      </x:c>
      <x:c r="F1098" s="187" t="str">
        <x:v>DE</x:v>
      </x:c>
      <x:c r="G1098" s="187" t="str">
        <x:v>FR_FC</x:v>
      </x:c>
      <x:c r="H1098" s="187" t="str">
        <x:v>CARRIER_B</x:v>
      </x:c>
      <x:c r="I1098" s="187" t="str">
        <x:v>ROAD</x:v>
      </x:c>
      <x:c r="J1098" s="187" t="str">
        <x:v>FUEL_SURCHARGE</x:v>
      </x:c>
      <x:c r="K1098" s="187" t="str">
        <x:v>EUR</x:v>
      </x:c>
      <x:c r="L1098" s="232" t="n">
        <x:v>45.04245674885799</x:v>
      </x:c>
      <x:c r="M1098" s="232" t="n">
        <x:v>7.91</x:v>
      </x:c>
      <x:c r="N1098" s="187" t="str">
        <x:v>356.2858328834666534400000</x:v>
      </x:c>
      <x:c r="O1098" s="235" t="n">
        <x:v>356.2858</x:v>
      </x:c>
      <x:c r="P1098" s="235" t="n">
        <x:v>356.2858</x:v>
      </x:c>
      <x:c r="Q1098" s="235" t="n">
        <x:v>0</x:v>
      </x:c>
      <x:c r="R1098" s="235" t="str">
        <x:v>INVOICE_OR_PLAN</x:v>
      </x:c>
      <x:c r="S1098" s="238" t="n">
        <x:f>'Model_Calc'!AG187</x:f>
        <x:v>356.28583288346664</x:v>
      </x:c>
      <x:c r="T1098" s="238" t="n">
        <x:f>ROUND(S1098-O1098,4)</x:f>
        <x:v>0</x:v>
      </x:c>
    </x:row>
    <x:row r="1099">
      <x:c r="A1099" s="187" t="str">
        <x:v>ACTUAL_2026_08_CLOSE_V1</x:v>
      </x:c>
      <x:c r="B1099" s="187" t="str">
        <x:v>ACTUAL</x:v>
      </x:c>
      <x:c r="C1099" s="187"/>
      <x:c r="D1099" s="217" t="n">
        <x:v>46204</x:v>
      </x:c>
      <x:c r="E1099" s="187" t="str">
        <x:v>R_DE_FR_B_ROAD</x:v>
      </x:c>
      <x:c r="F1099" s="187" t="str">
        <x:v>DE</x:v>
      </x:c>
      <x:c r="G1099" s="187" t="str">
        <x:v>FR_FC</x:v>
      </x:c>
      <x:c r="H1099" s="187" t="str">
        <x:v>CARRIER_B</x:v>
      </x:c>
      <x:c r="I1099" s="187" t="str">
        <x:v>ROAD</x:v>
      </x:c>
      <x:c r="J1099" s="187" t="str">
        <x:v>WAREHOUSE_OPERATION</x:v>
      </x:c>
      <x:c r="K1099" s="187" t="str">
        <x:v>EUR</x:v>
      </x:c>
      <x:c r="L1099" s="232" t="n">
        <x:v>209.85237</x:v>
      </x:c>
      <x:c r="M1099" s="232" t="n">
        <x:v>7.91</x:v>
      </x:c>
      <x:c r="N1099" s="187" t="str">
        <x:v>1659.932246700000</x:v>
      </x:c>
      <x:c r="O1099" s="235" t="n">
        <x:v>1659.9322</x:v>
      </x:c>
      <x:c r="P1099" s="235" t="n">
        <x:v>1659.9322</x:v>
      </x:c>
      <x:c r="Q1099" s="235" t="n">
        <x:v>0</x:v>
      </x:c>
      <x:c r="R1099" s="235" t="str">
        <x:v>INVOICE_OR_PLAN</x:v>
      </x:c>
      <x:c r="S1099" s="238" t="n">
        <x:f>'Model_Calc'!AL187</x:f>
        <x:v>1659.9322467</x:v>
      </x:c>
      <x:c r="T1099" s="238" t="n">
        <x:f>ROUND(S1099-O1099,4)</x:f>
        <x:v>0</x:v>
      </x:c>
    </x:row>
    <x:row r="1100">
      <x:c r="A1100" s="187" t="str">
        <x:v>ACTUAL_2026_08_CLOSE_V1</x:v>
      </x:c>
      <x:c r="B1100" s="187" t="str">
        <x:v>ACTUAL</x:v>
      </x:c>
      <x:c r="C1100" s="187"/>
      <x:c r="D1100" s="217" t="n">
        <x:v>46204</x:v>
      </x:c>
      <x:c r="E1100" s="187" t="str">
        <x:v>R_DE_FR_B_ROAD</x:v>
      </x:c>
      <x:c r="F1100" s="187" t="str">
        <x:v>DE</x:v>
      </x:c>
      <x:c r="G1100" s="187" t="str">
        <x:v>FR_FC</x:v>
      </x:c>
      <x:c r="H1100" s="187" t="str">
        <x:v>CARRIER_B</x:v>
      </x:c>
      <x:c r="I1100" s="187" t="str">
        <x:v>ROAD</x:v>
      </x:c>
      <x:c r="J1100" s="187" t="str">
        <x:v>PACKAGING</x:v>
      </x:c>
      <x:c r="K1100" s="187" t="str">
        <x:v>EUR</x:v>
      </x:c>
      <x:c r="L1100" s="232" t="n">
        <x:v>82.51443154656</x:v>
      </x:c>
      <x:c r="M1100" s="232" t="n">
        <x:v>7.91</x:v>
      </x:c>
      <x:c r="N1100" s="187" t="str">
        <x:v>652.68915353328960000</x:v>
      </x:c>
      <x:c r="O1100" s="235" t="n">
        <x:v>652.6892</x:v>
      </x:c>
      <x:c r="P1100" s="235" t="n">
        <x:v>652.6892</x:v>
      </x:c>
      <x:c r="Q1100" s="235" t="n">
        <x:v>0</x:v>
      </x:c>
      <x:c r="R1100" s="235" t="str">
        <x:v>INVOICE_OR_PLAN</x:v>
      </x:c>
      <x:c r="S1100" s="238" t="n">
        <x:f>'Model_Calc'!AQ187</x:f>
        <x:v>652.6891535332895</x:v>
      </x:c>
      <x:c r="T1100" s="238" t="n">
        <x:f>ROUND(S1100-O1100,4)</x:f>
        <x:v>0</x:v>
      </x:c>
    </x:row>
    <x:row r="1101">
      <x:c r="A1101" s="187" t="str">
        <x:v>ACTUAL_2026_08_CLOSE_V1</x:v>
      </x:c>
      <x:c r="B1101" s="187" t="str">
        <x:v>ACTUAL</x:v>
      </x:c>
      <x:c r="C1101" s="187"/>
      <x:c r="D1101" s="217" t="n">
        <x:v>46204</x:v>
      </x:c>
      <x:c r="E1101" s="187" t="str">
        <x:v>R_DE_FR_B_ROAD</x:v>
      </x:c>
      <x:c r="F1101" s="187" t="str">
        <x:v>DE</x:v>
      </x:c>
      <x:c r="G1101" s="187" t="str">
        <x:v>FR_FC</x:v>
      </x:c>
      <x:c r="H1101" s="187" t="str">
        <x:v>CARRIER_B</x:v>
      </x:c>
      <x:c r="I1101" s="187" t="str">
        <x:v>ROAD</x:v>
      </x:c>
      <x:c r="J1101" s="187" t="str">
        <x:v>RETURN_LOGISTICS</x:v>
      </x:c>
      <x:c r="K1101" s="187" t="str">
        <x:v>EUR</x:v>
      </x:c>
      <x:c r="L1101" s="232" t="n">
        <x:v>37.973286</x:v>
      </x:c>
      <x:c r="M1101" s="232" t="n">
        <x:v>7.91</x:v>
      </x:c>
      <x:c r="N1101" s="187" t="str">
        <x:v>300.368692260000000</x:v>
      </x:c>
      <x:c r="O1101" s="235" t="n">
        <x:v>300.3687</x:v>
      </x:c>
      <x:c r="P1101" s="235" t="n">
        <x:v>300.3687</x:v>
      </x:c>
      <x:c r="Q1101" s="235" t="n">
        <x:v>0</x:v>
      </x:c>
      <x:c r="R1101" s="235" t="str">
        <x:v>ACCRUAL</x:v>
      </x:c>
      <x:c r="S1101" s="238" t="n">
        <x:f>'Model_Calc'!AV187</x:f>
        <x:v>300.36869226000005</x:v>
      </x:c>
      <x:c r="T1101" s="238" t="n">
        <x:f>ROUND(S1101-O1101,4)</x:f>
        <x:v>0</x:v>
      </x:c>
    </x:row>
    <x:row r="1102">
      <x:c r="A1102" s="187" t="str">
        <x:v>ACTUAL_2026_08_CLOSE_V1</x:v>
      </x:c>
      <x:c r="B1102" s="187" t="str">
        <x:v>ACTUAL</x:v>
      </x:c>
      <x:c r="C1102" s="187"/>
      <x:c r="D1102" s="217" t="n">
        <x:v>46204</x:v>
      </x:c>
      <x:c r="E1102" s="187" t="str">
        <x:v>R_DE_FR_B_ROAD</x:v>
      </x:c>
      <x:c r="F1102" s="187" t="str">
        <x:v>DE</x:v>
      </x:c>
      <x:c r="G1102" s="187" t="str">
        <x:v>FR_FC</x:v>
      </x:c>
      <x:c r="H1102" s="187" t="str">
        <x:v>CARRIER_B</x:v>
      </x:c>
      <x:c r="I1102" s="187" t="str">
        <x:v>ROAD</x:v>
      </x:c>
      <x:c r="J1102" s="187" t="str">
        <x:v>BILLABLE_EXCEPTION</x:v>
      </x:c>
      <x:c r="K1102" s="187" t="str">
        <x:v>EUR</x:v>
      </x:c>
      <x:c r="L1102" s="232" t="n">
        <x:v>7.131852604513728</x:v>
      </x:c>
      <x:c r="M1102" s="232" t="n">
        <x:v>7.91</x:v>
      </x:c>
      <x:c r="N1102" s="187" t="str">
        <x:v>56.4129541017035884800000</x:v>
      </x:c>
      <x:c r="O1102" s="235" t="n">
        <x:v>56.413</x:v>
      </x:c>
      <x:c r="P1102" s="235" t="n">
        <x:v>56.413</x:v>
      </x:c>
      <x:c r="Q1102" s="235" t="n">
        <x:v>0</x:v>
      </x:c>
      <x:c r="R1102" s="235" t="str">
        <x:v>ACCRUAL</x:v>
      </x:c>
      <x:c r="S1102" s="238" t="n">
        <x:f>'Model_Calc'!BA187</x:f>
        <x:v>56.412954101703576</x:v>
      </x:c>
      <x:c r="T1102" s="238" t="n">
        <x:f>ROUND(S1102-O1102,4)</x:f>
        <x:v>0</x:v>
      </x:c>
    </x:row>
    <x:row r="1103">
      <x:c r="A1103" s="187" t="str">
        <x:v>ACTUAL_2026_08_CLOSE_V1</x:v>
      </x:c>
      <x:c r="B1103" s="187" t="str">
        <x:v>ACTUAL</x:v>
      </x:c>
      <x:c r="C1103" s="187"/>
      <x:c r="D1103" s="217" t="n">
        <x:v>46204</x:v>
      </x:c>
      <x:c r="E1103" s="187" t="str">
        <x:v>R_FR_FR_A_ROAD</x:v>
      </x:c>
      <x:c r="F1103" s="187" t="str">
        <x:v>FR</x:v>
      </x:c>
      <x:c r="G1103" s="187" t="str">
        <x:v>FR_FC</x:v>
      </x:c>
      <x:c r="H1103" s="187" t="str">
        <x:v>CARRIER_A</x:v>
      </x:c>
      <x:c r="I1103" s="187" t="str">
        <x:v>ROAD</x:v>
      </x:c>
      <x:c r="J1103" s="187" t="str">
        <x:v>BASE_FREIGHT</x:v>
      </x:c>
      <x:c r="K1103" s="187" t="str">
        <x:v>EUR</x:v>
      </x:c>
      <x:c r="L1103" s="232" t="n">
        <x:v>3332.5842581996326</x:v>
      </x:c>
      <x:c r="M1103" s="232" t="n">
        <x:v>7.91</x:v>
      </x:c>
      <x:c r="N1103" s="187" t="str">
        <x:v>26360.7414823590954480000000</x:v>
      </x:c>
      <x:c r="O1103" s="235" t="n">
        <x:v>26360.7415</x:v>
      </x:c>
      <x:c r="P1103" s="235" t="n">
        <x:v>26360.7415</x:v>
      </x:c>
      <x:c r="Q1103" s="235" t="n">
        <x:v>0</x:v>
      </x:c>
      <x:c r="R1103" s="235" t="str">
        <x:v>INVOICE_OR_PLAN</x:v>
      </x:c>
      <x:c r="S1103" s="238" t="n">
        <x:f>'Model_Calc'!AF188</x:f>
        <x:v>26360.741482359095</x:v>
      </x:c>
      <x:c r="T1103" s="238" t="n">
        <x:f>ROUND(S1103-O1103,4)</x:f>
        <x:v>0</x:v>
      </x:c>
    </x:row>
    <x:row r="1104">
      <x:c r="A1104" s="187" t="str">
        <x:v>ACTUAL_2026_08_CLOSE_V1</x:v>
      </x:c>
      <x:c r="B1104" s="187" t="str">
        <x:v>ACTUAL</x:v>
      </x:c>
      <x:c r="C1104" s="187"/>
      <x:c r="D1104" s="217" t="n">
        <x:v>46204</x:v>
      </x:c>
      <x:c r="E1104" s="187" t="str">
        <x:v>R_FR_FR_A_ROAD</x:v>
      </x:c>
      <x:c r="F1104" s="187" t="str">
        <x:v>FR</x:v>
      </x:c>
      <x:c r="G1104" s="187" t="str">
        <x:v>FR_FC</x:v>
      </x:c>
      <x:c r="H1104" s="187" t="str">
        <x:v>CARRIER_A</x:v>
      </x:c>
      <x:c r="I1104" s="187" t="str">
        <x:v>ROAD</x:v>
      </x:c>
      <x:c r="J1104" s="187" t="str">
        <x:v>FUEL_SURCHARGE</x:v>
      </x:c>
      <x:c r="K1104" s="187" t="str">
        <x:v>EUR</x:v>
      </x:c>
      <x:c r="L1104" s="232" t="n">
        <x:v>304.1316394032985</x:v>
      </x:c>
      <x:c r="M1104" s="232" t="n">
        <x:v>7.91</x:v>
      </x:c>
      <x:c r="N1104" s="187" t="str">
        <x:v>2405.6812676800910505844800000000</x:v>
      </x:c>
      <x:c r="O1104" s="235" t="n">
        <x:v>2405.6813</x:v>
      </x:c>
      <x:c r="P1104" s="235" t="n">
        <x:v>2405.6813</x:v>
      </x:c>
      <x:c r="Q1104" s="235" t="n">
        <x:v>0</x:v>
      </x:c>
      <x:c r="R1104" s="235" t="str">
        <x:v>INVOICE_OR_PLAN</x:v>
      </x:c>
      <x:c r="S1104" s="238" t="n">
        <x:f>'Model_Calc'!AG188</x:f>
        <x:v>2405.6812676800905</x:v>
      </x:c>
      <x:c r="T1104" s="238" t="n">
        <x:f>ROUND(S1104-O1104,4)</x:f>
        <x:v>0</x:v>
      </x:c>
    </x:row>
    <x:row r="1105">
      <x:c r="A1105" s="187" t="str">
        <x:v>ACTUAL_2026_08_CLOSE_V1</x:v>
      </x:c>
      <x:c r="B1105" s="187" t="str">
        <x:v>ACTUAL</x:v>
      </x:c>
      <x:c r="C1105" s="187"/>
      <x:c r="D1105" s="217" t="n">
        <x:v>46204</x:v>
      </x:c>
      <x:c r="E1105" s="187" t="str">
        <x:v>R_FR_FR_A_ROAD</x:v>
      </x:c>
      <x:c r="F1105" s="187" t="str">
        <x:v>FR</x:v>
      </x:c>
      <x:c r="G1105" s="187" t="str">
        <x:v>FR_FC</x:v>
      </x:c>
      <x:c r="H1105" s="187" t="str">
        <x:v>CARRIER_A</x:v>
      </x:c>
      <x:c r="I1105" s="187" t="str">
        <x:v>ROAD</x:v>
      </x:c>
      <x:c r="J1105" s="187" t="str">
        <x:v>WAREHOUSE_OPERATION</x:v>
      </x:c>
      <x:c r="K1105" s="187" t="str">
        <x:v>EUR</x:v>
      </x:c>
      <x:c r="L1105" s="232" t="n">
        <x:v>2045.82105</x:v>
      </x:c>
      <x:c r="M1105" s="232" t="n">
        <x:v>7.91</x:v>
      </x:c>
      <x:c r="N1105" s="187" t="str">
        <x:v>16182.444505500000</x:v>
      </x:c>
      <x:c r="O1105" s="235" t="n">
        <x:v>16182.4445</x:v>
      </x:c>
      <x:c r="P1105" s="235" t="n">
        <x:v>16182.4445</x:v>
      </x:c>
      <x:c r="Q1105" s="235" t="n">
        <x:v>0</x:v>
      </x:c>
      <x:c r="R1105" s="235" t="str">
        <x:v>INVOICE_OR_PLAN</x:v>
      </x:c>
      <x:c r="S1105" s="238" t="n">
        <x:f>'Model_Calc'!AL188</x:f>
        <x:v>16182.444505499998</x:v>
      </x:c>
      <x:c r="T1105" s="238" t="n">
        <x:f>ROUND(S1105-O1105,4)</x:f>
        <x:v>0</x:v>
      </x:c>
    </x:row>
    <x:row r="1106">
      <x:c r="A1106" s="187" t="str">
        <x:v>ACTUAL_2026_08_CLOSE_V1</x:v>
      </x:c>
      <x:c r="B1106" s="187" t="str">
        <x:v>ACTUAL</x:v>
      </x:c>
      <x:c r="C1106" s="187"/>
      <x:c r="D1106" s="217" t="n">
        <x:v>46204</x:v>
      </x:c>
      <x:c r="E1106" s="187" t="str">
        <x:v>R_FR_FR_A_ROAD</x:v>
      </x:c>
      <x:c r="F1106" s="187" t="str">
        <x:v>FR</x:v>
      </x:c>
      <x:c r="G1106" s="187" t="str">
        <x:v>FR_FC</x:v>
      </x:c>
      <x:c r="H1106" s="187" t="str">
        <x:v>CARRIER_A</x:v>
      </x:c>
      <x:c r="I1106" s="187" t="str">
        <x:v>ROAD</x:v>
      </x:c>
      <x:c r="J1106" s="187" t="str">
        <x:v>PACKAGING</x:v>
      </x:c>
      <x:c r="K1106" s="187" t="str">
        <x:v>EUR</x:v>
      </x:c>
      <x:c r="L1106" s="232" t="n">
        <x:v>789.5248183368</x:v>
      </x:c>
      <x:c r="M1106" s="232" t="n">
        <x:v>7.91</x:v>
      </x:c>
      <x:c r="N1106" s="187" t="str">
        <x:v>6245.14131304408800000</x:v>
      </x:c>
      <x:c r="O1106" s="235" t="n">
        <x:v>6245.1413</x:v>
      </x:c>
      <x:c r="P1106" s="235" t="n">
        <x:v>6245.1413</x:v>
      </x:c>
      <x:c r="Q1106" s="235" t="n">
        <x:v>0</x:v>
      </x:c>
      <x:c r="R1106" s="235" t="str">
        <x:v>INVOICE_OR_PLAN</x:v>
      </x:c>
      <x:c r="S1106" s="238" t="n">
        <x:f>'Model_Calc'!AQ188</x:f>
        <x:v>6245.141313044087</x:v>
      </x:c>
      <x:c r="T1106" s="238" t="n">
        <x:f>ROUND(S1106-O1106,4)</x:f>
        <x:v>0</x:v>
      </x:c>
    </x:row>
    <x:row r="1107">
      <x:c r="A1107" s="187" t="str">
        <x:v>ACTUAL_2026_08_CLOSE_V1</x:v>
      </x:c>
      <x:c r="B1107" s="187" t="str">
        <x:v>ACTUAL</x:v>
      </x:c>
      <x:c r="C1107" s="187"/>
      <x:c r="D1107" s="217" t="n">
        <x:v>46204</x:v>
      </x:c>
      <x:c r="E1107" s="187" t="str">
        <x:v>R_FR_FR_A_ROAD</x:v>
      </x:c>
      <x:c r="F1107" s="187" t="str">
        <x:v>FR</x:v>
      </x:c>
      <x:c r="G1107" s="187" t="str">
        <x:v>FR_FC</x:v>
      </x:c>
      <x:c r="H1107" s="187" t="str">
        <x:v>CARRIER_A</x:v>
      </x:c>
      <x:c r="I1107" s="187" t="str">
        <x:v>ROAD</x:v>
      </x:c>
      <x:c r="J1107" s="187" t="str">
        <x:v>RETURN_LOGISTICS</x:v>
      </x:c>
      <x:c r="K1107" s="187" t="str">
        <x:v>EUR</x:v>
      </x:c>
      <x:c r="L1107" s="232" t="n">
        <x:v>350.71218</x:v>
      </x:c>
      <x:c r="M1107" s="232" t="n">
        <x:v>7.91</x:v>
      </x:c>
      <x:c r="N1107" s="187" t="str">
        <x:v>2774.133343800000000</x:v>
      </x:c>
      <x:c r="O1107" s="235" t="n">
        <x:v>2774.1333</x:v>
      </x:c>
      <x:c r="P1107" s="235" t="n">
        <x:v>2774.1333</x:v>
      </x:c>
      <x:c r="Q1107" s="235" t="n">
        <x:v>0</x:v>
      </x:c>
      <x:c r="R1107" s="235" t="str">
        <x:v>ACCRUAL</x:v>
      </x:c>
      <x:c r="S1107" s="238" t="n">
        <x:f>'Model_Calc'!AV188</x:f>
        <x:v>2774.1333437999997</x:v>
      </x:c>
      <x:c r="T1107" s="238" t="n">
        <x:f>ROUND(S1107-O1107,4)</x:f>
        <x:v>0</x:v>
      </x:c>
    </x:row>
    <x:row r="1108">
      <x:c r="A1108" s="187" t="str">
        <x:v>ACTUAL_2026_08_CLOSE_V1</x:v>
      </x:c>
      <x:c r="B1108" s="187" t="str">
        <x:v>ACTUAL</x:v>
      </x:c>
      <x:c r="C1108" s="187"/>
      <x:c r="D1108" s="217" t="n">
        <x:v>46204</x:v>
      </x:c>
      <x:c r="E1108" s="187" t="str">
        <x:v>R_FR_FR_A_ROAD</x:v>
      </x:c>
      <x:c r="F1108" s="187" t="str">
        <x:v>FR</x:v>
      </x:c>
      <x:c r="G1108" s="187" t="str">
        <x:v>FR_FC</x:v>
      </x:c>
      <x:c r="H1108" s="187" t="str">
        <x:v>CARRIER_A</x:v>
      </x:c>
      <x:c r="I1108" s="187" t="str">
        <x:v>ROAD</x:v>
      </x:c>
      <x:c r="J1108" s="187" t="str">
        <x:v>BILLABLE_EXCEPTION</x:v>
      </x:c>
      <x:c r="K1108" s="187" t="str">
        <x:v>EUR</x:v>
      </x:c>
      <x:c r="L1108" s="232" t="n">
        <x:v>82.86270738133751</x:v>
      </x:c>
      <x:c r="M1108" s="232" t="n">
        <x:v>7.91</x:v>
      </x:c>
      <x:c r="N1108" s="187" t="str">
        <x:v>655.4440153863797832000000</x:v>
      </x:c>
      <x:c r="O1108" s="235" t="n">
        <x:v>655.444</x:v>
      </x:c>
      <x:c r="P1108" s="235" t="n">
        <x:v>655.444</x:v>
      </x:c>
      <x:c r="Q1108" s="235" t="n">
        <x:v>0</x:v>
      </x:c>
      <x:c r="R1108" s="235" t="str">
        <x:v>ACCRUAL</x:v>
      </x:c>
      <x:c r="S1108" s="238" t="n">
        <x:f>'Model_Calc'!BA188</x:f>
        <x:v>655.4440153863796</x:v>
      </x:c>
      <x:c r="T1108" s="238" t="n">
        <x:f>ROUND(S1108-O1108,4)</x:f>
        <x:v>0</x:v>
      </x:c>
    </x:row>
    <x:row r="1109">
      <x:c r="A1109" s="187" t="str">
        <x:v>ACTUAL_2026_08_CLOSE_V1</x:v>
      </x:c>
      <x:c r="B1109" s="187" t="str">
        <x:v>ACTUAL</x:v>
      </x:c>
      <x:c r="C1109" s="187"/>
      <x:c r="D1109" s="217" t="n">
        <x:v>46204</x:v>
      </x:c>
      <x:c r="E1109" s="187" t="str">
        <x:v>R_FR_FR_B_ROAD</x:v>
      </x:c>
      <x:c r="F1109" s="187" t="str">
        <x:v>FR</x:v>
      </x:c>
      <x:c r="G1109" s="187" t="str">
        <x:v>FR_FC</x:v>
      </x:c>
      <x:c r="H1109" s="187" t="str">
        <x:v>CARRIER_B</x:v>
      </x:c>
      <x:c r="I1109" s="187" t="str">
        <x:v>ROAD</x:v>
      </x:c>
      <x:c r="J1109" s="187" t="str">
        <x:v>BASE_FREIGHT</x:v>
      </x:c>
      <x:c r="K1109" s="187" t="str">
        <x:v>EUR</x:v>
      </x:c>
      <x:c r="L1109" s="232" t="n">
        <x:v>7965.1508111749545</x:v>
      </x:c>
      <x:c r="M1109" s="232" t="n">
        <x:v>7.91</x:v>
      </x:c>
      <x:c r="N1109" s="187" t="str">
        <x:v>63004.3429163938924680000000</x:v>
      </x:c>
      <x:c r="O1109" s="235" t="n">
        <x:v>63004.3429</x:v>
      </x:c>
      <x:c r="P1109" s="235" t="n">
        <x:v>63004.3429</x:v>
      </x:c>
      <x:c r="Q1109" s="235" t="n">
        <x:v>0</x:v>
      </x:c>
      <x:c r="R1109" s="235" t="str">
        <x:v>INVOICE_OR_PLAN</x:v>
      </x:c>
      <x:c r="S1109" s="238" t="n">
        <x:f>'Model_Calc'!AF189</x:f>
        <x:v>63004.3429163939</x:v>
      </x:c>
      <x:c r="T1109" s="238" t="n">
        <x:f>ROUND(S1109-O1109,4)</x:f>
        <x:v>0</x:v>
      </x:c>
    </x:row>
    <x:row r="1110">
      <x:c r="A1110" s="187" t="str">
        <x:v>ACTUAL_2026_08_CLOSE_V1</x:v>
      </x:c>
      <x:c r="B1110" s="187" t="str">
        <x:v>ACTUAL</x:v>
      </x:c>
      <x:c r="C1110" s="187"/>
      <x:c r="D1110" s="217" t="n">
        <x:v>46204</x:v>
      </x:c>
      <x:c r="E1110" s="187" t="str">
        <x:v>R_FR_FR_B_ROAD</x:v>
      </x:c>
      <x:c r="F1110" s="187" t="str">
        <x:v>FR</x:v>
      </x:c>
      <x:c r="G1110" s="187" t="str">
        <x:v>FR_FC</x:v>
      </x:c>
      <x:c r="H1110" s="187" t="str">
        <x:v>CARRIER_B</x:v>
      </x:c>
      <x:c r="I1110" s="187" t="str">
        <x:v>ROAD</x:v>
      </x:c>
      <x:c r="J1110" s="187" t="str">
        <x:v>FUEL_SURCHARGE</x:v>
      </x:c>
      <x:c r="K1110" s="187" t="str">
        <x:v>EUR</x:v>
      </x:c>
      <x:c r="L1110" s="232" t="n">
        <x:v>612.7039085519197</x:v>
      </x:c>
      <x:c r="M1110" s="232" t="n">
        <x:v>7.91</x:v>
      </x:c>
      <x:c r="N1110" s="187" t="str">
        <x:v>4846.4879166456840360000000</x:v>
      </x:c>
      <x:c r="O1110" s="235" t="n">
        <x:v>4846.4879</x:v>
      </x:c>
      <x:c r="P1110" s="235" t="n">
        <x:v>4846.4879</x:v>
      </x:c>
      <x:c r="Q1110" s="235" t="n">
        <x:v>0</x:v>
      </x:c>
      <x:c r="R1110" s="235" t="str">
        <x:v>INVOICE_OR_PLAN</x:v>
      </x:c>
      <x:c r="S1110" s="238" t="n">
        <x:f>'Model_Calc'!AG189</x:f>
        <x:v>4846.487916645685</x:v>
      </x:c>
      <x:c r="T1110" s="238" t="n">
        <x:f>ROUND(S1110-O1110,4)</x:f>
        <x:v>0</x:v>
      </x:c>
    </x:row>
    <x:row r="1111">
      <x:c r="A1111" s="187" t="str">
        <x:v>ACTUAL_2026_08_CLOSE_V1</x:v>
      </x:c>
      <x:c r="B1111" s="187" t="str">
        <x:v>ACTUAL</x:v>
      </x:c>
      <x:c r="C1111" s="187"/>
      <x:c r="D1111" s="217" t="n">
        <x:v>46204</x:v>
      </x:c>
      <x:c r="E1111" s="187" t="str">
        <x:v>R_FR_FR_B_ROAD</x:v>
      </x:c>
      <x:c r="F1111" s="187" t="str">
        <x:v>FR</x:v>
      </x:c>
      <x:c r="G1111" s="187" t="str">
        <x:v>FR_FC</x:v>
      </x:c>
      <x:c r="H1111" s="187" t="str">
        <x:v>CARRIER_B</x:v>
      </x:c>
      <x:c r="I1111" s="187" t="str">
        <x:v>ROAD</x:v>
      </x:c>
      <x:c r="J1111" s="187" t="str">
        <x:v>WAREHOUSE_OPERATION</x:v>
      </x:c>
      <x:c r="K1111" s="187" t="str">
        <x:v>EUR</x:v>
      </x:c>
      <x:c r="L1111" s="232" t="n">
        <x:v>3799.38195</x:v>
      </x:c>
      <x:c r="M1111" s="232" t="n">
        <x:v>7.91</x:v>
      </x:c>
      <x:c r="N1111" s="187" t="str">
        <x:v>30053.111224500000</x:v>
      </x:c>
      <x:c r="O1111" s="235" t="n">
        <x:v>30053.1112</x:v>
      </x:c>
      <x:c r="P1111" s="235" t="n">
        <x:v>30053.1112</x:v>
      </x:c>
      <x:c r="Q1111" s="235" t="n">
        <x:v>0</x:v>
      </x:c>
      <x:c r="R1111" s="235" t="str">
        <x:v>INVOICE_OR_PLAN</x:v>
      </x:c>
      <x:c r="S1111" s="238" t="n">
        <x:f>'Model_Calc'!AL189</x:f>
        <x:v>30053.1112245</x:v>
      </x:c>
      <x:c r="T1111" s="238" t="n">
        <x:f>ROUND(S1111-O1111,4)</x:f>
        <x:v>0</x:v>
      </x:c>
    </x:row>
    <x:row r="1112">
      <x:c r="A1112" s="187" t="str">
        <x:v>ACTUAL_2026_08_CLOSE_V1</x:v>
      </x:c>
      <x:c r="B1112" s="187" t="str">
        <x:v>ACTUAL</x:v>
      </x:c>
      <x:c r="C1112" s="187"/>
      <x:c r="D1112" s="217" t="n">
        <x:v>46204</x:v>
      </x:c>
      <x:c r="E1112" s="187" t="str">
        <x:v>R_FR_FR_B_ROAD</x:v>
      </x:c>
      <x:c r="F1112" s="187" t="str">
        <x:v>FR</x:v>
      </x:c>
      <x:c r="G1112" s="187" t="str">
        <x:v>FR_FC</x:v>
      </x:c>
      <x:c r="H1112" s="187" t="str">
        <x:v>CARRIER_B</x:v>
      </x:c>
      <x:c r="I1112" s="187" t="str">
        <x:v>ROAD</x:v>
      </x:c>
      <x:c r="J1112" s="187" t="str">
        <x:v>PACKAGING</x:v>
      </x:c>
      <x:c r="K1112" s="187" t="str">
        <x:v>EUR</x:v>
      </x:c>
      <x:c r="L1112" s="232" t="n">
        <x:v>1466.2603769112</x:v>
      </x:c>
      <x:c r="M1112" s="232" t="n">
        <x:v>7.91</x:v>
      </x:c>
      <x:c r="N1112" s="187" t="str">
        <x:v>11598.11958136759200000</x:v>
      </x:c>
      <x:c r="O1112" s="235" t="n">
        <x:v>11598.1196</x:v>
      </x:c>
      <x:c r="P1112" s="235" t="n">
        <x:v>11598.1196</x:v>
      </x:c>
      <x:c r="Q1112" s="235" t="n">
        <x:v>0</x:v>
      </x:c>
      <x:c r="R1112" s="235" t="str">
        <x:v>INVOICE_OR_PLAN</x:v>
      </x:c>
      <x:c r="S1112" s="238" t="n">
        <x:f>'Model_Calc'!AQ189</x:f>
        <x:v>11598.119581367591</x:v>
      </x:c>
      <x:c r="T1112" s="238" t="n">
        <x:f>ROUND(S1112-O1112,4)</x:f>
        <x:v>0</x:v>
      </x:c>
    </x:row>
    <x:row r="1113">
      <x:c r="A1113" s="187" t="str">
        <x:v>ACTUAL_2026_08_CLOSE_V1</x:v>
      </x:c>
      <x:c r="B1113" s="187" t="str">
        <x:v>ACTUAL</x:v>
      </x:c>
      <x:c r="C1113" s="187"/>
      <x:c r="D1113" s="217" t="n">
        <x:v>46204</x:v>
      </x:c>
      <x:c r="E1113" s="187" t="str">
        <x:v>R_FR_FR_B_ROAD</x:v>
      </x:c>
      <x:c r="F1113" s="187" t="str">
        <x:v>FR</x:v>
      </x:c>
      <x:c r="G1113" s="187" t="str">
        <x:v>FR_FC</x:v>
      </x:c>
      <x:c r="H1113" s="187" t="str">
        <x:v>CARRIER_B</x:v>
      </x:c>
      <x:c r="I1113" s="187" t="str">
        <x:v>ROAD</x:v>
      </x:c>
      <x:c r="J1113" s="187" t="str">
        <x:v>RETURN_LOGISTICS</x:v>
      </x:c>
      <x:c r="K1113" s="187" t="str">
        <x:v>EUR</x:v>
      </x:c>
      <x:c r="L1113" s="232" t="n">
        <x:v>651.32262</x:v>
      </x:c>
      <x:c r="M1113" s="232" t="n">
        <x:v>7.91</x:v>
      </x:c>
      <x:c r="N1113" s="187" t="str">
        <x:v>5151.961924200000000</x:v>
      </x:c>
      <x:c r="O1113" s="235" t="n">
        <x:v>5151.9619</x:v>
      </x:c>
      <x:c r="P1113" s="235" t="n">
        <x:v>5151.9619</x:v>
      </x:c>
      <x:c r="Q1113" s="235" t="n">
        <x:v>0</x:v>
      </x:c>
      <x:c r="R1113" s="235" t="str">
        <x:v>ACCRUAL</x:v>
      </x:c>
      <x:c r="S1113" s="238" t="n">
        <x:f>'Model_Calc'!AV189</x:f>
        <x:v>5151.961924199999</x:v>
      </x:c>
      <x:c r="T1113" s="238" t="n">
        <x:f>ROUND(S1113-O1113,4)</x:f>
        <x:v>0</x:v>
      </x:c>
    </x:row>
    <x:row r="1114">
      <x:c r="A1114" s="187" t="str">
        <x:v>ACTUAL_2026_08_CLOSE_V1</x:v>
      </x:c>
      <x:c r="B1114" s="187" t="str">
        <x:v>ACTUAL</x:v>
      </x:c>
      <x:c r="C1114" s="187"/>
      <x:c r="D1114" s="217" t="n">
        <x:v>46204</x:v>
      </x:c>
      <x:c r="E1114" s="187" t="str">
        <x:v>R_FR_FR_B_ROAD</x:v>
      </x:c>
      <x:c r="F1114" s="187" t="str">
        <x:v>FR</x:v>
      </x:c>
      <x:c r="G1114" s="187" t="str">
        <x:v>FR_FC</x:v>
      </x:c>
      <x:c r="H1114" s="187" t="str">
        <x:v>CARRIER_B</x:v>
      </x:c>
      <x:c r="I1114" s="187" t="str">
        <x:v>ROAD</x:v>
      </x:c>
      <x:c r="J1114" s="187" t="str">
        <x:v>BILLABLE_EXCEPTION</x:v>
      </x:c>
      <x:c r="K1114" s="187" t="str">
        <x:v>EUR</x:v>
      </x:c>
      <x:c r="L1114" s="232" t="n">
        <x:v>126.73119952439856</x:v>
      </x:c>
      <x:c r="M1114" s="232" t="n">
        <x:v>7.91</x:v>
      </x:c>
      <x:c r="N1114" s="187" t="str">
        <x:v>1002.4437882379926096000000</x:v>
      </x:c>
      <x:c r="O1114" s="235" t="n">
        <x:v>1002.4438</x:v>
      </x:c>
      <x:c r="P1114" s="235" t="n">
        <x:v>1002.4438</x:v>
      </x:c>
      <x:c r="Q1114" s="235" t="n">
        <x:v>0</x:v>
      </x:c>
      <x:c r="R1114" s="235" t="str">
        <x:v>ACCRUAL</x:v>
      </x:c>
      <x:c r="S1114" s="238" t="n">
        <x:f>'Model_Calc'!BA189</x:f>
        <x:v>1002.4437882379925</x:v>
      </x:c>
      <x:c r="T1114" s="238" t="n">
        <x:f>ROUND(S1114-O1114,4)</x:f>
        <x:v>0</x:v>
      </x:c>
    </x:row>
    <x:row r="1115">
      <x:c r="A1115" s="187" t="str">
        <x:v>ACTUAL_2026_08_CLOSE_V1</x:v>
      </x:c>
      <x:c r="B1115" s="187" t="str">
        <x:v>ACTUAL</x:v>
      </x:c>
      <x:c r="C1115" s="187"/>
      <x:c r="D1115" s="217" t="n">
        <x:v>46204</x:v>
      </x:c>
      <x:c r="E1115" s="187" t="str">
        <x:v>R_GB_DE_A_ROAD</x:v>
      </x:c>
      <x:c r="F1115" s="187" t="str">
        <x:v>GB</x:v>
      </x:c>
      <x:c r="G1115" s="187" t="str">
        <x:v>DE_FC</x:v>
      </x:c>
      <x:c r="H1115" s="187" t="str">
        <x:v>CARRIER_A</x:v>
      </x:c>
      <x:c r="I1115" s="187" t="str">
        <x:v>ROAD</x:v>
      </x:c>
      <x:c r="J1115" s="187" t="str">
        <x:v>BASE_FREIGHT</x:v>
      </x:c>
      <x:c r="K1115" s="187" t="str">
        <x:v>GBP</x:v>
      </x:c>
      <x:c r="L1115" s="232" t="n">
        <x:v>15226.942821547033</x:v>
      </x:c>
      <x:c r="M1115" s="232" t="n">
        <x:v>9.18</x:v>
      </x:c>
      <x:c r="N1115" s="187" t="str">
        <x:v>139783.335101801759047680000000</x:v>
      </x:c>
      <x:c r="O1115" s="235" t="n">
        <x:v>139783.3351</x:v>
      </x:c>
      <x:c r="P1115" s="235" t="n">
        <x:v>139783.3351</x:v>
      </x:c>
      <x:c r="Q1115" s="235" t="n">
        <x:v>0</x:v>
      </x:c>
      <x:c r="R1115" s="235" t="str">
        <x:v>INVOICE_OR_PLAN</x:v>
      </x:c>
      <x:c r="S1115" s="238" t="n">
        <x:f>'Model_Calc'!AF190</x:f>
        <x:v>139783.33510180173</x:v>
      </x:c>
      <x:c r="T1115" s="238" t="n">
        <x:f>ROUND(S1115-O1115,4)</x:f>
        <x:v>0</x:v>
      </x:c>
    </x:row>
    <x:row r="1116">
      <x:c r="A1116" s="187" t="str">
        <x:v>ACTUAL_2026_08_CLOSE_V1</x:v>
      </x:c>
      <x:c r="B1116" s="187" t="str">
        <x:v>ACTUAL</x:v>
      </x:c>
      <x:c r="C1116" s="187"/>
      <x:c r="D1116" s="217" t="n">
        <x:v>46204</x:v>
      </x:c>
      <x:c r="E1116" s="187" t="str">
        <x:v>R_GB_DE_A_ROAD</x:v>
      </x:c>
      <x:c r="F1116" s="187" t="str">
        <x:v>GB</x:v>
      </x:c>
      <x:c r="G1116" s="187" t="str">
        <x:v>DE_FC</x:v>
      </x:c>
      <x:c r="H1116" s="187" t="str">
        <x:v>CARRIER_A</x:v>
      </x:c>
      <x:c r="I1116" s="187" t="str">
        <x:v>ROAD</x:v>
      </x:c>
      <x:c r="J1116" s="187" t="str">
        <x:v>FUEL_SURCHARGE</x:v>
      </x:c>
      <x:c r="K1116" s="187" t="str">
        <x:v>GBP</x:v>
      </x:c>
      <x:c r="L1116" s="232" t="n">
        <x:v>1544.012002104869</x:v>
      </x:c>
      <x:c r="M1116" s="232" t="n">
        <x:v>9.18</x:v>
      </x:c>
      <x:c r="N1116" s="187" t="str">
        <x:v>14174.030179322698367434752000000000</x:v>
      </x:c>
      <x:c r="O1116" s="235" t="n">
        <x:v>14174.0302</x:v>
      </x:c>
      <x:c r="P1116" s="235" t="n">
        <x:v>14174.0302</x:v>
      </x:c>
      <x:c r="Q1116" s="235" t="n">
        <x:v>0</x:v>
      </x:c>
      <x:c r="R1116" s="235" t="str">
        <x:v>INVOICE_OR_PLAN</x:v>
      </x:c>
      <x:c r="S1116" s="238" t="n">
        <x:f>'Model_Calc'!AG190</x:f>
        <x:v>14174.030179322695</x:v>
      </x:c>
      <x:c r="T1116" s="238" t="n">
        <x:f>ROUND(S1116-O1116,4)</x:f>
        <x:v>0</x:v>
      </x:c>
    </x:row>
    <x:row r="1117">
      <x:c r="A1117" s="187" t="str">
        <x:v>ACTUAL_2026_08_CLOSE_V1</x:v>
      </x:c>
      <x:c r="B1117" s="187" t="str">
        <x:v>ACTUAL</x:v>
      </x:c>
      <x:c r="C1117" s="187"/>
      <x:c r="D1117" s="217" t="n">
        <x:v>46204</x:v>
      </x:c>
      <x:c r="E1117" s="187" t="str">
        <x:v>R_GB_DE_A_ROAD</x:v>
      </x:c>
      <x:c r="F1117" s="187" t="str">
        <x:v>GB</x:v>
      </x:c>
      <x:c r="G1117" s="187" t="str">
        <x:v>DE_FC</x:v>
      </x:c>
      <x:c r="H1117" s="187" t="str">
        <x:v>CARRIER_A</x:v>
      </x:c>
      <x:c r="I1117" s="187" t="str">
        <x:v>ROAD</x:v>
      </x:c>
      <x:c r="J1117" s="187" t="str">
        <x:v>WAREHOUSE_OPERATION</x:v>
      </x:c>
      <x:c r="K1117" s="187" t="str">
        <x:v>EUR</x:v>
      </x:c>
      <x:c r="L1117" s="232" t="n">
        <x:v>3889.13031936</x:v>
      </x:c>
      <x:c r="M1117" s="232" t="n">
        <x:v>7.91</x:v>
      </x:c>
      <x:c r="N1117" s="187" t="str">
        <x:v>30763.02082613760000</x:v>
      </x:c>
      <x:c r="O1117" s="235" t="n">
        <x:v>30763.0208</x:v>
      </x:c>
      <x:c r="P1117" s="235" t="n">
        <x:v>30763.0208</x:v>
      </x:c>
      <x:c r="Q1117" s="235" t="n">
        <x:v>0</x:v>
      </x:c>
      <x:c r="R1117" s="235" t="str">
        <x:v>INVOICE_OR_PLAN</x:v>
      </x:c>
      <x:c r="S1117" s="238" t="n">
        <x:f>'Model_Calc'!AL190</x:f>
        <x:v>30763.020826137596</x:v>
      </x:c>
      <x:c r="T1117" s="238" t="n">
        <x:f>ROUND(S1117-O1117,4)</x:f>
        <x:v>0</x:v>
      </x:c>
    </x:row>
    <x:row r="1118">
      <x:c r="A1118" s="187" t="str">
        <x:v>ACTUAL_2026_08_CLOSE_V1</x:v>
      </x:c>
      <x:c r="B1118" s="187" t="str">
        <x:v>ACTUAL</x:v>
      </x:c>
      <x:c r="C1118" s="187"/>
      <x:c r="D1118" s="217" t="n">
        <x:v>46204</x:v>
      </x:c>
      <x:c r="E1118" s="187" t="str">
        <x:v>R_GB_DE_A_ROAD</x:v>
      </x:c>
      <x:c r="F1118" s="187" t="str">
        <x:v>GB</x:v>
      </x:c>
      <x:c r="G1118" s="187" t="str">
        <x:v>DE_FC</x:v>
      </x:c>
      <x:c r="H1118" s="187" t="str">
        <x:v>CARRIER_A</x:v>
      </x:c>
      <x:c r="I1118" s="187" t="str">
        <x:v>ROAD</x:v>
      </x:c>
      <x:c r="J1118" s="187" t="str">
        <x:v>PACKAGING</x:v>
      </x:c>
      <x:c r="K1118" s="187" t="str">
        <x:v>EUR</x:v>
      </x:c>
      <x:c r="L1118" s="232" t="n">
        <x:v>1559.6810030850047</x:v>
      </x:c>
      <x:c r="M1118" s="232" t="n">
        <x:v>7.91</x:v>
      </x:c>
      <x:c r="N1118" s="187" t="str">
        <x:v>12337.0767344023879680000</x:v>
      </x:c>
      <x:c r="O1118" s="235" t="n">
        <x:v>12337.0767</x:v>
      </x:c>
      <x:c r="P1118" s="235" t="n">
        <x:v>12337.0767</x:v>
      </x:c>
      <x:c r="Q1118" s="235" t="n">
        <x:v>0</x:v>
      </x:c>
      <x:c r="R1118" s="235" t="str">
        <x:v>INVOICE_OR_PLAN</x:v>
      </x:c>
      <x:c r="S1118" s="238" t="n">
        <x:f>'Model_Calc'!AQ190</x:f>
        <x:v>12337.076734402384</x:v>
      </x:c>
      <x:c r="T1118" s="238" t="n">
        <x:f>ROUND(S1118-O1118,4)</x:f>
        <x:v>0</x:v>
      </x:c>
    </x:row>
    <x:row r="1119">
      <x:c r="A1119" s="187" t="str">
        <x:v>ACTUAL_2026_08_CLOSE_V1</x:v>
      </x:c>
      <x:c r="B1119" s="187" t="str">
        <x:v>ACTUAL</x:v>
      </x:c>
      <x:c r="C1119" s="187"/>
      <x:c r="D1119" s="217" t="n">
        <x:v>46204</x:v>
      </x:c>
      <x:c r="E1119" s="187" t="str">
        <x:v>R_GB_DE_A_ROAD</x:v>
      </x:c>
      <x:c r="F1119" s="187" t="str">
        <x:v>GB</x:v>
      </x:c>
      <x:c r="G1119" s="187" t="str">
        <x:v>DE_FC</x:v>
      </x:c>
      <x:c r="H1119" s="187" t="str">
        <x:v>CARRIER_A</x:v>
      </x:c>
      <x:c r="I1119" s="187" t="str">
        <x:v>ROAD</x:v>
      </x:c>
      <x:c r="J1119" s="187" t="str">
        <x:v>RETURN_LOGISTICS</x:v>
      </x:c>
      <x:c r="K1119" s="187" t="str">
        <x:v>GBP</x:v>
      </x:c>
      <x:c r="L1119" s="232" t="n">
        <x:v>1265.615290368</x:v>
      </x:c>
      <x:c r="M1119" s="232" t="n">
        <x:v>9.18</x:v>
      </x:c>
      <x:c r="N1119" s="187" t="str">
        <x:v>11618.34836557824000000</x:v>
      </x:c>
      <x:c r="O1119" s="235" t="n">
        <x:v>11618.3484</x:v>
      </x:c>
      <x:c r="P1119" s="235" t="n">
        <x:v>11618.3484</x:v>
      </x:c>
      <x:c r="Q1119" s="235" t="n">
        <x:v>0</x:v>
      </x:c>
      <x:c r="R1119" s="235" t="str">
        <x:v>ACCRUAL</x:v>
      </x:c>
      <x:c r="S1119" s="238" t="n">
        <x:f>'Model_Calc'!AV190</x:f>
        <x:v>11618.348365578238</x:v>
      </x:c>
      <x:c r="T1119" s="238" t="n">
        <x:f>ROUND(S1119-O1119,4)</x:f>
        <x:v>0</x:v>
      </x:c>
    </x:row>
    <x:row r="1120">
      <x:c r="A1120" s="187" t="str">
        <x:v>ACTUAL_2026_08_CLOSE_V1</x:v>
      </x:c>
      <x:c r="B1120" s="187" t="str">
        <x:v>ACTUAL</x:v>
      </x:c>
      <x:c r="C1120" s="187"/>
      <x:c r="D1120" s="217" t="n">
        <x:v>46204</x:v>
      </x:c>
      <x:c r="E1120" s="187" t="str">
        <x:v>R_GB_DE_A_ROAD</x:v>
      </x:c>
      <x:c r="F1120" s="187" t="str">
        <x:v>GB</x:v>
      </x:c>
      <x:c r="G1120" s="187" t="str">
        <x:v>DE_FC</x:v>
      </x:c>
      <x:c r="H1120" s="187" t="str">
        <x:v>CARRIER_A</x:v>
      </x:c>
      <x:c r="I1120" s="187" t="str">
        <x:v>ROAD</x:v>
      </x:c>
      <x:c r="J1120" s="187" t="str">
        <x:v>BILLABLE_EXCEPTION</x:v>
      </x:c>
      <x:c r="K1120" s="187" t="str">
        <x:v>GBP</x:v>
      </x:c>
      <x:c r="L1120" s="232" t="n">
        <x:v>191.66251412196016</x:v>
      </x:c>
      <x:c r="M1120" s="232" t="n">
        <x:v>9.18</x:v>
      </x:c>
      <x:c r="N1120" s="187" t="str">
        <x:v>1759.461879639594280550400000</x:v>
      </x:c>
      <x:c r="O1120" s="235" t="n">
        <x:v>1759.4619</x:v>
      </x:c>
      <x:c r="P1120" s="235" t="n">
        <x:v>1759.4619</x:v>
      </x:c>
      <x:c r="Q1120" s="235" t="n">
        <x:v>0</x:v>
      </x:c>
      <x:c r="R1120" s="235" t="str">
        <x:v>ACCRUAL</x:v>
      </x:c>
      <x:c r="S1120" s="238" t="n">
        <x:f>'Model_Calc'!BA190</x:f>
        <x:v>1759.4618796395937</x:v>
      </x:c>
      <x:c r="T1120" s="238" t="n">
        <x:f>ROUND(S1120-O1120,4)</x:f>
        <x:v>0</x:v>
      </x:c>
    </x:row>
    <x:row r="1121">
      <x:c r="A1121" s="187" t="str">
        <x:v>ACTUAL_2026_08_CLOSE_V1</x:v>
      </x:c>
      <x:c r="B1121" s="187" t="str">
        <x:v>ACTUAL</x:v>
      </x:c>
      <x:c r="C1121" s="187"/>
      <x:c r="D1121" s="217" t="n">
        <x:v>46204</x:v>
      </x:c>
      <x:c r="E1121" s="187" t="str">
        <x:v>R_GB_DE_B_ROAD</x:v>
      </x:c>
      <x:c r="F1121" s="187" t="str">
        <x:v>GB</x:v>
      </x:c>
      <x:c r="G1121" s="187" t="str">
        <x:v>DE_FC</x:v>
      </x:c>
      <x:c r="H1121" s="187" t="str">
        <x:v>CARRIER_B</x:v>
      </x:c>
      <x:c r="I1121" s="187" t="str">
        <x:v>ROAD</x:v>
      </x:c>
      <x:c r="J1121" s="187" t="str">
        <x:v>BASE_FREIGHT</x:v>
      </x:c>
      <x:c r="K1121" s="187" t="str">
        <x:v>GBP</x:v>
      </x:c>
      <x:c r="L1121" s="232" t="n">
        <x:v>8001.085366327173</x:v>
      </x:c>
      <x:c r="M1121" s="232" t="n">
        <x:v>9.18</x:v>
      </x:c>
      <x:c r="N1121" s="187" t="str">
        <x:v>73449.963662883449241600000000</x:v>
      </x:c>
      <x:c r="O1121" s="235" t="n">
        <x:v>73449.9637</x:v>
      </x:c>
      <x:c r="P1121" s="235" t="n">
        <x:v>73449.9637</x:v>
      </x:c>
      <x:c r="Q1121" s="235" t="n">
        <x:v>0</x:v>
      </x:c>
      <x:c r="R1121" s="235" t="str">
        <x:v>INVOICE_OR_PLAN</x:v>
      </x:c>
      <x:c r="S1121" s="238" t="n">
        <x:f>'Model_Calc'!AF191</x:f>
        <x:v>73449.96366288344</x:v>
      </x:c>
      <x:c r="T1121" s="238" t="n">
        <x:f>ROUND(S1121-O1121,4)</x:f>
        <x:v>0</x:v>
      </x:c>
    </x:row>
    <x:row r="1122">
      <x:c r="A1122" s="187" t="str">
        <x:v>ACTUAL_2026_08_CLOSE_V1</x:v>
      </x:c>
      <x:c r="B1122" s="187" t="str">
        <x:v>ACTUAL</x:v>
      </x:c>
      <x:c r="C1122" s="187"/>
      <x:c r="D1122" s="217" t="n">
        <x:v>46204</x:v>
      </x:c>
      <x:c r="E1122" s="187" t="str">
        <x:v>R_GB_DE_B_ROAD</x:v>
      </x:c>
      <x:c r="F1122" s="187" t="str">
        <x:v>GB</x:v>
      </x:c>
      <x:c r="G1122" s="187" t="str">
        <x:v>DE_FC</x:v>
      </x:c>
      <x:c r="H1122" s="187" t="str">
        <x:v>CARRIER_B</x:v>
      </x:c>
      <x:c r="I1122" s="187" t="str">
        <x:v>ROAD</x:v>
      </x:c>
      <x:c r="J1122" s="187" t="str">
        <x:v>FUEL_SURCHARGE</x:v>
      </x:c>
      <x:c r="K1122" s="187" t="str">
        <x:v>GBP</x:v>
      </x:c>
      <x:c r="L1122" s="232" t="n">
        <x:v>561.7783342314824</x:v>
      </x:c>
      <x:c r="M1122" s="232" t="n">
        <x:v>9.18</x:v>
      </x:c>
      <x:c r="N1122" s="187" t="str">
        <x:v>5157.125108245008138240000000</x:v>
      </x:c>
      <x:c r="O1122" s="235" t="n">
        <x:v>5157.1251</x:v>
      </x:c>
      <x:c r="P1122" s="235" t="n">
        <x:v>5157.1251</x:v>
      </x:c>
      <x:c r="Q1122" s="235" t="n">
        <x:v>0</x:v>
      </x:c>
      <x:c r="R1122" s="235" t="str">
        <x:v>INVOICE_OR_PLAN</x:v>
      </x:c>
      <x:c r="S1122" s="238" t="n">
        <x:f>'Model_Calc'!AG191</x:f>
        <x:v>5157.125108245007</x:v>
      </x:c>
      <x:c r="T1122" s="238" t="n">
        <x:f>ROUND(S1122-O1122,4)</x:f>
        <x:v>0</x:v>
      </x:c>
    </x:row>
    <x:row r="1123">
      <x:c r="A1123" s="187" t="str">
        <x:v>ACTUAL_2026_08_CLOSE_V1</x:v>
      </x:c>
      <x:c r="B1123" s="187" t="str">
        <x:v>ACTUAL</x:v>
      </x:c>
      <x:c r="C1123" s="187"/>
      <x:c r="D1123" s="217" t="n">
        <x:v>46204</x:v>
      </x:c>
      <x:c r="E1123" s="187" t="str">
        <x:v>R_GB_DE_B_ROAD</x:v>
      </x:c>
      <x:c r="F1123" s="187" t="str">
        <x:v>GB</x:v>
      </x:c>
      <x:c r="G1123" s="187" t="str">
        <x:v>DE_FC</x:v>
      </x:c>
      <x:c r="H1123" s="187" t="str">
        <x:v>CARRIER_B</x:v>
      </x:c>
      <x:c r="I1123" s="187" t="str">
        <x:v>ROAD</x:v>
      </x:c>
      <x:c r="J1123" s="187" t="str">
        <x:v>WAREHOUSE_OPERATION</x:v>
      </x:c>
      <x:c r="K1123" s="187" t="str">
        <x:v>EUR</x:v>
      </x:c>
      <x:c r="L1123" s="232" t="n">
        <x:v>1773.98926848</x:v>
      </x:c>
      <x:c r="M1123" s="232" t="n">
        <x:v>7.91</x:v>
      </x:c>
      <x:c r="N1123" s="187" t="str">
        <x:v>14032.25511367680000</x:v>
      </x:c>
      <x:c r="O1123" s="235" t="n">
        <x:v>14032.2551</x:v>
      </x:c>
      <x:c r="P1123" s="235" t="n">
        <x:v>14032.2551</x:v>
      </x:c>
      <x:c r="Q1123" s="235" t="n">
        <x:v>0</x:v>
      </x:c>
      <x:c r="R1123" s="235" t="str">
        <x:v>INVOICE_OR_PLAN</x:v>
      </x:c>
      <x:c r="S1123" s="238" t="n">
        <x:f>'Model_Calc'!AL191</x:f>
        <x:v>14032.2551136768</x:v>
      </x:c>
      <x:c r="T1123" s="238" t="n">
        <x:f>ROUND(S1123-O1123,4)</x:f>
        <x:v>0</x:v>
      </x:c>
    </x:row>
    <x:row r="1124">
      <x:c r="A1124" s="187" t="str">
        <x:v>ACTUAL_2026_08_CLOSE_V1</x:v>
      </x:c>
      <x:c r="B1124" s="187" t="str">
        <x:v>ACTUAL</x:v>
      </x:c>
      <x:c r="C1124" s="187"/>
      <x:c r="D1124" s="217" t="n">
        <x:v>46204</x:v>
      </x:c>
      <x:c r="E1124" s="187" t="str">
        <x:v>R_GB_DE_B_ROAD</x:v>
      </x:c>
      <x:c r="F1124" s="187" t="str">
        <x:v>GB</x:v>
      </x:c>
      <x:c r="G1124" s="187" t="str">
        <x:v>DE_FC</x:v>
      </x:c>
      <x:c r="H1124" s="187" t="str">
        <x:v>CARRIER_B</x:v>
      </x:c>
      <x:c r="I1124" s="187" t="str">
        <x:v>ROAD</x:v>
      </x:c>
      <x:c r="J1124" s="187" t="str">
        <x:v>PACKAGING</x:v>
      </x:c>
      <x:c r="K1124" s="187" t="str">
        <x:v>EUR</x:v>
      </x:c>
      <x:c r="L1124" s="232" t="n">
        <x:v>711.4334400036864</x:v>
      </x:c>
      <x:c r="M1124" s="232" t="n">
        <x:v>7.91</x:v>
      </x:c>
      <x:c r="N1124" s="187" t="str">
        <x:v>5627.4385104291594240000</x:v>
      </x:c>
      <x:c r="O1124" s="235" t="n">
        <x:v>5627.4385</x:v>
      </x:c>
      <x:c r="P1124" s="235" t="n">
        <x:v>5627.4385</x:v>
      </x:c>
      <x:c r="Q1124" s="235" t="n">
        <x:v>0</x:v>
      </x:c>
      <x:c r="R1124" s="235" t="str">
        <x:v>INVOICE_OR_PLAN</x:v>
      </x:c>
      <x:c r="S1124" s="238" t="n">
        <x:f>'Model_Calc'!AQ191</x:f>
        <x:v>5627.438510429159</x:v>
      </x:c>
      <x:c r="T1124" s="238" t="n">
        <x:f>ROUND(S1124-O1124,4)</x:f>
        <x:v>0</x:v>
      </x:c>
    </x:row>
    <x:row r="1125">
      <x:c r="A1125" s="187" t="str">
        <x:v>ACTUAL_2026_08_CLOSE_V1</x:v>
      </x:c>
      <x:c r="B1125" s="187" t="str">
        <x:v>ACTUAL</x:v>
      </x:c>
      <x:c r="C1125" s="187"/>
      <x:c r="D1125" s="217" t="n">
        <x:v>46204</x:v>
      </x:c>
      <x:c r="E1125" s="187" t="str">
        <x:v>R_GB_DE_B_ROAD</x:v>
      </x:c>
      <x:c r="F1125" s="187" t="str">
        <x:v>GB</x:v>
      </x:c>
      <x:c r="G1125" s="187" t="str">
        <x:v>DE_FC</x:v>
      </x:c>
      <x:c r="H1125" s="187" t="str">
        <x:v>CARRIER_B</x:v>
      </x:c>
      <x:c r="I1125" s="187" t="str">
        <x:v>ROAD</x:v>
      </x:c>
      <x:c r="J1125" s="187" t="str">
        <x:v>RETURN_LOGISTICS</x:v>
      </x:c>
      <x:c r="K1125" s="187" t="str">
        <x:v>GBP</x:v>
      </x:c>
      <x:c r="L1125" s="232" t="n">
        <x:v>577.298202624</x:v>
      </x:c>
      <x:c r="M1125" s="232" t="n">
        <x:v>9.18</x:v>
      </x:c>
      <x:c r="N1125" s="187" t="str">
        <x:v>5299.59750008832000000</x:v>
      </x:c>
      <x:c r="O1125" s="235" t="n">
        <x:v>5299.5975</x:v>
      </x:c>
      <x:c r="P1125" s="235" t="n">
        <x:v>5299.5975</x:v>
      </x:c>
      <x:c r="Q1125" s="235" t="n">
        <x:v>0</x:v>
      </x:c>
      <x:c r="R1125" s="235" t="str">
        <x:v>ACCRUAL</x:v>
      </x:c>
      <x:c r="S1125" s="238" t="n">
        <x:f>'Model_Calc'!AV191</x:f>
        <x:v>5299.59750008832</x:v>
      </x:c>
      <x:c r="T1125" s="238" t="n">
        <x:f>ROUND(S1125-O1125,4)</x:f>
        <x:v>0</x:v>
      </x:c>
    </x:row>
    <x:row r="1126">
      <x:c r="A1126" s="187" t="str">
        <x:v>ACTUAL_2026_08_CLOSE_V1</x:v>
      </x:c>
      <x:c r="B1126" s="187" t="str">
        <x:v>ACTUAL</x:v>
      </x:c>
      <x:c r="C1126" s="187"/>
      <x:c r="D1126" s="217" t="n">
        <x:v>46204</x:v>
      </x:c>
      <x:c r="E1126" s="187" t="str">
        <x:v>R_GB_DE_B_ROAD</x:v>
      </x:c>
      <x:c r="F1126" s="187" t="str">
        <x:v>GB</x:v>
      </x:c>
      <x:c r="G1126" s="187" t="str">
        <x:v>DE_FC</x:v>
      </x:c>
      <x:c r="H1126" s="187" t="str">
        <x:v>CARRIER_B</x:v>
      </x:c>
      <x:c r="I1126" s="187" t="str">
        <x:v>ROAD</x:v>
      </x:c>
      <x:c r="J1126" s="187" t="str">
        <x:v>BILLABLE_EXCEPTION</x:v>
      </x:c>
      <x:c r="K1126" s="187" t="str">
        <x:v>GBP</x:v>
      </x:c>
      <x:c r="L1126" s="232" t="n">
        <x:v>67.55568679577863</x:v>
      </x:c>
      <x:c r="M1126" s="232" t="n">
        <x:v>9.18</x:v>
      </x:c>
      <x:c r="N1126" s="187" t="str">
        <x:v>620.161204785247744819200000</x:v>
      </x:c>
      <x:c r="O1126" s="235" t="n">
        <x:v>620.1612</x:v>
      </x:c>
      <x:c r="P1126" s="235" t="n">
        <x:v>620.1612</x:v>
      </x:c>
      <x:c r="Q1126" s="235" t="n">
        <x:v>0</x:v>
      </x:c>
      <x:c r="R1126" s="235" t="str">
        <x:v>ACCRUAL</x:v>
      </x:c>
      <x:c r="S1126" s="238" t="n">
        <x:f>'Model_Calc'!BA191</x:f>
        <x:v>620.1612047852477</x:v>
      </x:c>
      <x:c r="T1126" s="238" t="n">
        <x:f>ROUND(S1126-O1126,4)</x:f>
        <x:v>0</x:v>
      </x:c>
    </x:row>
    <x:row r="1127">
      <x:c r="A1127" s="187" t="str">
        <x:v>ACTUAL_2026_08_CLOSE_V1</x:v>
      </x:c>
      <x:c r="B1127" s="187" t="str">
        <x:v>ACTUAL</x:v>
      </x:c>
      <x:c r="C1127" s="187"/>
      <x:c r="D1127" s="217" t="n">
        <x:v>46204</x:v>
      </x:c>
      <x:c r="E1127" s="187" t="str">
        <x:v>R_GB_DE_B_AIR</x:v>
      </x:c>
      <x:c r="F1127" s="187" t="str">
        <x:v>GB</x:v>
      </x:c>
      <x:c r="G1127" s="187" t="str">
        <x:v>DE_FC</x:v>
      </x:c>
      <x:c r="H1127" s="187" t="str">
        <x:v>CARRIER_B</x:v>
      </x:c>
      <x:c r="I1127" s="187" t="str">
        <x:v>AIR</x:v>
      </x:c>
      <x:c r="J1127" s="187" t="str">
        <x:v>BASE_FREIGHT</x:v>
      </x:c>
      <x:c r="K1127" s="187" t="str">
        <x:v>GBP</x:v>
      </x:c>
      <x:c r="L1127" s="232" t="n">
        <x:v>4197.492476796256</x:v>
      </x:c>
      <x:c r="M1127" s="232" t="n">
        <x:v>9.18</x:v>
      </x:c>
      <x:c r="N1127" s="187" t="str">
        <x:v>38532.980936989624909824000000</x:v>
      </x:c>
      <x:c r="O1127" s="235" t="n">
        <x:v>38532.9809</x:v>
      </x:c>
      <x:c r="P1127" s="235" t="n">
        <x:v>38532.9809</x:v>
      </x:c>
      <x:c r="Q1127" s="235" t="n">
        <x:v>0</x:v>
      </x:c>
      <x:c r="R1127" s="235" t="str">
        <x:v>INVOICE_OR_PLAN</x:v>
      </x:c>
      <x:c r="S1127" s="238" t="n">
        <x:f>'Model_Calc'!AF192</x:f>
        <x:v>38532.980936989625</x:v>
      </x:c>
      <x:c r="T1127" s="238" t="n">
        <x:f>ROUND(S1127-O1127,4)</x:f>
        <x:v>0</x:v>
      </x:c>
    </x:row>
    <x:row r="1128">
      <x:c r="A1128" s="187" t="str">
        <x:v>ACTUAL_2026_08_CLOSE_V1</x:v>
      </x:c>
      <x:c r="B1128" s="187" t="str">
        <x:v>ACTUAL</x:v>
      </x:c>
      <x:c r="C1128" s="187"/>
      <x:c r="D1128" s="217" t="n">
        <x:v>46204</x:v>
      </x:c>
      <x:c r="E1128" s="187" t="str">
        <x:v>R_GB_DE_B_AIR</x:v>
      </x:c>
      <x:c r="F1128" s="187" t="str">
        <x:v>GB</x:v>
      </x:c>
      <x:c r="G1128" s="187" t="str">
        <x:v>DE_FC</x:v>
      </x:c>
      <x:c r="H1128" s="187" t="str">
        <x:v>CARRIER_B</x:v>
      </x:c>
      <x:c r="I1128" s="187" t="str">
        <x:v>AIR</x:v>
      </x:c>
      <x:c r="J1128" s="187" t="str">
        <x:v>FUEL_SURCHARGE</x:v>
      </x:c>
      <x:c r="K1128" s="187" t="str">
        <x:v>GBP</x:v>
      </x:c>
      <x:c r="L1128" s="232" t="n">
        <x:v>489.4695977192113</x:v>
      </x:c>
      <x:c r="M1128" s="232" t="n">
        <x:v>9.18</x:v>
      </x:c>
      <x:c r="N1128" s="187" t="str">
        <x:v>4493.330907062360160734576640000000</x:v>
      </x:c>
      <x:c r="O1128" s="235" t="n">
        <x:v>4493.3309</x:v>
      </x:c>
      <x:c r="P1128" s="235" t="n">
        <x:v>4493.3309</x:v>
      </x:c>
      <x:c r="Q1128" s="235" t="n">
        <x:v>0</x:v>
      </x:c>
      <x:c r="R1128" s="235" t="str">
        <x:v>INVOICE_OR_PLAN</x:v>
      </x:c>
      <x:c r="S1128" s="238" t="n">
        <x:f>'Model_Calc'!AG192</x:f>
        <x:v>4493.33090706236</x:v>
      </x:c>
      <x:c r="T1128" s="238" t="n">
        <x:f>ROUND(S1128-O1128,4)</x:f>
        <x:v>0</x:v>
      </x:c>
    </x:row>
    <x:row r="1129">
      <x:c r="A1129" s="187" t="str">
        <x:v>ACTUAL_2026_08_CLOSE_V1</x:v>
      </x:c>
      <x:c r="B1129" s="187" t="str">
        <x:v>ACTUAL</x:v>
      </x:c>
      <x:c r="C1129" s="187"/>
      <x:c r="D1129" s="217" t="n">
        <x:v>46204</x:v>
      </x:c>
      <x:c r="E1129" s="187" t="str">
        <x:v>R_GB_DE_B_AIR</x:v>
      </x:c>
      <x:c r="F1129" s="187" t="str">
        <x:v>GB</x:v>
      </x:c>
      <x:c r="G1129" s="187" t="str">
        <x:v>DE_FC</x:v>
      </x:c>
      <x:c r="H1129" s="187" t="str">
        <x:v>CARRIER_B</x:v>
      </x:c>
      <x:c r="I1129" s="187" t="str">
        <x:v>AIR</x:v>
      </x:c>
      <x:c r="J1129" s="187" t="str">
        <x:v>WAREHOUSE_OPERATION</x:v>
      </x:c>
      <x:c r="K1129" s="187" t="str">
        <x:v>EUR</x:v>
      </x:c>
      <x:c r="L1129" s="232" t="n">
        <x:v>750.53392128</x:v>
      </x:c>
      <x:c r="M1129" s="232" t="n">
        <x:v>7.91</x:v>
      </x:c>
      <x:c r="N1129" s="187" t="str">
        <x:v>5936.72331732480000</x:v>
      </x:c>
      <x:c r="O1129" s="235" t="n">
        <x:v>5936.7233</x:v>
      </x:c>
      <x:c r="P1129" s="235" t="n">
        <x:v>5936.7233</x:v>
      </x:c>
      <x:c r="Q1129" s="235" t="n">
        <x:v>0</x:v>
      </x:c>
      <x:c r="R1129" s="235" t="str">
        <x:v>INVOICE_OR_PLAN</x:v>
      </x:c>
      <x:c r="S1129" s="238" t="n">
        <x:f>'Model_Calc'!AL192</x:f>
        <x:v>5936.7233173248005</x:v>
      </x:c>
      <x:c r="T1129" s="238" t="n">
        <x:f>ROUND(S1129-O1129,4)</x:f>
        <x:v>0</x:v>
      </x:c>
    </x:row>
    <x:row r="1130">
      <x:c r="A1130" s="187" t="str">
        <x:v>ACTUAL_2026_08_CLOSE_V1</x:v>
      </x:c>
      <x:c r="B1130" s="187" t="str">
        <x:v>ACTUAL</x:v>
      </x:c>
      <x:c r="C1130" s="187"/>
      <x:c r="D1130" s="217" t="n">
        <x:v>46204</x:v>
      </x:c>
      <x:c r="E1130" s="187" t="str">
        <x:v>R_GB_DE_B_AIR</x:v>
      </x:c>
      <x:c r="F1130" s="187" t="str">
        <x:v>GB</x:v>
      </x:c>
      <x:c r="G1130" s="187" t="str">
        <x:v>DE_FC</x:v>
      </x:c>
      <x:c r="H1130" s="187" t="str">
        <x:v>CARRIER_B</x:v>
      </x:c>
      <x:c r="I1130" s="187" t="str">
        <x:v>AIR</x:v>
      </x:c>
      <x:c r="J1130" s="187" t="str">
        <x:v>PACKAGING</x:v>
      </x:c>
      <x:c r="K1130" s="187" t="str">
        <x:v>EUR</x:v>
      </x:c>
      <x:c r="L1130" s="232" t="n">
        <x:v>300.9910707707904</x:v>
      </x:c>
      <x:c r="M1130" s="232" t="n">
        <x:v>7.91</x:v>
      </x:c>
      <x:c r="N1130" s="187" t="str">
        <x:v>2380.8393697969520640000</x:v>
      </x:c>
      <x:c r="O1130" s="235" t="n">
        <x:v>2380.8394</x:v>
      </x:c>
      <x:c r="P1130" s="235" t="n">
        <x:v>2380.8394</x:v>
      </x:c>
      <x:c r="Q1130" s="235" t="n">
        <x:v>0</x:v>
      </x:c>
      <x:c r="R1130" s="235" t="str">
        <x:v>INVOICE_OR_PLAN</x:v>
      </x:c>
      <x:c r="S1130" s="238" t="n">
        <x:f>'Model_Calc'!AQ192</x:f>
        <x:v>2380.839369796952</x:v>
      </x:c>
      <x:c r="T1130" s="238" t="n">
        <x:f>ROUND(S1130-O1130,4)</x:f>
        <x:v>0</x:v>
      </x:c>
    </x:row>
    <x:row r="1131">
      <x:c r="A1131" s="187" t="str">
        <x:v>ACTUAL_2026_08_CLOSE_V1</x:v>
      </x:c>
      <x:c r="B1131" s="187" t="str">
        <x:v>ACTUAL</x:v>
      </x:c>
      <x:c r="C1131" s="187"/>
      <x:c r="D1131" s="217" t="n">
        <x:v>46204</x:v>
      </x:c>
      <x:c r="E1131" s="187" t="str">
        <x:v>R_GB_DE_B_AIR</x:v>
      </x:c>
      <x:c r="F1131" s="187" t="str">
        <x:v>GB</x:v>
      </x:c>
      <x:c r="G1131" s="187" t="str">
        <x:v>DE_FC</x:v>
      </x:c>
      <x:c r="H1131" s="187" t="str">
        <x:v>CARRIER_B</x:v>
      </x:c>
      <x:c r="I1131" s="187" t="str">
        <x:v>AIR</x:v>
      </x:c>
      <x:c r="J1131" s="187" t="str">
        <x:v>RETURN_LOGISTICS</x:v>
      </x:c>
      <x:c r="K1131" s="187" t="str">
        <x:v>GBP</x:v>
      </x:c>
      <x:c r="L1131" s="232" t="n">
        <x:v>244.241547264</x:v>
      </x:c>
      <x:c r="M1131" s="232" t="n">
        <x:v>9.18</x:v>
      </x:c>
      <x:c r="N1131" s="187" t="str">
        <x:v>2242.13740388352000000</x:v>
      </x:c>
      <x:c r="O1131" s="235" t="n">
        <x:v>2242.1374</x:v>
      </x:c>
      <x:c r="P1131" s="235" t="n">
        <x:v>2242.1374</x:v>
      </x:c>
      <x:c r="Q1131" s="235" t="n">
        <x:v>0</x:v>
      </x:c>
      <x:c r="R1131" s="235" t="str">
        <x:v>ACCRUAL</x:v>
      </x:c>
      <x:c r="S1131" s="238" t="n">
        <x:f>'Model_Calc'!AV192</x:f>
        <x:v>2242.13740388352</x:v>
      </x:c>
      <x:c r="T1131" s="238" t="n">
        <x:f>ROUND(S1131-O1131,4)</x:f>
        <x:v>0</x:v>
      </x:c>
    </x:row>
    <x:row r="1132">
      <x:c r="A1132" s="187" t="str">
        <x:v>ACTUAL_2026_08_CLOSE_V1</x:v>
      </x:c>
      <x:c r="B1132" s="187" t="str">
        <x:v>ACTUAL</x:v>
      </x:c>
      <x:c r="C1132" s="187"/>
      <x:c r="D1132" s="217" t="n">
        <x:v>46204</x:v>
      </x:c>
      <x:c r="E1132" s="187" t="str">
        <x:v>R_GB_DE_B_AIR</x:v>
      </x:c>
      <x:c r="F1132" s="187" t="str">
        <x:v>GB</x:v>
      </x:c>
      <x:c r="G1132" s="187" t="str">
        <x:v>DE_FC</x:v>
      </x:c>
      <x:c r="H1132" s="187" t="str">
        <x:v>CARRIER_B</x:v>
      </x:c>
      <x:c r="I1132" s="187" t="str">
        <x:v>AIR</x:v>
      </x:c>
      <x:c r="J1132" s="187" t="str">
        <x:v>BILLABLE_EXCEPTION</x:v>
      </x:c>
      <x:c r="K1132" s="187" t="str">
        <x:v>GBP</x:v>
      </x:c>
      <x:c r="L1132" s="232" t="n">
        <x:v>26.607610656137872</x:v>
      </x:c>
      <x:c r="M1132" s="232" t="n">
        <x:v>9.18</x:v>
      </x:c>
      <x:c r="N1132" s="187" t="str">
        <x:v>244.257865823345659084800000</x:v>
      </x:c>
      <x:c r="O1132" s="235" t="n">
        <x:v>244.2579</x:v>
      </x:c>
      <x:c r="P1132" s="235" t="n">
        <x:v>244.2579</x:v>
      </x:c>
      <x:c r="Q1132" s="235" t="n">
        <x:v>0</x:v>
      </x:c>
      <x:c r="R1132" s="235" t="str">
        <x:v>ACCRUAL</x:v>
      </x:c>
      <x:c r="S1132" s="238" t="n">
        <x:f>'Model_Calc'!BA192</x:f>
        <x:v>244.25786582334564</x:v>
      </x:c>
      <x:c r="T1132" s="238" t="n">
        <x:f>ROUND(S1132-O1132,4)</x:f>
        <x:v>0</x:v>
      </x:c>
    </x:row>
    <x:row r="1133">
      <x:c r="A1133" s="187" t="str">
        <x:v>ACTUAL_2026_08_CLOSE_V1</x:v>
      </x:c>
      <x:c r="B1133" s="187" t="str">
        <x:v>ACTUAL</x:v>
      </x:c>
      <x:c r="C1133" s="187"/>
      <x:c r="D1133" s="217" t="n">
        <x:v>46204</x:v>
      </x:c>
      <x:c r="E1133" s="187" t="str">
        <x:v>R_GB_DE_C_AIR</x:v>
      </x:c>
      <x:c r="F1133" s="187" t="str">
        <x:v>GB</x:v>
      </x:c>
      <x:c r="G1133" s="187" t="str">
        <x:v>DE_FC</x:v>
      </x:c>
      <x:c r="H1133" s="187" t="str">
        <x:v>CARRIER_C</x:v>
      </x:c>
      <x:c r="I1133" s="187" t="str">
        <x:v>AIR</x:v>
      </x:c>
      <x:c r="J1133" s="187" t="str">
        <x:v>BASE_FREIGHT</x:v>
      </x:c>
      <x:c r="K1133" s="187" t="str">
        <x:v>GBP</x:v>
      </x:c>
      <x:c r="L1133" s="232" t="n">
        <x:v>2710.6786756623974</x:v>
      </x:c>
      <x:c r="M1133" s="232" t="n">
        <x:v>9.18</x:v>
      </x:c>
      <x:c r="N1133" s="187" t="str">
        <x:v>24884.030242580808499200000000</x:v>
      </x:c>
      <x:c r="O1133" s="235" t="n">
        <x:v>24884.0302</x:v>
      </x:c>
      <x:c r="P1133" s="235" t="n">
        <x:v>24884.0302</x:v>
      </x:c>
      <x:c r="Q1133" s="235" t="n">
        <x:v>0</x:v>
      </x:c>
      <x:c r="R1133" s="235" t="str">
        <x:v>INVOICE_OR_PLAN</x:v>
      </x:c>
      <x:c r="S1133" s="238" t="n">
        <x:f>'Model_Calc'!AF193</x:f>
        <x:v>24884.030242580808</x:v>
      </x:c>
      <x:c r="T1133" s="238" t="n">
        <x:f>ROUND(S1133-O1133,4)</x:f>
        <x:v>0</x:v>
      </x:c>
    </x:row>
    <x:row r="1134">
      <x:c r="A1134" s="187" t="str">
        <x:v>ACTUAL_2026_08_CLOSE_V1</x:v>
      </x:c>
      <x:c r="B1134" s="187" t="str">
        <x:v>ACTUAL</x:v>
      </x:c>
      <x:c r="C1134" s="187"/>
      <x:c r="D1134" s="217" t="n">
        <x:v>46204</x:v>
      </x:c>
      <x:c r="E1134" s="187" t="str">
        <x:v>R_GB_DE_C_AIR</x:v>
      </x:c>
      <x:c r="F1134" s="187" t="str">
        <x:v>GB</x:v>
      </x:c>
      <x:c r="G1134" s="187" t="str">
        <x:v>DE_FC</x:v>
      </x:c>
      <x:c r="H1134" s="187" t="str">
        <x:v>CARRIER_C</x:v>
      </x:c>
      <x:c r="I1134" s="187" t="str">
        <x:v>AIR</x:v>
      </x:c>
      <x:c r="J1134" s="187" t="str">
        <x:v>FUEL_SURCHARGE</x:v>
      </x:c>
      <x:c r="K1134" s="187" t="str">
        <x:v>GBP</x:v>
      </x:c>
      <x:c r="L1134" s="232" t="n">
        <x:v>209.62581758455875</x:v>
      </x:c>
      <x:c r="M1134" s="232" t="n">
        <x:v>9.18</x:v>
      </x:c>
      <x:c r="N1134" s="187" t="str">
        <x:v>1924.365005426249190604800000</x:v>
      </x:c>
      <x:c r="O1134" s="235" t="n">
        <x:v>1924.365</x:v>
      </x:c>
      <x:c r="P1134" s="235" t="n">
        <x:v>1924.365</x:v>
      </x:c>
      <x:c r="Q1134" s="235" t="n">
        <x:v>0</x:v>
      </x:c>
      <x:c r="R1134" s="235" t="str">
        <x:v>INVOICE_OR_PLAN</x:v>
      </x:c>
      <x:c r="S1134" s="238" t="n">
        <x:f>'Model_Calc'!AG193</x:f>
        <x:v>1924.3650054262487</x:v>
      </x:c>
      <x:c r="T1134" s="238" t="n">
        <x:f>ROUND(S1134-O1134,4)</x:f>
        <x:v>0</x:v>
      </x:c>
    </x:row>
    <x:row r="1135">
      <x:c r="A1135" s="187" t="str">
        <x:v>ACTUAL_2026_08_CLOSE_V1</x:v>
      </x:c>
      <x:c r="B1135" s="187" t="str">
        <x:v>ACTUAL</x:v>
      </x:c>
      <x:c r="C1135" s="187"/>
      <x:c r="D1135" s="217" t="n">
        <x:v>46204</x:v>
      </x:c>
      <x:c r="E1135" s="187" t="str">
        <x:v>R_GB_DE_C_AIR</x:v>
      </x:c>
      <x:c r="F1135" s="187" t="str">
        <x:v>GB</x:v>
      </x:c>
      <x:c r="G1135" s="187" t="str">
        <x:v>DE_FC</x:v>
      </x:c>
      <x:c r="H1135" s="187" t="str">
        <x:v>CARRIER_C</x:v>
      </x:c>
      <x:c r="I1135" s="187" t="str">
        <x:v>AIR</x:v>
      </x:c>
      <x:c r="J1135" s="187" t="str">
        <x:v>WAREHOUSE_OPERATION</x:v>
      </x:c>
      <x:c r="K1135" s="187" t="str">
        <x:v>EUR</x:v>
      </x:c>
      <x:c r="L1135" s="232" t="n">
        <x:v>409.38213888</x:v>
      </x:c>
      <x:c r="M1135" s="232" t="n">
        <x:v>7.91</x:v>
      </x:c>
      <x:c r="N1135" s="187" t="str">
        <x:v>3238.21271854080000</x:v>
      </x:c>
      <x:c r="O1135" s="235" t="n">
        <x:v>3238.2127</x:v>
      </x:c>
      <x:c r="P1135" s="235" t="n">
        <x:v>3238.2127</x:v>
      </x:c>
      <x:c r="Q1135" s="235" t="n">
        <x:v>0</x:v>
      </x:c>
      <x:c r="R1135" s="235" t="str">
        <x:v>INVOICE_OR_PLAN</x:v>
      </x:c>
      <x:c r="S1135" s="238" t="n">
        <x:f>'Model_Calc'!AL193</x:f>
        <x:v>3238.2127185408</x:v>
      </x:c>
      <x:c r="T1135" s="238" t="n">
        <x:f>ROUND(S1135-O1135,4)</x:f>
        <x:v>0</x:v>
      </x:c>
    </x:row>
    <x:row r="1136">
      <x:c r="A1136" s="187" t="str">
        <x:v>ACTUAL_2026_08_CLOSE_V1</x:v>
      </x:c>
      <x:c r="B1136" s="187" t="str">
        <x:v>ACTUAL</x:v>
      </x:c>
      <x:c r="C1136" s="187"/>
      <x:c r="D1136" s="217" t="n">
        <x:v>46204</x:v>
      </x:c>
      <x:c r="E1136" s="187" t="str">
        <x:v>R_GB_DE_C_AIR</x:v>
      </x:c>
      <x:c r="F1136" s="187" t="str">
        <x:v>GB</x:v>
      </x:c>
      <x:c r="G1136" s="187" t="str">
        <x:v>DE_FC</x:v>
      </x:c>
      <x:c r="H1136" s="187" t="str">
        <x:v>CARRIER_C</x:v>
      </x:c>
      <x:c r="I1136" s="187" t="str">
        <x:v>AIR</x:v>
      </x:c>
      <x:c r="J1136" s="187" t="str">
        <x:v>PACKAGING</x:v>
      </x:c>
      <x:c r="K1136" s="187" t="str">
        <x:v>EUR</x:v>
      </x:c>
      <x:c r="L1136" s="232" t="n">
        <x:v>164.1769476931584</x:v>
      </x:c>
      <x:c r="M1136" s="232" t="n">
        <x:v>7.91</x:v>
      </x:c>
      <x:c r="N1136" s="187" t="str">
        <x:v>1298.6396562528829440000</x:v>
      </x:c>
      <x:c r="O1136" s="235" t="n">
        <x:v>1298.6397</x:v>
      </x:c>
      <x:c r="P1136" s="235" t="n">
        <x:v>1298.6397</x:v>
      </x:c>
      <x:c r="Q1136" s="235" t="n">
        <x:v>0</x:v>
      </x:c>
      <x:c r="R1136" s="235" t="str">
        <x:v>INVOICE_OR_PLAN</x:v>
      </x:c>
      <x:c r="S1136" s="238" t="n">
        <x:f>'Model_Calc'!AQ193</x:f>
        <x:v>1298.6396562528826</x:v>
      </x:c>
      <x:c r="T1136" s="238" t="n">
        <x:f>ROUND(S1136-O1136,4)</x:f>
        <x:v>0</x:v>
      </x:c>
    </x:row>
    <x:row r="1137">
      <x:c r="A1137" s="187" t="str">
        <x:v>ACTUAL_2026_08_CLOSE_V1</x:v>
      </x:c>
      <x:c r="B1137" s="187" t="str">
        <x:v>ACTUAL</x:v>
      </x:c>
      <x:c r="C1137" s="187"/>
      <x:c r="D1137" s="217" t="n">
        <x:v>46204</x:v>
      </x:c>
      <x:c r="E1137" s="187" t="str">
        <x:v>R_GB_DE_C_AIR</x:v>
      </x:c>
      <x:c r="F1137" s="187" t="str">
        <x:v>GB</x:v>
      </x:c>
      <x:c r="G1137" s="187" t="str">
        <x:v>DE_FC</x:v>
      </x:c>
      <x:c r="H1137" s="187" t="str">
        <x:v>CARRIER_C</x:v>
      </x:c>
      <x:c r="I1137" s="187" t="str">
        <x:v>AIR</x:v>
      </x:c>
      <x:c r="J1137" s="187" t="str">
        <x:v>RETURN_LOGISTICS</x:v>
      </x:c>
      <x:c r="K1137" s="187" t="str">
        <x:v>GBP</x:v>
      </x:c>
      <x:c r="L1137" s="232" t="n">
        <x:v>133.222662144</x:v>
      </x:c>
      <x:c r="M1137" s="232" t="n">
        <x:v>9.18</x:v>
      </x:c>
      <x:c r="N1137" s="187" t="str">
        <x:v>1222.98403848192000000</x:v>
      </x:c>
      <x:c r="O1137" s="235" t="n">
        <x:v>1222.984</x:v>
      </x:c>
      <x:c r="P1137" s="235" t="n">
        <x:v>1222.984</x:v>
      </x:c>
      <x:c r="Q1137" s="235" t="n">
        <x:v>0</x:v>
      </x:c>
      <x:c r="R1137" s="235" t="str">
        <x:v>ACCRUAL</x:v>
      </x:c>
      <x:c r="S1137" s="238" t="n">
        <x:f>'Model_Calc'!AV193</x:f>
        <x:v>1222.98403848192</x:v>
      </x:c>
      <x:c r="T1137" s="238" t="n">
        <x:f>ROUND(S1137-O1137,4)</x:f>
        <x:v>0</x:v>
      </x:c>
    </x:row>
    <x:row r="1138">
      <x:c r="A1138" s="187" t="str">
        <x:v>ACTUAL_2026_08_CLOSE_V1</x:v>
      </x:c>
      <x:c r="B1138" s="187" t="str">
        <x:v>ACTUAL</x:v>
      </x:c>
      <x:c r="C1138" s="187"/>
      <x:c r="D1138" s="217" t="n">
        <x:v>46204</x:v>
      </x:c>
      <x:c r="E1138" s="187" t="str">
        <x:v>R_GB_DE_C_AIR</x:v>
      </x:c>
      <x:c r="F1138" s="187" t="str">
        <x:v>GB</x:v>
      </x:c>
      <x:c r="G1138" s="187" t="str">
        <x:v>DE_FC</x:v>
      </x:c>
      <x:c r="H1138" s="187" t="str">
        <x:v>CARRIER_C</x:v>
      </x:c>
      <x:c r="I1138" s="187" t="str">
        <x:v>AIR</x:v>
      </x:c>
      <x:c r="J1138" s="187" t="str">
        <x:v>BILLABLE_EXCEPTION</x:v>
      </x:c>
      <x:c r="K1138" s="187" t="str">
        <x:v>GBP</x:v>
      </x:c>
      <x:c r="L1138" s="232" t="n">
        <x:v>12.918380398484521</x:v>
      </x:c>
      <x:c r="M1138" s="232" t="n">
        <x:v>9.18</x:v>
      </x:c>
      <x:c r="N1138" s="187" t="str">
        <x:v>118.590732058087902412800000</x:v>
      </x:c>
      <x:c r="O1138" s="235" t="n">
        <x:v>118.5907</x:v>
      </x:c>
      <x:c r="P1138" s="235" t="n">
        <x:v>118.5907</x:v>
      </x:c>
      <x:c r="Q1138" s="235" t="n">
        <x:v>0</x:v>
      </x:c>
      <x:c r="R1138" s="235" t="str">
        <x:v>ACCRUAL</x:v>
      </x:c>
      <x:c r="S1138" s="238" t="n">
        <x:f>'Model_Calc'!BA193</x:f>
        <x:v>118.59073205808788</x:v>
      </x:c>
      <x:c r="T1138" s="238" t="n">
        <x:f>ROUND(S1138-O1138,4)</x:f>
        <x:v>0</x:v>
      </x:c>
    </x:row>
    <x:row r="1139">
      <x:c r="A1139" s="187" t="str">
        <x:v>ACTUAL_2026_08_CLOSE_V1</x:v>
      </x:c>
      <x:c r="B1139" s="187" t="str">
        <x:v>ACTUAL</x:v>
      </x:c>
      <x:c r="C1139" s="187"/>
      <x:c r="D1139" s="217" t="n">
        <x:v>46204</x:v>
      </x:c>
      <x:c r="E1139" s="187" t="str">
        <x:v>R_GB_FR_B_AIR</x:v>
      </x:c>
      <x:c r="F1139" s="187" t="str">
        <x:v>GB</x:v>
      </x:c>
      <x:c r="G1139" s="187" t="str">
        <x:v>FR_FC</x:v>
      </x:c>
      <x:c r="H1139" s="187" t="str">
        <x:v>CARRIER_B</x:v>
      </x:c>
      <x:c r="I1139" s="187" t="str">
        <x:v>AIR</x:v>
      </x:c>
      <x:c r="J1139" s="187" t="str">
        <x:v>BASE_FREIGHT</x:v>
      </x:c>
      <x:c r="K1139" s="187" t="str">
        <x:v>EUR</x:v>
      </x:c>
      <x:c r="L1139" s="232" t="n">
        <x:v>1689.131987252424</x:v>
      </x:c>
      <x:c r="M1139" s="232" t="n">
        <x:v>7.91</x:v>
      </x:c>
      <x:c r="N1139" s="187" t="str">
        <x:v>13361.0340191666738400000000</x:v>
      </x:c>
      <x:c r="O1139" s="235" t="n">
        <x:v>13361.034</x:v>
      </x:c>
      <x:c r="P1139" s="235" t="n">
        <x:v>13361.034</x:v>
      </x:c>
      <x:c r="Q1139" s="235" t="n">
        <x:v>0</x:v>
      </x:c>
      <x:c r="R1139" s="235" t="str">
        <x:v>INVOICE_OR_PLAN</x:v>
      </x:c>
      <x:c r="S1139" s="238" t="n">
        <x:f>'Model_Calc'!AF194</x:f>
        <x:v>13361.034019166673</x:v>
      </x:c>
      <x:c r="T1139" s="238" t="n">
        <x:f>ROUND(S1139-O1139,4)</x:f>
        <x:v>0</x:v>
      </x:c>
    </x:row>
    <x:row r="1140">
      <x:c r="A1140" s="187" t="str">
        <x:v>ACTUAL_2026_08_CLOSE_V1</x:v>
      </x:c>
      <x:c r="B1140" s="187" t="str">
        <x:v>ACTUAL</x:v>
      </x:c>
      <x:c r="C1140" s="187"/>
      <x:c r="D1140" s="217" t="n">
        <x:v>46204</x:v>
      </x:c>
      <x:c r="E1140" s="187" t="str">
        <x:v>R_GB_FR_B_AIR</x:v>
      </x:c>
      <x:c r="F1140" s="187" t="str">
        <x:v>GB</x:v>
      </x:c>
      <x:c r="G1140" s="187" t="str">
        <x:v>FR_FC</x:v>
      </x:c>
      <x:c r="H1140" s="187" t="str">
        <x:v>CARRIER_B</x:v>
      </x:c>
      <x:c r="I1140" s="187" t="str">
        <x:v>AIR</x:v>
      </x:c>
      <x:c r="J1140" s="187" t="str">
        <x:v>FUEL_SURCHARGE</x:v>
      </x:c>
      <x:c r="K1140" s="187" t="str">
        <x:v>EUR</x:v>
      </x:c>
      <x:c r="L1140" s="232" t="n">
        <x:v>179.84188268276557</x:v>
      </x:c>
      <x:c r="M1140" s="232" t="n">
        <x:v>7.91</x:v>
      </x:c>
      <x:c r="N1140" s="187" t="str">
        <x:v>1422.5492920206757637448000000000</x:v>
      </x:c>
      <x:c r="O1140" s="235" t="n">
        <x:v>1422.5493</x:v>
      </x:c>
      <x:c r="P1140" s="235" t="n">
        <x:v>1422.5493</x:v>
      </x:c>
      <x:c r="Q1140" s="235" t="n">
        <x:v>0</x:v>
      </x:c>
      <x:c r="R1140" s="235" t="str">
        <x:v>INVOICE_OR_PLAN</x:v>
      </x:c>
      <x:c r="S1140" s="238" t="n">
        <x:f>'Model_Calc'!AG194</x:f>
        <x:v>1422.5492920206757</x:v>
      </x:c>
      <x:c r="T1140" s="238" t="n">
        <x:f>ROUND(S1140-O1140,4)</x:f>
        <x:v>0</x:v>
      </x:c>
    </x:row>
    <x:row r="1141">
      <x:c r="A1141" s="187" t="str">
        <x:v>ACTUAL_2026_08_CLOSE_V1</x:v>
      </x:c>
      <x:c r="B1141" s="187" t="str">
        <x:v>ACTUAL</x:v>
      </x:c>
      <x:c r="C1141" s="187"/>
      <x:c r="D1141" s="217" t="n">
        <x:v>46204</x:v>
      </x:c>
      <x:c r="E1141" s="187" t="str">
        <x:v>R_GB_FR_B_AIR</x:v>
      </x:c>
      <x:c r="F1141" s="187" t="str">
        <x:v>GB</x:v>
      </x:c>
      <x:c r="G1141" s="187" t="str">
        <x:v>FR_FC</x:v>
      </x:c>
      <x:c r="H1141" s="187" t="str">
        <x:v>CARRIER_B</x:v>
      </x:c>
      <x:c r="I1141" s="187" t="str">
        <x:v>AIR</x:v>
      </x:c>
      <x:c r="J1141" s="187" t="str">
        <x:v>WAREHOUSE_OPERATION</x:v>
      </x:c>
      <x:c r="K1141" s="187" t="str">
        <x:v>EUR</x:v>
      </x:c>
      <x:c r="L1141" s="232" t="n">
        <x:v>252.97272</x:v>
      </x:c>
      <x:c r="M1141" s="232" t="n">
        <x:v>7.91</x:v>
      </x:c>
      <x:c r="N1141" s="187" t="str">
        <x:v>2001.014215200000</x:v>
      </x:c>
      <x:c r="O1141" s="235" t="n">
        <x:v>2001.0142</x:v>
      </x:c>
      <x:c r="P1141" s="235" t="n">
        <x:v>2001.0142</x:v>
      </x:c>
      <x:c r="Q1141" s="235" t="n">
        <x:v>0</x:v>
      </x:c>
      <x:c r="R1141" s="235" t="str">
        <x:v>INVOICE_OR_PLAN</x:v>
      </x:c>
      <x:c r="S1141" s="238" t="n">
        <x:f>'Model_Calc'!AL194</x:f>
        <x:v>2001.0142151999999</x:v>
      </x:c>
      <x:c r="T1141" s="238" t="n">
        <x:f>ROUND(S1141-O1141,4)</x:f>
        <x:v>0</x:v>
      </x:c>
    </x:row>
    <x:row r="1142">
      <x:c r="A1142" s="187" t="str">
        <x:v>ACTUAL_2026_08_CLOSE_V1</x:v>
      </x:c>
      <x:c r="B1142" s="187" t="str">
        <x:v>ACTUAL</x:v>
      </x:c>
      <x:c r="C1142" s="187"/>
      <x:c r="D1142" s="217" t="n">
        <x:v>46204</x:v>
      </x:c>
      <x:c r="E1142" s="187" t="str">
        <x:v>R_GB_FR_B_AIR</x:v>
      </x:c>
      <x:c r="F1142" s="187" t="str">
        <x:v>GB</x:v>
      </x:c>
      <x:c r="G1142" s="187" t="str">
        <x:v>FR_FC</x:v>
      </x:c>
      <x:c r="H1142" s="187" t="str">
        <x:v>CARRIER_B</x:v>
      </x:c>
      <x:c r="I1142" s="187" t="str">
        <x:v>AIR</x:v>
      </x:c>
      <x:c r="J1142" s="187" t="str">
        <x:v>PACKAGING</x:v>
      </x:c>
      <x:c r="K1142" s="187" t="str">
        <x:v>EUR</x:v>
      </x:c>
      <x:c r="L1142" s="232" t="n">
        <x:v>105.9165458208</x:v>
      </x:c>
      <x:c r="M1142" s="232" t="n">
        <x:v>7.91</x:v>
      </x:c>
      <x:c r="N1142" s="187" t="str">
        <x:v>837.79987744252800000</x:v>
      </x:c>
      <x:c r="O1142" s="235" t="n">
        <x:v>837.7999</x:v>
      </x:c>
      <x:c r="P1142" s="235" t="n">
        <x:v>837.7999</x:v>
      </x:c>
      <x:c r="Q1142" s="235" t="n">
        <x:v>0</x:v>
      </x:c>
      <x:c r="R1142" s="235" t="str">
        <x:v>INVOICE_OR_PLAN</x:v>
      </x:c>
      <x:c r="S1142" s="238" t="n">
        <x:f>'Model_Calc'!AQ194</x:f>
        <x:v>837.799877442528</x:v>
      </x:c>
      <x:c r="T1142" s="238" t="n">
        <x:f>ROUND(S1142-O1142,4)</x:f>
        <x:v>0</x:v>
      </x:c>
    </x:row>
    <x:row r="1143">
      <x:c r="A1143" s="187" t="str">
        <x:v>ACTUAL_2026_08_CLOSE_V1</x:v>
      </x:c>
      <x:c r="B1143" s="187" t="str">
        <x:v>ACTUAL</x:v>
      </x:c>
      <x:c r="C1143" s="187"/>
      <x:c r="D1143" s="217" t="n">
        <x:v>46204</x:v>
      </x:c>
      <x:c r="E1143" s="187" t="str">
        <x:v>R_GB_FR_B_AIR</x:v>
      </x:c>
      <x:c r="F1143" s="187" t="str">
        <x:v>GB</x:v>
      </x:c>
      <x:c r="G1143" s="187" t="str">
        <x:v>FR_FC</x:v>
      </x:c>
      <x:c r="H1143" s="187" t="str">
        <x:v>CARRIER_B</x:v>
      </x:c>
      <x:c r="I1143" s="187" t="str">
        <x:v>AIR</x:v>
      </x:c>
      <x:c r="J1143" s="187" t="str">
        <x:v>RETURN_LOGISTICS</x:v>
      </x:c>
      <x:c r="K1143" s="187" t="str">
        <x:v>EUR</x:v>
      </x:c>
      <x:c r="L1143" s="232" t="n">
        <x:v>100.2253824</x:v>
      </x:c>
      <x:c r="M1143" s="232" t="n">
        <x:v>7.91</x:v>
      </x:c>
      <x:c r="N1143" s="187" t="str">
        <x:v>792.782774784000000</x:v>
      </x:c>
      <x:c r="O1143" s="235" t="n">
        <x:v>792.7828</x:v>
      </x:c>
      <x:c r="P1143" s="235" t="n">
        <x:v>792.7828</x:v>
      </x:c>
      <x:c r="Q1143" s="235" t="n">
        <x:v>0</x:v>
      </x:c>
      <x:c r="R1143" s="235" t="str">
        <x:v>ACCRUAL</x:v>
      </x:c>
      <x:c r="S1143" s="238" t="n">
        <x:f>'Model_Calc'!AV194</x:f>
        <x:v>792.782774784</x:v>
      </x:c>
      <x:c r="T1143" s="238" t="n">
        <x:f>ROUND(S1143-O1143,4)</x:f>
        <x:v>0</x:v>
      </x:c>
    </x:row>
    <x:row r="1144">
      <x:c r="A1144" s="187" t="str">
        <x:v>ACTUAL_2026_08_CLOSE_V1</x:v>
      </x:c>
      <x:c r="B1144" s="187" t="str">
        <x:v>ACTUAL</x:v>
      </x:c>
      <x:c r="C1144" s="187"/>
      <x:c r="D1144" s="217" t="n">
        <x:v>46204</x:v>
      </x:c>
      <x:c r="E1144" s="187" t="str">
        <x:v>R_GB_FR_B_AIR</x:v>
      </x:c>
      <x:c r="F1144" s="187" t="str">
        <x:v>GB</x:v>
      </x:c>
      <x:c r="G1144" s="187" t="str">
        <x:v>FR_FC</x:v>
      </x:c>
      <x:c r="H1144" s="187" t="str">
        <x:v>CARRIER_B</x:v>
      </x:c>
      <x:c r="I1144" s="187" t="str">
        <x:v>AIR</x:v>
      </x:c>
      <x:c r="J1144" s="187" t="str">
        <x:v>BILLABLE_EXCEPTION</x:v>
      </x:c>
      <x:c r="K1144" s="187" t="str">
        <x:v>EUR</x:v>
      </x:c>
      <x:c r="L1144" s="232" t="n">
        <x:v>9.55255752202752</x:v>
      </x:c>
      <x:c r="M1144" s="232" t="n">
        <x:v>7.91</x:v>
      </x:c>
      <x:c r="N1144" s="187" t="str">
        <x:v>75.5607299992376832000000</x:v>
      </x:c>
      <x:c r="O1144" s="235" t="n">
        <x:v>75.5607</x:v>
      </x:c>
      <x:c r="P1144" s="235" t="n">
        <x:v>75.5607</x:v>
      </x:c>
      <x:c r="Q1144" s="235" t="n">
        <x:v>0</x:v>
      </x:c>
      <x:c r="R1144" s="235" t="str">
        <x:v>ACCRUAL</x:v>
      </x:c>
      <x:c r="S1144" s="238" t="n">
        <x:f>'Model_Calc'!BA194</x:f>
        <x:v>75.56072999923767</x:v>
      </x:c>
      <x:c r="T1144" s="238" t="n">
        <x:f>ROUND(S1144-O1144,4)</x:f>
        <x:v>0</x:v>
      </x:c>
    </x:row>
    <x:row r="1145">
      <x:c r="A1145" s="187" t="str">
        <x:v>ACTUAL_2026_08_CLOSE_V1</x:v>
      </x:c>
      <x:c r="B1145" s="187" t="str">
        <x:v>ACTUAL</x:v>
      </x:c>
      <x:c r="C1145" s="187"/>
      <x:c r="D1145" s="217" t="n">
        <x:v>46235</x:v>
      </x:c>
      <x:c r="E1145" s="187" t="str">
        <x:v>R_DE_DE_A_ROAD</x:v>
      </x:c>
      <x:c r="F1145" s="187" t="str">
        <x:v>DE</x:v>
      </x:c>
      <x:c r="G1145" s="187" t="str">
        <x:v>DE_FC</x:v>
      </x:c>
      <x:c r="H1145" s="187" t="str">
        <x:v>CARRIER_A</x:v>
      </x:c>
      <x:c r="I1145" s="187" t="str">
        <x:v>ROAD</x:v>
      </x:c>
      <x:c r="J1145" s="187" t="str">
        <x:v>BASE_FREIGHT</x:v>
      </x:c>
      <x:c r="K1145" s="187" t="str">
        <x:v>EUR</x:v>
      </x:c>
      <x:c r="L1145" s="232" t="n">
        <x:v>6704.7255763488</x:v>
      </x:c>
      <x:c r="M1145" s="232" t="n">
        <x:v>7.95</x:v>
      </x:c>
      <x:c r="N1145" s="187" t="str">
        <x:v>53302.568331972960000000</x:v>
      </x:c>
      <x:c r="O1145" s="235" t="n">
        <x:v>53302.5683</x:v>
      </x:c>
      <x:c r="P1145" s="235" t="n">
        <x:v>53302.5683</x:v>
      </x:c>
      <x:c r="Q1145" s="235" t="n">
        <x:v>0</x:v>
      </x:c>
      <x:c r="R1145" s="235" t="str">
        <x:v>INVOICE_OR_PLAN</x:v>
      </x:c>
      <x:c r="S1145" s="238" t="n">
        <x:f>'Model_Calc'!AF195</x:f>
        <x:v>53302.568331972965</x:v>
      </x:c>
      <x:c r="T1145" s="238" t="n">
        <x:f>ROUND(S1145-O1145,4)</x:f>
        <x:v>0</x:v>
      </x:c>
    </x:row>
    <x:row r="1146">
      <x:c r="A1146" s="187" t="str">
        <x:v>ACTUAL_2026_08_CLOSE_V1</x:v>
      </x:c>
      <x:c r="B1146" s="187" t="str">
        <x:v>ACTUAL</x:v>
      </x:c>
      <x:c r="C1146" s="187"/>
      <x:c r="D1146" s="217" t="n">
        <x:v>46235</x:v>
      </x:c>
      <x:c r="E1146" s="187" t="str">
        <x:v>R_DE_DE_A_ROAD</x:v>
      </x:c>
      <x:c r="F1146" s="187" t="str">
        <x:v>DE</x:v>
      </x:c>
      <x:c r="G1146" s="187" t="str">
        <x:v>DE_FC</x:v>
      </x:c>
      <x:c r="H1146" s="187" t="str">
        <x:v>CARRIER_A</x:v>
      </x:c>
      <x:c r="I1146" s="187" t="str">
        <x:v>ROAD</x:v>
      </x:c>
      <x:c r="J1146" s="187" t="str">
        <x:v>FUEL_SURCHARGE</x:v>
      </x:c>
      <x:c r="K1146" s="187" t="str">
        <x:v>EUR</x:v>
      </x:c>
      <x:c r="L1146" s="232" t="n">
        <x:v>647.1401126291862</x:v>
      </x:c>
      <x:c r="M1146" s="232" t="n">
        <x:v>7.95</x:v>
      </x:c>
      <x:c r="N1146" s="187" t="str">
        <x:v>5144.763895402030099200000000</x:v>
      </x:c>
      <x:c r="O1146" s="235" t="n">
        <x:v>5144.7639</x:v>
      </x:c>
      <x:c r="P1146" s="235" t="n">
        <x:v>5144.7639</x:v>
      </x:c>
      <x:c r="Q1146" s="235" t="n">
        <x:v>0</x:v>
      </x:c>
      <x:c r="R1146" s="235" t="str">
        <x:v>INVOICE_OR_PLAN</x:v>
      </x:c>
      <x:c r="S1146" s="238" t="n">
        <x:f>'Model_Calc'!AG195</x:f>
        <x:v>5144.76389540203</x:v>
      </x:c>
      <x:c r="T1146" s="238" t="n">
        <x:f>ROUND(S1146-O1146,4)</x:f>
        <x:v>0</x:v>
      </x:c>
    </x:row>
    <x:row r="1147">
      <x:c r="A1147" s="187" t="str">
        <x:v>ACTUAL_2026_08_CLOSE_V1</x:v>
      </x:c>
      <x:c r="B1147" s="187" t="str">
        <x:v>ACTUAL</x:v>
      </x:c>
      <x:c r="C1147" s="187"/>
      <x:c r="D1147" s="217" t="n">
        <x:v>46235</x:v>
      </x:c>
      <x:c r="E1147" s="187" t="str">
        <x:v>R_DE_DE_A_ROAD</x:v>
      </x:c>
      <x:c r="F1147" s="187" t="str">
        <x:v>DE</x:v>
      </x:c>
      <x:c r="G1147" s="187" t="str">
        <x:v>DE_FC</x:v>
      </x:c>
      <x:c r="H1147" s="187" t="str">
        <x:v>CARRIER_A</x:v>
      </x:c>
      <x:c r="I1147" s="187" t="str">
        <x:v>ROAD</x:v>
      </x:c>
      <x:c r="J1147" s="187" t="str">
        <x:v>WAREHOUSE_OPERATION</x:v>
      </x:c>
      <x:c r="K1147" s="187" t="str">
        <x:v>EUR</x:v>
      </x:c>
      <x:c r="L1147" s="232" t="n">
        <x:v>4390.92917088</x:v>
      </x:c>
      <x:c r="M1147" s="232" t="n">
        <x:v>7.95</x:v>
      </x:c>
      <x:c r="N1147" s="187" t="str">
        <x:v>34907.88690849600000</x:v>
      </x:c>
      <x:c r="O1147" s="235" t="n">
        <x:v>34907.8869</x:v>
      </x:c>
      <x:c r="P1147" s="235" t="n">
        <x:v>34907.8869</x:v>
      </x:c>
      <x:c r="Q1147" s="235" t="n">
        <x:v>0</x:v>
      </x:c>
      <x:c r="R1147" s="235" t="str">
        <x:v>INVOICE_OR_PLAN</x:v>
      </x:c>
      <x:c r="S1147" s="238" t="n">
        <x:f>'Model_Calc'!AL195</x:f>
        <x:v>34907.886908495995</x:v>
      </x:c>
      <x:c r="T1147" s="238" t="n">
        <x:f>ROUND(S1147-O1147,4)</x:f>
        <x:v>0</x:v>
      </x:c>
    </x:row>
    <x:row r="1148">
      <x:c r="A1148" s="187" t="str">
        <x:v>ACTUAL_2026_08_CLOSE_V1</x:v>
      </x:c>
      <x:c r="B1148" s="187" t="str">
        <x:v>ACTUAL</x:v>
      </x:c>
      <x:c r="C1148" s="187"/>
      <x:c r="D1148" s="217" t="n">
        <x:v>46235</x:v>
      </x:c>
      <x:c r="E1148" s="187" t="str">
        <x:v>R_DE_DE_A_ROAD</x:v>
      </x:c>
      <x:c r="F1148" s="187" t="str">
        <x:v>DE</x:v>
      </x:c>
      <x:c r="G1148" s="187" t="str">
        <x:v>DE_FC</x:v>
      </x:c>
      <x:c r="H1148" s="187" t="str">
        <x:v>CARRIER_A</x:v>
      </x:c>
      <x:c r="I1148" s="187" t="str">
        <x:v>ROAD</x:v>
      </x:c>
      <x:c r="J1148" s="187" t="str">
        <x:v>PACKAGING</x:v>
      </x:c>
      <x:c r="K1148" s="187" t="str">
        <x:v>EUR</x:v>
      </x:c>
      <x:c r="L1148" s="232" t="n">
        <x:v>1641.016749456</x:v>
      </x:c>
      <x:c r="M1148" s="232" t="n">
        <x:v>7.95</x:v>
      </x:c>
      <x:c r="N1148" s="187" t="str">
        <x:v>13046.0831581752000000</x:v>
      </x:c>
      <x:c r="O1148" s="235" t="n">
        <x:v>13046.0832</x:v>
      </x:c>
      <x:c r="P1148" s="235" t="n">
        <x:v>13046.0832</x:v>
      </x:c>
      <x:c r="Q1148" s="235" t="n">
        <x:v>0</x:v>
      </x:c>
      <x:c r="R1148" s="235" t="str">
        <x:v>INVOICE_OR_PLAN</x:v>
      </x:c>
      <x:c r="S1148" s="238" t="n">
        <x:f>'Model_Calc'!AQ195</x:f>
        <x:v>13046.0831581752</x:v>
      </x:c>
      <x:c r="T1148" s="238" t="n">
        <x:f>ROUND(S1148-O1148,4)</x:f>
        <x:v>0</x:v>
      </x:c>
    </x:row>
    <x:row r="1149">
      <x:c r="A1149" s="187" t="str">
        <x:v>ACTUAL_2026_08_CLOSE_V1</x:v>
      </x:c>
      <x:c r="B1149" s="187" t="str">
        <x:v>ACTUAL</x:v>
      </x:c>
      <x:c r="C1149" s="187"/>
      <x:c r="D1149" s="217" t="n">
        <x:v>46235</x:v>
      </x:c>
      <x:c r="E1149" s="187" t="str">
        <x:v>R_DE_DE_A_ROAD</x:v>
      </x:c>
      <x:c r="F1149" s="187" t="str">
        <x:v>DE</x:v>
      </x:c>
      <x:c r="G1149" s="187" t="str">
        <x:v>DE_FC</x:v>
      </x:c>
      <x:c r="H1149" s="187" t="str">
        <x:v>CARRIER_A</x:v>
      </x:c>
      <x:c r="I1149" s="187" t="str">
        <x:v>ROAD</x:v>
      </x:c>
      <x:c r="J1149" s="187" t="str">
        <x:v>RETURN_LOGISTICS</x:v>
      </x:c>
      <x:c r="K1149" s="187" t="str">
        <x:v>EUR</x:v>
      </x:c>
      <x:c r="L1149" s="232" t="n">
        <x:v>595.38022656</x:v>
      </x:c>
      <x:c r="M1149" s="232" t="n">
        <x:v>7.95</x:v>
      </x:c>
      <x:c r="N1149" s="187" t="str">
        <x:v>4733.27280115200000000</x:v>
      </x:c>
      <x:c r="O1149" s="235" t="n">
        <x:v>4733.2728</x:v>
      </x:c>
      <x:c r="P1149" s="235" t="n">
        <x:v>4733.2728</x:v>
      </x:c>
      <x:c r="Q1149" s="235" t="n">
        <x:v>0</x:v>
      </x:c>
      <x:c r="R1149" s="235" t="str">
        <x:v>INVOICE_OR_PLAN</x:v>
      </x:c>
      <x:c r="S1149" s="238" t="n">
        <x:f>'Model_Calc'!AV195</x:f>
        <x:v>4733.272801152</x:v>
      </x:c>
      <x:c r="T1149" s="238" t="n">
        <x:f>ROUND(S1149-O1149,4)</x:f>
        <x:v>0</x:v>
      </x:c>
    </x:row>
    <x:row r="1150">
      <x:c r="A1150" s="187" t="str">
        <x:v>ACTUAL_2026_08_CLOSE_V1</x:v>
      </x:c>
      <x:c r="B1150" s="187" t="str">
        <x:v>ACTUAL</x:v>
      </x:c>
      <x:c r="C1150" s="187"/>
      <x:c r="D1150" s="217" t="n">
        <x:v>46235</x:v>
      </x:c>
      <x:c r="E1150" s="187" t="str">
        <x:v>R_DE_DE_A_ROAD</x:v>
      </x:c>
      <x:c r="F1150" s="187" t="str">
        <x:v>DE</x:v>
      </x:c>
      <x:c r="G1150" s="187" t="str">
        <x:v>DE_FC</x:v>
      </x:c>
      <x:c r="H1150" s="187" t="str">
        <x:v>CARRIER_A</x:v>
      </x:c>
      <x:c r="I1150" s="187" t="str">
        <x:v>ROAD</x:v>
      </x:c>
      <x:c r="J1150" s="187" t="str">
        <x:v>BILLABLE_EXCEPTION</x:v>
      </x:c>
      <x:c r="K1150" s="187" t="str">
        <x:v>EUR</x:v>
      </x:c>
      <x:c r="L1150" s="232" t="n">
        <x:v>143.78432471424</x:v>
      </x:c>
      <x:c r="M1150" s="232" t="n">
        <x:v>7.95</x:v>
      </x:c>
      <x:c r="N1150" s="187" t="str">
        <x:v>1143.0853814782080000000</x:v>
      </x:c>
      <x:c r="O1150" s="235" t="n">
        <x:v>1143.0854</x:v>
      </x:c>
      <x:c r="P1150" s="235" t="n">
        <x:v>1143.0854</x:v>
      </x:c>
      <x:c r="Q1150" s="235" t="n">
        <x:v>0</x:v>
      </x:c>
      <x:c r="R1150" s="235" t="str">
        <x:v>INVOICE_OR_PLAN</x:v>
      </x:c>
      <x:c r="S1150" s="238" t="n">
        <x:f>'Model_Calc'!BA195</x:f>
        <x:v>1143.0853814782083</x:v>
      </x:c>
      <x:c r="T1150" s="238" t="n">
        <x:f>ROUND(S1150-O1150,4)</x:f>
        <x:v>0</x:v>
      </x:c>
    </x:row>
    <x:row r="1151">
      <x:c r="A1151" s="187" t="str">
        <x:v>ACTUAL_2026_08_CLOSE_V1</x:v>
      </x:c>
      <x:c r="B1151" s="187" t="str">
        <x:v>ACTUAL</x:v>
      </x:c>
      <x:c r="C1151" s="187"/>
      <x:c r="D1151" s="217" t="n">
        <x:v>46235</x:v>
      </x:c>
      <x:c r="E1151" s="187" t="str">
        <x:v>R_DE_DE_B_ROAD</x:v>
      </x:c>
      <x:c r="F1151" s="187" t="str">
        <x:v>DE</x:v>
      </x:c>
      <x:c r="G1151" s="187" t="str">
        <x:v>DE_FC</x:v>
      </x:c>
      <x:c r="H1151" s="187" t="str">
        <x:v>CARRIER_B</x:v>
      </x:c>
      <x:c r="I1151" s="187" t="str">
        <x:v>ROAD</x:v>
      </x:c>
      <x:c r="J1151" s="187" t="str">
        <x:v>BASE_FREIGHT</x:v>
      </x:c>
      <x:c r="K1151" s="187" t="str">
        <x:v>EUR</x:v>
      </x:c>
      <x:c r="L1151" s="232" t="n">
        <x:v>5730.53468064</x:v>
      </x:c>
      <x:c r="M1151" s="232" t="n">
        <x:v>7.95</x:v>
      </x:c>
      <x:c r="N1151" s="187" t="str">
        <x:v>45557.750711088000000000</x:v>
      </x:c>
      <x:c r="O1151" s="235" t="n">
        <x:v>45557.7507</x:v>
      </x:c>
      <x:c r="P1151" s="235" t="n">
        <x:v>45557.7507</x:v>
      </x:c>
      <x:c r="Q1151" s="235" t="n">
        <x:v>0</x:v>
      </x:c>
      <x:c r="R1151" s="235" t="str">
        <x:v>INVOICE_OR_PLAN</x:v>
      </x:c>
      <x:c r="S1151" s="238" t="n">
        <x:f>'Model_Calc'!AF196</x:f>
        <x:v>45557.75071108801</x:v>
      </x:c>
      <x:c r="T1151" s="238" t="n">
        <x:f>ROUND(S1151-O1151,4)</x:f>
        <x:v>0</x:v>
      </x:c>
    </x:row>
    <x:row r="1152">
      <x:c r="A1152" s="187" t="str">
        <x:v>ACTUAL_2026_08_CLOSE_V1</x:v>
      </x:c>
      <x:c r="B1152" s="187" t="str">
        <x:v>ACTUAL</x:v>
      </x:c>
      <x:c r="C1152" s="187"/>
      <x:c r="D1152" s="217" t="n">
        <x:v>46235</x:v>
      </x:c>
      <x:c r="E1152" s="187" t="str">
        <x:v>R_DE_DE_B_ROAD</x:v>
      </x:c>
      <x:c r="F1152" s="187" t="str">
        <x:v>DE</x:v>
      </x:c>
      <x:c r="G1152" s="187" t="str">
        <x:v>DE_FC</x:v>
      </x:c>
      <x:c r="H1152" s="187" t="str">
        <x:v>CARRIER_B</x:v>
      </x:c>
      <x:c r="I1152" s="187" t="str">
        <x:v>ROAD</x:v>
      </x:c>
      <x:c r="J1152" s="187" t="str">
        <x:v>FUEL_SURCHARGE</x:v>
      </x:c>
      <x:c r="K1152" s="187" t="str">
        <x:v>EUR</x:v>
      </x:c>
      <x:c r="L1152" s="232" t="n">
        <x:v>437.6044665216</x:v>
      </x:c>
      <x:c r="M1152" s="232" t="n">
        <x:v>7.95</x:v>
      </x:c>
      <x:c r="N1152" s="187" t="str">
        <x:v>3478.955508846720000000</x:v>
      </x:c>
      <x:c r="O1152" s="235" t="n">
        <x:v>3478.9555</x:v>
      </x:c>
      <x:c r="P1152" s="235" t="n">
        <x:v>3478.9555</x:v>
      </x:c>
      <x:c r="Q1152" s="235" t="n">
        <x:v>0</x:v>
      </x:c>
      <x:c r="R1152" s="235" t="str">
        <x:v>INVOICE_OR_PLAN</x:v>
      </x:c>
      <x:c r="S1152" s="238" t="n">
        <x:f>'Model_Calc'!AG196</x:f>
        <x:v>3478.955508846721</x:v>
      </x:c>
      <x:c r="T1152" s="238" t="n">
        <x:f>ROUND(S1152-O1152,4)</x:f>
        <x:v>0</x:v>
      </x:c>
    </x:row>
    <x:row r="1153">
      <x:c r="A1153" s="187" t="str">
        <x:v>ACTUAL_2026_08_CLOSE_V1</x:v>
      </x:c>
      <x:c r="B1153" s="187" t="str">
        <x:v>ACTUAL</x:v>
      </x:c>
      <x:c r="C1153" s="187"/>
      <x:c r="D1153" s="217" t="n">
        <x:v>46235</x:v>
      </x:c>
      <x:c r="E1153" s="187" t="str">
        <x:v>R_DE_DE_B_ROAD</x:v>
      </x:c>
      <x:c r="F1153" s="187" t="str">
        <x:v>DE</x:v>
      </x:c>
      <x:c r="G1153" s="187" t="str">
        <x:v>DE_FC</x:v>
      </x:c>
      <x:c r="H1153" s="187" t="str">
        <x:v>CARRIER_B</x:v>
      </x:c>
      <x:c r="I1153" s="187" t="str">
        <x:v>ROAD</x:v>
      </x:c>
      <x:c r="J1153" s="187" t="str">
        <x:v>WAREHOUSE_OPERATION</x:v>
      </x:c>
      <x:c r="K1153" s="187" t="str">
        <x:v>EUR</x:v>
      </x:c>
      <x:c r="L1153" s="232" t="n">
        <x:v>2927.28611392</x:v>
      </x:c>
      <x:c r="M1153" s="232" t="n">
        <x:v>7.95</x:v>
      </x:c>
      <x:c r="N1153" s="187" t="str">
        <x:v>23271.92460566400000</x:v>
      </x:c>
      <x:c r="O1153" s="235" t="n">
        <x:v>23271.9246</x:v>
      </x:c>
      <x:c r="P1153" s="235" t="n">
        <x:v>23271.9246</x:v>
      </x:c>
      <x:c r="Q1153" s="235" t="n">
        <x:v>0</x:v>
      </x:c>
      <x:c r="R1153" s="235" t="str">
        <x:v>INVOICE_OR_PLAN</x:v>
      </x:c>
      <x:c r="S1153" s="238" t="n">
        <x:f>'Model_Calc'!AL196</x:f>
        <x:v>23271.924605664</x:v>
      </x:c>
      <x:c r="T1153" s="238" t="n">
        <x:f>ROUND(S1153-O1153,4)</x:f>
        <x:v>0</x:v>
      </x:c>
    </x:row>
    <x:row r="1154">
      <x:c r="A1154" s="187" t="str">
        <x:v>ACTUAL_2026_08_CLOSE_V1</x:v>
      </x:c>
      <x:c r="B1154" s="187" t="str">
        <x:v>ACTUAL</x:v>
      </x:c>
      <x:c r="C1154" s="187"/>
      <x:c r="D1154" s="217" t="n">
        <x:v>46235</x:v>
      </x:c>
      <x:c r="E1154" s="187" t="str">
        <x:v>R_DE_DE_B_ROAD</x:v>
      </x:c>
      <x:c r="F1154" s="187" t="str">
        <x:v>DE</x:v>
      </x:c>
      <x:c r="G1154" s="187" t="str">
        <x:v>DE_FC</x:v>
      </x:c>
      <x:c r="H1154" s="187" t="str">
        <x:v>CARRIER_B</x:v>
      </x:c>
      <x:c r="I1154" s="187" t="str">
        <x:v>ROAD</x:v>
      </x:c>
      <x:c r="J1154" s="187" t="str">
        <x:v>PACKAGING</x:v>
      </x:c>
      <x:c r="K1154" s="187" t="str">
        <x:v>EUR</x:v>
      </x:c>
      <x:c r="L1154" s="232" t="n">
        <x:v>1094.011166304</x:v>
      </x:c>
      <x:c r="M1154" s="232" t="n">
        <x:v>7.95</x:v>
      </x:c>
      <x:c r="N1154" s="187" t="str">
        <x:v>8697.3887721168000000</x:v>
      </x:c>
      <x:c r="O1154" s="235" t="n">
        <x:v>8697.3888</x:v>
      </x:c>
      <x:c r="P1154" s="235" t="n">
        <x:v>8697.3888</x:v>
      </x:c>
      <x:c r="Q1154" s="235" t="n">
        <x:v>0</x:v>
      </x:c>
      <x:c r="R1154" s="235" t="str">
        <x:v>INVOICE_OR_PLAN</x:v>
      </x:c>
      <x:c r="S1154" s="238" t="n">
        <x:f>'Model_Calc'!AQ196</x:f>
        <x:v>8697.388772116801</x:v>
      </x:c>
      <x:c r="T1154" s="238" t="n">
        <x:f>ROUND(S1154-O1154,4)</x:f>
        <x:v>0</x:v>
      </x:c>
    </x:row>
    <x:row r="1155">
      <x:c r="A1155" s="187" t="str">
        <x:v>ACTUAL_2026_08_CLOSE_V1</x:v>
      </x:c>
      <x:c r="B1155" s="187" t="str">
        <x:v>ACTUAL</x:v>
      </x:c>
      <x:c r="C1155" s="187"/>
      <x:c r="D1155" s="217" t="n">
        <x:v>46235</x:v>
      </x:c>
      <x:c r="E1155" s="187" t="str">
        <x:v>R_DE_DE_B_ROAD</x:v>
      </x:c>
      <x:c r="F1155" s="187" t="str">
        <x:v>DE</x:v>
      </x:c>
      <x:c r="G1155" s="187" t="str">
        <x:v>DE_FC</x:v>
      </x:c>
      <x:c r="H1155" s="187" t="str">
        <x:v>CARRIER_B</x:v>
      </x:c>
      <x:c r="I1155" s="187" t="str">
        <x:v>ROAD</x:v>
      </x:c>
      <x:c r="J1155" s="187" t="str">
        <x:v>RETURN_LOGISTICS</x:v>
      </x:c>
      <x:c r="K1155" s="187" t="str">
        <x:v>EUR</x:v>
      </x:c>
      <x:c r="L1155" s="232" t="n">
        <x:v>396.92015104</x:v>
      </x:c>
      <x:c r="M1155" s="232" t="n">
        <x:v>7.95</x:v>
      </x:c>
      <x:c r="N1155" s="187" t="str">
        <x:v>3155.51520076800000000</x:v>
      </x:c>
      <x:c r="O1155" s="235" t="n">
        <x:v>3155.5152</x:v>
      </x:c>
      <x:c r="P1155" s="235" t="n">
        <x:v>3155.5152</x:v>
      </x:c>
      <x:c r="Q1155" s="235" t="n">
        <x:v>0</x:v>
      </x:c>
      <x:c r="R1155" s="235" t="str">
        <x:v>INVOICE_OR_PLAN</x:v>
      </x:c>
      <x:c r="S1155" s="238" t="n">
        <x:f>'Model_Calc'!AV196</x:f>
        <x:v>3155.5152007680003</x:v>
      </x:c>
      <x:c r="T1155" s="238" t="n">
        <x:f>ROUND(S1155-O1155,4)</x:f>
        <x:v>0</x:v>
      </x:c>
    </x:row>
    <x:row r="1156">
      <x:c r="A1156" s="187" t="str">
        <x:v>ACTUAL_2026_08_CLOSE_V1</x:v>
      </x:c>
      <x:c r="B1156" s="187" t="str">
        <x:v>ACTUAL</x:v>
      </x:c>
      <x:c r="C1156" s="187"/>
      <x:c r="D1156" s="217" t="n">
        <x:v>46235</x:v>
      </x:c>
      <x:c r="E1156" s="187" t="str">
        <x:v>R_DE_DE_B_ROAD</x:v>
      </x:c>
      <x:c r="F1156" s="187" t="str">
        <x:v>DE</x:v>
      </x:c>
      <x:c r="G1156" s="187" t="str">
        <x:v>DE_FC</x:v>
      </x:c>
      <x:c r="H1156" s="187" t="str">
        <x:v>CARRIER_B</x:v>
      </x:c>
      <x:c r="I1156" s="187" t="str">
        <x:v>ROAD</x:v>
      </x:c>
      <x:c r="J1156" s="187" t="str">
        <x:v>BILLABLE_EXCEPTION</x:v>
      </x:c>
      <x:c r="K1156" s="187" t="str">
        <x:v>EUR</x:v>
      </x:c>
      <x:c r="L1156" s="232" t="n">
        <x:v>77.88317588688</x:v>
      </x:c>
      <x:c r="M1156" s="232" t="n">
        <x:v>7.95</x:v>
      </x:c>
      <x:c r="N1156" s="187" t="str">
        <x:v>619.1712483006960000000</x:v>
      </x:c>
      <x:c r="O1156" s="235" t="n">
        <x:v>619.1712</x:v>
      </x:c>
      <x:c r="P1156" s="235" t="n">
        <x:v>619.1712</x:v>
      </x:c>
      <x:c r="Q1156" s="235" t="n">
        <x:v>0</x:v>
      </x:c>
      <x:c r="R1156" s="235" t="str">
        <x:v>INVOICE_OR_PLAN</x:v>
      </x:c>
      <x:c r="S1156" s="238" t="n">
        <x:f>'Model_Calc'!BA196</x:f>
        <x:v>619.1712483006962</x:v>
      </x:c>
      <x:c r="T1156" s="238" t="n">
        <x:f>ROUND(S1156-O1156,4)</x:f>
        <x:v>0</x:v>
      </x:c>
    </x:row>
    <x:row r="1157">
      <x:c r="A1157" s="187" t="str">
        <x:v>ACTUAL_2026_08_CLOSE_V1</x:v>
      </x:c>
      <x:c r="B1157" s="187" t="str">
        <x:v>ACTUAL</x:v>
      </x:c>
      <x:c r="C1157" s="187"/>
      <x:c r="D1157" s="217" t="n">
        <x:v>46235</x:v>
      </x:c>
      <x:c r="E1157" s="187" t="str">
        <x:v>R_DE_FR_B_ROAD</x:v>
      </x:c>
      <x:c r="F1157" s="187" t="str">
        <x:v>DE</x:v>
      </x:c>
      <x:c r="G1157" s="187" t="str">
        <x:v>FR_FC</x:v>
      </x:c>
      <x:c r="H1157" s="187" t="str">
        <x:v>CARRIER_B</x:v>
      </x:c>
      <x:c r="I1157" s="187" t="str">
        <x:v>ROAD</x:v>
      </x:c>
      <x:c r="J1157" s="187" t="str">
        <x:v>BASE_FREIGHT</x:v>
      </x:c>
      <x:c r="K1157" s="187" t="str">
        <x:v>EUR</x:v>
      </x:c>
      <x:c r="L1157" s="232" t="n">
        <x:v>587.9072840256</x:v>
      </x:c>
      <x:c r="M1157" s="232" t="n">
        <x:v>7.95</x:v>
      </x:c>
      <x:c r="N1157" s="187" t="str">
        <x:v>4673.8629080035200000</x:v>
      </x:c>
      <x:c r="O1157" s="235" t="n">
        <x:v>4673.8629</x:v>
      </x:c>
      <x:c r="P1157" s="235" t="n">
        <x:v>4673.8629</x:v>
      </x:c>
      <x:c r="Q1157" s="235" t="n">
        <x:v>0</x:v>
      </x:c>
      <x:c r="R1157" s="235" t="str">
        <x:v>INVOICE_OR_PLAN</x:v>
      </x:c>
      <x:c r="S1157" s="238" t="n">
        <x:f>'Model_Calc'!AF197</x:f>
        <x:v>4673.86290800352</x:v>
      </x:c>
      <x:c r="T1157" s="238" t="n">
        <x:f>ROUND(S1157-O1157,4)</x:f>
        <x:v>0</x:v>
      </x:c>
    </x:row>
    <x:row r="1158">
      <x:c r="A1158" s="187" t="str">
        <x:v>ACTUAL_2026_08_CLOSE_V1</x:v>
      </x:c>
      <x:c r="B1158" s="187" t="str">
        <x:v>ACTUAL</x:v>
      </x:c>
      <x:c r="C1158" s="187"/>
      <x:c r="D1158" s="217" t="n">
        <x:v>46235</x:v>
      </x:c>
      <x:c r="E1158" s="187" t="str">
        <x:v>R_DE_FR_B_ROAD</x:v>
      </x:c>
      <x:c r="F1158" s="187" t="str">
        <x:v>DE</x:v>
      </x:c>
      <x:c r="G1158" s="187" t="str">
        <x:v>FR_FC</x:v>
      </x:c>
      <x:c r="H1158" s="187" t="str">
        <x:v>CARRIER_B</x:v>
      </x:c>
      <x:c r="I1158" s="187" t="str">
        <x:v>ROAD</x:v>
      </x:c>
      <x:c r="J1158" s="187" t="str">
        <x:v>FUEL_SURCHARGE</x:v>
      </x:c>
      <x:c r="K1158" s="187" t="str">
        <x:v>EUR</x:v>
      </x:c>
      <x:c r="L1158" s="232" t="n">
        <x:v>42.75689338368</x:v>
      </x:c>
      <x:c r="M1158" s="232" t="n">
        <x:v>7.95</x:v>
      </x:c>
      <x:c r="N1158" s="187" t="str">
        <x:v>339.9173024002560000</x:v>
      </x:c>
      <x:c r="O1158" s="235" t="n">
        <x:v>339.9173</x:v>
      </x:c>
      <x:c r="P1158" s="235" t="n">
        <x:v>339.9173</x:v>
      </x:c>
      <x:c r="Q1158" s="235" t="n">
        <x:v>0</x:v>
      </x:c>
      <x:c r="R1158" s="235" t="str">
        <x:v>INVOICE_OR_PLAN</x:v>
      </x:c>
      <x:c r="S1158" s="238" t="n">
        <x:f>'Model_Calc'!AG197</x:f>
        <x:v>339.917302400256</x:v>
      </x:c>
      <x:c r="T1158" s="238" t="n">
        <x:f>ROUND(S1158-O1158,4)</x:f>
        <x:v>0</x:v>
      </x:c>
    </x:row>
    <x:row r="1159">
      <x:c r="A1159" s="187" t="str">
        <x:v>ACTUAL_2026_08_CLOSE_V1</x:v>
      </x:c>
      <x:c r="B1159" s="187" t="str">
        <x:v>ACTUAL</x:v>
      </x:c>
      <x:c r="C1159" s="187"/>
      <x:c r="D1159" s="217" t="n">
        <x:v>46235</x:v>
      </x:c>
      <x:c r="E1159" s="187" t="str">
        <x:v>R_DE_FR_B_ROAD</x:v>
      </x:c>
      <x:c r="F1159" s="187" t="str">
        <x:v>DE</x:v>
      </x:c>
      <x:c r="G1159" s="187" t="str">
        <x:v>FR_FC</x:v>
      </x:c>
      <x:c r="H1159" s="187" t="str">
        <x:v>CARRIER_B</x:v>
      </x:c>
      <x:c r="I1159" s="187" t="str">
        <x:v>ROAD</x:v>
      </x:c>
      <x:c r="J1159" s="187" t="str">
        <x:v>WAREHOUSE_OPERATION</x:v>
      </x:c>
      <x:c r="K1159" s="187" t="str">
        <x:v>EUR</x:v>
      </x:c>
      <x:c r="L1159" s="232" t="n">
        <x:v>201.401172</x:v>
      </x:c>
      <x:c r="M1159" s="232" t="n">
        <x:v>7.95</x:v>
      </x:c>
      <x:c r="N1159" s="187" t="str">
        <x:v>1601.139317400000</x:v>
      </x:c>
      <x:c r="O1159" s="235" t="n">
        <x:v>1601.1393</x:v>
      </x:c>
      <x:c r="P1159" s="235" t="n">
        <x:v>1601.1393</x:v>
      </x:c>
      <x:c r="Q1159" s="235" t="n">
        <x:v>0</x:v>
      </x:c>
      <x:c r="R1159" s="235" t="str">
        <x:v>INVOICE_OR_PLAN</x:v>
      </x:c>
      <x:c r="S1159" s="238" t="n">
        <x:f>'Model_Calc'!AL197</x:f>
        <x:v>1601.1393173999998</x:v>
      </x:c>
      <x:c r="T1159" s="238" t="n">
        <x:f>ROUND(S1159-O1159,4)</x:f>
        <x:v>0</x:v>
      </x:c>
    </x:row>
    <x:row r="1160">
      <x:c r="A1160" s="187" t="str">
        <x:v>ACTUAL_2026_08_CLOSE_V1</x:v>
      </x:c>
      <x:c r="B1160" s="187" t="str">
        <x:v>ACTUAL</x:v>
      </x:c>
      <x:c r="C1160" s="187"/>
      <x:c r="D1160" s="217" t="n">
        <x:v>46235</x:v>
      </x:c>
      <x:c r="E1160" s="187" t="str">
        <x:v>R_DE_FR_B_ROAD</x:v>
      </x:c>
      <x:c r="F1160" s="187" t="str">
        <x:v>DE</x:v>
      </x:c>
      <x:c r="G1160" s="187" t="str">
        <x:v>FR_FC</x:v>
      </x:c>
      <x:c r="H1160" s="187" t="str">
        <x:v>CARRIER_B</x:v>
      </x:c>
      <x:c r="I1160" s="187" t="str">
        <x:v>ROAD</x:v>
      </x:c>
      <x:c r="J1160" s="187" t="str">
        <x:v>PACKAGING</x:v>
      </x:c>
      <x:c r="K1160" s="187" t="str">
        <x:v>EUR</x:v>
      </x:c>
      <x:c r="L1160" s="232" t="n">
        <x:v>78.719086656</x:v>
      </x:c>
      <x:c r="M1160" s="232" t="n">
        <x:v>7.95</x:v>
      </x:c>
      <x:c r="N1160" s="187" t="str">
        <x:v>625.81673891520000</x:v>
      </x:c>
      <x:c r="O1160" s="235" t="n">
        <x:v>625.8167</x:v>
      </x:c>
      <x:c r="P1160" s="235" t="n">
        <x:v>625.8167</x:v>
      </x:c>
      <x:c r="Q1160" s="235" t="n">
        <x:v>0</x:v>
      </x:c>
      <x:c r="R1160" s="235" t="str">
        <x:v>INVOICE_OR_PLAN</x:v>
      </x:c>
      <x:c r="S1160" s="238" t="n">
        <x:f>'Model_Calc'!AQ197</x:f>
        <x:v>625.8167389152001</x:v>
      </x:c>
      <x:c r="T1160" s="238" t="n">
        <x:f>ROUND(S1160-O1160,4)</x:f>
        <x:v>0</x:v>
      </x:c>
    </x:row>
    <x:row r="1161">
      <x:c r="A1161" s="187" t="str">
        <x:v>ACTUAL_2026_08_CLOSE_V1</x:v>
      </x:c>
      <x:c r="B1161" s="187" t="str">
        <x:v>ACTUAL</x:v>
      </x:c>
      <x:c r="C1161" s="187"/>
      <x:c r="D1161" s="217" t="n">
        <x:v>46235</x:v>
      </x:c>
      <x:c r="E1161" s="187" t="str">
        <x:v>R_DE_FR_B_ROAD</x:v>
      </x:c>
      <x:c r="F1161" s="187" t="str">
        <x:v>DE</x:v>
      </x:c>
      <x:c r="G1161" s="187" t="str">
        <x:v>FR_FC</x:v>
      </x:c>
      <x:c r="H1161" s="187" t="str">
        <x:v>CARRIER_B</x:v>
      </x:c>
      <x:c r="I1161" s="187" t="str">
        <x:v>ROAD</x:v>
      </x:c>
      <x:c r="J1161" s="187" t="str">
        <x:v>RETURN_LOGISTICS</x:v>
      </x:c>
      <x:c r="K1161" s="187" t="str">
        <x:v>EUR</x:v>
      </x:c>
      <x:c r="L1161" s="232" t="n">
        <x:v>36.4440216</x:v>
      </x:c>
      <x:c r="M1161" s="232" t="n">
        <x:v>7.95</x:v>
      </x:c>
      <x:c r="N1161" s="187" t="str">
        <x:v>289.729971720000000</x:v>
      </x:c>
      <x:c r="O1161" s="235" t="n">
        <x:v>289.73</x:v>
      </x:c>
      <x:c r="P1161" s="235" t="n">
        <x:v>289.73</x:v>
      </x:c>
      <x:c r="Q1161" s="235" t="n">
        <x:v>0</x:v>
      </x:c>
      <x:c r="R1161" s="235" t="str">
        <x:v>INVOICE_OR_PLAN</x:v>
      </x:c>
      <x:c r="S1161" s="238" t="n">
        <x:f>'Model_Calc'!AV197</x:f>
        <x:v>289.72997172</x:v>
      </x:c>
      <x:c r="T1161" s="238" t="n">
        <x:f>ROUND(S1161-O1161,4)</x:f>
        <x:v>0</x:v>
      </x:c>
    </x:row>
    <x:row r="1162">
      <x:c r="A1162" s="187" t="str">
        <x:v>ACTUAL_2026_08_CLOSE_V1</x:v>
      </x:c>
      <x:c r="B1162" s="187" t="str">
        <x:v>ACTUAL</x:v>
      </x:c>
      <x:c r="C1162" s="187"/>
      <x:c r="D1162" s="217" t="n">
        <x:v>46235</x:v>
      </x:c>
      <x:c r="E1162" s="187" t="str">
        <x:v>R_DE_FR_B_ROAD</x:v>
      </x:c>
      <x:c r="F1162" s="187" t="str">
        <x:v>DE</x:v>
      </x:c>
      <x:c r="G1162" s="187" t="str">
        <x:v>FR_FC</x:v>
      </x:c>
      <x:c r="H1162" s="187" t="str">
        <x:v>CARRIER_B</x:v>
      </x:c>
      <x:c r="I1162" s="187" t="str">
        <x:v>ROAD</x:v>
      </x:c>
      <x:c r="J1162" s="187" t="str">
        <x:v>BILLABLE_EXCEPTION</x:v>
      </x:c>
      <x:c r="K1162" s="187" t="str">
        <x:v>EUR</x:v>
      </x:c>
      <x:c r="L1162" s="232" t="n">
        <x:v>6.67040681664</x:v>
      </x:c>
      <x:c r="M1162" s="232" t="n">
        <x:v>7.95</x:v>
      </x:c>
      <x:c r="N1162" s="187" t="str">
        <x:v>53.02973419228800000</x:v>
      </x:c>
      <x:c r="O1162" s="235" t="n">
        <x:v>53.0297</x:v>
      </x:c>
      <x:c r="P1162" s="235" t="n">
        <x:v>53.0297</x:v>
      </x:c>
      <x:c r="Q1162" s="235" t="n">
        <x:v>0</x:v>
      </x:c>
      <x:c r="R1162" s="235" t="str">
        <x:v>INVOICE_OR_PLAN</x:v>
      </x:c>
      <x:c r="S1162" s="238" t="n">
        <x:f>'Model_Calc'!BA197</x:f>
        <x:v>53.02973419228801</x:v>
      </x:c>
      <x:c r="T1162" s="238" t="n">
        <x:f>ROUND(S1162-O1162,4)</x:f>
        <x:v>0</x:v>
      </x:c>
    </x:row>
    <x:row r="1163">
      <x:c r="A1163" s="187" t="str">
        <x:v>ACTUAL_2026_08_CLOSE_V1</x:v>
      </x:c>
      <x:c r="B1163" s="187" t="str">
        <x:v>ACTUAL</x:v>
      </x:c>
      <x:c r="C1163" s="187"/>
      <x:c r="D1163" s="217" t="n">
        <x:v>46235</x:v>
      </x:c>
      <x:c r="E1163" s="187" t="str">
        <x:v>R_FR_FR_A_ROAD</x:v>
      </x:c>
      <x:c r="F1163" s="187" t="str">
        <x:v>FR</x:v>
      </x:c>
      <x:c r="G1163" s="187" t="str">
        <x:v>FR_FC</x:v>
      </x:c>
      <x:c r="H1163" s="187" t="str">
        <x:v>CARRIER_A</x:v>
      </x:c>
      <x:c r="I1163" s="187" t="str">
        <x:v>ROAD</x:v>
      </x:c>
      <x:c r="J1163" s="187" t="str">
        <x:v>BASE_FREIGHT</x:v>
      </x:c>
      <x:c r="K1163" s="187" t="str">
        <x:v>EUR</x:v>
      </x:c>
      <x:c r="L1163" s="232" t="n">
        <x:v>3053.0685192</x:v>
      </x:c>
      <x:c r="M1163" s="232" t="n">
        <x:v>7.95</x:v>
      </x:c>
      <x:c r="N1163" s="187" t="str">
        <x:v>24271.8947276400000000</x:v>
      </x:c>
      <x:c r="O1163" s="235" t="n">
        <x:v>24271.8947</x:v>
      </x:c>
      <x:c r="P1163" s="235" t="n">
        <x:v>24271.8947</x:v>
      </x:c>
      <x:c r="Q1163" s="235" t="n">
        <x:v>0</x:v>
      </x:c>
      <x:c r="R1163" s="235" t="str">
        <x:v>INVOICE_OR_PLAN</x:v>
      </x:c>
      <x:c r="S1163" s="238" t="n">
        <x:f>'Model_Calc'!AF198</x:f>
        <x:v>24271.89472764</x:v>
      </x:c>
      <x:c r="T1163" s="238" t="n">
        <x:f>ROUND(S1163-O1163,4)</x:f>
        <x:v>0</x:v>
      </x:c>
    </x:row>
    <x:row r="1164">
      <x:c r="A1164" s="187" t="str">
        <x:v>ACTUAL_2026_08_CLOSE_V1</x:v>
      </x:c>
      <x:c r="B1164" s="187" t="str">
        <x:v>ACTUAL</x:v>
      </x:c>
      <x:c r="C1164" s="187"/>
      <x:c r="D1164" s="217" t="n">
        <x:v>46235</x:v>
      </x:c>
      <x:c r="E1164" s="187" t="str">
        <x:v>R_FR_FR_A_ROAD</x:v>
      </x:c>
      <x:c r="F1164" s="187" t="str">
        <x:v>FR</x:v>
      </x:c>
      <x:c r="G1164" s="187" t="str">
        <x:v>FR_FC</x:v>
      </x:c>
      <x:c r="H1164" s="187" t="str">
        <x:v>CARRIER_A</x:v>
      </x:c>
      <x:c r="I1164" s="187" t="str">
        <x:v>ROAD</x:v>
      </x:c>
      <x:c r="J1164" s="187" t="str">
        <x:v>FUEL_SURCHARGE</x:v>
      </x:c>
      <x:c r="K1164" s="187" t="str">
        <x:v>EUR</x:v>
      </x:c>
      <x:c r="L1164" s="232" t="n">
        <x:v>279.172585395648</x:v>
      </x:c>
      <x:c r="M1164" s="232" t="n">
        <x:v>7.95</x:v>
      </x:c>
      <x:c r="N1164" s="187" t="str">
        <x:v>2219.4220538954016000000000</x:v>
      </x:c>
      <x:c r="O1164" s="235" t="n">
        <x:v>2219.4221</x:v>
      </x:c>
      <x:c r="P1164" s="235" t="n">
        <x:v>2219.4221</x:v>
      </x:c>
      <x:c r="Q1164" s="235" t="n">
        <x:v>0</x:v>
      </x:c>
      <x:c r="R1164" s="235" t="str">
        <x:v>INVOICE_OR_PLAN</x:v>
      </x:c>
      <x:c r="S1164" s="238" t="n">
        <x:f>'Model_Calc'!AG198</x:f>
        <x:v>2219.422053895402</x:v>
      </x:c>
      <x:c r="T1164" s="238" t="n">
        <x:f>ROUND(S1164-O1164,4)</x:f>
        <x:v>0</x:v>
      </x:c>
    </x:row>
    <x:row r="1165">
      <x:c r="A1165" s="187" t="str">
        <x:v>ACTUAL_2026_08_CLOSE_V1</x:v>
      </x:c>
      <x:c r="B1165" s="187" t="str">
        <x:v>ACTUAL</x:v>
      </x:c>
      <x:c r="C1165" s="187"/>
      <x:c r="D1165" s="217" t="n">
        <x:v>46235</x:v>
      </x:c>
      <x:c r="E1165" s="187" t="str">
        <x:v>R_FR_FR_A_ROAD</x:v>
      </x:c>
      <x:c r="F1165" s="187" t="str">
        <x:v>FR</x:v>
      </x:c>
      <x:c r="G1165" s="187" t="str">
        <x:v>FR_FC</x:v>
      </x:c>
      <x:c r="H1165" s="187" t="str">
        <x:v>CARRIER_A</x:v>
      </x:c>
      <x:c r="I1165" s="187" t="str">
        <x:v>ROAD</x:v>
      </x:c>
      <x:c r="J1165" s="187" t="str">
        <x:v>WAREHOUSE_OPERATION</x:v>
      </x:c>
      <x:c r="K1165" s="187" t="str">
        <x:v>EUR</x:v>
      </x:c>
      <x:c r="L1165" s="232" t="n">
        <x:v>1894.9035</x:v>
      </x:c>
      <x:c r="M1165" s="232" t="n">
        <x:v>7.95</x:v>
      </x:c>
      <x:c r="N1165" s="187" t="str">
        <x:v>15064.482825000000</x:v>
      </x:c>
      <x:c r="O1165" s="235" t="n">
        <x:v>15064.4828</x:v>
      </x:c>
      <x:c r="P1165" s="235" t="n">
        <x:v>15064.4828</x:v>
      </x:c>
      <x:c r="Q1165" s="235" t="n">
        <x:v>0</x:v>
      </x:c>
      <x:c r="R1165" s="235" t="str">
        <x:v>INVOICE_OR_PLAN</x:v>
      </x:c>
      <x:c r="S1165" s="238" t="n">
        <x:f>'Model_Calc'!AL198</x:f>
        <x:v>15064.482825</x:v>
      </x:c>
      <x:c r="T1165" s="238" t="n">
        <x:f>ROUND(S1165-O1165,4)</x:f>
        <x:v>0</x:v>
      </x:c>
    </x:row>
    <x:row r="1166">
      <x:c r="A1166" s="187" t="str">
        <x:v>ACTUAL_2026_08_CLOSE_V1</x:v>
      </x:c>
      <x:c r="B1166" s="187" t="str">
        <x:v>ACTUAL</x:v>
      </x:c>
      <x:c r="C1166" s="187"/>
      <x:c r="D1166" s="217" t="n">
        <x:v>46235</x:v>
      </x:c>
      <x:c r="E1166" s="187" t="str">
        <x:v>R_FR_FR_A_ROAD</x:v>
      </x:c>
      <x:c r="F1166" s="187" t="str">
        <x:v>FR</x:v>
      </x:c>
      <x:c r="G1166" s="187" t="str">
        <x:v>FR_FC</x:v>
      </x:c>
      <x:c r="H1166" s="187" t="str">
        <x:v>CARRIER_A</x:v>
      </x:c>
      <x:c r="I1166" s="187" t="str">
        <x:v>ROAD</x:v>
      </x:c>
      <x:c r="J1166" s="187" t="str">
        <x:v>PACKAGING</x:v>
      </x:c>
      <x:c r="K1166" s="187" t="str">
        <x:v>EUR</x:v>
      </x:c>
      <x:c r="L1166" s="232" t="n">
        <x:v>726.921076</x:v>
      </x:c>
      <x:c r="M1166" s="232" t="n">
        <x:v>7.95</x:v>
      </x:c>
      <x:c r="N1166" s="187" t="str">
        <x:v>5779.02255420000000</x:v>
      </x:c>
      <x:c r="O1166" s="235" t="n">
        <x:v>5779.0226</x:v>
      </x:c>
      <x:c r="P1166" s="235" t="n">
        <x:v>5779.0226</x:v>
      </x:c>
      <x:c r="Q1166" s="235" t="n">
        <x:v>0</x:v>
      </x:c>
      <x:c r="R1166" s="235" t="str">
        <x:v>INVOICE_OR_PLAN</x:v>
      </x:c>
      <x:c r="S1166" s="238" t="n">
        <x:f>'Model_Calc'!AQ198</x:f>
        <x:v>5779.0225542</x:v>
      </x:c>
      <x:c r="T1166" s="238" t="n">
        <x:f>ROUND(S1166-O1166,4)</x:f>
        <x:v>0</x:v>
      </x:c>
    </x:row>
    <x:row r="1167">
      <x:c r="A1167" s="187" t="str">
        <x:v>ACTUAL_2026_08_CLOSE_V1</x:v>
      </x:c>
      <x:c r="B1167" s="187" t="str">
        <x:v>ACTUAL</x:v>
      </x:c>
      <x:c r="C1167" s="187"/>
      <x:c r="D1167" s="217" t="n">
        <x:v>46235</x:v>
      </x:c>
      <x:c r="E1167" s="187" t="str">
        <x:v>R_FR_FR_A_ROAD</x:v>
      </x:c>
      <x:c r="F1167" s="187" t="str">
        <x:v>FR</x:v>
      </x:c>
      <x:c r="G1167" s="187" t="str">
        <x:v>FR_FC</x:v>
      </x:c>
      <x:c r="H1167" s="187" t="str">
        <x:v>CARRIER_A</x:v>
      </x:c>
      <x:c r="I1167" s="187" t="str">
        <x:v>ROAD</x:v>
      </x:c>
      <x:c r="J1167" s="187" t="str">
        <x:v>RETURN_LOGISTICS</x:v>
      </x:c>
      <x:c r="K1167" s="187" t="str">
        <x:v>EUR</x:v>
      </x:c>
      <x:c r="L1167" s="232" t="n">
        <x:v>324.8406</x:v>
      </x:c>
      <x:c r="M1167" s="232" t="n">
        <x:v>7.95</x:v>
      </x:c>
      <x:c r="N1167" s="187" t="str">
        <x:v>2582.482770000000000</x:v>
      </x:c>
      <x:c r="O1167" s="235" t="n">
        <x:v>2582.4828</x:v>
      </x:c>
      <x:c r="P1167" s="235" t="n">
        <x:v>2582.4828</x:v>
      </x:c>
      <x:c r="Q1167" s="235" t="n">
        <x:v>0</x:v>
      </x:c>
      <x:c r="R1167" s="235" t="str">
        <x:v>INVOICE_OR_PLAN</x:v>
      </x:c>
      <x:c r="S1167" s="238" t="n">
        <x:f>'Model_Calc'!AV198</x:f>
        <x:v>2582.48277</x:v>
      </x:c>
      <x:c r="T1167" s="238" t="n">
        <x:f>ROUND(S1167-O1167,4)</x:f>
        <x:v>0</x:v>
      </x:c>
    </x:row>
    <x:row r="1168">
      <x:c r="A1168" s="187" t="str">
        <x:v>ACTUAL_2026_08_CLOSE_V1</x:v>
      </x:c>
      <x:c r="B1168" s="187" t="str">
        <x:v>ACTUAL</x:v>
      </x:c>
      <x:c r="C1168" s="187"/>
      <x:c r="D1168" s="217" t="n">
        <x:v>46235</x:v>
      </x:c>
      <x:c r="E1168" s="187" t="str">
        <x:v>R_FR_FR_A_ROAD</x:v>
      </x:c>
      <x:c r="F1168" s="187" t="str">
        <x:v>FR</x:v>
      </x:c>
      <x:c r="G1168" s="187" t="str">
        <x:v>FR_FC</x:v>
      </x:c>
      <x:c r="H1168" s="187" t="str">
        <x:v>CARRIER_A</x:v>
      </x:c>
      <x:c r="I1168" s="187" t="str">
        <x:v>ROAD</x:v>
      </x:c>
      <x:c r="J1168" s="187" t="str">
        <x:v>BILLABLE_EXCEPTION</x:v>
      </x:c>
      <x:c r="K1168" s="187" t="str">
        <x:v>EUR</x:v>
      </x:c>
      <x:c r="L1168" s="232" t="n">
        <x:v>74.79635282</x:v>
      </x:c>
      <x:c r="M1168" s="232" t="n">
        <x:v>7.95</x:v>
      </x:c>
      <x:c r="N1168" s="187" t="str">
        <x:v>594.63100491900000000</x:v>
      </x:c>
      <x:c r="O1168" s="235" t="n">
        <x:v>594.631</x:v>
      </x:c>
      <x:c r="P1168" s="235" t="n">
        <x:v>594.631</x:v>
      </x:c>
      <x:c r="Q1168" s="235" t="n">
        <x:v>0</x:v>
      </x:c>
      <x:c r="R1168" s="235" t="str">
        <x:v>INVOICE_OR_PLAN</x:v>
      </x:c>
      <x:c r="S1168" s="238" t="n">
        <x:f>'Model_Calc'!BA198</x:f>
        <x:v>594.6310049190001</x:v>
      </x:c>
      <x:c r="T1168" s="238" t="n">
        <x:f>ROUND(S1168-O1168,4)</x:f>
        <x:v>0</x:v>
      </x:c>
    </x:row>
    <x:row r="1169">
      <x:c r="A1169" s="187" t="str">
        <x:v>ACTUAL_2026_08_CLOSE_V1</x:v>
      </x:c>
      <x:c r="B1169" s="187" t="str">
        <x:v>ACTUAL</x:v>
      </x:c>
      <x:c r="C1169" s="187"/>
      <x:c r="D1169" s="217" t="n">
        <x:v>46235</x:v>
      </x:c>
      <x:c r="E1169" s="187" t="str">
        <x:v>R_FR_FR_B_ROAD</x:v>
      </x:c>
      <x:c r="F1169" s="187" t="str">
        <x:v>FR</x:v>
      </x:c>
      <x:c r="G1169" s="187" t="str">
        <x:v>FR_FC</x:v>
      </x:c>
      <x:c r="H1169" s="187" t="str">
        <x:v>CARRIER_B</x:v>
      </x:c>
      <x:c r="I1169" s="187" t="str">
        <x:v>ROAD</x:v>
      </x:c>
      <x:c r="J1169" s="187" t="str">
        <x:v>BASE_FREIGHT</x:v>
      </x:c>
      <x:c r="K1169" s="187" t="str">
        <x:v>EUR</x:v>
      </x:c>
      <x:c r="L1169" s="232" t="n">
        <x:v>7297.0851772</x:v>
      </x:c>
      <x:c r="M1169" s="232" t="n">
        <x:v>7.95</x:v>
      </x:c>
      <x:c r="N1169" s="187" t="str">
        <x:v>58011.8271587400000000</x:v>
      </x:c>
      <x:c r="O1169" s="235" t="n">
        <x:v>58011.8272</x:v>
      </x:c>
      <x:c r="P1169" s="235" t="n">
        <x:v>58011.8272</x:v>
      </x:c>
      <x:c r="Q1169" s="235" t="n">
        <x:v>0</x:v>
      </x:c>
      <x:c r="R1169" s="235" t="str">
        <x:v>INVOICE_OR_PLAN</x:v>
      </x:c>
      <x:c r="S1169" s="238" t="n">
        <x:f>'Model_Calc'!AF199</x:f>
        <x:v>58011.82715874001</x:v>
      </x:c>
      <x:c r="T1169" s="238" t="n">
        <x:f>ROUND(S1169-O1169,4)</x:f>
        <x:v>0</x:v>
      </x:c>
    </x:row>
    <x:row r="1170">
      <x:c r="A1170" s="187" t="str">
        <x:v>ACTUAL_2026_08_CLOSE_V1</x:v>
      </x:c>
      <x:c r="B1170" s="187" t="str">
        <x:v>ACTUAL</x:v>
      </x:c>
      <x:c r="C1170" s="187"/>
      <x:c r="D1170" s="217" t="n">
        <x:v>46235</x:v>
      </x:c>
      <x:c r="E1170" s="187" t="str">
        <x:v>R_FR_FR_B_ROAD</x:v>
      </x:c>
      <x:c r="F1170" s="187" t="str">
        <x:v>FR</x:v>
      </x:c>
      <x:c r="G1170" s="187" t="str">
        <x:v>FR_FC</x:v>
      </x:c>
      <x:c r="H1170" s="187" t="str">
        <x:v>CARRIER_B</x:v>
      </x:c>
      <x:c r="I1170" s="187" t="str">
        <x:v>ROAD</x:v>
      </x:c>
      <x:c r="J1170" s="187" t="str">
        <x:v>FUEL_SURCHARGE</x:v>
      </x:c>
      <x:c r="K1170" s="187" t="str">
        <x:v>EUR</x:v>
      </x:c>
      <x:c r="L1170" s="232" t="n">
        <x:v>561.3142444</x:v>
      </x:c>
      <x:c r="M1170" s="232" t="n">
        <x:v>7.95</x:v>
      </x:c>
      <x:c r="N1170" s="187" t="str">
        <x:v>4462.4482429800000000</x:v>
      </x:c>
      <x:c r="O1170" s="235" t="n">
        <x:v>4462.4482</x:v>
      </x:c>
      <x:c r="P1170" s="235" t="n">
        <x:v>4462.4482</x:v>
      </x:c>
      <x:c r="Q1170" s="235" t="n">
        <x:v>0</x:v>
      </x:c>
      <x:c r="R1170" s="235" t="str">
        <x:v>INVOICE_OR_PLAN</x:v>
      </x:c>
      <x:c r="S1170" s="238" t="n">
        <x:f>'Model_Calc'!AG199</x:f>
        <x:v>4462.44824298</x:v>
      </x:c>
      <x:c r="T1170" s="238" t="n">
        <x:f>ROUND(S1170-O1170,4)</x:f>
        <x:v>0</x:v>
      </x:c>
    </x:row>
    <x:row r="1171">
      <x:c r="A1171" s="187" t="str">
        <x:v>ACTUAL_2026_08_CLOSE_V1</x:v>
      </x:c>
      <x:c r="B1171" s="187" t="str">
        <x:v>ACTUAL</x:v>
      </x:c>
      <x:c r="C1171" s="187"/>
      <x:c r="D1171" s="217" t="n">
        <x:v>46235</x:v>
      </x:c>
      <x:c r="E1171" s="187" t="str">
        <x:v>R_FR_FR_B_ROAD</x:v>
      </x:c>
      <x:c r="F1171" s="187" t="str">
        <x:v>FR</x:v>
      </x:c>
      <x:c r="G1171" s="187" t="str">
        <x:v>FR_FC</x:v>
      </x:c>
      <x:c r="H1171" s="187" t="str">
        <x:v>CARRIER_B</x:v>
      </x:c>
      <x:c r="I1171" s="187" t="str">
        <x:v>ROAD</x:v>
      </x:c>
      <x:c r="J1171" s="187" t="str">
        <x:v>WAREHOUSE_OPERATION</x:v>
      </x:c>
      <x:c r="K1171" s="187" t="str">
        <x:v>EUR</x:v>
      </x:c>
      <x:c r="L1171" s="232" t="n">
        <x:v>3519.1065</x:v>
      </x:c>
      <x:c r="M1171" s="232" t="n">
        <x:v>7.95</x:v>
      </x:c>
      <x:c r="N1171" s="187" t="str">
        <x:v>27976.896675000000</x:v>
      </x:c>
      <x:c r="O1171" s="235" t="n">
        <x:v>27976.8967</x:v>
      </x:c>
      <x:c r="P1171" s="235" t="n">
        <x:v>27976.8967</x:v>
      </x:c>
      <x:c r="Q1171" s="235" t="n">
        <x:v>0</x:v>
      </x:c>
      <x:c r="R1171" s="235" t="str">
        <x:v>INVOICE_OR_PLAN</x:v>
      </x:c>
      <x:c r="S1171" s="238" t="n">
        <x:f>'Model_Calc'!AL199</x:f>
        <x:v>27976.896675</x:v>
      </x:c>
      <x:c r="T1171" s="238" t="n">
        <x:f>ROUND(S1171-O1171,4)</x:f>
        <x:v>0</x:v>
      </x:c>
    </x:row>
    <x:row r="1172">
      <x:c r="A1172" s="187" t="str">
        <x:v>ACTUAL_2026_08_CLOSE_V1</x:v>
      </x:c>
      <x:c r="B1172" s="187" t="str">
        <x:v>ACTUAL</x:v>
      </x:c>
      <x:c r="C1172" s="187"/>
      <x:c r="D1172" s="217" t="n">
        <x:v>46235</x:v>
      </x:c>
      <x:c r="E1172" s="187" t="str">
        <x:v>R_FR_FR_B_ROAD</x:v>
      </x:c>
      <x:c r="F1172" s="187" t="str">
        <x:v>FR</x:v>
      </x:c>
      <x:c r="G1172" s="187" t="str">
        <x:v>FR_FC</x:v>
      </x:c>
      <x:c r="H1172" s="187" t="str">
        <x:v>CARRIER_B</x:v>
      </x:c>
      <x:c r="I1172" s="187" t="str">
        <x:v>ROAD</x:v>
      </x:c>
      <x:c r="J1172" s="187" t="str">
        <x:v>PACKAGING</x:v>
      </x:c>
      <x:c r="K1172" s="187" t="str">
        <x:v>EUR</x:v>
      </x:c>
      <x:c r="L1172" s="232" t="n">
        <x:v>1349.996284</x:v>
      </x:c>
      <x:c r="M1172" s="232" t="n">
        <x:v>7.95</x:v>
      </x:c>
      <x:c r="N1172" s="187" t="str">
        <x:v>10732.47045780000000</x:v>
      </x:c>
      <x:c r="O1172" s="235" t="n">
        <x:v>10732.4705</x:v>
      </x:c>
      <x:c r="P1172" s="235" t="n">
        <x:v>10732.4705</x:v>
      </x:c>
      <x:c r="Q1172" s="235" t="n">
        <x:v>0</x:v>
      </x:c>
      <x:c r="R1172" s="235" t="str">
        <x:v>INVOICE_OR_PLAN</x:v>
      </x:c>
      <x:c r="S1172" s="238" t="n">
        <x:f>'Model_Calc'!AQ199</x:f>
        <x:v>10732.4704578</x:v>
      </x:c>
      <x:c r="T1172" s="238" t="n">
        <x:f>ROUND(S1172-O1172,4)</x:f>
        <x:v>0</x:v>
      </x:c>
    </x:row>
    <x:row r="1173">
      <x:c r="A1173" s="187" t="str">
        <x:v>ACTUAL_2026_08_CLOSE_V1</x:v>
      </x:c>
      <x:c r="B1173" s="187" t="str">
        <x:v>ACTUAL</x:v>
      </x:c>
      <x:c r="C1173" s="187"/>
      <x:c r="D1173" s="217" t="n">
        <x:v>46235</x:v>
      </x:c>
      <x:c r="E1173" s="187" t="str">
        <x:v>R_FR_FR_B_ROAD</x:v>
      </x:c>
      <x:c r="F1173" s="187" t="str">
        <x:v>FR</x:v>
      </x:c>
      <x:c r="G1173" s="187" t="str">
        <x:v>FR_FC</x:v>
      </x:c>
      <x:c r="H1173" s="187" t="str">
        <x:v>CARRIER_B</x:v>
      </x:c>
      <x:c r="I1173" s="187" t="str">
        <x:v>ROAD</x:v>
      </x:c>
      <x:c r="J1173" s="187" t="str">
        <x:v>RETURN_LOGISTICS</x:v>
      </x:c>
      <x:c r="K1173" s="187" t="str">
        <x:v>EUR</x:v>
      </x:c>
      <x:c r="L1173" s="232" t="n">
        <x:v>603.2754</x:v>
      </x:c>
      <x:c r="M1173" s="232" t="n">
        <x:v>7.95</x:v>
      </x:c>
      <x:c r="N1173" s="187" t="str">
        <x:v>4796.039430000000000</x:v>
      </x:c>
      <x:c r="O1173" s="235" t="n">
        <x:v>4796.0394</x:v>
      </x:c>
      <x:c r="P1173" s="235" t="n">
        <x:v>4796.0394</x:v>
      </x:c>
      <x:c r="Q1173" s="235" t="n">
        <x:v>0</x:v>
      </x:c>
      <x:c r="R1173" s="235" t="str">
        <x:v>INVOICE_OR_PLAN</x:v>
      </x:c>
      <x:c r="S1173" s="238" t="n">
        <x:f>'Model_Calc'!AV199</x:f>
        <x:v>4796.03943</x:v>
      </x:c>
      <x:c r="T1173" s="238" t="n">
        <x:f>ROUND(S1173-O1173,4)</x:f>
        <x:v>0</x:v>
      </x:c>
    </x:row>
    <x:row r="1174">
      <x:c r="A1174" s="187" t="str">
        <x:v>ACTUAL_2026_08_CLOSE_V1</x:v>
      </x:c>
      <x:c r="B1174" s="187" t="str">
        <x:v>ACTUAL</x:v>
      </x:c>
      <x:c r="C1174" s="187"/>
      <x:c r="D1174" s="217" t="n">
        <x:v>46235</x:v>
      </x:c>
      <x:c r="E1174" s="187" t="str">
        <x:v>R_FR_FR_B_ROAD</x:v>
      </x:c>
      <x:c r="F1174" s="187" t="str">
        <x:v>FR</x:v>
      </x:c>
      <x:c r="G1174" s="187" t="str">
        <x:v>FR_FC</x:v>
      </x:c>
      <x:c r="H1174" s="187" t="str">
        <x:v>CARRIER_B</x:v>
      </x:c>
      <x:c r="I1174" s="187" t="str">
        <x:v>ROAD</x:v>
      </x:c>
      <x:c r="J1174" s="187" t="str">
        <x:v>BILLABLE_EXCEPTION</x:v>
      </x:c>
      <x:c r="K1174" s="187" t="str">
        <x:v>EUR</x:v>
      </x:c>
      <x:c r="L1174" s="232" t="n">
        <x:v>114.39442196</x:v>
      </x:c>
      <x:c r="M1174" s="232" t="n">
        <x:v>7.95</x:v>
      </x:c>
      <x:c r="N1174" s="187" t="str">
        <x:v>909.43565458200000000</x:v>
      </x:c>
      <x:c r="O1174" s="235" t="n">
        <x:v>909.4357</x:v>
      </x:c>
      <x:c r="P1174" s="235" t="n">
        <x:v>909.4357</x:v>
      </x:c>
      <x:c r="Q1174" s="235" t="n">
        <x:v>0</x:v>
      </x:c>
      <x:c r="R1174" s="235" t="str">
        <x:v>INVOICE_OR_PLAN</x:v>
      </x:c>
      <x:c r="S1174" s="238" t="n">
        <x:f>'Model_Calc'!BA199</x:f>
        <x:v>909.4356545820001</x:v>
      </x:c>
      <x:c r="T1174" s="238" t="n">
        <x:f>ROUND(S1174-O1174,4)</x:f>
        <x:v>0</x:v>
      </x:c>
    </x:row>
    <x:row r="1175">
      <x:c r="A1175" s="187" t="str">
        <x:v>ACTUAL_2026_08_CLOSE_V1</x:v>
      </x:c>
      <x:c r="B1175" s="187" t="str">
        <x:v>ACTUAL</x:v>
      </x:c>
      <x:c r="C1175" s="187"/>
      <x:c r="D1175" s="217" t="n">
        <x:v>46235</x:v>
      </x:c>
      <x:c r="E1175" s="187" t="str">
        <x:v>R_GB_DE_A_ROAD</x:v>
      </x:c>
      <x:c r="F1175" s="187" t="str">
        <x:v>GB</x:v>
      </x:c>
      <x:c r="G1175" s="187" t="str">
        <x:v>DE_FC</x:v>
      </x:c>
      <x:c r="H1175" s="187" t="str">
        <x:v>CARRIER_A</x:v>
      </x:c>
      <x:c r="I1175" s="187" t="str">
        <x:v>ROAD</x:v>
      </x:c>
      <x:c r="J1175" s="187" t="str">
        <x:v>BASE_FREIGHT</x:v>
      </x:c>
      <x:c r="K1175" s="187" t="str">
        <x:v>GBP</x:v>
      </x:c>
      <x:c r="L1175" s="232" t="n">
        <x:v>10127.312882230377</x:v>
      </x:c>
      <x:c r="M1175" s="232" t="n">
        <x:v>9.22</x:v>
      </x:c>
      <x:c r="N1175" s="187" t="str">
        <x:v>93373.8247741640708505600000</x:v>
      </x:c>
      <x:c r="O1175" s="235" t="n">
        <x:v>93373.8248</x:v>
      </x:c>
      <x:c r="P1175" s="235" t="n">
        <x:v>93373.8248</x:v>
      </x:c>
      <x:c r="Q1175" s="235" t="n">
        <x:v>0</x:v>
      </x:c>
      <x:c r="R1175" s="235" t="str">
        <x:v>INVOICE_OR_PLAN</x:v>
      </x:c>
      <x:c r="S1175" s="238" t="n">
        <x:f>'Model_Calc'!AF200</x:f>
        <x:v>93373.82477416404</x:v>
      </x:c>
      <x:c r="T1175" s="238" t="n">
        <x:f>ROUND(S1175-O1175,4)</x:f>
        <x:v>0</x:v>
      </x:c>
    </x:row>
    <x:row r="1176">
      <x:c r="A1176" s="187" t="str">
        <x:v>ACTUAL_2026_08_CLOSE_V1</x:v>
      </x:c>
      <x:c r="B1176" s="187" t="str">
        <x:v>ACTUAL</x:v>
      </x:c>
      <x:c r="C1176" s="187"/>
      <x:c r="D1176" s="217" t="n">
        <x:v>46235</x:v>
      </x:c>
      <x:c r="E1176" s="187" t="str">
        <x:v>R_GB_DE_A_ROAD</x:v>
      </x:c>
      <x:c r="F1176" s="187" t="str">
        <x:v>GB</x:v>
      </x:c>
      <x:c r="G1176" s="187" t="str">
        <x:v>DE_FC</x:v>
      </x:c>
      <x:c r="H1176" s="187" t="str">
        <x:v>CARRIER_A</x:v>
      </x:c>
      <x:c r="I1176" s="187" t="str">
        <x:v>ROAD</x:v>
      </x:c>
      <x:c r="J1176" s="187" t="str">
        <x:v>FUEL_SURCHARGE</x:v>
      </x:c>
      <x:c r="K1176" s="187" t="str">
        <x:v>GBP</x:v>
      </x:c>
      <x:c r="L1176" s="232" t="n">
        <x:v>1049.5136886112984</x:v>
      </x:c>
      <x:c r="M1176" s="232" t="n">
        <x:v>9.22</x:v>
      </x:c>
      <x:c r="N1176" s="187" t="str">
        <x:v>9676.516208996170990385233920000000</x:v>
      </x:c>
      <x:c r="O1176" s="235" t="n">
        <x:v>9676.5162</x:v>
      </x:c>
      <x:c r="P1176" s="235" t="n">
        <x:v>9676.5162</x:v>
      </x:c>
      <x:c r="Q1176" s="235" t="n">
        <x:v>0</x:v>
      </x:c>
      <x:c r="R1176" s="235" t="str">
        <x:v>INVOICE_OR_PLAN</x:v>
      </x:c>
      <x:c r="S1176" s="238" t="n">
        <x:f>'Model_Calc'!AG200</x:f>
        <x:v>9676.516208996169</x:v>
      </x:c>
      <x:c r="T1176" s="238" t="n">
        <x:f>ROUND(S1176-O1176,4)</x:f>
        <x:v>0</x:v>
      </x:c>
    </x:row>
    <x:row r="1177">
      <x:c r="A1177" s="187" t="str">
        <x:v>ACTUAL_2026_08_CLOSE_V1</x:v>
      </x:c>
      <x:c r="B1177" s="187" t="str">
        <x:v>ACTUAL</x:v>
      </x:c>
      <x:c r="C1177" s="187"/>
      <x:c r="D1177" s="217" t="n">
        <x:v>46235</x:v>
      </x:c>
      <x:c r="E1177" s="187" t="str">
        <x:v>R_GB_DE_A_ROAD</x:v>
      </x:c>
      <x:c r="F1177" s="187" t="str">
        <x:v>GB</x:v>
      </x:c>
      <x:c r="G1177" s="187" t="str">
        <x:v>DE_FC</x:v>
      </x:c>
      <x:c r="H1177" s="187" t="str">
        <x:v>CARRIER_A</x:v>
      </x:c>
      <x:c r="I1177" s="187" t="str">
        <x:v>ROAD</x:v>
      </x:c>
      <x:c r="J1177" s="187" t="str">
        <x:v>WAREHOUSE_OPERATION</x:v>
      </x:c>
      <x:c r="K1177" s="187" t="str">
        <x:v>EUR</x:v>
      </x:c>
      <x:c r="L1177" s="232" t="n">
        <x:v>2285.171740544</x:v>
      </x:c>
      <x:c r="M1177" s="232" t="n">
        <x:v>7.95</x:v>
      </x:c>
      <x:c r="N1177" s="187" t="str">
        <x:v>18167.11533732480000</x:v>
      </x:c>
      <x:c r="O1177" s="235" t="n">
        <x:v>18167.1153</x:v>
      </x:c>
      <x:c r="P1177" s="235" t="n">
        <x:v>18167.1153</x:v>
      </x:c>
      <x:c r="Q1177" s="235" t="n">
        <x:v>0</x:v>
      </x:c>
      <x:c r="R1177" s="235" t="str">
        <x:v>INVOICE_OR_PLAN</x:v>
      </x:c>
      <x:c r="S1177" s="238" t="n">
        <x:f>'Model_Calc'!AL200</x:f>
        <x:v>18167.115337324798</x:v>
      </x:c>
      <x:c r="T1177" s="238" t="n">
        <x:f>ROUND(S1177-O1177,4)</x:f>
        <x:v>0</x:v>
      </x:c>
    </x:row>
    <x:row r="1178">
      <x:c r="A1178" s="187" t="str">
        <x:v>ACTUAL_2026_08_CLOSE_V1</x:v>
      </x:c>
      <x:c r="B1178" s="187" t="str">
        <x:v>ACTUAL</x:v>
      </x:c>
      <x:c r="C1178" s="187"/>
      <x:c r="D1178" s="217" t="n">
        <x:v>46235</x:v>
      </x:c>
      <x:c r="E1178" s="187" t="str">
        <x:v>R_GB_DE_A_ROAD</x:v>
      </x:c>
      <x:c r="F1178" s="187" t="str">
        <x:v>GB</x:v>
      </x:c>
      <x:c r="G1178" s="187" t="str">
        <x:v>DE_FC</x:v>
      </x:c>
      <x:c r="H1178" s="187" t="str">
        <x:v>CARRIER_A</x:v>
      </x:c>
      <x:c r="I1178" s="187" t="str">
        <x:v>ROAD</x:v>
      </x:c>
      <x:c r="J1178" s="187" t="str">
        <x:v>PACKAGING</x:v>
      </x:c>
      <x:c r="K1178" s="187" t="str">
        <x:v>EUR</x:v>
      </x:c>
      <x:c r="L1178" s="232" t="n">
        <x:v>992.30677953792</x:v>
      </x:c>
      <x:c r="M1178" s="232" t="n">
        <x:v>7.95</x:v>
      </x:c>
      <x:c r="N1178" s="187" t="str">
        <x:v>7888.8388973264640000</x:v>
      </x:c>
      <x:c r="O1178" s="235" t="n">
        <x:v>7888.8389</x:v>
      </x:c>
      <x:c r="P1178" s="235" t="n">
        <x:v>7888.8389</x:v>
      </x:c>
      <x:c r="Q1178" s="235" t="n">
        <x:v>0</x:v>
      </x:c>
      <x:c r="R1178" s="235" t="str">
        <x:v>INVOICE_OR_PLAN</x:v>
      </x:c>
      <x:c r="S1178" s="238" t="n">
        <x:f>'Model_Calc'!AQ200</x:f>
        <x:v>7888.838897326462</x:v>
      </x:c>
      <x:c r="T1178" s="238" t="n">
        <x:f>ROUND(S1178-O1178,4)</x:f>
        <x:v>0</x:v>
      </x:c>
    </x:row>
    <x:row r="1179">
      <x:c r="A1179" s="187" t="str">
        <x:v>ACTUAL_2026_08_CLOSE_V1</x:v>
      </x:c>
      <x:c r="B1179" s="187" t="str">
        <x:v>ACTUAL</x:v>
      </x:c>
      <x:c r="C1179" s="187"/>
      <x:c r="D1179" s="217" t="n">
        <x:v>46235</x:v>
      </x:c>
      <x:c r="E1179" s="187" t="str">
        <x:v>R_GB_DE_A_ROAD</x:v>
      </x:c>
      <x:c r="F1179" s="187" t="str">
        <x:v>GB</x:v>
      </x:c>
      <x:c r="G1179" s="187" t="str">
        <x:v>DE_FC</x:v>
      </x:c>
      <x:c r="H1179" s="187" t="str">
        <x:v>CARRIER_A</x:v>
      </x:c>
      <x:c r="I1179" s="187" t="str">
        <x:v>ROAD</x:v>
      </x:c>
      <x:c r="J1179" s="187" t="str">
        <x:v>RETURN_LOGISTICS</x:v>
      </x:c>
      <x:c r="K1179" s="187" t="str">
        <x:v>GBP</x:v>
      </x:c>
      <x:c r="L1179" s="232" t="n">
        <x:v>976.0394552832</x:v>
      </x:c>
      <x:c r="M1179" s="232" t="n">
        <x:v>9.22</x:v>
      </x:c>
      <x:c r="N1179" s="187" t="str">
        <x:v>8999.08377771110400000</x:v>
      </x:c>
      <x:c r="O1179" s="235" t="n">
        <x:v>8999.0838</x:v>
      </x:c>
      <x:c r="P1179" s="235" t="n">
        <x:v>8999.0838</x:v>
      </x:c>
      <x:c r="Q1179" s="235" t="n">
        <x:v>0</x:v>
      </x:c>
      <x:c r="R1179" s="235" t="str">
        <x:v>INVOICE_OR_PLAN</x:v>
      </x:c>
      <x:c r="S1179" s="238" t="n">
        <x:f>'Model_Calc'!AV200</x:f>
        <x:v>8999.083777711103</x:v>
      </x:c>
      <x:c r="T1179" s="238" t="n">
        <x:f>ROUND(S1179-O1179,4)</x:f>
        <x:v>0</x:v>
      </x:c>
    </x:row>
    <x:row r="1180">
      <x:c r="A1180" s="187" t="str">
        <x:v>ACTUAL_2026_08_CLOSE_V1</x:v>
      </x:c>
      <x:c r="B1180" s="187" t="str">
        <x:v>ACTUAL</x:v>
      </x:c>
      <x:c r="C1180" s="187"/>
      <x:c r="D1180" s="217" t="n">
        <x:v>46235</x:v>
      </x:c>
      <x:c r="E1180" s="187" t="str">
        <x:v>R_GB_DE_A_ROAD</x:v>
      </x:c>
      <x:c r="F1180" s="187" t="str">
        <x:v>GB</x:v>
      </x:c>
      <x:c r="G1180" s="187" t="str">
        <x:v>DE_FC</x:v>
      </x:c>
      <x:c r="H1180" s="187" t="str">
        <x:v>CARRIER_A</x:v>
      </x:c>
      <x:c r="I1180" s="187" t="str">
        <x:v>ROAD</x:v>
      </x:c>
      <x:c r="J1180" s="187" t="str">
        <x:v>BILLABLE_EXCEPTION</x:v>
      </x:c>
      <x:c r="K1180" s="187" t="str">
        <x:v>GBP</x:v>
      </x:c>
      <x:c r="L1180" s="232" t="n">
        <x:v>163.021828066944</x:v>
      </x:c>
      <x:c r="M1180" s="232" t="n">
        <x:v>9.22</x:v>
      </x:c>
      <x:c r="N1180" s="187" t="str">
        <x:v>1503.0612547772236800000</x:v>
      </x:c>
      <x:c r="O1180" s="235" t="n">
        <x:v>1503.0613</x:v>
      </x:c>
      <x:c r="P1180" s="235" t="n">
        <x:v>1503.0613</x:v>
      </x:c>
      <x:c r="Q1180" s="235" t="n">
        <x:v>0</x:v>
      </x:c>
      <x:c r="R1180" s="235" t="str">
        <x:v>INVOICE_OR_PLAN</x:v>
      </x:c>
      <x:c r="S1180" s="238" t="n">
        <x:f>'Model_Calc'!BA200</x:f>
        <x:v>1503.0612547772234</x:v>
      </x:c>
      <x:c r="T1180" s="238" t="n">
        <x:f>ROUND(S1180-O1180,4)</x:f>
        <x:v>0</x:v>
      </x:c>
    </x:row>
    <x:row r="1181">
      <x:c r="A1181" s="187" t="str">
        <x:v>ACTUAL_2026_08_CLOSE_V1</x:v>
      </x:c>
      <x:c r="B1181" s="187" t="str">
        <x:v>ACTUAL</x:v>
      </x:c>
      <x:c r="C1181" s="187"/>
      <x:c r="D1181" s="217" t="n">
        <x:v>46235</x:v>
      </x:c>
      <x:c r="E1181" s="187" t="str">
        <x:v>R_GB_DE_B_ROAD</x:v>
      </x:c>
      <x:c r="F1181" s="187" t="str">
        <x:v>GB</x:v>
      </x:c>
      <x:c r="G1181" s="187" t="str">
        <x:v>DE_FC</x:v>
      </x:c>
      <x:c r="H1181" s="187" t="str">
        <x:v>CARRIER_B</x:v>
      </x:c>
      <x:c r="I1181" s="187" t="str">
        <x:v>ROAD</x:v>
      </x:c>
      <x:c r="J1181" s="187" t="str">
        <x:v>BASE_FREIGHT</x:v>
      </x:c>
      <x:c r="K1181" s="187" t="str">
        <x:v>GBP</x:v>
      </x:c>
      <x:c r="L1181" s="232" t="n">
        <x:v>6961.288726554082</x:v>
      </x:c>
      <x:c r="M1181" s="232" t="n">
        <x:v>9.22</x:v>
      </x:c>
      <x:c r="N1181" s="187" t="str">
        <x:v>64183.0820588286353024000000</x:v>
      </x:c>
      <x:c r="O1181" s="235" t="n">
        <x:v>64183.0821</x:v>
      </x:c>
      <x:c r="P1181" s="235" t="n">
        <x:v>64183.0821</x:v>
      </x:c>
      <x:c r="Q1181" s="235" t="n">
        <x:v>0</x:v>
      </x:c>
      <x:c r="R1181" s="235" t="str">
        <x:v>INVOICE_OR_PLAN</x:v>
      </x:c>
      <x:c r="S1181" s="238" t="n">
        <x:f>'Model_Calc'!AF201</x:f>
        <x:v>64183.082058828644</x:v>
      </x:c>
      <x:c r="T1181" s="238" t="n">
        <x:f>ROUND(S1181-O1181,4)</x:f>
        <x:v>0</x:v>
      </x:c>
    </x:row>
    <x:row r="1182">
      <x:c r="A1182" s="187" t="str">
        <x:v>ACTUAL_2026_08_CLOSE_V1</x:v>
      </x:c>
      <x:c r="B1182" s="187" t="str">
        <x:v>ACTUAL</x:v>
      </x:c>
      <x:c r="C1182" s="187"/>
      <x:c r="D1182" s="217" t="n">
        <x:v>46235</x:v>
      </x:c>
      <x:c r="E1182" s="187" t="str">
        <x:v>R_GB_DE_B_ROAD</x:v>
      </x:c>
      <x:c r="F1182" s="187" t="str">
        <x:v>GB</x:v>
      </x:c>
      <x:c r="G1182" s="187" t="str">
        <x:v>DE_FC</x:v>
      </x:c>
      <x:c r="H1182" s="187" t="str">
        <x:v>CARRIER_B</x:v>
      </x:c>
      <x:c r="I1182" s="187" t="str">
        <x:v>ROAD</x:v>
      </x:c>
      <x:c r="J1182" s="187" t="str">
        <x:v>FUEL_SURCHARGE</x:v>
      </x:c>
      <x:c r="K1182" s="187" t="str">
        <x:v>GBP</x:v>
      </x:c>
      <x:c r="L1182" s="232" t="n">
        <x:v>488.77133611975466</x:v>
      </x:c>
      <x:c r="M1182" s="232" t="n">
        <x:v>9.22</x:v>
      </x:c>
      <x:c r="N1182" s="187" t="str">
        <x:v>4506.4717190241382233600000</x:v>
      </x:c>
      <x:c r="O1182" s="235" t="n">
        <x:v>4506.4717</x:v>
      </x:c>
      <x:c r="P1182" s="235" t="n">
        <x:v>4506.4717</x:v>
      </x:c>
      <x:c r="Q1182" s="235" t="n">
        <x:v>0</x:v>
      </x:c>
      <x:c r="R1182" s="235" t="str">
        <x:v>INVOICE_OR_PLAN</x:v>
      </x:c>
      <x:c r="S1182" s="238" t="n">
        <x:f>'Model_Calc'!AG201</x:f>
        <x:v>4506.471719024138</x:v>
      </x:c>
      <x:c r="T1182" s="238" t="n">
        <x:f>ROUND(S1182-O1182,4)</x:f>
        <x:v>0</x:v>
      </x:c>
    </x:row>
    <x:row r="1183">
      <x:c r="A1183" s="187" t="str">
        <x:v>ACTUAL_2026_08_CLOSE_V1</x:v>
      </x:c>
      <x:c r="B1183" s="187" t="str">
        <x:v>ACTUAL</x:v>
      </x:c>
      <x:c r="C1183" s="187"/>
      <x:c r="D1183" s="217" t="n">
        <x:v>46235</x:v>
      </x:c>
      <x:c r="E1183" s="187" t="str">
        <x:v>R_GB_DE_B_ROAD</x:v>
      </x:c>
      <x:c r="F1183" s="187" t="str">
        <x:v>GB</x:v>
      </x:c>
      <x:c r="G1183" s="187" t="str">
        <x:v>DE_FC</x:v>
      </x:c>
      <x:c r="H1183" s="187" t="str">
        <x:v>CARRIER_B</x:v>
      </x:c>
      <x:c r="I1183" s="187" t="str">
        <x:v>ROAD</x:v>
      </x:c>
      <x:c r="J1183" s="187" t="str">
        <x:v>WAREHOUSE_OPERATION</x:v>
      </x:c>
      <x:c r="K1183" s="187" t="str">
        <x:v>EUR</x:v>
      </x:c>
      <x:c r="L1183" s="232" t="n">
        <x:v>1350.328755776</x:v>
      </x:c>
      <x:c r="M1183" s="232" t="n">
        <x:v>7.95</x:v>
      </x:c>
      <x:c r="N1183" s="187" t="str">
        <x:v>10735.11360841920000</x:v>
      </x:c>
      <x:c r="O1183" s="235" t="n">
        <x:v>10735.1136</x:v>
      </x:c>
      <x:c r="P1183" s="235" t="n">
        <x:v>10735.1136</x:v>
      </x:c>
      <x:c r="Q1183" s="235" t="n">
        <x:v>0</x:v>
      </x:c>
      <x:c r="R1183" s="235" t="str">
        <x:v>INVOICE_OR_PLAN</x:v>
      </x:c>
      <x:c r="S1183" s="238" t="n">
        <x:f>'Model_Calc'!AL201</x:f>
        <x:v>10735.1136084192</x:v>
      </x:c>
      <x:c r="T1183" s="238" t="n">
        <x:f>ROUND(S1183-O1183,4)</x:f>
        <x:v>0</x:v>
      </x:c>
    </x:row>
    <x:row r="1184">
      <x:c r="A1184" s="187" t="str">
        <x:v>ACTUAL_2026_08_CLOSE_V1</x:v>
      </x:c>
      <x:c r="B1184" s="187" t="str">
        <x:v>ACTUAL</x:v>
      </x:c>
      <x:c r="C1184" s="187"/>
      <x:c r="D1184" s="217" t="n">
        <x:v>46235</x:v>
      </x:c>
      <x:c r="E1184" s="187" t="str">
        <x:v>R_GB_DE_B_ROAD</x:v>
      </x:c>
      <x:c r="F1184" s="187" t="str">
        <x:v>GB</x:v>
      </x:c>
      <x:c r="G1184" s="187" t="str">
        <x:v>DE_FC</x:v>
      </x:c>
      <x:c r="H1184" s="187" t="str">
        <x:v>CARRIER_B</x:v>
      </x:c>
      <x:c r="I1184" s="187" t="str">
        <x:v>ROAD</x:v>
      </x:c>
      <x:c r="J1184" s="187" t="str">
        <x:v>PACKAGING</x:v>
      </x:c>
      <x:c r="K1184" s="187" t="str">
        <x:v>EUR</x:v>
      </x:c>
      <x:c r="L1184" s="232" t="n">
        <x:v>586.36309699968</x:v>
      </x:c>
      <x:c r="M1184" s="232" t="n">
        <x:v>7.95</x:v>
      </x:c>
      <x:c r="N1184" s="187" t="str">
        <x:v>4661.5866211474560000</x:v>
      </x:c>
      <x:c r="O1184" s="235" t="n">
        <x:v>4661.5866</x:v>
      </x:c>
      <x:c r="P1184" s="235" t="n">
        <x:v>4661.5866</x:v>
      </x:c>
      <x:c r="Q1184" s="235" t="n">
        <x:v>0</x:v>
      </x:c>
      <x:c r="R1184" s="235" t="str">
        <x:v>INVOICE_OR_PLAN</x:v>
      </x:c>
      <x:c r="S1184" s="238" t="n">
        <x:f>'Model_Calc'!AQ201</x:f>
        <x:v>4661.586621147455</x:v>
      </x:c>
      <x:c r="T1184" s="238" t="n">
        <x:f>ROUND(S1184-O1184,4)</x:f>
        <x:v>0</x:v>
      </x:c>
    </x:row>
    <x:row r="1185">
      <x:c r="A1185" s="187" t="str">
        <x:v>ACTUAL_2026_08_CLOSE_V1</x:v>
      </x:c>
      <x:c r="B1185" s="187" t="str">
        <x:v>ACTUAL</x:v>
      </x:c>
      <x:c r="C1185" s="187"/>
      <x:c r="D1185" s="217" t="n">
        <x:v>46235</x:v>
      </x:c>
      <x:c r="E1185" s="187" t="str">
        <x:v>R_GB_DE_B_ROAD</x:v>
      </x:c>
      <x:c r="F1185" s="187" t="str">
        <x:v>GB</x:v>
      </x:c>
      <x:c r="G1185" s="187" t="str">
        <x:v>DE_FC</x:v>
      </x:c>
      <x:c r="H1185" s="187" t="str">
        <x:v>CARRIER_B</x:v>
      </x:c>
      <x:c r="I1185" s="187" t="str">
        <x:v>ROAD</x:v>
      </x:c>
      <x:c r="J1185" s="187" t="str">
        <x:v>RETURN_LOGISTICS</x:v>
      </x:c>
      <x:c r="K1185" s="187" t="str">
        <x:v>GBP</x:v>
      </x:c>
      <x:c r="L1185" s="232" t="n">
        <x:v>576.7505872128</x:v>
      </x:c>
      <x:c r="M1185" s="232" t="n">
        <x:v>9.22</x:v>
      </x:c>
      <x:c r="N1185" s="187" t="str">
        <x:v>5317.64041410201600000</x:v>
      </x:c>
      <x:c r="O1185" s="235" t="n">
        <x:v>5317.6404</x:v>
      </x:c>
      <x:c r="P1185" s="235" t="n">
        <x:v>5317.6404</x:v>
      </x:c>
      <x:c r="Q1185" s="235" t="n">
        <x:v>0</x:v>
      </x:c>
      <x:c r="R1185" s="235" t="str">
        <x:v>INVOICE_OR_PLAN</x:v>
      </x:c>
      <x:c r="S1185" s="238" t="n">
        <x:f>'Model_Calc'!AV201</x:f>
        <x:v>5317.640414102017</x:v>
      </x:c>
      <x:c r="T1185" s="238" t="n">
        <x:f>ROUND(S1185-O1185,4)</x:f>
        <x:v>0</x:v>
      </x:c>
    </x:row>
    <x:row r="1186">
      <x:c r="A1186" s="187" t="str">
        <x:v>ACTUAL_2026_08_CLOSE_V1</x:v>
      </x:c>
      <x:c r="B1186" s="187" t="str">
        <x:v>ACTUAL</x:v>
      </x:c>
      <x:c r="C1186" s="187"/>
      <x:c r="D1186" s="217" t="n">
        <x:v>46235</x:v>
      </x:c>
      <x:c r="E1186" s="187" t="str">
        <x:v>R_GB_DE_B_ROAD</x:v>
      </x:c>
      <x:c r="F1186" s="187" t="str">
        <x:v>GB</x:v>
      </x:c>
      <x:c r="G1186" s="187" t="str">
        <x:v>DE_FC</x:v>
      </x:c>
      <x:c r="H1186" s="187" t="str">
        <x:v>CARRIER_B</x:v>
      </x:c>
      <x:c r="I1186" s="187" t="str">
        <x:v>ROAD</x:v>
      </x:c>
      <x:c r="J1186" s="187" t="str">
        <x:v>BILLABLE_EXCEPTION</x:v>
      </x:c>
      <x:c r="K1186" s="187" t="str">
        <x:v>GBP</x:v>
      </x:c>
      <x:c r="L1186" s="232" t="n">
        <x:v>70.6427921623424</x:v>
      </x:c>
      <x:c r="M1186" s="232" t="n">
        <x:v>9.22</x:v>
      </x:c>
      <x:c r="N1186" s="187" t="str">
        <x:v>651.3265437367969280000</x:v>
      </x:c>
      <x:c r="O1186" s="235" t="n">
        <x:v>651.3265</x:v>
      </x:c>
      <x:c r="P1186" s="235" t="n">
        <x:v>651.3265</x:v>
      </x:c>
      <x:c r="Q1186" s="235" t="n">
        <x:v>0</x:v>
      </x:c>
      <x:c r="R1186" s="235" t="str">
        <x:v>INVOICE_OR_PLAN</x:v>
      </x:c>
      <x:c r="S1186" s="238" t="n">
        <x:f>'Model_Calc'!BA201</x:f>
        <x:v>651.326543736797</x:v>
      </x:c>
      <x:c r="T1186" s="238" t="n">
        <x:f>ROUND(S1186-O1186,4)</x:f>
        <x:v>0</x:v>
      </x:c>
    </x:row>
    <x:row r="1187">
      <x:c r="A1187" s="187" t="str">
        <x:v>ACTUAL_2026_08_CLOSE_V1</x:v>
      </x:c>
      <x:c r="B1187" s="187" t="str">
        <x:v>ACTUAL</x:v>
      </x:c>
      <x:c r="C1187" s="187"/>
      <x:c r="D1187" s="217" t="n">
        <x:v>46235</x:v>
      </x:c>
      <x:c r="E1187" s="187" t="str">
        <x:v>R_GB_DE_B_AIR</x:v>
      </x:c>
      <x:c r="F1187" s="187" t="str">
        <x:v>GB</x:v>
      </x:c>
      <x:c r="G1187" s="187" t="str">
        <x:v>DE_FC</x:v>
      </x:c>
      <x:c r="H1187" s="187" t="str">
        <x:v>CARRIER_B</x:v>
      </x:c>
      <x:c r="I1187" s="187" t="str">
        <x:v>AIR</x:v>
      </x:c>
      <x:c r="J1187" s="187" t="str">
        <x:v>BASE_FREIGHT</x:v>
      </x:c>
      <x:c r="K1187" s="187" t="str">
        <x:v>GBP</x:v>
      </x:c>
      <x:c r="L1187" s="232" t="n">
        <x:v>17405.821252056063</x:v>
      </x:c>
      <x:c r="M1187" s="232" t="n">
        <x:v>9.22</x:v>
      </x:c>
      <x:c r="N1187" s="187" t="str">
        <x:v>160481.6719439568864768000000</x:v>
      </x:c>
      <x:c r="O1187" s="235" t="n">
        <x:v>160481.6719</x:v>
      </x:c>
      <x:c r="P1187" s="235" t="n">
        <x:v>160481.6719</x:v>
      </x:c>
      <x:c r="Q1187" s="235" t="n">
        <x:v>0</x:v>
      </x:c>
      <x:c r="R1187" s="235" t="str">
        <x:v>INVOICE_OR_PLAN</x:v>
      </x:c>
      <x:c r="S1187" s="238" t="n">
        <x:f>'Model_Calc'!AF202</x:f>
        <x:v>160481.67194395687</x:v>
      </x:c>
      <x:c r="T1187" s="238" t="n">
        <x:f>ROUND(S1187-O1187,4)</x:f>
        <x:v>0</x:v>
      </x:c>
    </x:row>
    <x:row r="1188">
      <x:c r="A1188" s="187" t="str">
        <x:v>ACTUAL_2026_08_CLOSE_V1</x:v>
      </x:c>
      <x:c r="B1188" s="187" t="str">
        <x:v>ACTUAL</x:v>
      </x:c>
      <x:c r="C1188" s="187"/>
      <x:c r="D1188" s="217" t="n">
        <x:v>46235</x:v>
      </x:c>
      <x:c r="E1188" s="187" t="str">
        <x:v>R_GB_DE_B_AIR</x:v>
      </x:c>
      <x:c r="F1188" s="187" t="str">
        <x:v>GB</x:v>
      </x:c>
      <x:c r="G1188" s="187" t="str">
        <x:v>DE_FC</x:v>
      </x:c>
      <x:c r="H1188" s="187" t="str">
        <x:v>CARRIER_B</x:v>
      </x:c>
      <x:c r="I1188" s="187" t="str">
        <x:v>AIR</x:v>
      </x:c>
      <x:c r="J1188" s="187" t="str">
        <x:v>FUEL_SURCHARGE</x:v>
      </x:c>
      <x:c r="K1188" s="187" t="str">
        <x:v>GBP</x:v>
      </x:c>
      <x:c r="L1188" s="232" t="n">
        <x:v>2196.3918474974485</x:v>
      </x:c>
      <x:c r="M1188" s="232" t="n">
        <x:v>9.22</x:v>
      </x:c>
      <x:c r="N1188" s="187" t="str">
        <x:v>20250.732833926476425225256960000000</x:v>
      </x:c>
      <x:c r="O1188" s="235" t="n">
        <x:v>20250.7328</x:v>
      </x:c>
      <x:c r="P1188" s="235" t="n">
        <x:v>20250.7328</x:v>
      </x:c>
      <x:c r="Q1188" s="235" t="n">
        <x:v>0</x:v>
      </x:c>
      <x:c r="R1188" s="235" t="str">
        <x:v>INVOICE_OR_PLAN</x:v>
      </x:c>
      <x:c r="S1188" s="238" t="n">
        <x:f>'Model_Calc'!AG202</x:f>
        <x:v>20250.732833926475</x:v>
      </x:c>
      <x:c r="T1188" s="238" t="n">
        <x:f>ROUND(S1188-O1188,4)</x:f>
        <x:v>0</x:v>
      </x:c>
    </x:row>
    <x:row r="1189">
      <x:c r="A1189" s="187" t="str">
        <x:v>ACTUAL_2026_08_CLOSE_V1</x:v>
      </x:c>
      <x:c r="B1189" s="187" t="str">
        <x:v>ACTUAL</x:v>
      </x:c>
      <x:c r="C1189" s="187"/>
      <x:c r="D1189" s="217" t="n">
        <x:v>46235</x:v>
      </x:c>
      <x:c r="E1189" s="187" t="str">
        <x:v>R_GB_DE_B_AIR</x:v>
      </x:c>
      <x:c r="F1189" s="187" t="str">
        <x:v>GB</x:v>
      </x:c>
      <x:c r="G1189" s="187" t="str">
        <x:v>DE_FC</x:v>
      </x:c>
      <x:c r="H1189" s="187" t="str">
        <x:v>CARRIER_B</x:v>
      </x:c>
      <x:c r="I1189" s="187" t="str">
        <x:v>AIR</x:v>
      </x:c>
      <x:c r="J1189" s="187" t="str">
        <x:v>WAREHOUSE_OPERATION</x:v>
      </x:c>
      <x:c r="K1189" s="187" t="str">
        <x:v>EUR</x:v>
      </x:c>
      <x:c r="L1189" s="232" t="n">
        <x:v>2596.7860688</x:v>
      </x:c>
      <x:c r="M1189" s="232" t="n">
        <x:v>7.95</x:v>
      </x:c>
      <x:c r="N1189" s="187" t="str">
        <x:v>20644.44924696000000</x:v>
      </x:c>
      <x:c r="O1189" s="235" t="n">
        <x:v>20644.4492</x:v>
      </x:c>
      <x:c r="P1189" s="235" t="n">
        <x:v>20644.4492</x:v>
      </x:c>
      <x:c r="Q1189" s="235" t="n">
        <x:v>0</x:v>
      </x:c>
      <x:c r="R1189" s="235" t="str">
        <x:v>INVOICE_OR_PLAN</x:v>
      </x:c>
      <x:c r="S1189" s="238" t="n">
        <x:f>'Model_Calc'!AL202</x:f>
        <x:v>20644.449246959997</x:v>
      </x:c>
      <x:c r="T1189" s="238" t="n">
        <x:f>ROUND(S1189-O1189,4)</x:f>
        <x:v>0</x:v>
      </x:c>
    </x:row>
    <x:row r="1190">
      <x:c r="A1190" s="187" t="str">
        <x:v>ACTUAL_2026_08_CLOSE_V1</x:v>
      </x:c>
      <x:c r="B1190" s="187" t="str">
        <x:v>ACTUAL</x:v>
      </x:c>
      <x:c r="C1190" s="187"/>
      <x:c r="D1190" s="217" t="n">
        <x:v>46235</x:v>
      </x:c>
      <x:c r="E1190" s="187" t="str">
        <x:v>R_GB_DE_B_AIR</x:v>
      </x:c>
      <x:c r="F1190" s="187" t="str">
        <x:v>GB</x:v>
      </x:c>
      <x:c r="G1190" s="187" t="str">
        <x:v>DE_FC</x:v>
      </x:c>
      <x:c r="H1190" s="187" t="str">
        <x:v>CARRIER_B</x:v>
      </x:c>
      <x:c r="I1190" s="187" t="str">
        <x:v>AIR</x:v>
      </x:c>
      <x:c r="J1190" s="187" t="str">
        <x:v>PACKAGING</x:v>
      </x:c>
      <x:c r="K1190" s="187" t="str">
        <x:v>EUR</x:v>
      </x:c>
      <x:c r="L1190" s="232" t="n">
        <x:v>1127.621340384</x:v>
      </x:c>
      <x:c r="M1190" s="232" t="n">
        <x:v>7.95</x:v>
      </x:c>
      <x:c r="N1190" s="187" t="str">
        <x:v>8964.5896560528000000</x:v>
      </x:c>
      <x:c r="O1190" s="235" t="n">
        <x:v>8964.5897</x:v>
      </x:c>
      <x:c r="P1190" s="235" t="n">
        <x:v>8964.5897</x:v>
      </x:c>
      <x:c r="Q1190" s="235" t="n">
        <x:v>0</x:v>
      </x:c>
      <x:c r="R1190" s="235" t="str">
        <x:v>INVOICE_OR_PLAN</x:v>
      </x:c>
      <x:c r="S1190" s="238" t="n">
        <x:f>'Model_Calc'!AQ202</x:f>
        <x:v>8964.589656052798</x:v>
      </x:c>
      <x:c r="T1190" s="238" t="n">
        <x:f>ROUND(S1190-O1190,4)</x:f>
        <x:v>0</x:v>
      </x:c>
    </x:row>
    <x:row r="1191">
      <x:c r="A1191" s="187" t="str">
        <x:v>ACTUAL_2026_08_CLOSE_V1</x:v>
      </x:c>
      <x:c r="B1191" s="187" t="str">
        <x:v>ACTUAL</x:v>
      </x:c>
      <x:c r="C1191" s="187"/>
      <x:c r="D1191" s="217" t="n">
        <x:v>46235</x:v>
      </x:c>
      <x:c r="E1191" s="187" t="str">
        <x:v>R_GB_DE_B_AIR</x:v>
      </x:c>
      <x:c r="F1191" s="187" t="str">
        <x:v>GB</x:v>
      </x:c>
      <x:c r="G1191" s="187" t="str">
        <x:v>DE_FC</x:v>
      </x:c>
      <x:c r="H1191" s="187" t="str">
        <x:v>CARRIER_B</x:v>
      </x:c>
      <x:c r="I1191" s="187" t="str">
        <x:v>AIR</x:v>
      </x:c>
      <x:c r="J1191" s="187" t="str">
        <x:v>RETURN_LOGISTICS</x:v>
      </x:c>
      <x:c r="K1191" s="187" t="str">
        <x:v>GBP</x:v>
      </x:c>
      <x:c r="L1191" s="232" t="n">
        <x:v>1109.13574464</x:v>
      </x:c>
      <x:c r="M1191" s="232" t="n">
        <x:v>9.22</x:v>
      </x:c>
      <x:c r="N1191" s="187" t="str">
        <x:v>10226.23156558080000000</x:v>
      </x:c>
      <x:c r="O1191" s="235" t="n">
        <x:v>10226.2316</x:v>
      </x:c>
      <x:c r="P1191" s="235" t="n">
        <x:v>10226.2316</x:v>
      </x:c>
      <x:c r="Q1191" s="235" t="n">
        <x:v>0</x:v>
      </x:c>
      <x:c r="R1191" s="235" t="str">
        <x:v>INVOICE_OR_PLAN</x:v>
      </x:c>
      <x:c r="S1191" s="238" t="n">
        <x:f>'Model_Calc'!AV202</x:f>
        <x:v>10226.2315655808</x:v>
      </x:c>
      <x:c r="T1191" s="238" t="n">
        <x:f>ROUND(S1191-O1191,4)</x:f>
        <x:v>0</x:v>
      </x:c>
    </x:row>
    <x:row r="1192">
      <x:c r="A1192" s="187" t="str">
        <x:v>ACTUAL_2026_08_CLOSE_V1</x:v>
      </x:c>
      <x:c r="B1192" s="187" t="str">
        <x:v>ACTUAL</x:v>
      </x:c>
      <x:c r="C1192" s="187"/>
      <x:c r="D1192" s="217" t="n">
        <x:v>46235</x:v>
      </x:c>
      <x:c r="E1192" s="187" t="str">
        <x:v>R_GB_DE_B_AIR</x:v>
      </x:c>
      <x:c r="F1192" s="187" t="str">
        <x:v>GB</x:v>
      </x:c>
      <x:c r="G1192" s="187" t="str">
        <x:v>DE_FC</x:v>
      </x:c>
      <x:c r="H1192" s="187" t="str">
        <x:v>CARRIER_B</x:v>
      </x:c>
      <x:c r="I1192" s="187" t="str">
        <x:v>AIR</x:v>
      </x:c>
      <x:c r="J1192" s="187" t="str">
        <x:v>BILLABLE_EXCEPTION</x:v>
      </x:c>
      <x:c r="K1192" s="187" t="str">
        <x:v>GBP</x:v>
      </x:c>
      <x:c r="L1192" s="232" t="n">
        <x:v>127.79708524352</x:v>
      </x:c>
      <x:c r="M1192" s="232" t="n">
        <x:v>9.22</x:v>
      </x:c>
      <x:c r="N1192" s="187" t="str">
        <x:v>1178.2891259452544000000</x:v>
      </x:c>
      <x:c r="O1192" s="235" t="n">
        <x:v>1178.2891</x:v>
      </x:c>
      <x:c r="P1192" s="235" t="n">
        <x:v>1178.2891</x:v>
      </x:c>
      <x:c r="Q1192" s="235" t="n">
        <x:v>0</x:v>
      </x:c>
      <x:c r="R1192" s="235" t="str">
        <x:v>INVOICE_OR_PLAN</x:v>
      </x:c>
      <x:c r="S1192" s="238" t="n">
        <x:f>'Model_Calc'!BA202</x:f>
        <x:v>1178.2891259452545</x:v>
      </x:c>
      <x:c r="T1192" s="238" t="n">
        <x:f>ROUND(S1192-O1192,4)</x:f>
        <x:v>0</x:v>
      </x:c>
    </x:row>
    <x:row r="1193">
      <x:c r="A1193" s="187" t="str">
        <x:v>ACTUAL_2026_08_CLOSE_V1</x:v>
      </x:c>
      <x:c r="B1193" s="187" t="str">
        <x:v>ACTUAL</x:v>
      </x:c>
      <x:c r="C1193" s="187"/>
      <x:c r="D1193" s="217" t="n">
        <x:v>46235</x:v>
      </x:c>
      <x:c r="E1193" s="187" t="str">
        <x:v>R_GB_DE_C_AIR</x:v>
      </x:c>
      <x:c r="F1193" s="187" t="str">
        <x:v>GB</x:v>
      </x:c>
      <x:c r="G1193" s="187" t="str">
        <x:v>DE_FC</x:v>
      </x:c>
      <x:c r="H1193" s="187" t="str">
        <x:v>CARRIER_C</x:v>
      </x:c>
      <x:c r="I1193" s="187" t="str">
        <x:v>AIR</x:v>
      </x:c>
      <x:c r="J1193" s="187" t="str">
        <x:v>BASE_FREIGHT</x:v>
      </x:c>
      <x:c r="K1193" s="187" t="str">
        <x:v>GBP</x:v>
      </x:c>
      <x:c r="L1193" s="232" t="n">
        <x:v>34193.087428732106</x:v>
      </x:c>
      <x:c r="M1193" s="232" t="n">
        <x:v>9.22</x:v>
      </x:c>
      <x:c r="N1193" s="187" t="str">
        <x:v>315260.2660929100431360000000</x:v>
      </x:c>
      <x:c r="O1193" s="235" t="n">
        <x:v>315260.2661</x:v>
      </x:c>
      <x:c r="P1193" s="235" t="n">
        <x:v>315260.2661</x:v>
      </x:c>
      <x:c r="Q1193" s="235" t="n">
        <x:v>0</x:v>
      </x:c>
      <x:c r="R1193" s="235" t="str">
        <x:v>INVOICE_OR_PLAN</x:v>
      </x:c>
      <x:c r="S1193" s="238" t="n">
        <x:f>'Model_Calc'!AF203</x:f>
        <x:v>315260.26609291</x:v>
      </x:c>
      <x:c r="T1193" s="238" t="n">
        <x:f>ROUND(S1193-O1193,4)</x:f>
        <x:v>0</x:v>
      </x:c>
    </x:row>
    <x:row r="1194">
      <x:c r="A1194" s="187" t="str">
        <x:v>ACTUAL_2026_08_CLOSE_V1</x:v>
      </x:c>
      <x:c r="B1194" s="187" t="str">
        <x:v>ACTUAL</x:v>
      </x:c>
      <x:c r="C1194" s="187"/>
      <x:c r="D1194" s="217" t="n">
        <x:v>46235</x:v>
      </x:c>
      <x:c r="E1194" s="187" t="str">
        <x:v>R_GB_DE_C_AIR</x:v>
      </x:c>
      <x:c r="F1194" s="187" t="str">
        <x:v>GB</x:v>
      </x:c>
      <x:c r="G1194" s="187" t="str">
        <x:v>DE_FC</x:v>
      </x:c>
      <x:c r="H1194" s="187" t="str">
        <x:v>CARRIER_C</x:v>
      </x:c>
      <x:c r="I1194" s="187" t="str">
        <x:v>AIR</x:v>
      </x:c>
      <x:c r="J1194" s="187" t="str">
        <x:v>FUEL_SURCHARGE</x:v>
      </x:c>
      <x:c r="K1194" s="187" t="str">
        <x:v>GBP</x:v>
      </x:c>
      <x:c r="L1194" s="232" t="n">
        <x:v>2644.2654278219497</x:v>
      </x:c>
      <x:c r="M1194" s="232" t="n">
        <x:v>9.22</x:v>
      </x:c>
      <x:c r="N1194" s="187" t="str">
        <x:v>24380.1272445183766691840000</x:v>
      </x:c>
      <x:c r="O1194" s="235" t="n">
        <x:v>24380.1272</x:v>
      </x:c>
      <x:c r="P1194" s="235" t="n">
        <x:v>24380.1272</x:v>
      </x:c>
      <x:c r="Q1194" s="235" t="n">
        <x:v>0</x:v>
      </x:c>
      <x:c r="R1194" s="235" t="str">
        <x:v>INVOICE_OR_PLAN</x:v>
      </x:c>
      <x:c r="S1194" s="238" t="n">
        <x:f>'Model_Calc'!AG203</x:f>
        <x:v>24380.12724451838</x:v>
      </x:c>
      <x:c r="T1194" s="238" t="n">
        <x:f>ROUND(S1194-O1194,4)</x:f>
        <x:v>0</x:v>
      </x:c>
    </x:row>
    <x:row r="1195">
      <x:c r="A1195" s="187" t="str">
        <x:v>ACTUAL_2026_08_CLOSE_V1</x:v>
      </x:c>
      <x:c r="B1195" s="187" t="str">
        <x:v>ACTUAL</x:v>
      </x:c>
      <x:c r="C1195" s="187"/>
      <x:c r="D1195" s="217" t="n">
        <x:v>46235</x:v>
      </x:c>
      <x:c r="E1195" s="187" t="str">
        <x:v>R_GB_DE_C_AIR</x:v>
      </x:c>
      <x:c r="F1195" s="187" t="str">
        <x:v>GB</x:v>
      </x:c>
      <x:c r="G1195" s="187" t="str">
        <x:v>DE_FC</x:v>
      </x:c>
      <x:c r="H1195" s="187" t="str">
        <x:v>CARRIER_C</x:v>
      </x:c>
      <x:c r="I1195" s="187" t="str">
        <x:v>AIR</x:v>
      </x:c>
      <x:c r="J1195" s="187" t="str">
        <x:v>WAREHOUSE_OPERATION</x:v>
      </x:c>
      <x:c r="K1195" s="187" t="str">
        <x:v>EUR</x:v>
      </x:c>
      <x:c r="L1195" s="232" t="n">
        <x:v>4154.85771008</x:v>
      </x:c>
      <x:c r="M1195" s="232" t="n">
        <x:v>7.95</x:v>
      </x:c>
      <x:c r="N1195" s="187" t="str">
        <x:v>33031.11879513600000</x:v>
      </x:c>
      <x:c r="O1195" s="235" t="n">
        <x:v>33031.1188</x:v>
      </x:c>
      <x:c r="P1195" s="235" t="n">
        <x:v>33031.1188</x:v>
      </x:c>
      <x:c r="Q1195" s="235" t="n">
        <x:v>0</x:v>
      </x:c>
      <x:c r="R1195" s="235" t="str">
        <x:v>INVOICE_OR_PLAN</x:v>
      </x:c>
      <x:c r="S1195" s="238" t="n">
        <x:f>'Model_Calc'!AL203</x:f>
        <x:v>33031.118795136</x:v>
      </x:c>
      <x:c r="T1195" s="238" t="n">
        <x:f>ROUND(S1195-O1195,4)</x:f>
        <x:v>0</x:v>
      </x:c>
    </x:row>
    <x:row r="1196">
      <x:c r="A1196" s="187" t="str">
        <x:v>ACTUAL_2026_08_CLOSE_V1</x:v>
      </x:c>
      <x:c r="B1196" s="187" t="str">
        <x:v>ACTUAL</x:v>
      </x:c>
      <x:c r="C1196" s="187"/>
      <x:c r="D1196" s="217" t="n">
        <x:v>46235</x:v>
      </x:c>
      <x:c r="E1196" s="187" t="str">
        <x:v>R_GB_DE_C_AIR</x:v>
      </x:c>
      <x:c r="F1196" s="187" t="str">
        <x:v>GB</x:v>
      </x:c>
      <x:c r="G1196" s="187" t="str">
        <x:v>DE_FC</x:v>
      </x:c>
      <x:c r="H1196" s="187" t="str">
        <x:v>CARRIER_C</x:v>
      </x:c>
      <x:c r="I1196" s="187" t="str">
        <x:v>AIR</x:v>
      </x:c>
      <x:c r="J1196" s="187" t="str">
        <x:v>PACKAGING</x:v>
      </x:c>
      <x:c r="K1196" s="187" t="str">
        <x:v>EUR</x:v>
      </x:c>
      <x:c r="L1196" s="232" t="n">
        <x:v>1804.1941446144</x:v>
      </x:c>
      <x:c r="M1196" s="232" t="n">
        <x:v>7.95</x:v>
      </x:c>
      <x:c r="N1196" s="187" t="str">
        <x:v>14343.3434496844800000</x:v>
      </x:c>
      <x:c r="O1196" s="235" t="n">
        <x:v>14343.3434</x:v>
      </x:c>
      <x:c r="P1196" s="235" t="n">
        <x:v>14343.3434</x:v>
      </x:c>
      <x:c r="Q1196" s="235" t="n">
        <x:v>0</x:v>
      </x:c>
      <x:c r="R1196" s="235" t="str">
        <x:v>INVOICE_OR_PLAN</x:v>
      </x:c>
      <x:c r="S1196" s="238" t="n">
        <x:f>'Model_Calc'!AQ203</x:f>
        <x:v>14343.34344968448</x:v>
      </x:c>
      <x:c r="T1196" s="238" t="n">
        <x:f>ROUND(S1196-O1196,4)</x:f>
        <x:v>0</x:v>
      </x:c>
    </x:row>
    <x:row r="1197">
      <x:c r="A1197" s="187" t="str">
        <x:v>ACTUAL_2026_08_CLOSE_V1</x:v>
      </x:c>
      <x:c r="B1197" s="187" t="str">
        <x:v>ACTUAL</x:v>
      </x:c>
      <x:c r="C1197" s="187"/>
      <x:c r="D1197" s="217" t="n">
        <x:v>46235</x:v>
      </x:c>
      <x:c r="E1197" s="187" t="str">
        <x:v>R_GB_DE_C_AIR</x:v>
      </x:c>
      <x:c r="F1197" s="187" t="str">
        <x:v>GB</x:v>
      </x:c>
      <x:c r="G1197" s="187" t="str">
        <x:v>DE_FC</x:v>
      </x:c>
      <x:c r="H1197" s="187" t="str">
        <x:v>CARRIER_C</x:v>
      </x:c>
      <x:c r="I1197" s="187" t="str">
        <x:v>AIR</x:v>
      </x:c>
      <x:c r="J1197" s="187" t="str">
        <x:v>RETURN_LOGISTICS</x:v>
      </x:c>
      <x:c r="K1197" s="187" t="str">
        <x:v>GBP</x:v>
      </x:c>
      <x:c r="L1197" s="232" t="n">
        <x:v>1774.617191424</x:v>
      </x:c>
      <x:c r="M1197" s="232" t="n">
        <x:v>9.22</x:v>
      </x:c>
      <x:c r="N1197" s="187" t="str">
        <x:v>16361.97050492928000000</x:v>
      </x:c>
      <x:c r="O1197" s="235" t="n">
        <x:v>16361.9705</x:v>
      </x:c>
      <x:c r="P1197" s="235" t="n">
        <x:v>16361.9705</x:v>
      </x:c>
      <x:c r="Q1197" s="235" t="n">
        <x:v>0</x:v>
      </x:c>
      <x:c r="R1197" s="235" t="str">
        <x:v>INVOICE_OR_PLAN</x:v>
      </x:c>
      <x:c r="S1197" s="238" t="n">
        <x:f>'Model_Calc'!AV203</x:f>
        <x:v>16361.970504929282</x:v>
      </x:c>
      <x:c r="T1197" s="238" t="n">
        <x:f>ROUND(S1197-O1197,4)</x:f>
        <x:v>0</x:v>
      </x:c>
    </x:row>
    <x:row r="1198">
      <x:c r="A1198" s="187" t="str">
        <x:v>ACTUAL_2026_08_CLOSE_V1</x:v>
      </x:c>
      <x:c r="B1198" s="187" t="str">
        <x:v>ACTUAL</x:v>
      </x:c>
      <x:c r="C1198" s="187"/>
      <x:c r="D1198" s="217" t="n">
        <x:v>46235</x:v>
      </x:c>
      <x:c r="E1198" s="187" t="str">
        <x:v>R_GB_DE_C_AIR</x:v>
      </x:c>
      <x:c r="F1198" s="187" t="str">
        <x:v>GB</x:v>
      </x:c>
      <x:c r="G1198" s="187" t="str">
        <x:v>DE_FC</x:v>
      </x:c>
      <x:c r="H1198" s="187" t="str">
        <x:v>CARRIER_C</x:v>
      </x:c>
      <x:c r="I1198" s="187" t="str">
        <x:v>AIR</x:v>
      </x:c>
      <x:c r="J1198" s="187" t="str">
        <x:v>BILLABLE_EXCEPTION</x:v>
      </x:c>
      <x:c r="K1198" s="187" t="str">
        <x:v>GBP</x:v>
      </x:c>
      <x:c r="L1198" s="232" t="n">
        <x:v>185.574254874624</x:v>
      </x:c>
      <x:c r="M1198" s="232" t="n">
        <x:v>9.22</x:v>
      </x:c>
      <x:c r="N1198" s="187" t="str">
        <x:v>1710.9946299440332800000</x:v>
      </x:c>
      <x:c r="O1198" s="235" t="n">
        <x:v>1710.9946</x:v>
      </x:c>
      <x:c r="P1198" s="235" t="n">
        <x:v>1710.9946</x:v>
      </x:c>
      <x:c r="Q1198" s="235" t="n">
        <x:v>0</x:v>
      </x:c>
      <x:c r="R1198" s="235" t="str">
        <x:v>INVOICE_OR_PLAN</x:v>
      </x:c>
      <x:c r="S1198" s="238" t="n">
        <x:f>'Model_Calc'!BA203</x:f>
        <x:v>1710.9946299440332</x:v>
      </x:c>
      <x:c r="T1198" s="238" t="n">
        <x:f>ROUND(S1198-O1198,4)</x:f>
        <x:v>0</x:v>
      </x:c>
    </x:row>
    <x:row r="1199">
      <x:c r="A1199" s="187" t="str">
        <x:v>ACTUAL_2026_08_CLOSE_V1</x:v>
      </x:c>
      <x:c r="B1199" s="187" t="str">
        <x:v>ACTUAL</x:v>
      </x:c>
      <x:c r="C1199" s="187"/>
      <x:c r="D1199" s="217" t="n">
        <x:v>46235</x:v>
      </x:c>
      <x:c r="E1199" s="187" t="str">
        <x:v>R_GB_FR_B_AIR</x:v>
      </x:c>
      <x:c r="F1199" s="187" t="str">
        <x:v>GB</x:v>
      </x:c>
      <x:c r="G1199" s="187" t="str">
        <x:v>FR_FC</x:v>
      </x:c>
      <x:c r="H1199" s="187" t="str">
        <x:v>CARRIER_B</x:v>
      </x:c>
      <x:c r="I1199" s="187" t="str">
        <x:v>AIR</x:v>
      </x:c>
      <x:c r="J1199" s="187" t="str">
        <x:v>BASE_FREIGHT</x:v>
      </x:c>
      <x:c r="K1199" s="187" t="str">
        <x:v>EUR</x:v>
      </x:c>
      <x:c r="L1199" s="232" t="n">
        <x:v>1995.26333130432</x:v>
      </x:c>
      <x:c r="M1199" s="232" t="n">
        <x:v>7.95</x:v>
      </x:c>
      <x:c r="N1199" s="187" t="str">
        <x:v>15862.343483869344000000</x:v>
      </x:c>
      <x:c r="O1199" s="235" t="n">
        <x:v>15862.3435</x:v>
      </x:c>
      <x:c r="P1199" s="235" t="n">
        <x:v>15862.3435</x:v>
      </x:c>
      <x:c r="Q1199" s="235" t="n">
        <x:v>0</x:v>
      </x:c>
      <x:c r="R1199" s="235" t="str">
        <x:v>INVOICE_OR_PLAN</x:v>
      </x:c>
      <x:c r="S1199" s="238" t="n">
        <x:f>'Model_Calc'!AF204</x:f>
        <x:v>15862.343483869343</x:v>
      </x:c>
      <x:c r="T1199" s="238" t="n">
        <x:f>ROUND(S1199-O1199,4)</x:f>
        <x:v>0</x:v>
      </x:c>
    </x:row>
    <x:row r="1200">
      <x:c r="A1200" s="187" t="str">
        <x:v>ACTUAL_2026_08_CLOSE_V1</x:v>
      </x:c>
      <x:c r="B1200" s="187" t="str">
        <x:v>ACTUAL</x:v>
      </x:c>
      <x:c r="C1200" s="187"/>
      <x:c r="D1200" s="217" t="n">
        <x:v>46235</x:v>
      </x:c>
      <x:c r="E1200" s="187" t="str">
        <x:v>R_GB_FR_B_AIR</x:v>
      </x:c>
      <x:c r="F1200" s="187" t="str">
        <x:v>GB</x:v>
      </x:c>
      <x:c r="G1200" s="187" t="str">
        <x:v>FR_FC</x:v>
      </x:c>
      <x:c r="H1200" s="187" t="str">
        <x:v>CARRIER_B</x:v>
      </x:c>
      <x:c r="I1200" s="187" t="str">
        <x:v>AIR</x:v>
      </x:c>
      <x:c r="J1200" s="187" t="str">
        <x:v>FUEL_SURCHARGE</x:v>
      </x:c>
      <x:c r="K1200" s="187" t="str">
        <x:v>EUR</x:v>
      </x:c>
      <x:c r="L1200" s="232" t="n">
        <x:v>212.85469218354487</x:v>
      </x:c>
      <x:c r="M1200" s="232" t="n">
        <x:v>7.95</x:v>
      </x:c>
      <x:c r="N1200" s="187" t="str">
        <x:v>1692.194802859181617920000000</x:v>
      </x:c>
      <x:c r="O1200" s="235" t="n">
        <x:v>1692.1948</x:v>
      </x:c>
      <x:c r="P1200" s="235" t="n">
        <x:v>1692.1948</x:v>
      </x:c>
      <x:c r="Q1200" s="235" t="n">
        <x:v>0</x:v>
      </x:c>
      <x:c r="R1200" s="235" t="str">
        <x:v>INVOICE_OR_PLAN</x:v>
      </x:c>
      <x:c r="S1200" s="238" t="n">
        <x:f>'Model_Calc'!AG204</x:f>
        <x:v>1692.1948028591812</x:v>
      </x:c>
      <x:c r="T1200" s="238" t="n">
        <x:f>ROUND(S1200-O1200,4)</x:f>
        <x:v>0</x:v>
      </x:c>
    </x:row>
    <x:row r="1201">
      <x:c r="A1201" s="187" t="str">
        <x:v>ACTUAL_2026_08_CLOSE_V1</x:v>
      </x:c>
      <x:c r="B1201" s="187" t="str">
        <x:v>ACTUAL</x:v>
      </x:c>
      <x:c r="C1201" s="187"/>
      <x:c r="D1201" s="217" t="n">
        <x:v>46235</x:v>
      </x:c>
      <x:c r="E1201" s="187" t="str">
        <x:v>R_GB_FR_B_AIR</x:v>
      </x:c>
      <x:c r="F1201" s="187" t="str">
        <x:v>GB</x:v>
      </x:c>
      <x:c r="G1201" s="187" t="str">
        <x:v>FR_FC</x:v>
      </x:c>
      <x:c r="H1201" s="187" t="str">
        <x:v>CARRIER_B</x:v>
      </x:c>
      <x:c r="I1201" s="187" t="str">
        <x:v>AIR</x:v>
      </x:c>
      <x:c r="J1201" s="187" t="str">
        <x:v>WAREHOUSE_OPERATION</x:v>
      </x:c>
      <x:c r="K1201" s="187" t="str">
        <x:v>EUR</x:v>
      </x:c>
      <x:c r="L1201" s="232" t="n">
        <x:v>285.859728</x:v>
      </x:c>
      <x:c r="M1201" s="232" t="n">
        <x:v>7.95</x:v>
      </x:c>
      <x:c r="N1201" s="187" t="str">
        <x:v>2272.584837600000</x:v>
      </x:c>
      <x:c r="O1201" s="235" t="n">
        <x:v>2272.5848</x:v>
      </x:c>
      <x:c r="P1201" s="235" t="n">
        <x:v>2272.5848</x:v>
      </x:c>
      <x:c r="Q1201" s="235" t="n">
        <x:v>0</x:v>
      </x:c>
      <x:c r="R1201" s="235" t="str">
        <x:v>INVOICE_OR_PLAN</x:v>
      </x:c>
      <x:c r="S1201" s="238" t="n">
        <x:f>'Model_Calc'!AL204</x:f>
        <x:v>2272.5848376</x:v>
      </x:c>
      <x:c r="T1201" s="238" t="n">
        <x:f>ROUND(S1201-O1201,4)</x:f>
        <x:v>0</x:v>
      </x:c>
    </x:row>
    <x:row r="1202">
      <x:c r="A1202" s="187" t="str">
        <x:v>ACTUAL_2026_08_CLOSE_V1</x:v>
      </x:c>
      <x:c r="B1202" s="187" t="str">
        <x:v>ACTUAL</x:v>
      </x:c>
      <x:c r="C1202" s="187"/>
      <x:c r="D1202" s="217" t="n">
        <x:v>46235</x:v>
      </x:c>
      <x:c r="E1202" s="187" t="str">
        <x:v>R_GB_FR_B_AIR</x:v>
      </x:c>
      <x:c r="F1202" s="187" t="str">
        <x:v>GB</x:v>
      </x:c>
      <x:c r="G1202" s="187" t="str">
        <x:v>FR_FC</x:v>
      </x:c>
      <x:c r="H1202" s="187" t="str">
        <x:v>CARRIER_B</x:v>
      </x:c>
      <x:c r="I1202" s="187" t="str">
        <x:v>AIR</x:v>
      </x:c>
      <x:c r="J1202" s="187" t="str">
        <x:v>PACKAGING</x:v>
      </x:c>
      <x:c r="K1202" s="187" t="str">
        <x:v>EUR</x:v>
      </x:c>
      <x:c r="L1202" s="232" t="n">
        <x:v>122.075716224</x:v>
      </x:c>
      <x:c r="M1202" s="232" t="n">
        <x:v>7.95</x:v>
      </x:c>
      <x:c r="N1202" s="187" t="str">
        <x:v>970.50194398080000</x:v>
      </x:c>
      <x:c r="O1202" s="235" t="n">
        <x:v>970.5019</x:v>
      </x:c>
      <x:c r="P1202" s="235" t="n">
        <x:v>970.5019</x:v>
      </x:c>
      <x:c r="Q1202" s="235" t="n">
        <x:v>0</x:v>
      </x:c>
      <x:c r="R1202" s="235" t="str">
        <x:v>INVOICE_OR_PLAN</x:v>
      </x:c>
      <x:c r="S1202" s="238" t="n">
        <x:f>'Model_Calc'!AQ204</x:f>
        <x:v>970.5019439808</x:v>
      </x:c>
      <x:c r="T1202" s="238" t="n">
        <x:f>ROUND(S1202-O1202,4)</x:f>
        <x:v>0</x:v>
      </x:c>
    </x:row>
    <x:row r="1203">
      <x:c r="A1203" s="187" t="str">
        <x:v>ACTUAL_2026_08_CLOSE_V1</x:v>
      </x:c>
      <x:c r="B1203" s="187" t="str">
        <x:v>ACTUAL</x:v>
      </x:c>
      <x:c r="C1203" s="187"/>
      <x:c r="D1203" s="217" t="n">
        <x:v>46235</x:v>
      </x:c>
      <x:c r="E1203" s="187" t="str">
        <x:v>R_GB_FR_B_AIR</x:v>
      </x:c>
      <x:c r="F1203" s="187" t="str">
        <x:v>GB</x:v>
      </x:c>
      <x:c r="G1203" s="187" t="str">
        <x:v>FR_FC</x:v>
      </x:c>
      <x:c r="H1203" s="187" t="str">
        <x:v>CARRIER_B</x:v>
      </x:c>
      <x:c r="I1203" s="187" t="str">
        <x:v>AIR</x:v>
      </x:c>
      <x:c r="J1203" s="187" t="str">
        <x:v>RETURN_LOGISTICS</x:v>
      </x:c>
      <x:c r="K1203" s="187" t="str">
        <x:v>EUR</x:v>
      </x:c>
      <x:c r="L1203" s="232" t="n">
        <x:v>148.64705856</x:v>
      </x:c>
      <x:c r="M1203" s="232" t="n">
        <x:v>7.95</x:v>
      </x:c>
      <x:c r="N1203" s="187" t="str">
        <x:v>1181.744115552000000</x:v>
      </x:c>
      <x:c r="O1203" s="235" t="n">
        <x:v>1181.7441</x:v>
      </x:c>
      <x:c r="P1203" s="235" t="n">
        <x:v>1181.7441</x:v>
      </x:c>
      <x:c r="Q1203" s="235" t="n">
        <x:v>0</x:v>
      </x:c>
      <x:c r="R1203" s="235" t="str">
        <x:v>INVOICE_OR_PLAN</x:v>
      </x:c>
      <x:c r="S1203" s="238" t="n">
        <x:f>'Model_Calc'!AV204</x:f>
        <x:v>1181.7441155519998</x:v>
      </x:c>
      <x:c r="T1203" s="238" t="n">
        <x:f>ROUND(S1203-O1203,4)</x:f>
        <x:v>0</x:v>
      </x:c>
    </x:row>
    <x:row r="1204">
      <x:c r="A1204" s="187" t="str">
        <x:v>ACTUAL_2026_08_CLOSE_V1</x:v>
      </x:c>
      <x:c r="B1204" s="187" t="str">
        <x:v>ACTUAL</x:v>
      </x:c>
      <x:c r="C1204" s="187"/>
      <x:c r="D1204" s="217" t="n">
        <x:v>46235</x:v>
      </x:c>
      <x:c r="E1204" s="187" t="str">
        <x:v>R_GB_FR_B_AIR</x:v>
      </x:c>
      <x:c r="F1204" s="187" t="str">
        <x:v>GB</x:v>
      </x:c>
      <x:c r="G1204" s="187" t="str">
        <x:v>FR_FC</x:v>
      </x:c>
      <x:c r="H1204" s="187" t="str">
        <x:v>CARRIER_B</x:v>
      </x:c>
      <x:c r="I1204" s="187" t="str">
        <x:v>AIR</x:v>
      </x:c>
      <x:c r="J1204" s="187" t="str">
        <x:v>BILLABLE_EXCEPTION</x:v>
      </x:c>
      <x:c r="K1204" s="187" t="str">
        <x:v>EUR</x:v>
      </x:c>
      <x:c r="L1204" s="232" t="n">
        <x:v>13.4925791616</x:v>
      </x:c>
      <x:c r="M1204" s="232" t="n">
        <x:v>7.95</x:v>
      </x:c>
      <x:c r="N1204" s="187" t="str">
        <x:v>107.26600433472000000</x:v>
      </x:c>
      <x:c r="O1204" s="235" t="n">
        <x:v>107.266</x:v>
      </x:c>
      <x:c r="P1204" s="235" t="n">
        <x:v>107.266</x:v>
      </x:c>
      <x:c r="Q1204" s="235" t="n">
        <x:v>0</x:v>
      </x:c>
      <x:c r="R1204" s="235" t="str">
        <x:v>INVOICE_OR_PLAN</x:v>
      </x:c>
      <x:c r="S1204" s="238" t="n">
        <x:f>'Model_Calc'!BA204</x:f>
        <x:v>107.26600433472001</x:v>
      </x:c>
      <x:c r="T1204" s="238" t="n">
        <x:f>ROUND(S1204-O1204,4)</x:f>
        <x:v>0</x:v>
      </x:c>
    </x:row>
    <x:row r="1205">
      <x:c r="A1205" s="187" t="str">
        <x:v>FORECAST_2026_08_V1</x:v>
      </x:c>
      <x:c r="B1205" s="187" t="str">
        <x:v>FORECAST</x:v>
      </x:c>
      <x:c r="C1205" s="187"/>
      <x:c r="D1205" s="217" t="n">
        <x:v>46266</x:v>
      </x:c>
      <x:c r="E1205" s="187" t="str">
        <x:v>R_DE_DE_A_ROAD</x:v>
      </x:c>
      <x:c r="F1205" s="187" t="str">
        <x:v>DE</x:v>
      </x:c>
      <x:c r="G1205" s="187" t="str">
        <x:v>DE_FC</x:v>
      </x:c>
      <x:c r="H1205" s="187" t="str">
        <x:v>CARRIER_A</x:v>
      </x:c>
      <x:c r="I1205" s="187" t="str">
        <x:v>ROAD</x:v>
      </x:c>
      <x:c r="J1205" s="187" t="str">
        <x:v>BASE_FREIGHT</x:v>
      </x:c>
      <x:c r="K1205" s="187" t="str">
        <x:v>EUR</x:v>
      </x:c>
      <x:c r="L1205" s="232" t="n">
        <x:v>6720.488847072</x:v>
      </x:c>
      <x:c r="M1205" s="232" t="n">
        <x:v>7.92</x:v>
      </x:c>
      <x:c r="N1205" s="187" t="str">
        <x:v>53226.27166881024000000</x:v>
      </x:c>
      <x:c r="O1205" s="235" t="n">
        <x:v>53226.2717</x:v>
      </x:c>
      <x:c r="P1205" s="235"/>
      <x:c r="Q1205" s="235"/>
      <x:c r="R1205" s="235" t="str">
        <x:v>INVOICE_OR_PLAN</x:v>
      </x:c>
      <x:c r="S1205" s="238" t="n">
        <x:f>'Model_Calc'!AF205</x:f>
        <x:v>53226.271668810245</x:v>
      </x:c>
      <x:c r="T1205" s="238" t="n">
        <x:f>ROUND(S1205-O1205,4)</x:f>
        <x:v>0</x:v>
      </x:c>
    </x:row>
    <x:row r="1206">
      <x:c r="A1206" s="187" t="str">
        <x:v>FORECAST_2026_08_V1</x:v>
      </x:c>
      <x:c r="B1206" s="187" t="str">
        <x:v>FORECAST</x:v>
      </x:c>
      <x:c r="C1206" s="187"/>
      <x:c r="D1206" s="217" t="n">
        <x:v>46266</x:v>
      </x:c>
      <x:c r="E1206" s="187" t="str">
        <x:v>R_DE_DE_A_ROAD</x:v>
      </x:c>
      <x:c r="F1206" s="187" t="str">
        <x:v>DE</x:v>
      </x:c>
      <x:c r="G1206" s="187" t="str">
        <x:v>DE_FC</x:v>
      </x:c>
      <x:c r="H1206" s="187" t="str">
        <x:v>CARRIER_A</x:v>
      </x:c>
      <x:c r="I1206" s="187" t="str">
        <x:v>ROAD</x:v>
      </x:c>
      <x:c r="J1206" s="187" t="str">
        <x:v>FUEL_SURCHARGE</x:v>
      </x:c>
      <x:c r="K1206" s="187" t="str">
        <x:v>EUR</x:v>
      </x:c>
      <x:c r="L1206" s="232" t="n">
        <x:v>660.7920658883544</x:v>
      </x:c>
      <x:c r="M1206" s="232" t="n">
        <x:v>7.92</x:v>
      </x:c>
      <x:c r="N1206" s="187" t="str">
        <x:v>5233.47316183576684800000000</x:v>
      </x:c>
      <x:c r="O1206" s="235" t="n">
        <x:v>5233.4732</x:v>
      </x:c>
      <x:c r="P1206" s="235"/>
      <x:c r="Q1206" s="235"/>
      <x:c r="R1206" s="235" t="str">
        <x:v>INVOICE_OR_PLAN</x:v>
      </x:c>
      <x:c r="S1206" s="238" t="n">
        <x:f>'Model_Calc'!AG205</x:f>
        <x:v>5233.473161835766</x:v>
      </x:c>
      <x:c r="T1206" s="238" t="n">
        <x:f>ROUND(S1206-O1206,4)</x:f>
        <x:v>0</x:v>
      </x:c>
    </x:row>
    <x:row r="1207">
      <x:c r="A1207" s="187" t="str">
        <x:v>FORECAST_2026_08_V1</x:v>
      </x:c>
      <x:c r="B1207" s="187" t="str">
        <x:v>FORECAST</x:v>
      </x:c>
      <x:c r="C1207" s="187"/>
      <x:c r="D1207" s="217" t="n">
        <x:v>46266</x:v>
      </x:c>
      <x:c r="E1207" s="187" t="str">
        <x:v>R_DE_DE_A_ROAD</x:v>
      </x:c>
      <x:c r="F1207" s="187" t="str">
        <x:v>DE</x:v>
      </x:c>
      <x:c r="G1207" s="187" t="str">
        <x:v>DE_FC</x:v>
      </x:c>
      <x:c r="H1207" s="187" t="str">
        <x:v>CARRIER_A</x:v>
      </x:c>
      <x:c r="I1207" s="187" t="str">
        <x:v>ROAD</x:v>
      </x:c>
      <x:c r="J1207" s="187" t="str">
        <x:v>WAREHOUSE_OPERATION</x:v>
      </x:c>
      <x:c r="K1207" s="187" t="str">
        <x:v>EUR</x:v>
      </x:c>
      <x:c r="L1207" s="232" t="n">
        <x:v>4401.2525472</x:v>
      </x:c>
      <x:c r="M1207" s="232" t="n">
        <x:v>7.92</x:v>
      </x:c>
      <x:c r="N1207" s="187" t="str">
        <x:v>34857.9201738240000</x:v>
      </x:c>
      <x:c r="O1207" s="235" t="n">
        <x:v>34857.9202</x:v>
      </x:c>
      <x:c r="P1207" s="235"/>
      <x:c r="Q1207" s="235"/>
      <x:c r="R1207" s="235" t="str">
        <x:v>INVOICE_OR_PLAN</x:v>
      </x:c>
      <x:c r="S1207" s="238" t="n">
        <x:f>'Model_Calc'!AL205</x:f>
        <x:v>34857.920173824</x:v>
      </x:c>
      <x:c r="T1207" s="238" t="n">
        <x:f>ROUND(S1207-O1207,4)</x:f>
        <x:v>0</x:v>
      </x:c>
    </x:row>
    <x:row r="1208">
      <x:c r="A1208" s="187" t="str">
        <x:v>FORECAST_2026_08_V1</x:v>
      </x:c>
      <x:c r="B1208" s="187" t="str">
        <x:v>FORECAST</x:v>
      </x:c>
      <x:c r="C1208" s="187"/>
      <x:c r="D1208" s="217" t="n">
        <x:v>46266</x:v>
      </x:c>
      <x:c r="E1208" s="187" t="str">
        <x:v>R_DE_DE_A_ROAD</x:v>
      </x:c>
      <x:c r="F1208" s="187" t="str">
        <x:v>DE</x:v>
      </x:c>
      <x:c r="G1208" s="187" t="str">
        <x:v>DE_FC</x:v>
      </x:c>
      <x:c r="H1208" s="187" t="str">
        <x:v>CARRIER_A</x:v>
      </x:c>
      <x:c r="I1208" s="187" t="str">
        <x:v>ROAD</x:v>
      </x:c>
      <x:c r="J1208" s="187" t="str">
        <x:v>PACKAGING</x:v>
      </x:c>
      <x:c r="K1208" s="187" t="str">
        <x:v>EUR</x:v>
      </x:c>
      <x:c r="L1208" s="232" t="n">
        <x:v>1644.87489264</x:v>
      </x:c>
      <x:c r="M1208" s="232" t="n">
        <x:v>7.92</x:v>
      </x:c>
      <x:c r="N1208" s="187" t="str">
        <x:v>13027.409149708800000</x:v>
      </x:c>
      <x:c r="O1208" s="235" t="n">
        <x:v>13027.4091</x:v>
      </x:c>
      <x:c r="P1208" s="235"/>
      <x:c r="Q1208" s="235"/>
      <x:c r="R1208" s="235" t="str">
        <x:v>INVOICE_OR_PLAN</x:v>
      </x:c>
      <x:c r="S1208" s="238" t="n">
        <x:f>'Model_Calc'!AQ205</x:f>
        <x:v>13027.4091497088</x:v>
      </x:c>
      <x:c r="T1208" s="238" t="n">
        <x:f>ROUND(S1208-O1208,4)</x:f>
        <x:v>0</x:v>
      </x:c>
    </x:row>
    <x:row r="1209">
      <x:c r="A1209" s="187" t="str">
        <x:v>FORECAST_2026_08_V1</x:v>
      </x:c>
      <x:c r="B1209" s="187" t="str">
        <x:v>FORECAST</x:v>
      </x:c>
      <x:c r="C1209" s="187"/>
      <x:c r="D1209" s="217" t="n">
        <x:v>46266</x:v>
      </x:c>
      <x:c r="E1209" s="187" t="str">
        <x:v>R_DE_DE_A_ROAD</x:v>
      </x:c>
      <x:c r="F1209" s="187" t="str">
        <x:v>DE</x:v>
      </x:c>
      <x:c r="G1209" s="187" t="str">
        <x:v>DE_FC</x:v>
      </x:c>
      <x:c r="H1209" s="187" t="str">
        <x:v>CARRIER_A</x:v>
      </x:c>
      <x:c r="I1209" s="187" t="str">
        <x:v>ROAD</x:v>
      </x:c>
      <x:c r="J1209" s="187" t="str">
        <x:v>RETURN_LOGISTICS</x:v>
      </x:c>
      <x:c r="K1209" s="187" t="str">
        <x:v>EUR</x:v>
      </x:c>
      <x:c r="L1209" s="232" t="n">
        <x:v>596.7800064</x:v>
      </x:c>
      <x:c r="M1209" s="232" t="n">
        <x:v>7.92</x:v>
      </x:c>
      <x:c r="N1209" s="187" t="str">
        <x:v>4726.4976506880000000</x:v>
      </x:c>
      <x:c r="O1209" s="235" t="n">
        <x:v>4726.4977</x:v>
      </x:c>
      <x:c r="P1209" s="235"/>
      <x:c r="Q1209" s="235"/>
      <x:c r="R1209" s="235" t="str">
        <x:v>INVOICE_OR_PLAN</x:v>
      </x:c>
      <x:c r="S1209" s="238" t="n">
        <x:f>'Model_Calc'!AV205</x:f>
        <x:v>4726.497650687999</x:v>
      </x:c>
      <x:c r="T1209" s="238" t="n">
        <x:f>ROUND(S1209-O1209,4)</x:f>
        <x:v>0</x:v>
      </x:c>
    </x:row>
    <x:row r="1210">
      <x:c r="A1210" s="187" t="str">
        <x:v>FORECAST_2026_08_V1</x:v>
      </x:c>
      <x:c r="B1210" s="187" t="str">
        <x:v>FORECAST</x:v>
      </x:c>
      <x:c r="C1210" s="187"/>
      <x:c r="D1210" s="217" t="n">
        <x:v>46266</x:v>
      </x:c>
      <x:c r="E1210" s="187" t="str">
        <x:v>R_DE_DE_A_ROAD</x:v>
      </x:c>
      <x:c r="F1210" s="187" t="str">
        <x:v>DE</x:v>
      </x:c>
      <x:c r="G1210" s="187" t="str">
        <x:v>DE_FC</x:v>
      </x:c>
      <x:c r="H1210" s="187" t="str">
        <x:v>CARRIER_A</x:v>
      </x:c>
      <x:c r="I1210" s="187" t="str">
        <x:v>ROAD</x:v>
      </x:c>
      <x:c r="J1210" s="187" t="str">
        <x:v>BILLABLE_EXCEPTION</x:v>
      </x:c>
      <x:c r="K1210" s="187" t="str">
        <x:v>EUR</x:v>
      </x:c>
      <x:c r="L1210" s="232" t="n">
        <x:v>144.1223715456</x:v>
      </x:c>
      <x:c r="M1210" s="232" t="n">
        <x:v>7.92</x:v>
      </x:c>
      <x:c r="N1210" s="187" t="str">
        <x:v>1141.449182641152000000</x:v>
      </x:c>
      <x:c r="O1210" s="235" t="n">
        <x:v>1141.4492</x:v>
      </x:c>
      <x:c r="P1210" s="235"/>
      <x:c r="Q1210" s="235"/>
      <x:c r="R1210" s="235" t="str">
        <x:v>INVOICE_OR_PLAN</x:v>
      </x:c>
      <x:c r="S1210" s="238" t="n">
        <x:f>'Model_Calc'!BA205</x:f>
        <x:v>1141.449182641152</x:v>
      </x:c>
      <x:c r="T1210" s="238" t="n">
        <x:f>ROUND(S1210-O1210,4)</x:f>
        <x:v>0</x:v>
      </x:c>
    </x:row>
    <x:row r="1211">
      <x:c r="A1211" s="187" t="str">
        <x:v>FORECAST_2026_08_V1</x:v>
      </x:c>
      <x:c r="B1211" s="187" t="str">
        <x:v>FORECAST</x:v>
      </x:c>
      <x:c r="C1211" s="187"/>
      <x:c r="D1211" s="217" t="n">
        <x:v>46266</x:v>
      </x:c>
      <x:c r="E1211" s="187" t="str">
        <x:v>R_DE_DE_B_ROAD</x:v>
      </x:c>
      <x:c r="F1211" s="187" t="str">
        <x:v>DE</x:v>
      </x:c>
      <x:c r="G1211" s="187" t="str">
        <x:v>DE_FC</x:v>
      </x:c>
      <x:c r="H1211" s="187" t="str">
        <x:v>CARRIER_B</x:v>
      </x:c>
      <x:c r="I1211" s="187" t="str">
        <x:v>ROAD</x:v>
      </x:c>
      <x:c r="J1211" s="187" t="str">
        <x:v>BASE_FREIGHT</x:v>
      </x:c>
      <x:c r="K1211" s="187" t="str">
        <x:v>EUR</x:v>
      </x:c>
      <x:c r="L1211" s="232" t="n">
        <x:v>5744.0075616</x:v>
      </x:c>
      <x:c r="M1211" s="232" t="n">
        <x:v>7.92</x:v>
      </x:c>
      <x:c r="N1211" s="187" t="str">
        <x:v>45492.53988787200000000</x:v>
      </x:c>
      <x:c r="O1211" s="235" t="n">
        <x:v>45492.5399</x:v>
      </x:c>
      <x:c r="P1211" s="235"/>
      <x:c r="Q1211" s="235"/>
      <x:c r="R1211" s="235" t="str">
        <x:v>INVOICE_OR_PLAN</x:v>
      </x:c>
      <x:c r="S1211" s="238" t="n">
        <x:f>'Model_Calc'!AF206</x:f>
        <x:v>45492.539887872</x:v>
      </x:c>
      <x:c r="T1211" s="238" t="n">
        <x:f>ROUND(S1211-O1211,4)</x:f>
        <x:v>0</x:v>
      </x:c>
    </x:row>
    <x:row r="1212">
      <x:c r="A1212" s="187" t="str">
        <x:v>FORECAST_2026_08_V1</x:v>
      </x:c>
      <x:c r="B1212" s="187" t="str">
        <x:v>FORECAST</x:v>
      </x:c>
      <x:c r="C1212" s="187"/>
      <x:c r="D1212" s="217" t="n">
        <x:v>46266</x:v>
      </x:c>
      <x:c r="E1212" s="187" t="str">
        <x:v>R_DE_DE_B_ROAD</x:v>
      </x:c>
      <x:c r="F1212" s="187" t="str">
        <x:v>DE</x:v>
      </x:c>
      <x:c r="G1212" s="187" t="str">
        <x:v>DE_FC</x:v>
      </x:c>
      <x:c r="H1212" s="187" t="str">
        <x:v>CARRIER_B</x:v>
      </x:c>
      <x:c r="I1212" s="187" t="str">
        <x:v>ROAD</x:v>
      </x:c>
      <x:c r="J1212" s="187" t="str">
        <x:v>FUEL_SURCHARGE</x:v>
      </x:c>
      <x:c r="K1212" s="187" t="str">
        <x:v>EUR</x:v>
      </x:c>
      <x:c r="L1212" s="232" t="n">
        <x:v>438.633304704</x:v>
      </x:c>
      <x:c r="M1212" s="232" t="n">
        <x:v>7.92</x:v>
      </x:c>
      <x:c r="N1212" s="187" t="str">
        <x:v>3473.97577325568000000</x:v>
      </x:c>
      <x:c r="O1212" s="235" t="n">
        <x:v>3473.9758</x:v>
      </x:c>
      <x:c r="P1212" s="235"/>
      <x:c r="Q1212" s="235"/>
      <x:c r="R1212" s="235" t="str">
        <x:v>INVOICE_OR_PLAN</x:v>
      </x:c>
      <x:c r="S1212" s="238" t="n">
        <x:f>'Model_Calc'!AG206</x:f>
        <x:v>3473.97577325568</x:v>
      </x:c>
      <x:c r="T1212" s="238" t="n">
        <x:f>ROUND(S1212-O1212,4)</x:f>
        <x:v>0</x:v>
      </x:c>
    </x:row>
    <x:row r="1213">
      <x:c r="A1213" s="187" t="str">
        <x:v>FORECAST_2026_08_V1</x:v>
      </x:c>
      <x:c r="B1213" s="187" t="str">
        <x:v>FORECAST</x:v>
      </x:c>
      <x:c r="C1213" s="187"/>
      <x:c r="D1213" s="217" t="n">
        <x:v>46266</x:v>
      </x:c>
      <x:c r="E1213" s="187" t="str">
        <x:v>R_DE_DE_B_ROAD</x:v>
      </x:c>
      <x:c r="F1213" s="187" t="str">
        <x:v>DE</x:v>
      </x:c>
      <x:c r="G1213" s="187" t="str">
        <x:v>DE_FC</x:v>
      </x:c>
      <x:c r="H1213" s="187" t="str">
        <x:v>CARRIER_B</x:v>
      </x:c>
      <x:c r="I1213" s="187" t="str">
        <x:v>ROAD</x:v>
      </x:c>
      <x:c r="J1213" s="187" t="str">
        <x:v>WAREHOUSE_OPERATION</x:v>
      </x:c>
      <x:c r="K1213" s="187" t="str">
        <x:v>EUR</x:v>
      </x:c>
      <x:c r="L1213" s="232" t="n">
        <x:v>2934.1683648</x:v>
      </x:c>
      <x:c r="M1213" s="232" t="n">
        <x:v>7.92</x:v>
      </x:c>
      <x:c r="N1213" s="187" t="str">
        <x:v>23238.6134492160000</x:v>
      </x:c>
      <x:c r="O1213" s="235" t="n">
        <x:v>23238.6134</x:v>
      </x:c>
      <x:c r="P1213" s="235"/>
      <x:c r="Q1213" s="235"/>
      <x:c r="R1213" s="235" t="str">
        <x:v>INVOICE_OR_PLAN</x:v>
      </x:c>
      <x:c r="S1213" s="238" t="n">
        <x:f>'Model_Calc'!AL206</x:f>
        <x:v>23238.613449216</x:v>
      </x:c>
      <x:c r="T1213" s="238" t="n">
        <x:f>ROUND(S1213-O1213,4)</x:f>
        <x:v>0</x:v>
      </x:c>
    </x:row>
    <x:row r="1214">
      <x:c r="A1214" s="187" t="str">
        <x:v>FORECAST_2026_08_V1</x:v>
      </x:c>
      <x:c r="B1214" s="187" t="str">
        <x:v>FORECAST</x:v>
      </x:c>
      <x:c r="C1214" s="187"/>
      <x:c r="D1214" s="217" t="n">
        <x:v>46266</x:v>
      </x:c>
      <x:c r="E1214" s="187" t="str">
        <x:v>R_DE_DE_B_ROAD</x:v>
      </x:c>
      <x:c r="F1214" s="187" t="str">
        <x:v>DE</x:v>
      </x:c>
      <x:c r="G1214" s="187" t="str">
        <x:v>DE_FC</x:v>
      </x:c>
      <x:c r="H1214" s="187" t="str">
        <x:v>CARRIER_B</x:v>
      </x:c>
      <x:c r="I1214" s="187" t="str">
        <x:v>ROAD</x:v>
      </x:c>
      <x:c r="J1214" s="187" t="str">
        <x:v>PACKAGING</x:v>
      </x:c>
      <x:c r="K1214" s="187" t="str">
        <x:v>EUR</x:v>
      </x:c>
      <x:c r="L1214" s="232" t="n">
        <x:v>1096.58326176</x:v>
      </x:c>
      <x:c r="M1214" s="232" t="n">
        <x:v>7.92</x:v>
      </x:c>
      <x:c r="N1214" s="187" t="str">
        <x:v>8684.939433139200000</x:v>
      </x:c>
      <x:c r="O1214" s="235" t="n">
        <x:v>8684.9394</x:v>
      </x:c>
      <x:c r="P1214" s="235"/>
      <x:c r="Q1214" s="235"/>
      <x:c r="R1214" s="235" t="str">
        <x:v>INVOICE_OR_PLAN</x:v>
      </x:c>
      <x:c r="S1214" s="238" t="n">
        <x:f>'Model_Calc'!AQ206</x:f>
        <x:v>8684.9394331392</x:v>
      </x:c>
      <x:c r="T1214" s="238" t="n">
        <x:f>ROUND(S1214-O1214,4)</x:f>
        <x:v>0</x:v>
      </x:c>
    </x:row>
    <x:row r="1215">
      <x:c r="A1215" s="187" t="str">
        <x:v>FORECAST_2026_08_V1</x:v>
      </x:c>
      <x:c r="B1215" s="187" t="str">
        <x:v>FORECAST</x:v>
      </x:c>
      <x:c r="C1215" s="187"/>
      <x:c r="D1215" s="217" t="n">
        <x:v>46266</x:v>
      </x:c>
      <x:c r="E1215" s="187" t="str">
        <x:v>R_DE_DE_B_ROAD</x:v>
      </x:c>
      <x:c r="F1215" s="187" t="str">
        <x:v>DE</x:v>
      </x:c>
      <x:c r="G1215" s="187" t="str">
        <x:v>DE_FC</x:v>
      </x:c>
      <x:c r="H1215" s="187" t="str">
        <x:v>CARRIER_B</x:v>
      </x:c>
      <x:c r="I1215" s="187" t="str">
        <x:v>ROAD</x:v>
      </x:c>
      <x:c r="J1215" s="187" t="str">
        <x:v>RETURN_LOGISTICS</x:v>
      </x:c>
      <x:c r="K1215" s="187" t="str">
        <x:v>EUR</x:v>
      </x:c>
      <x:c r="L1215" s="232" t="n">
        <x:v>397.8533376</x:v>
      </x:c>
      <x:c r="M1215" s="232" t="n">
        <x:v>7.92</x:v>
      </x:c>
      <x:c r="N1215" s="187" t="str">
        <x:v>3150.9984337920000000</x:v>
      </x:c>
      <x:c r="O1215" s="235" t="n">
        <x:v>3150.9984</x:v>
      </x:c>
      <x:c r="P1215" s="235"/>
      <x:c r="Q1215" s="235"/>
      <x:c r="R1215" s="235" t="str">
        <x:v>INVOICE_OR_PLAN</x:v>
      </x:c>
      <x:c r="S1215" s="238" t="n">
        <x:f>'Model_Calc'!AV206</x:f>
        <x:v>3150.998433792</x:v>
      </x:c>
      <x:c r="T1215" s="238" t="n">
        <x:f>ROUND(S1215-O1215,4)</x:f>
        <x:v>0</x:v>
      </x:c>
    </x:row>
    <x:row r="1216">
      <x:c r="A1216" s="187" t="str">
        <x:v>FORECAST_2026_08_V1</x:v>
      </x:c>
      <x:c r="B1216" s="187" t="str">
        <x:v>FORECAST</x:v>
      </x:c>
      <x:c r="C1216" s="187"/>
      <x:c r="D1216" s="217" t="n">
        <x:v>46266</x:v>
      </x:c>
      <x:c r="E1216" s="187" t="str">
        <x:v>R_DE_DE_B_ROAD</x:v>
      </x:c>
      <x:c r="F1216" s="187" t="str">
        <x:v>DE</x:v>
      </x:c>
      <x:c r="G1216" s="187" t="str">
        <x:v>DE_FC</x:v>
      </x:c>
      <x:c r="H1216" s="187" t="str">
        <x:v>CARRIER_B</x:v>
      </x:c>
      <x:c r="I1216" s="187" t="str">
        <x:v>ROAD</x:v>
      </x:c>
      <x:c r="J1216" s="187" t="str">
        <x:v>BILLABLE_EXCEPTION</x:v>
      </x:c>
      <x:c r="K1216" s="187" t="str">
        <x:v>EUR</x:v>
      </x:c>
      <x:c r="L1216" s="232" t="n">
        <x:v>78.0662845872</x:v>
      </x:c>
      <x:c r="M1216" s="232" t="n">
        <x:v>7.92</x:v>
      </x:c>
      <x:c r="N1216" s="187" t="str">
        <x:v>618.284973930624000000</x:v>
      </x:c>
      <x:c r="O1216" s="235" t="n">
        <x:v>618.285</x:v>
      </x:c>
      <x:c r="P1216" s="235"/>
      <x:c r="Q1216" s="235"/>
      <x:c r="R1216" s="235" t="str">
        <x:v>INVOICE_OR_PLAN</x:v>
      </x:c>
      <x:c r="S1216" s="238" t="n">
        <x:f>'Model_Calc'!BA206</x:f>
        <x:v>618.284973930624</x:v>
      </x:c>
      <x:c r="T1216" s="238" t="n">
        <x:f>ROUND(S1216-O1216,4)</x:f>
        <x:v>0</x:v>
      </x:c>
    </x:row>
    <x:row r="1217">
      <x:c r="A1217" s="187" t="str">
        <x:v>FORECAST_2026_08_V1</x:v>
      </x:c>
      <x:c r="B1217" s="187" t="str">
        <x:v>FORECAST</x:v>
      </x:c>
      <x:c r="C1217" s="187"/>
      <x:c r="D1217" s="217" t="n">
        <x:v>46266</x:v>
      </x:c>
      <x:c r="E1217" s="187" t="str">
        <x:v>R_DE_FR_B_ROAD</x:v>
      </x:c>
      <x:c r="F1217" s="187" t="str">
        <x:v>DE</x:v>
      </x:c>
      <x:c r="G1217" s="187" t="str">
        <x:v>FR_FC</x:v>
      </x:c>
      <x:c r="H1217" s="187" t="str">
        <x:v>CARRIER_B</x:v>
      </x:c>
      <x:c r="I1217" s="187" t="str">
        <x:v>ROAD</x:v>
      </x:c>
      <x:c r="J1217" s="187" t="str">
        <x:v>BASE_FREIGHT</x:v>
      </x:c>
      <x:c r="K1217" s="187" t="str">
        <x:v>EUR</x:v>
      </x:c>
      <x:c r="L1217" s="232" t="n">
        <x:v>589.289494464</x:v>
      </x:c>
      <x:c r="M1217" s="232" t="n">
        <x:v>7.92</x:v>
      </x:c>
      <x:c r="N1217" s="187" t="str">
        <x:v>4667.172796154880000</x:v>
      </x:c>
      <x:c r="O1217" s="235" t="n">
        <x:v>4667.1728</x:v>
      </x:c>
      <x:c r="P1217" s="235"/>
      <x:c r="Q1217" s="235"/>
      <x:c r="R1217" s="235" t="str">
        <x:v>INVOICE_OR_PLAN</x:v>
      </x:c>
      <x:c r="S1217" s="238" t="n">
        <x:f>'Model_Calc'!AF207</x:f>
        <x:v>4667.1727961548795</x:v>
      </x:c>
      <x:c r="T1217" s="238" t="n">
        <x:f>ROUND(S1217-O1217,4)</x:f>
        <x:v>0</x:v>
      </x:c>
    </x:row>
    <x:row r="1218">
      <x:c r="A1218" s="187" t="str">
        <x:v>FORECAST_2026_08_V1</x:v>
      </x:c>
      <x:c r="B1218" s="187" t="str">
        <x:v>FORECAST</x:v>
      </x:c>
      <x:c r="C1218" s="187"/>
      <x:c r="D1218" s="217" t="n">
        <x:v>46266</x:v>
      </x:c>
      <x:c r="E1218" s="187" t="str">
        <x:v>R_DE_FR_B_ROAD</x:v>
      </x:c>
      <x:c r="F1218" s="187" t="str">
        <x:v>DE</x:v>
      </x:c>
      <x:c r="G1218" s="187" t="str">
        <x:v>FR_FC</x:v>
      </x:c>
      <x:c r="H1218" s="187" t="str">
        <x:v>CARRIER_B</x:v>
      </x:c>
      <x:c r="I1218" s="187" t="str">
        <x:v>ROAD</x:v>
      </x:c>
      <x:c r="J1218" s="187" t="str">
        <x:v>FUEL_SURCHARGE</x:v>
      </x:c>
      <x:c r="K1218" s="187" t="str">
        <x:v>EUR</x:v>
      </x:c>
      <x:c r="L1218" s="232" t="n">
        <x:v>42.8574177792</x:v>
      </x:c>
      <x:c r="M1218" s="232" t="n">
        <x:v>7.92</x:v>
      </x:c>
      <x:c r="N1218" s="187" t="str">
        <x:v>339.430748811264000</x:v>
      </x:c>
      <x:c r="O1218" s="235" t="n">
        <x:v>339.4307</x:v>
      </x:c>
      <x:c r="P1218" s="235"/>
      <x:c r="Q1218" s="235"/>
      <x:c r="R1218" s="235" t="str">
        <x:v>INVOICE_OR_PLAN</x:v>
      </x:c>
      <x:c r="S1218" s="238" t="n">
        <x:f>'Model_Calc'!AG207</x:f>
        <x:v>339.430748811264</x:v>
      </x:c>
      <x:c r="T1218" s="238" t="n">
        <x:f>ROUND(S1218-O1218,4)</x:f>
        <x:v>0</x:v>
      </x:c>
    </x:row>
    <x:row r="1219">
      <x:c r="A1219" s="187" t="str">
        <x:v>FORECAST_2026_08_V1</x:v>
      </x:c>
      <x:c r="B1219" s="187" t="str">
        <x:v>FORECAST</x:v>
      </x:c>
      <x:c r="C1219" s="187"/>
      <x:c r="D1219" s="217" t="n">
        <x:v>46266</x:v>
      </x:c>
      <x:c r="E1219" s="187" t="str">
        <x:v>R_DE_FR_B_ROAD</x:v>
      </x:c>
      <x:c r="F1219" s="187" t="str">
        <x:v>DE</x:v>
      </x:c>
      <x:c r="G1219" s="187" t="str">
        <x:v>FR_FC</x:v>
      </x:c>
      <x:c r="H1219" s="187" t="str">
        <x:v>CARRIER_B</x:v>
      </x:c>
      <x:c r="I1219" s="187" t="str">
        <x:v>ROAD</x:v>
      </x:c>
      <x:c r="J1219" s="187" t="str">
        <x:v>WAREHOUSE_OPERATION</x:v>
      </x:c>
      <x:c r="K1219" s="187" t="str">
        <x:v>EUR</x:v>
      </x:c>
      <x:c r="L1219" s="232" t="n">
        <x:v>201.87468</x:v>
      </x:c>
      <x:c r="M1219" s="232" t="n">
        <x:v>7.92</x:v>
      </x:c>
      <x:c r="N1219" s="187" t="str">
        <x:v>1598.84746560000</x:v>
      </x:c>
      <x:c r="O1219" s="235" t="n">
        <x:v>1598.8475</x:v>
      </x:c>
      <x:c r="P1219" s="235"/>
      <x:c r="Q1219" s="235"/>
      <x:c r="R1219" s="235" t="str">
        <x:v>INVOICE_OR_PLAN</x:v>
      </x:c>
      <x:c r="S1219" s="238" t="n">
        <x:f>'Model_Calc'!AL207</x:f>
        <x:v>1598.8474656</x:v>
      </x:c>
      <x:c r="T1219" s="238" t="n">
        <x:f>ROUND(S1219-O1219,4)</x:f>
        <x:v>0</x:v>
      </x:c>
    </x:row>
    <x:row r="1220">
      <x:c r="A1220" s="187" t="str">
        <x:v>FORECAST_2026_08_V1</x:v>
      </x:c>
      <x:c r="B1220" s="187" t="str">
        <x:v>FORECAST</x:v>
      </x:c>
      <x:c r="C1220" s="187"/>
      <x:c r="D1220" s="217" t="n">
        <x:v>46266</x:v>
      </x:c>
      <x:c r="E1220" s="187" t="str">
        <x:v>R_DE_FR_B_ROAD</x:v>
      </x:c>
      <x:c r="F1220" s="187" t="str">
        <x:v>DE</x:v>
      </x:c>
      <x:c r="G1220" s="187" t="str">
        <x:v>FR_FC</x:v>
      </x:c>
      <x:c r="H1220" s="187" t="str">
        <x:v>CARRIER_B</x:v>
      </x:c>
      <x:c r="I1220" s="187" t="str">
        <x:v>ROAD</x:v>
      </x:c>
      <x:c r="J1220" s="187" t="str">
        <x:v>PACKAGING</x:v>
      </x:c>
      <x:c r="K1220" s="187" t="str">
        <x:v>EUR</x:v>
      </x:c>
      <x:c r="L1220" s="232" t="n">
        <x:v>78.90416064</x:v>
      </x:c>
      <x:c r="M1220" s="232" t="n">
        <x:v>7.92</x:v>
      </x:c>
      <x:c r="N1220" s="187" t="str">
        <x:v>624.9209522688000</x:v>
      </x:c>
      <x:c r="O1220" s="235" t="n">
        <x:v>624.921</x:v>
      </x:c>
      <x:c r="P1220" s="235"/>
      <x:c r="Q1220" s="235"/>
      <x:c r="R1220" s="235" t="str">
        <x:v>INVOICE_OR_PLAN</x:v>
      </x:c>
      <x:c r="S1220" s="238" t="n">
        <x:f>'Model_Calc'!AQ207</x:f>
        <x:v>624.9209522688</x:v>
      </x:c>
      <x:c r="T1220" s="238" t="n">
        <x:f>ROUND(S1220-O1220,4)</x:f>
        <x:v>0</x:v>
      </x:c>
    </x:row>
    <x:row r="1221">
      <x:c r="A1221" s="187" t="str">
        <x:v>FORECAST_2026_08_V1</x:v>
      </x:c>
      <x:c r="B1221" s="187" t="str">
        <x:v>FORECAST</x:v>
      </x:c>
      <x:c r="C1221" s="187"/>
      <x:c r="D1221" s="217" t="n">
        <x:v>46266</x:v>
      </x:c>
      <x:c r="E1221" s="187" t="str">
        <x:v>R_DE_FR_B_ROAD</x:v>
      </x:c>
      <x:c r="F1221" s="187" t="str">
        <x:v>DE</x:v>
      </x:c>
      <x:c r="G1221" s="187" t="str">
        <x:v>FR_FC</x:v>
      </x:c>
      <x:c r="H1221" s="187" t="str">
        <x:v>CARRIER_B</x:v>
      </x:c>
      <x:c r="I1221" s="187" t="str">
        <x:v>ROAD</x:v>
      </x:c>
      <x:c r="J1221" s="187" t="str">
        <x:v>RETURN_LOGISTICS</x:v>
      </x:c>
      <x:c r="K1221" s="187" t="str">
        <x:v>EUR</x:v>
      </x:c>
      <x:c r="L1221" s="232" t="n">
        <x:v>36.529704</x:v>
      </x:c>
      <x:c r="M1221" s="232" t="n">
        <x:v>7.92</x:v>
      </x:c>
      <x:c r="N1221" s="187" t="str">
        <x:v>289.31525568000000</x:v>
      </x:c>
      <x:c r="O1221" s="235" t="n">
        <x:v>289.3153</x:v>
      </x:c>
      <x:c r="P1221" s="235"/>
      <x:c r="Q1221" s="235"/>
      <x:c r="R1221" s="235" t="str">
        <x:v>INVOICE_OR_PLAN</x:v>
      </x:c>
      <x:c r="S1221" s="238" t="n">
        <x:f>'Model_Calc'!AV207</x:f>
        <x:v>289.31525568</x:v>
      </x:c>
      <x:c r="T1221" s="238" t="n">
        <x:f>ROUND(S1221-O1221,4)</x:f>
        <x:v>0</x:v>
      </x:c>
    </x:row>
    <x:row r="1222">
      <x:c r="A1222" s="187" t="str">
        <x:v>FORECAST_2026_08_V1</x:v>
      </x:c>
      <x:c r="B1222" s="187" t="str">
        <x:v>FORECAST</x:v>
      </x:c>
      <x:c r="C1222" s="187"/>
      <x:c r="D1222" s="217" t="n">
        <x:v>46266</x:v>
      </x:c>
      <x:c r="E1222" s="187" t="str">
        <x:v>R_DE_FR_B_ROAD</x:v>
      </x:c>
      <x:c r="F1222" s="187" t="str">
        <x:v>DE</x:v>
      </x:c>
      <x:c r="G1222" s="187" t="str">
        <x:v>FR_FC</x:v>
      </x:c>
      <x:c r="H1222" s="187" t="str">
        <x:v>CARRIER_B</x:v>
      </x:c>
      <x:c r="I1222" s="187" t="str">
        <x:v>ROAD</x:v>
      </x:c>
      <x:c r="J1222" s="187" t="str">
        <x:v>BILLABLE_EXCEPTION</x:v>
      </x:c>
      <x:c r="K1222" s="187" t="str">
        <x:v>EUR</x:v>
      </x:c>
      <x:c r="L1222" s="232" t="n">
        <x:v>6.6860894016</x:v>
      </x:c>
      <x:c r="M1222" s="232" t="n">
        <x:v>7.92</x:v>
      </x:c>
      <x:c r="N1222" s="187" t="str">
        <x:v>52.9538280606720000</x:v>
      </x:c>
      <x:c r="O1222" s="235" t="n">
        <x:v>52.9538</x:v>
      </x:c>
      <x:c r="P1222" s="235"/>
      <x:c r="Q1222" s="235"/>
      <x:c r="R1222" s="235" t="str">
        <x:v>INVOICE_OR_PLAN</x:v>
      </x:c>
      <x:c r="S1222" s="238" t="n">
        <x:f>'Model_Calc'!BA207</x:f>
        <x:v>52.953828060672</x:v>
      </x:c>
      <x:c r="T1222" s="238" t="n">
        <x:f>ROUND(S1222-O1222,4)</x:f>
        <x:v>0</x:v>
      </x:c>
    </x:row>
    <x:row r="1223">
      <x:c r="A1223" s="187" t="str">
        <x:v>FORECAST_2026_08_V1</x:v>
      </x:c>
      <x:c r="B1223" s="187" t="str">
        <x:v>FORECAST</x:v>
      </x:c>
      <x:c r="C1223" s="187"/>
      <x:c r="D1223" s="217" t="n">
        <x:v>46266</x:v>
      </x:c>
      <x:c r="E1223" s="187" t="str">
        <x:v>R_FR_FR_A_ROAD</x:v>
      </x:c>
      <x:c r="F1223" s="187" t="str">
        <x:v>FR</x:v>
      </x:c>
      <x:c r="G1223" s="187" t="str">
        <x:v>FR_FC</x:v>
      </x:c>
      <x:c r="H1223" s="187" t="str">
        <x:v>CARRIER_A</x:v>
      </x:c>
      <x:c r="I1223" s="187" t="str">
        <x:v>ROAD</x:v>
      </x:c>
      <x:c r="J1223" s="187" t="str">
        <x:v>BASE_FREIGHT</x:v>
      </x:c>
      <x:c r="K1223" s="187" t="str">
        <x:v>EUR</x:v>
      </x:c>
      <x:c r="L1223" s="232" t="n">
        <x:v>3162.2547096</x:v>
      </x:c>
      <x:c r="M1223" s="232" t="n">
        <x:v>7.92</x:v>
      </x:c>
      <x:c r="N1223" s="187" t="str">
        <x:v>25045.057300032000000</x:v>
      </x:c>
      <x:c r="O1223" s="235" t="n">
        <x:v>25045.0573</x:v>
      </x:c>
      <x:c r="P1223" s="235"/>
      <x:c r="Q1223" s="235"/>
      <x:c r="R1223" s="235" t="str">
        <x:v>INVOICE_OR_PLAN</x:v>
      </x:c>
      <x:c r="S1223" s="238" t="n">
        <x:f>'Model_Calc'!AF208</x:f>
        <x:v>25045.057300032</x:v>
      </x:c>
      <x:c r="T1223" s="238" t="n">
        <x:f>ROUND(S1223-O1223,4)</x:f>
        <x:v>0</x:v>
      </x:c>
    </x:row>
    <x:row r="1224">
      <x:c r="A1224" s="187" t="str">
        <x:v>FORECAST_2026_08_V1</x:v>
      </x:c>
      <x:c r="B1224" s="187" t="str">
        <x:v>FORECAST</x:v>
      </x:c>
      <x:c r="C1224" s="187"/>
      <x:c r="D1224" s="217" t="n">
        <x:v>46266</x:v>
      </x:c>
      <x:c r="E1224" s="187" t="str">
        <x:v>R_FR_FR_A_ROAD</x:v>
      </x:c>
      <x:c r="F1224" s="187" t="str">
        <x:v>FR</x:v>
      </x:c>
      <x:c r="G1224" s="187" t="str">
        <x:v>FR_FC</x:v>
      </x:c>
      <x:c r="H1224" s="187" t="str">
        <x:v>CARRIER_A</x:v>
      </x:c>
      <x:c r="I1224" s="187" t="str">
        <x:v>ROAD</x:v>
      </x:c>
      <x:c r="J1224" s="187" t="str">
        <x:v>FUEL_SURCHARGE</x:v>
      </x:c>
      <x:c r="K1224" s="187" t="str">
        <x:v>EUR</x:v>
      </x:c>
      <x:c r="L1224" s="232" t="n">
        <x:v>294.56402619924</x:v>
      </x:c>
      <x:c r="M1224" s="232" t="n">
        <x:v>7.92</x:v>
      </x:c>
      <x:c r="N1224" s="187" t="str">
        <x:v>2332.947087497980800000000</x:v>
      </x:c>
      <x:c r="O1224" s="235" t="n">
        <x:v>2332.9471</x:v>
      </x:c>
      <x:c r="P1224" s="235"/>
      <x:c r="Q1224" s="235"/>
      <x:c r="R1224" s="235" t="str">
        <x:v>INVOICE_OR_PLAN</x:v>
      </x:c>
      <x:c r="S1224" s="238" t="n">
        <x:f>'Model_Calc'!AG208</x:f>
        <x:v>2332.94708749798</x:v>
      </x:c>
      <x:c r="T1224" s="238" t="n">
        <x:f>ROUND(S1224-O1224,4)</x:f>
        <x:v>0</x:v>
      </x:c>
    </x:row>
    <x:row r="1225">
      <x:c r="A1225" s="187" t="str">
        <x:v>FORECAST_2026_08_V1</x:v>
      </x:c>
      <x:c r="B1225" s="187" t="str">
        <x:v>FORECAST</x:v>
      </x:c>
      <x:c r="C1225" s="187"/>
      <x:c r="D1225" s="217" t="n">
        <x:v>46266</x:v>
      </x:c>
      <x:c r="E1225" s="187" t="str">
        <x:v>R_FR_FR_A_ROAD</x:v>
      </x:c>
      <x:c r="F1225" s="187" t="str">
        <x:v>FR</x:v>
      </x:c>
      <x:c r="G1225" s="187" t="str">
        <x:v>FR_FC</x:v>
      </x:c>
      <x:c r="H1225" s="187" t="str">
        <x:v>CARRIER_A</x:v>
      </x:c>
      <x:c r="I1225" s="187" t="str">
        <x:v>ROAD</x:v>
      </x:c>
      <x:c r="J1225" s="187" t="str">
        <x:v>WAREHOUSE_OPERATION</x:v>
      </x:c>
      <x:c r="K1225" s="187" t="str">
        <x:v>EUR</x:v>
      </x:c>
      <x:c r="L1225" s="232" t="n">
        <x:v>1962.6705</x:v>
      </x:c>
      <x:c r="M1225" s="232" t="n">
        <x:v>7.92</x:v>
      </x:c>
      <x:c r="N1225" s="187" t="str">
        <x:v>15544.35036000000</x:v>
      </x:c>
      <x:c r="O1225" s="235" t="n">
        <x:v>15544.3504</x:v>
      </x:c>
      <x:c r="P1225" s="235"/>
      <x:c r="Q1225" s="235"/>
      <x:c r="R1225" s="235" t="str">
        <x:v>INVOICE_OR_PLAN</x:v>
      </x:c>
      <x:c r="S1225" s="238" t="n">
        <x:f>'Model_Calc'!AL208</x:f>
        <x:v>15544.350359999999</x:v>
      </x:c>
      <x:c r="T1225" s="238" t="n">
        <x:f>ROUND(S1225-O1225,4)</x:f>
        <x:v>0</x:v>
      </x:c>
    </x:row>
    <x:row r="1226">
      <x:c r="A1226" s="187" t="str">
        <x:v>FORECAST_2026_08_V1</x:v>
      </x:c>
      <x:c r="B1226" s="187" t="str">
        <x:v>FORECAST</x:v>
      </x:c>
      <x:c r="C1226" s="187"/>
      <x:c r="D1226" s="217" t="n">
        <x:v>46266</x:v>
      </x:c>
      <x:c r="E1226" s="187" t="str">
        <x:v>R_FR_FR_A_ROAD</x:v>
      </x:c>
      <x:c r="F1226" s="187" t="str">
        <x:v>FR</x:v>
      </x:c>
      <x:c r="G1226" s="187" t="str">
        <x:v>FR_FC</x:v>
      </x:c>
      <x:c r="H1226" s="187" t="str">
        <x:v>CARRIER_A</x:v>
      </x:c>
      <x:c r="I1226" s="187" t="str">
        <x:v>ROAD</x:v>
      </x:c>
      <x:c r="J1226" s="187" t="str">
        <x:v>PACKAGING</x:v>
      </x:c>
      <x:c r="K1226" s="187" t="str">
        <x:v>EUR</x:v>
      </x:c>
      <x:c r="L1226" s="232" t="n">
        <x:v>752.917788</x:v>
      </x:c>
      <x:c r="M1226" s="232" t="n">
        <x:v>7.92</x:v>
      </x:c>
      <x:c r="N1226" s="187" t="str">
        <x:v>5963.1088809600000</x:v>
      </x:c>
      <x:c r="O1226" s="235" t="n">
        <x:v>5963.1089</x:v>
      </x:c>
      <x:c r="P1226" s="235"/>
      <x:c r="Q1226" s="235"/>
      <x:c r="R1226" s="235" t="str">
        <x:v>INVOICE_OR_PLAN</x:v>
      </x:c>
      <x:c r="S1226" s="238" t="n">
        <x:f>'Model_Calc'!AQ208</x:f>
        <x:v>5963.10888096</x:v>
      </x:c>
      <x:c r="T1226" s="238" t="n">
        <x:f>ROUND(S1226-O1226,4)</x:f>
        <x:v>0</x:v>
      </x:c>
    </x:row>
    <x:row r="1227">
      <x:c r="A1227" s="187" t="str">
        <x:v>FORECAST_2026_08_V1</x:v>
      </x:c>
      <x:c r="B1227" s="187" t="str">
        <x:v>FORECAST</x:v>
      </x:c>
      <x:c r="C1227" s="187"/>
      <x:c r="D1227" s="217" t="n">
        <x:v>46266</x:v>
      </x:c>
      <x:c r="E1227" s="187" t="str">
        <x:v>R_FR_FR_A_ROAD</x:v>
      </x:c>
      <x:c r="F1227" s="187" t="str">
        <x:v>FR</x:v>
      </x:c>
      <x:c r="G1227" s="187" t="str">
        <x:v>FR_FC</x:v>
      </x:c>
      <x:c r="H1227" s="187" t="str">
        <x:v>CARRIER_A</x:v>
      </x:c>
      <x:c r="I1227" s="187" t="str">
        <x:v>ROAD</x:v>
      </x:c>
      <x:c r="J1227" s="187" t="str">
        <x:v>RETURN_LOGISTICS</x:v>
      </x:c>
      <x:c r="K1227" s="187" t="str">
        <x:v>EUR</x:v>
      </x:c>
      <x:c r="L1227" s="232" t="n">
        <x:v>336.4578</x:v>
      </x:c>
      <x:c r="M1227" s="232" t="n">
        <x:v>7.92</x:v>
      </x:c>
      <x:c r="N1227" s="187" t="str">
        <x:v>2664.74577600000000</x:v>
      </x:c>
      <x:c r="O1227" s="235" t="n">
        <x:v>2664.7458</x:v>
      </x:c>
      <x:c r="P1227" s="235"/>
      <x:c r="Q1227" s="235"/>
      <x:c r="R1227" s="235" t="str">
        <x:v>INVOICE_OR_PLAN</x:v>
      </x:c>
      <x:c r="S1227" s="238" t="n">
        <x:f>'Model_Calc'!AV208</x:f>
        <x:v>2664.7457759999998</x:v>
      </x:c>
      <x:c r="T1227" s="238" t="n">
        <x:f>ROUND(S1227-O1227,4)</x:f>
        <x:v>0</x:v>
      </x:c>
    </x:row>
    <x:row r="1228">
      <x:c r="A1228" s="187" t="str">
        <x:v>FORECAST_2026_08_V1</x:v>
      </x:c>
      <x:c r="B1228" s="187" t="str">
        <x:v>FORECAST</x:v>
      </x:c>
      <x:c r="C1228" s="187"/>
      <x:c r="D1228" s="217" t="n">
        <x:v>46266</x:v>
      </x:c>
      <x:c r="E1228" s="187" t="str">
        <x:v>R_FR_FR_A_ROAD</x:v>
      </x:c>
      <x:c r="F1228" s="187" t="str">
        <x:v>FR</x:v>
      </x:c>
      <x:c r="G1228" s="187" t="str">
        <x:v>FR_FC</x:v>
      </x:c>
      <x:c r="H1228" s="187" t="str">
        <x:v>CARRIER_A</x:v>
      </x:c>
      <x:c r="I1228" s="187" t="str">
        <x:v>ROAD</x:v>
      </x:c>
      <x:c r="J1228" s="187" t="str">
        <x:v>BILLABLE_EXCEPTION</x:v>
      </x:c>
      <x:c r="K1228" s="187" t="str">
        <x:v>EUR</x:v>
      </x:c>
      <x:c r="L1228" s="232" t="n">
        <x:v>77.47127766</x:v>
      </x:c>
      <x:c r="M1228" s="232" t="n">
        <x:v>7.92</x:v>
      </x:c>
      <x:c r="N1228" s="187" t="str">
        <x:v>613.5725190672000000</x:v>
      </x:c>
      <x:c r="O1228" s="235" t="n">
        <x:v>613.5725</x:v>
      </x:c>
      <x:c r="P1228" s="235"/>
      <x:c r="Q1228" s="235"/>
      <x:c r="R1228" s="235" t="str">
        <x:v>INVOICE_OR_PLAN</x:v>
      </x:c>
      <x:c r="S1228" s="238" t="n">
        <x:f>'Model_Calc'!BA208</x:f>
        <x:v>613.5725190672</x:v>
      </x:c>
      <x:c r="T1228" s="238" t="n">
        <x:f>ROUND(S1228-O1228,4)</x:f>
        <x:v>0</x:v>
      </x:c>
    </x:row>
    <x:row r="1229">
      <x:c r="A1229" s="187" t="str">
        <x:v>FORECAST_2026_08_V1</x:v>
      </x:c>
      <x:c r="B1229" s="187" t="str">
        <x:v>FORECAST</x:v>
      </x:c>
      <x:c r="C1229" s="187"/>
      <x:c r="D1229" s="217" t="n">
        <x:v>46266</x:v>
      </x:c>
      <x:c r="E1229" s="187" t="str">
        <x:v>R_FR_FR_B_ROAD</x:v>
      </x:c>
      <x:c r="F1229" s="187" t="str">
        <x:v>FR</x:v>
      </x:c>
      <x:c r="G1229" s="187" t="str">
        <x:v>FR_FC</x:v>
      </x:c>
      <x:c r="H1229" s="187" t="str">
        <x:v>CARRIER_B</x:v>
      </x:c>
      <x:c r="I1229" s="187" t="str">
        <x:v>ROAD</x:v>
      </x:c>
      <x:c r="J1229" s="187" t="str">
        <x:v>BASE_FREIGHT</x:v>
      </x:c>
      <x:c r="K1229" s="187" t="str">
        <x:v>EUR</x:v>
      </x:c>
      <x:c r="L1229" s="232" t="n">
        <x:v>7558.0491636</x:v>
      </x:c>
      <x:c r="M1229" s="232" t="n">
        <x:v>7.92</x:v>
      </x:c>
      <x:c r="N1229" s="187" t="str">
        <x:v>59859.749375712000000</x:v>
      </x:c>
      <x:c r="O1229" s="235" t="n">
        <x:v>59859.7494</x:v>
      </x:c>
      <x:c r="P1229" s="235"/>
      <x:c r="Q1229" s="235"/>
      <x:c r="R1229" s="235" t="str">
        <x:v>INVOICE_OR_PLAN</x:v>
      </x:c>
      <x:c r="S1229" s="238" t="n">
        <x:f>'Model_Calc'!AF209</x:f>
        <x:v>59859.749375712</x:v>
      </x:c>
      <x:c r="T1229" s="238" t="n">
        <x:f>ROUND(S1229-O1229,4)</x:f>
        <x:v>0</x:v>
      </x:c>
    </x:row>
    <x:row r="1230">
      <x:c r="A1230" s="187" t="str">
        <x:v>FORECAST_2026_08_V1</x:v>
      </x:c>
      <x:c r="B1230" s="187" t="str">
        <x:v>FORECAST</x:v>
      </x:c>
      <x:c r="C1230" s="187"/>
      <x:c r="D1230" s="217" t="n">
        <x:v>46266</x:v>
      </x:c>
      <x:c r="E1230" s="187" t="str">
        <x:v>R_FR_FR_B_ROAD</x:v>
      </x:c>
      <x:c r="F1230" s="187" t="str">
        <x:v>FR</x:v>
      </x:c>
      <x:c r="G1230" s="187" t="str">
        <x:v>FR_FC</x:v>
      </x:c>
      <x:c r="H1230" s="187" t="str">
        <x:v>CARRIER_B</x:v>
      </x:c>
      <x:c r="I1230" s="187" t="str">
        <x:v>ROAD</x:v>
      </x:c>
      <x:c r="J1230" s="187" t="str">
        <x:v>FUEL_SURCHARGE</x:v>
      </x:c>
      <x:c r="K1230" s="187" t="str">
        <x:v>EUR</x:v>
      </x:c>
      <x:c r="L1230" s="232" t="n">
        <x:v>581.3883972</x:v>
      </x:c>
      <x:c r="M1230" s="232" t="n">
        <x:v>7.92</x:v>
      </x:c>
      <x:c r="N1230" s="187" t="str">
        <x:v>4604.596105824000000</x:v>
      </x:c>
      <x:c r="O1230" s="235" t="n">
        <x:v>4604.5961</x:v>
      </x:c>
      <x:c r="P1230" s="235"/>
      <x:c r="Q1230" s="235"/>
      <x:c r="R1230" s="235" t="str">
        <x:v>INVOICE_OR_PLAN</x:v>
      </x:c>
      <x:c r="S1230" s="238" t="n">
        <x:f>'Model_Calc'!AG209</x:f>
        <x:v>4604.596105824001</x:v>
      </x:c>
      <x:c r="T1230" s="238" t="n">
        <x:f>ROUND(S1230-O1230,4)</x:f>
        <x:v>0</x:v>
      </x:c>
    </x:row>
    <x:row r="1231">
      <x:c r="A1231" s="187" t="str">
        <x:v>FORECAST_2026_08_V1</x:v>
      </x:c>
      <x:c r="B1231" s="187" t="str">
        <x:v>FORECAST</x:v>
      </x:c>
      <x:c r="C1231" s="187"/>
      <x:c r="D1231" s="217" t="n">
        <x:v>46266</x:v>
      </x:c>
      <x:c r="E1231" s="187" t="str">
        <x:v>R_FR_FR_B_ROAD</x:v>
      </x:c>
      <x:c r="F1231" s="187" t="str">
        <x:v>FR</x:v>
      </x:c>
      <x:c r="G1231" s="187" t="str">
        <x:v>FR_FC</x:v>
      </x:c>
      <x:c r="H1231" s="187" t="str">
        <x:v>CARRIER_B</x:v>
      </x:c>
      <x:c r="I1231" s="187" t="str">
        <x:v>ROAD</x:v>
      </x:c>
      <x:c r="J1231" s="187" t="str">
        <x:v>WAREHOUSE_OPERATION</x:v>
      </x:c>
      <x:c r="K1231" s="187" t="str">
        <x:v>EUR</x:v>
      </x:c>
      <x:c r="L1231" s="232" t="n">
        <x:v>3644.9595</x:v>
      </x:c>
      <x:c r="M1231" s="232" t="n">
        <x:v>7.92</x:v>
      </x:c>
      <x:c r="N1231" s="187" t="str">
        <x:v>28868.07924000000</x:v>
      </x:c>
      <x:c r="O1231" s="235" t="n">
        <x:v>28868.0792</x:v>
      </x:c>
      <x:c r="P1231" s="235"/>
      <x:c r="Q1231" s="235"/>
      <x:c r="R1231" s="235" t="str">
        <x:v>INVOICE_OR_PLAN</x:v>
      </x:c>
      <x:c r="S1231" s="238" t="n">
        <x:f>'Model_Calc'!AL209</x:f>
        <x:v>28868.079240000003</x:v>
      </x:c>
      <x:c r="T1231" s="238" t="n">
        <x:f>ROUND(S1231-O1231,4)</x:f>
        <x:v>0</x:v>
      </x:c>
    </x:row>
    <x:row r="1232">
      <x:c r="A1232" s="187" t="str">
        <x:v>FORECAST_2026_08_V1</x:v>
      </x:c>
      <x:c r="B1232" s="187" t="str">
        <x:v>FORECAST</x:v>
      </x:c>
      <x:c r="C1232" s="187"/>
      <x:c r="D1232" s="217" t="n">
        <x:v>46266</x:v>
      </x:c>
      <x:c r="E1232" s="187" t="str">
        <x:v>R_FR_FR_B_ROAD</x:v>
      </x:c>
      <x:c r="F1232" s="187" t="str">
        <x:v>FR</x:v>
      </x:c>
      <x:c r="G1232" s="187" t="str">
        <x:v>FR_FC</x:v>
      </x:c>
      <x:c r="H1232" s="187" t="str">
        <x:v>CARRIER_B</x:v>
      </x:c>
      <x:c r="I1232" s="187" t="str">
        <x:v>ROAD</x:v>
      </x:c>
      <x:c r="J1232" s="187" t="str">
        <x:v>PACKAGING</x:v>
      </x:c>
      <x:c r="K1232" s="187" t="str">
        <x:v>EUR</x:v>
      </x:c>
      <x:c r="L1232" s="232" t="n">
        <x:v>1398.275892</x:v>
      </x:c>
      <x:c r="M1232" s="232" t="n">
        <x:v>7.92</x:v>
      </x:c>
      <x:c r="N1232" s="187" t="str">
        <x:v>11074.3450646400000</x:v>
      </x:c>
      <x:c r="O1232" s="235" t="n">
        <x:v>11074.3451</x:v>
      </x:c>
      <x:c r="P1232" s="235"/>
      <x:c r="Q1232" s="235"/>
      <x:c r="R1232" s="235" t="str">
        <x:v>INVOICE_OR_PLAN</x:v>
      </x:c>
      <x:c r="S1232" s="238" t="n">
        <x:f>'Model_Calc'!AQ209</x:f>
        <x:v>11074.345064640002</x:v>
      </x:c>
      <x:c r="T1232" s="238" t="n">
        <x:f>ROUND(S1232-O1232,4)</x:f>
        <x:v>0</x:v>
      </x:c>
    </x:row>
    <x:row r="1233">
      <x:c r="A1233" s="187" t="str">
        <x:v>FORECAST_2026_08_V1</x:v>
      </x:c>
      <x:c r="B1233" s="187" t="str">
        <x:v>FORECAST</x:v>
      </x:c>
      <x:c r="C1233" s="187"/>
      <x:c r="D1233" s="217" t="n">
        <x:v>46266</x:v>
      </x:c>
      <x:c r="E1233" s="187" t="str">
        <x:v>R_FR_FR_B_ROAD</x:v>
      </x:c>
      <x:c r="F1233" s="187" t="str">
        <x:v>FR</x:v>
      </x:c>
      <x:c r="G1233" s="187" t="str">
        <x:v>FR_FC</x:v>
      </x:c>
      <x:c r="H1233" s="187" t="str">
        <x:v>CARRIER_B</x:v>
      </x:c>
      <x:c r="I1233" s="187" t="str">
        <x:v>ROAD</x:v>
      </x:c>
      <x:c r="J1233" s="187" t="str">
        <x:v>RETURN_LOGISTICS</x:v>
      </x:c>
      <x:c r="K1233" s="187" t="str">
        <x:v>EUR</x:v>
      </x:c>
      <x:c r="L1233" s="232" t="n">
        <x:v>624.8502</x:v>
      </x:c>
      <x:c r="M1233" s="232" t="n">
        <x:v>7.92</x:v>
      </x:c>
      <x:c r="N1233" s="187" t="str">
        <x:v>4948.81358400000000</x:v>
      </x:c>
      <x:c r="O1233" s="235" t="n">
        <x:v>4948.8136</x:v>
      </x:c>
      <x:c r="P1233" s="235"/>
      <x:c r="Q1233" s="235"/>
      <x:c r="R1233" s="235" t="str">
        <x:v>INVOICE_OR_PLAN</x:v>
      </x:c>
      <x:c r="S1233" s="238" t="n">
        <x:f>'Model_Calc'!AV209</x:f>
        <x:v>4948.8135839999995</x:v>
      </x:c>
      <x:c r="T1233" s="238" t="n">
        <x:f>ROUND(S1233-O1233,4)</x:f>
        <x:v>0</x:v>
      </x:c>
    </x:row>
    <x:row r="1234">
      <x:c r="A1234" s="187" t="str">
        <x:v>FORECAST_2026_08_V1</x:v>
      </x:c>
      <x:c r="B1234" s="187" t="str">
        <x:v>FORECAST</x:v>
      </x:c>
      <x:c r="C1234" s="187"/>
      <x:c r="D1234" s="217" t="n">
        <x:v>46266</x:v>
      </x:c>
      <x:c r="E1234" s="187" t="str">
        <x:v>R_FR_FR_B_ROAD</x:v>
      </x:c>
      <x:c r="F1234" s="187" t="str">
        <x:v>FR</x:v>
      </x:c>
      <x:c r="G1234" s="187" t="str">
        <x:v>FR_FC</x:v>
      </x:c>
      <x:c r="H1234" s="187" t="str">
        <x:v>CARRIER_B</x:v>
      </x:c>
      <x:c r="I1234" s="187" t="str">
        <x:v>ROAD</x:v>
      </x:c>
      <x:c r="J1234" s="187" t="str">
        <x:v>BILLABLE_EXCEPTION</x:v>
      </x:c>
      <x:c r="K1234" s="187" t="str">
        <x:v>EUR</x:v>
      </x:c>
      <x:c r="L1234" s="232" t="n">
        <x:v>118.48548348</x:v>
      </x:c>
      <x:c r="M1234" s="232" t="n">
        <x:v>7.92</x:v>
      </x:c>
      <x:c r="N1234" s="187" t="str">
        <x:v>938.4050291616000000</x:v>
      </x:c>
      <x:c r="O1234" s="235" t="n">
        <x:v>938.405</x:v>
      </x:c>
      <x:c r="P1234" s="235"/>
      <x:c r="Q1234" s="235"/>
      <x:c r="R1234" s="235" t="str">
        <x:v>INVOICE_OR_PLAN</x:v>
      </x:c>
      <x:c r="S1234" s="238" t="n">
        <x:f>'Model_Calc'!BA209</x:f>
        <x:v>938.4050291616</x:v>
      </x:c>
      <x:c r="T1234" s="238" t="n">
        <x:f>ROUND(S1234-O1234,4)</x:f>
        <x:v>0</x:v>
      </x:c>
    </x:row>
    <x:row r="1235">
      <x:c r="A1235" s="187" t="str">
        <x:v>FORECAST_2026_08_V1</x:v>
      </x:c>
      <x:c r="B1235" s="187" t="str">
        <x:v>FORECAST</x:v>
      </x:c>
      <x:c r="C1235" s="187"/>
      <x:c r="D1235" s="217" t="n">
        <x:v>46266</x:v>
      </x:c>
      <x:c r="E1235" s="187" t="str">
        <x:v>R_GB_DE_A_ROAD</x:v>
      </x:c>
      <x:c r="F1235" s="187" t="str">
        <x:v>GB</x:v>
      </x:c>
      <x:c r="G1235" s="187" t="str">
        <x:v>DE_FC</x:v>
      </x:c>
      <x:c r="H1235" s="187" t="str">
        <x:v>CARRIER_A</x:v>
      </x:c>
      <x:c r="I1235" s="187" t="str">
        <x:v>ROAD</x:v>
      </x:c>
      <x:c r="J1235" s="187" t="str">
        <x:v>BASE_FREIGHT</x:v>
      </x:c>
      <x:c r="K1235" s="187" t="str">
        <x:v>GBP</x:v>
      </x:c>
      <x:c r="L1235" s="232" t="n">
        <x:v>8632.71687591936</x:v>
      </x:c>
      <x:c r="M1235" s="232" t="n">
        <x:v>9.15</x:v>
      </x:c>
      <x:c r="N1235" s="187" t="str">
        <x:v>78989.3594146621440000000</x:v>
      </x:c>
      <x:c r="O1235" s="235" t="n">
        <x:v>78989.3594</x:v>
      </x:c>
      <x:c r="P1235" s="235"/>
      <x:c r="Q1235" s="235"/>
      <x:c r="R1235" s="235" t="str">
        <x:v>INVOICE_OR_PLAN</x:v>
      </x:c>
      <x:c r="S1235" s="238" t="n">
        <x:f>'Model_Calc'!AF210</x:f>
        <x:v>78989.35941466213</x:v>
      </x:c>
      <x:c r="T1235" s="238" t="n">
        <x:f>ROUND(S1235-O1235,4)</x:f>
        <x:v>0</x:v>
      </x:c>
    </x:row>
    <x:row r="1236">
      <x:c r="A1236" s="187" t="str">
        <x:v>FORECAST_2026_08_V1</x:v>
      </x:c>
      <x:c r="B1236" s="187" t="str">
        <x:v>FORECAST</x:v>
      </x:c>
      <x:c r="C1236" s="187"/>
      <x:c r="D1236" s="217" t="n">
        <x:v>46266</x:v>
      </x:c>
      <x:c r="E1236" s="187" t="str">
        <x:v>R_GB_DE_A_ROAD</x:v>
      </x:c>
      <x:c r="F1236" s="187" t="str">
        <x:v>GB</x:v>
      </x:c>
      <x:c r="G1236" s="187" t="str">
        <x:v>DE_FC</x:v>
      </x:c>
      <x:c r="H1236" s="187" t="str">
        <x:v>CARRIER_A</x:v>
      </x:c>
      <x:c r="I1236" s="187" t="str">
        <x:v>ROAD</x:v>
      </x:c>
      <x:c r="J1236" s="187" t="str">
        <x:v>FUEL_SURCHARGE</x:v>
      </x:c>
      <x:c r="K1236" s="187" t="str">
        <x:v>GBP</x:v>
      </x:c>
      <x:c r="L1236" s="232" t="n">
        <x:v>893.4861966576537</x:v>
      </x:c>
      <x:c r="M1236" s="232" t="n">
        <x:v>9.15</x:v>
      </x:c>
      <x:c r="N1236" s="187" t="str">
        <x:v>8175.3986994175319040000000000</x:v>
      </x:c>
      <x:c r="O1236" s="235" t="n">
        <x:v>8175.3987</x:v>
      </x:c>
      <x:c r="P1236" s="235"/>
      <x:c r="Q1236" s="235"/>
      <x:c r="R1236" s="235" t="str">
        <x:v>INVOICE_OR_PLAN</x:v>
      </x:c>
      <x:c r="S1236" s="238" t="n">
        <x:f>'Model_Calc'!AG210</x:f>
        <x:v>8175.398699417531</x:v>
      </x:c>
      <x:c r="T1236" s="238" t="n">
        <x:f>ROUND(S1236-O1236,4)</x:f>
        <x:v>0</x:v>
      </x:c>
    </x:row>
    <x:row r="1237">
      <x:c r="A1237" s="187" t="str">
        <x:v>FORECAST_2026_08_V1</x:v>
      </x:c>
      <x:c r="B1237" s="187" t="str">
        <x:v>FORECAST</x:v>
      </x:c>
      <x:c r="C1237" s="187"/>
      <x:c r="D1237" s="217" t="n">
        <x:v>46266</x:v>
      </x:c>
      <x:c r="E1237" s="187" t="str">
        <x:v>R_GB_DE_A_ROAD</x:v>
      </x:c>
      <x:c r="F1237" s="187" t="str">
        <x:v>GB</x:v>
      </x:c>
      <x:c r="G1237" s="187" t="str">
        <x:v>DE_FC</x:v>
      </x:c>
      <x:c r="H1237" s="187" t="str">
        <x:v>CARRIER_A</x:v>
      </x:c>
      <x:c r="I1237" s="187" t="str">
        <x:v>ROAD</x:v>
      </x:c>
      <x:c r="J1237" s="187" t="str">
        <x:v>WAREHOUSE_OPERATION</x:v>
      </x:c>
      <x:c r="K1237" s="187" t="str">
        <x:v>EUR</x:v>
      </x:c>
      <x:c r="L1237" s="232" t="n">
        <x:v>2056.9427712</x:v>
      </x:c>
      <x:c r="M1237" s="232" t="n">
        <x:v>7.92</x:v>
      </x:c>
      <x:c r="N1237" s="187" t="str">
        <x:v>16290.9867479040000</x:v>
      </x:c>
      <x:c r="O1237" s="235" t="n">
        <x:v>16290.9867</x:v>
      </x:c>
      <x:c r="P1237" s="235"/>
      <x:c r="Q1237" s="235"/>
      <x:c r="R1237" s="235" t="str">
        <x:v>INVOICE_OR_PLAN</x:v>
      </x:c>
      <x:c r="S1237" s="238" t="n">
        <x:f>'Model_Calc'!AL210</x:f>
        <x:v>16290.986747904</x:v>
      </x:c>
      <x:c r="T1237" s="238" t="n">
        <x:f>ROUND(S1237-O1237,4)</x:f>
        <x:v>0</x:v>
      </x:c>
    </x:row>
    <x:row r="1238">
      <x:c r="A1238" s="187" t="str">
        <x:v>FORECAST_2026_08_V1</x:v>
      </x:c>
      <x:c r="B1238" s="187" t="str">
        <x:v>FORECAST</x:v>
      </x:c>
      <x:c r="C1238" s="187"/>
      <x:c r="D1238" s="217" t="n">
        <x:v>46266</x:v>
      </x:c>
      <x:c r="E1238" s="187" t="str">
        <x:v>R_GB_DE_A_ROAD</x:v>
      </x:c>
      <x:c r="F1238" s="187" t="str">
        <x:v>GB</x:v>
      </x:c>
      <x:c r="G1238" s="187" t="str">
        <x:v>DE_FC</x:v>
      </x:c>
      <x:c r="H1238" s="187" t="str">
        <x:v>CARRIER_A</x:v>
      </x:c>
      <x:c r="I1238" s="187" t="str">
        <x:v>ROAD</x:v>
      </x:c>
      <x:c r="J1238" s="187" t="str">
        <x:v>PACKAGING</x:v>
      </x:c>
      <x:c r="K1238" s="187" t="str">
        <x:v>EUR</x:v>
      </x:c>
      <x:c r="L1238" s="232" t="n">
        <x:v>871.237285632</x:v>
      </x:c>
      <x:c r="M1238" s="232" t="n">
        <x:v>7.92</x:v>
      </x:c>
      <x:c r="N1238" s="187" t="str">
        <x:v>6900.199302205440000</x:v>
      </x:c>
      <x:c r="O1238" s="235" t="n">
        <x:v>6900.1993</x:v>
      </x:c>
      <x:c r="P1238" s="235"/>
      <x:c r="Q1238" s="235"/>
      <x:c r="R1238" s="235" t="str">
        <x:v>INVOICE_OR_PLAN</x:v>
      </x:c>
      <x:c r="S1238" s="238" t="n">
        <x:f>'Model_Calc'!AQ210</x:f>
        <x:v>6900.1993022054385</x:v>
      </x:c>
      <x:c r="T1238" s="238" t="n">
        <x:f>ROUND(S1238-O1238,4)</x:f>
        <x:v>0</x:v>
      </x:c>
    </x:row>
    <x:row r="1239">
      <x:c r="A1239" s="187" t="str">
        <x:v>FORECAST_2026_08_V1</x:v>
      </x:c>
      <x:c r="B1239" s="187" t="str">
        <x:v>FORECAST</x:v>
      </x:c>
      <x:c r="C1239" s="187"/>
      <x:c r="D1239" s="217" t="n">
        <x:v>46266</x:v>
      </x:c>
      <x:c r="E1239" s="187" t="str">
        <x:v>R_GB_DE_A_ROAD</x:v>
      </x:c>
      <x:c r="F1239" s="187" t="str">
        <x:v>GB</x:v>
      </x:c>
      <x:c r="G1239" s="187" t="str">
        <x:v>DE_FC</x:v>
      </x:c>
      <x:c r="H1239" s="187" t="str">
        <x:v>CARRIER_A</x:v>
      </x:c>
      <x:c r="I1239" s="187" t="str">
        <x:v>ROAD</x:v>
      </x:c>
      <x:c r="J1239" s="187" t="str">
        <x:v>RETURN_LOGISTICS</x:v>
      </x:c>
      <x:c r="K1239" s="187" t="str">
        <x:v>GBP</x:v>
      </x:c>
      <x:c r="L1239" s="232" t="n">
        <x:v>794.88635904</x:v>
      </x:c>
      <x:c r="M1239" s="232" t="n">
        <x:v>9.15</x:v>
      </x:c>
      <x:c r="N1239" s="187" t="str">
        <x:v>7273.2101852160000000</x:v>
      </x:c>
      <x:c r="O1239" s="235" t="n">
        <x:v>7273.2102</x:v>
      </x:c>
      <x:c r="P1239" s="235"/>
      <x:c r="Q1239" s="235"/>
      <x:c r="R1239" s="235" t="str">
        <x:v>INVOICE_OR_PLAN</x:v>
      </x:c>
      <x:c r="S1239" s="238" t="n">
        <x:f>'Model_Calc'!AV210</x:f>
        <x:v>7273.210185216</x:v>
      </x:c>
      <x:c r="T1239" s="238" t="n">
        <x:f>ROUND(S1239-O1239,4)</x:f>
        <x:v>0</x:v>
      </x:c>
    </x:row>
    <x:row r="1240">
      <x:c r="A1240" s="187" t="str">
        <x:v>FORECAST_2026_08_V1</x:v>
      </x:c>
      <x:c r="B1240" s="187" t="str">
        <x:v>FORECAST</x:v>
      </x:c>
      <x:c r="C1240" s="187"/>
      <x:c r="D1240" s="217" t="n">
        <x:v>46266</x:v>
      </x:c>
      <x:c r="E1240" s="187" t="str">
        <x:v>R_GB_DE_A_ROAD</x:v>
      </x:c>
      <x:c r="F1240" s="187" t="str">
        <x:v>GB</x:v>
      </x:c>
      <x:c r="G1240" s="187" t="str">
        <x:v>DE_FC</x:v>
      </x:c>
      <x:c r="H1240" s="187" t="str">
        <x:v>CARRIER_A</x:v>
      </x:c>
      <x:c r="I1240" s="187" t="str">
        <x:v>ROAD</x:v>
      </x:c>
      <x:c r="J1240" s="187" t="str">
        <x:v>BILLABLE_EXCEPTION</x:v>
      </x:c>
      <x:c r="K1240" s="187" t="str">
        <x:v>GBP</x:v>
      </x:c>
      <x:c r="L1240" s="232" t="n">
        <x:v>128.81865580416</x:v>
      </x:c>
      <x:c r="M1240" s="232" t="n">
        <x:v>9.15</x:v>
      </x:c>
      <x:c r="N1240" s="187" t="str">
        <x:v>1178.690700608064000000</x:v>
      </x:c>
      <x:c r="O1240" s="235" t="n">
        <x:v>1178.6907</x:v>
      </x:c>
      <x:c r="P1240" s="235"/>
      <x:c r="Q1240" s="235"/>
      <x:c r="R1240" s="235" t="str">
        <x:v>INVOICE_OR_PLAN</x:v>
      </x:c>
      <x:c r="S1240" s="238" t="n">
        <x:f>'Model_Calc'!BA210</x:f>
        <x:v>1178.690700608064</x:v>
      </x:c>
      <x:c r="T1240" s="238" t="n">
        <x:f>ROUND(S1240-O1240,4)</x:f>
        <x:v>0</x:v>
      </x:c>
    </x:row>
    <x:row r="1241">
      <x:c r="A1241" s="187" t="str">
        <x:v>FORECAST_2026_08_V1</x:v>
      </x:c>
      <x:c r="B1241" s="187" t="str">
        <x:v>FORECAST</x:v>
      </x:c>
      <x:c r="C1241" s="187"/>
      <x:c r="D1241" s="217" t="n">
        <x:v>46266</x:v>
      </x:c>
      <x:c r="E1241" s="187" t="str">
        <x:v>R_GB_DE_B_ROAD</x:v>
      </x:c>
      <x:c r="F1241" s="187" t="str">
        <x:v>GB</x:v>
      </x:c>
      <x:c r="G1241" s="187" t="str">
        <x:v>DE_FC</x:v>
      </x:c>
      <x:c r="H1241" s="187" t="str">
        <x:v>CARRIER_B</x:v>
      </x:c>
      <x:c r="I1241" s="187" t="str">
        <x:v>ROAD</x:v>
      </x:c>
      <x:c r="J1241" s="187" t="str">
        <x:v>BASE_FREIGHT</x:v>
      </x:c>
      <x:c r="K1241" s="187" t="str">
        <x:v>GBP</x:v>
      </x:c>
      <x:c r="L1241" s="232" t="n">
        <x:v>5635.24573844736</x:v>
      </x:c>
      <x:c r="M1241" s="232" t="n">
        <x:v>9.15</x:v>
      </x:c>
      <x:c r="N1241" s="187" t="str">
        <x:v>51562.4985067933440000000</x:v>
      </x:c>
      <x:c r="O1241" s="235" t="n">
        <x:v>51562.4985</x:v>
      </x:c>
      <x:c r="P1241" s="235"/>
      <x:c r="Q1241" s="235"/>
      <x:c r="R1241" s="235" t="str">
        <x:v>INVOICE_OR_PLAN</x:v>
      </x:c>
      <x:c r="S1241" s="238" t="n">
        <x:f>'Model_Calc'!AF211</x:f>
        <x:v>51562.498506793345</x:v>
      </x:c>
      <x:c r="T1241" s="238" t="n">
        <x:f>ROUND(S1241-O1241,4)</x:f>
        <x:v>0</x:v>
      </x:c>
    </x:row>
    <x:row r="1242">
      <x:c r="A1242" s="187" t="str">
        <x:v>FORECAST_2026_08_V1</x:v>
      </x:c>
      <x:c r="B1242" s="187" t="str">
        <x:v>FORECAST</x:v>
      </x:c>
      <x:c r="C1242" s="187"/>
      <x:c r="D1242" s="217" t="n">
        <x:v>46266</x:v>
      </x:c>
      <x:c r="E1242" s="187" t="str">
        <x:v>R_GB_DE_B_ROAD</x:v>
      </x:c>
      <x:c r="F1242" s="187" t="str">
        <x:v>GB</x:v>
      </x:c>
      <x:c r="G1242" s="187" t="str">
        <x:v>DE_FC</x:v>
      </x:c>
      <x:c r="H1242" s="187" t="str">
        <x:v>CARRIER_B</x:v>
      </x:c>
      <x:c r="I1242" s="187" t="str">
        <x:v>ROAD</x:v>
      </x:c>
      <x:c r="J1242" s="187" t="str">
        <x:v>FUEL_SURCHARGE</x:v>
      </x:c>
      <x:c r="K1242" s="187" t="str">
        <x:v>GBP</x:v>
      </x:c>
      <x:c r="L1242" s="232" t="n">
        <x:v>395.666190146304</x:v>
      </x:c>
      <x:c r="M1242" s="232" t="n">
        <x:v>9.15</x:v>
      </x:c>
      <x:c r="N1242" s="187" t="str">
        <x:v>3620.3456398386816000000</x:v>
      </x:c>
      <x:c r="O1242" s="235" t="n">
        <x:v>3620.3456</x:v>
      </x:c>
      <x:c r="P1242" s="235"/>
      <x:c r="Q1242" s="235"/>
      <x:c r="R1242" s="235" t="str">
        <x:v>INVOICE_OR_PLAN</x:v>
      </x:c>
      <x:c r="S1242" s="238" t="n">
        <x:f>'Model_Calc'!AG211</x:f>
        <x:v>3620.3456398386825</x:v>
      </x:c>
      <x:c r="T1242" s="238" t="n">
        <x:f>ROUND(S1242-O1242,4)</x:f>
        <x:v>0</x:v>
      </x:c>
    </x:row>
    <x:row r="1243">
      <x:c r="A1243" s="187" t="str">
        <x:v>FORECAST_2026_08_V1</x:v>
      </x:c>
      <x:c r="B1243" s="187" t="str">
        <x:v>FORECAST</x:v>
      </x:c>
      <x:c r="C1243" s="187"/>
      <x:c r="D1243" s="217" t="n">
        <x:v>46266</x:v>
      </x:c>
      <x:c r="E1243" s="187" t="str">
        <x:v>R_GB_DE_B_ROAD</x:v>
      </x:c>
      <x:c r="F1243" s="187" t="str">
        <x:v>GB</x:v>
      </x:c>
      <x:c r="G1243" s="187" t="str">
        <x:v>DE_FC</x:v>
      </x:c>
      <x:c r="H1243" s="187" t="str">
        <x:v>CARRIER_B</x:v>
      </x:c>
      <x:c r="I1243" s="187" t="str">
        <x:v>ROAD</x:v>
      </x:c>
      <x:c r="J1243" s="187" t="str">
        <x:v>WAREHOUSE_OPERATION</x:v>
      </x:c>
      <x:c r="K1243" s="187" t="str">
        <x:v>EUR</x:v>
      </x:c>
      <x:c r="L1243" s="232" t="n">
        <x:v>1165.60090368</x:v>
      </x:c>
      <x:c r="M1243" s="232" t="n">
        <x:v>7.92</x:v>
      </x:c>
      <x:c r="N1243" s="187" t="str">
        <x:v>9231.5591571456000</x:v>
      </x:c>
      <x:c r="O1243" s="235" t="n">
        <x:v>9231.5592</x:v>
      </x:c>
      <x:c r="P1243" s="235"/>
      <x:c r="Q1243" s="235"/>
      <x:c r="R1243" s="235" t="str">
        <x:v>INVOICE_OR_PLAN</x:v>
      </x:c>
      <x:c r="S1243" s="238" t="n">
        <x:f>'Model_Calc'!AL211</x:f>
        <x:v>9231.5591571456</x:v>
      </x:c>
      <x:c r="T1243" s="238" t="n">
        <x:f>ROUND(S1243-O1243,4)</x:f>
        <x:v>0</x:v>
      </x:c>
    </x:row>
    <x:row r="1244">
      <x:c r="A1244" s="187" t="str">
        <x:v>FORECAST_2026_08_V1</x:v>
      </x:c>
      <x:c r="B1244" s="187" t="str">
        <x:v>FORECAST</x:v>
      </x:c>
      <x:c r="C1244" s="187"/>
      <x:c r="D1244" s="217" t="n">
        <x:v>46266</x:v>
      </x:c>
      <x:c r="E1244" s="187" t="str">
        <x:v>R_GB_DE_B_ROAD</x:v>
      </x:c>
      <x:c r="F1244" s="187" t="str">
        <x:v>GB</x:v>
      </x:c>
      <x:c r="G1244" s="187" t="str">
        <x:v>DE_FC</x:v>
      </x:c>
      <x:c r="H1244" s="187" t="str">
        <x:v>CARRIER_B</x:v>
      </x:c>
      <x:c r="I1244" s="187" t="str">
        <x:v>ROAD</x:v>
      </x:c>
      <x:c r="J1244" s="187" t="str">
        <x:v>PACKAGING</x:v>
      </x:c>
      <x:c r="K1244" s="187" t="str">
        <x:v>EUR</x:v>
      </x:c>
      <x:c r="L1244" s="232" t="n">
        <x:v>493.7011285248</x:v>
      </x:c>
      <x:c r="M1244" s="232" t="n">
        <x:v>7.92</x:v>
      </x:c>
      <x:c r="N1244" s="187" t="str">
        <x:v>3910.112937916416000</x:v>
      </x:c>
      <x:c r="O1244" s="235" t="n">
        <x:v>3910.1129</x:v>
      </x:c>
      <x:c r="P1244" s="235"/>
      <x:c r="Q1244" s="235"/>
      <x:c r="R1244" s="235" t="str">
        <x:v>INVOICE_OR_PLAN</x:v>
      </x:c>
      <x:c r="S1244" s="238" t="n">
        <x:f>'Model_Calc'!AQ211</x:f>
        <x:v>3910.112937916416</x:v>
      </x:c>
      <x:c r="T1244" s="238" t="n">
        <x:f>ROUND(S1244-O1244,4)</x:f>
        <x:v>0</x:v>
      </x:c>
    </x:row>
    <x:row r="1245">
      <x:c r="A1245" s="187" t="str">
        <x:v>FORECAST_2026_08_V1</x:v>
      </x:c>
      <x:c r="B1245" s="187" t="str">
        <x:v>FORECAST</x:v>
      </x:c>
      <x:c r="C1245" s="187"/>
      <x:c r="D1245" s="217" t="n">
        <x:v>46266</x:v>
      </x:c>
      <x:c r="E1245" s="187" t="str">
        <x:v>R_GB_DE_B_ROAD</x:v>
      </x:c>
      <x:c r="F1245" s="187" t="str">
        <x:v>GB</x:v>
      </x:c>
      <x:c r="G1245" s="187" t="str">
        <x:v>DE_FC</x:v>
      </x:c>
      <x:c r="H1245" s="187" t="str">
        <x:v>CARRIER_B</x:v>
      </x:c>
      <x:c r="I1245" s="187" t="str">
        <x:v>ROAD</x:v>
      </x:c>
      <x:c r="J1245" s="187" t="str">
        <x:v>RETURN_LOGISTICS</x:v>
      </x:c>
      <x:c r="K1245" s="187" t="str">
        <x:v>GBP</x:v>
      </x:c>
      <x:c r="L1245" s="232" t="n">
        <x:v>450.435603456</x:v>
      </x:c>
      <x:c r="M1245" s="232" t="n">
        <x:v>9.15</x:v>
      </x:c>
      <x:c r="N1245" s="187" t="str">
        <x:v>4121.4857716224000000</x:v>
      </x:c>
      <x:c r="O1245" s="235" t="n">
        <x:v>4121.4858</x:v>
      </x:c>
      <x:c r="P1245" s="235"/>
      <x:c r="Q1245" s="235"/>
      <x:c r="R1245" s="235" t="str">
        <x:v>INVOICE_OR_PLAN</x:v>
      </x:c>
      <x:c r="S1245" s="238" t="n">
        <x:f>'Model_Calc'!AV211</x:f>
        <x:v>4121.4857716224005</x:v>
      </x:c>
      <x:c r="T1245" s="238" t="n">
        <x:f>ROUND(S1245-O1245,4)</x:f>
        <x:v>0</x:v>
      </x:c>
    </x:row>
    <x:row r="1246">
      <x:c r="A1246" s="187" t="str">
        <x:v>FORECAST_2026_08_V1</x:v>
      </x:c>
      <x:c r="B1246" s="187" t="str">
        <x:v>FORECAST</x:v>
      </x:c>
      <x:c r="C1246" s="187"/>
      <x:c r="D1246" s="217" t="n">
        <x:v>46266</x:v>
      </x:c>
      <x:c r="E1246" s="187" t="str">
        <x:v>R_GB_DE_B_ROAD</x:v>
      </x:c>
      <x:c r="F1246" s="187" t="str">
        <x:v>GB</x:v>
      </x:c>
      <x:c r="G1246" s="187" t="str">
        <x:v>DE_FC</x:v>
      </x:c>
      <x:c r="H1246" s="187" t="str">
        <x:v>CARRIER_B</x:v>
      </x:c>
      <x:c r="I1246" s="187" t="str">
        <x:v>ROAD</x:v>
      </x:c>
      <x:c r="J1246" s="187" t="str">
        <x:v>BILLABLE_EXCEPTION</x:v>
      </x:c>
      <x:c r="K1246" s="187" t="str">
        <x:v>GBP</x:v>
      </x:c>
      <x:c r="L1246" s="232" t="n">
        <x:v>54.07202836224</x:v>
      </x:c>
      <x:c r="M1246" s="232" t="n">
        <x:v>9.15</x:v>
      </x:c>
      <x:c r="N1246" s="187" t="str">
        <x:v>494.759059514496000000</x:v>
      </x:c>
      <x:c r="O1246" s="235" t="n">
        <x:v>494.7591</x:v>
      </x:c>
      <x:c r="P1246" s="235"/>
      <x:c r="Q1246" s="235"/>
      <x:c r="R1246" s="235" t="str">
        <x:v>INVOICE_OR_PLAN</x:v>
      </x:c>
      <x:c r="S1246" s="238" t="n">
        <x:f>'Model_Calc'!BA211</x:f>
        <x:v>494.7590595144961</x:v>
      </x:c>
      <x:c r="T1246" s="238" t="n">
        <x:f>ROUND(S1246-O1246,4)</x:f>
        <x:v>0</x:v>
      </x:c>
    </x:row>
    <x:row r="1247">
      <x:c r="A1247" s="187" t="str">
        <x:v>FORECAST_2026_08_V1</x:v>
      </x:c>
      <x:c r="B1247" s="187" t="str">
        <x:v>FORECAST</x:v>
      </x:c>
      <x:c r="C1247" s="187"/>
      <x:c r="D1247" s="217" t="n">
        <x:v>46266</x:v>
      </x:c>
      <x:c r="E1247" s="187" t="str">
        <x:v>R_GB_DE_B_AIR</x:v>
      </x:c>
      <x:c r="F1247" s="187" t="str">
        <x:v>GB</x:v>
      </x:c>
      <x:c r="G1247" s="187" t="str">
        <x:v>DE_FC</x:v>
      </x:c>
      <x:c r="H1247" s="187" t="str">
        <x:v>CARRIER_B</x:v>
      </x:c>
      <x:c r="I1247" s="187" t="str">
        <x:v>AIR</x:v>
      </x:c>
      <x:c r="J1247" s="187" t="str">
        <x:v>BASE_FREIGHT</x:v>
      </x:c>
      <x:c r="K1247" s="187" t="str">
        <x:v>GBP</x:v>
      </x:c>
      <x:c r="L1247" s="232" t="n">
        <x:v>10687.0778004437</x:v>
      </x:c>
      <x:c r="M1247" s="232" t="n">
        <x:v>9.15</x:v>
      </x:c>
      <x:c r="N1247" s="187" t="str">
        <x:v>97786.761874059847680000000</x:v>
      </x:c>
      <x:c r="O1247" s="235" t="n">
        <x:v>97786.7619</x:v>
      </x:c>
      <x:c r="P1247" s="235"/>
      <x:c r="Q1247" s="235"/>
      <x:c r="R1247" s="235" t="str">
        <x:v>INVOICE_OR_PLAN</x:v>
      </x:c>
      <x:c r="S1247" s="238" t="n">
        <x:f>'Model_Calc'!AF212</x:f>
        <x:v>97786.76187405984</x:v>
      </x:c>
      <x:c r="T1247" s="238" t="n">
        <x:f>ROUND(S1247-O1247,4)</x:f>
        <x:v>0</x:v>
      </x:c>
    </x:row>
    <x:row r="1248">
      <x:c r="A1248" s="187" t="str">
        <x:v>FORECAST_2026_08_V1</x:v>
      </x:c>
      <x:c r="B1248" s="187" t="str">
        <x:v>FORECAST</x:v>
      </x:c>
      <x:c r="C1248" s="187"/>
      <x:c r="D1248" s="217" t="n">
        <x:v>46266</x:v>
      </x:c>
      <x:c r="E1248" s="187" t="str">
        <x:v>R_GB_DE_B_AIR</x:v>
      </x:c>
      <x:c r="F1248" s="187" t="str">
        <x:v>GB</x:v>
      </x:c>
      <x:c r="G1248" s="187" t="str">
        <x:v>DE_FC</x:v>
      </x:c>
      <x:c r="H1248" s="187" t="str">
        <x:v>CARRIER_B</x:v>
      </x:c>
      <x:c r="I1248" s="187" t="str">
        <x:v>AIR</x:v>
      </x:c>
      <x:c r="J1248" s="187" t="str">
        <x:v>FUEL_SURCHARGE</x:v>
      </x:c>
      <x:c r="K1248" s="187" t="str">
        <x:v>GBP</x:v>
      </x:c>
      <x:c r="L1248" s="232" t="n">
        <x:v>1322.9106126057238</x:v>
      </x:c>
      <x:c r="M1248" s="232" t="n">
        <x:v>9.15</x:v>
      </x:c>
      <x:c r="N1248" s="187" t="str">
        <x:v>12104.63210534237230491648000000000</x:v>
      </x:c>
      <x:c r="O1248" s="235" t="n">
        <x:v>12104.6321</x:v>
      </x:c>
      <x:c r="P1248" s="235"/>
      <x:c r="Q1248" s="235"/>
      <x:c r="R1248" s="235" t="str">
        <x:v>INVOICE_OR_PLAN</x:v>
      </x:c>
      <x:c r="S1248" s="238" t="n">
        <x:f>'Model_Calc'!AG212</x:f>
        <x:v>12104.63210534237</x:v>
      </x:c>
      <x:c r="T1248" s="238" t="n">
        <x:f>ROUND(S1248-O1248,4)</x:f>
        <x:v>0</x:v>
      </x:c>
    </x:row>
    <x:row r="1249">
      <x:c r="A1249" s="187" t="str">
        <x:v>FORECAST_2026_08_V1</x:v>
      </x:c>
      <x:c r="B1249" s="187" t="str">
        <x:v>FORECAST</x:v>
      </x:c>
      <x:c r="C1249" s="187"/>
      <x:c r="D1249" s="217" t="n">
        <x:v>46266</x:v>
      </x:c>
      <x:c r="E1249" s="187" t="str">
        <x:v>R_GB_DE_B_AIR</x:v>
      </x:c>
      <x:c r="F1249" s="187" t="str">
        <x:v>GB</x:v>
      </x:c>
      <x:c r="G1249" s="187" t="str">
        <x:v>DE_FC</x:v>
      </x:c>
      <x:c r="H1249" s="187" t="str">
        <x:v>CARRIER_B</x:v>
      </x:c>
      <x:c r="I1249" s="187" t="str">
        <x:v>AIR</x:v>
      </x:c>
      <x:c r="J1249" s="187" t="str">
        <x:v>WAREHOUSE_OPERATION</x:v>
      </x:c>
      <x:c r="K1249" s="187" t="str">
        <x:v>EUR</x:v>
      </x:c>
      <x:c r="L1249" s="232" t="n">
        <x:v>1714.118976</x:v>
      </x:c>
      <x:c r="M1249" s="232" t="n">
        <x:v>7.92</x:v>
      </x:c>
      <x:c r="N1249" s="187" t="str">
        <x:v>13575.8222899200000</x:v>
      </x:c>
      <x:c r="O1249" s="235" t="n">
        <x:v>13575.8223</x:v>
      </x:c>
      <x:c r="P1249" s="235"/>
      <x:c r="Q1249" s="235"/>
      <x:c r="R1249" s="235" t="str">
        <x:v>INVOICE_OR_PLAN</x:v>
      </x:c>
      <x:c r="S1249" s="238" t="n">
        <x:f>'Model_Calc'!AL212</x:f>
        <x:v>13575.82228992</x:v>
      </x:c>
      <x:c r="T1249" s="238" t="n">
        <x:f>ROUND(S1249-O1249,4)</x:f>
        <x:v>0</x:v>
      </x:c>
    </x:row>
    <x:row r="1250">
      <x:c r="A1250" s="187" t="str">
        <x:v>FORECAST_2026_08_V1</x:v>
      </x:c>
      <x:c r="B1250" s="187" t="str">
        <x:v>FORECAST</x:v>
      </x:c>
      <x:c r="C1250" s="187"/>
      <x:c r="D1250" s="217" t="n">
        <x:v>46266</x:v>
      </x:c>
      <x:c r="E1250" s="187" t="str">
        <x:v>R_GB_DE_B_AIR</x:v>
      </x:c>
      <x:c r="F1250" s="187" t="str">
        <x:v>GB</x:v>
      </x:c>
      <x:c r="G1250" s="187" t="str">
        <x:v>DE_FC</x:v>
      </x:c>
      <x:c r="H1250" s="187" t="str">
        <x:v>CARRIER_B</x:v>
      </x:c>
      <x:c r="I1250" s="187" t="str">
        <x:v>AIR</x:v>
      </x:c>
      <x:c r="J1250" s="187" t="str">
        <x:v>PACKAGING</x:v>
      </x:c>
      <x:c r="K1250" s="187" t="str">
        <x:v>EUR</x:v>
      </x:c>
      <x:c r="L1250" s="232" t="n">
        <x:v>726.03107136</x:v>
      </x:c>
      <x:c r="M1250" s="232" t="n">
        <x:v>7.92</x:v>
      </x:c>
      <x:c r="N1250" s="187" t="str">
        <x:v>5750.166085171200000</x:v>
      </x:c>
      <x:c r="O1250" s="235" t="n">
        <x:v>5750.1661</x:v>
      </x:c>
      <x:c r="P1250" s="235"/>
      <x:c r="Q1250" s="235"/>
      <x:c r="R1250" s="235" t="str">
        <x:v>INVOICE_OR_PLAN</x:v>
      </x:c>
      <x:c r="S1250" s="238" t="n">
        <x:f>'Model_Calc'!AQ212</x:f>
        <x:v>5750.1660851711995</x:v>
      </x:c>
      <x:c r="T1250" s="238" t="n">
        <x:f>ROUND(S1250-O1250,4)</x:f>
        <x:v>0</x:v>
      </x:c>
    </x:row>
    <x:row r="1251">
      <x:c r="A1251" s="187" t="str">
        <x:v>FORECAST_2026_08_V1</x:v>
      </x:c>
      <x:c r="B1251" s="187" t="str">
        <x:v>FORECAST</x:v>
      </x:c>
      <x:c r="C1251" s="187"/>
      <x:c r="D1251" s="217" t="n">
        <x:v>46266</x:v>
      </x:c>
      <x:c r="E1251" s="187" t="str">
        <x:v>R_GB_DE_B_AIR</x:v>
      </x:c>
      <x:c r="F1251" s="187" t="str">
        <x:v>GB</x:v>
      </x:c>
      <x:c r="G1251" s="187" t="str">
        <x:v>DE_FC</x:v>
      </x:c>
      <x:c r="H1251" s="187" t="str">
        <x:v>CARRIER_B</x:v>
      </x:c>
      <x:c r="I1251" s="187" t="str">
        <x:v>AIR</x:v>
      </x:c>
      <x:c r="J1251" s="187" t="str">
        <x:v>RETURN_LOGISTICS</x:v>
      </x:c>
      <x:c r="K1251" s="187" t="str">
        <x:v>GBP</x:v>
      </x:c>
      <x:c r="L1251" s="232" t="n">
        <x:v>662.4052992</x:v>
      </x:c>
      <x:c r="M1251" s="232" t="n">
        <x:v>9.15</x:v>
      </x:c>
      <x:c r="N1251" s="187" t="str">
        <x:v>6061.0084876800000000</x:v>
      </x:c>
      <x:c r="O1251" s="235" t="n">
        <x:v>6061.0085</x:v>
      </x:c>
      <x:c r="P1251" s="235"/>
      <x:c r="Q1251" s="235"/>
      <x:c r="R1251" s="235" t="str">
        <x:v>INVOICE_OR_PLAN</x:v>
      </x:c>
      <x:c r="S1251" s="238" t="n">
        <x:f>'Model_Calc'!AV212</x:f>
        <x:v>6061.00848768</x:v>
      </x:c>
      <x:c r="T1251" s="238" t="n">
        <x:f>ROUND(S1251-O1251,4)</x:f>
        <x:v>0</x:v>
      </x:c>
    </x:row>
    <x:row r="1252">
      <x:c r="A1252" s="187" t="str">
        <x:v>FORECAST_2026_08_V1</x:v>
      </x:c>
      <x:c r="B1252" s="187" t="str">
        <x:v>FORECAST</x:v>
      </x:c>
      <x:c r="C1252" s="187"/>
      <x:c r="D1252" s="217" t="n">
        <x:v>46266</x:v>
      </x:c>
      <x:c r="E1252" s="187" t="str">
        <x:v>R_GB_DE_B_AIR</x:v>
      </x:c>
      <x:c r="F1252" s="187" t="str">
        <x:v>GB</x:v>
      </x:c>
      <x:c r="G1252" s="187" t="str">
        <x:v>DE_FC</x:v>
      </x:c>
      <x:c r="H1252" s="187" t="str">
        <x:v>CARRIER_B</x:v>
      </x:c>
      <x:c r="I1252" s="187" t="str">
        <x:v>AIR</x:v>
      </x:c>
      <x:c r="J1252" s="187" t="str">
        <x:v>BILLABLE_EXCEPTION</x:v>
      </x:c>
      <x:c r="K1252" s="187" t="str">
        <x:v>GBP</x:v>
      </x:c>
      <x:c r="L1252" s="232" t="n">
        <x:v>77.4433142784</x:v>
      </x:c>
      <x:c r="M1252" s="232" t="n">
        <x:v>9.15</x:v>
      </x:c>
      <x:c r="N1252" s="187" t="str">
        <x:v>708.606325647360000000</x:v>
      </x:c>
      <x:c r="O1252" s="235" t="n">
        <x:v>708.6063</x:v>
      </x:c>
      <x:c r="P1252" s="235"/>
      <x:c r="Q1252" s="235"/>
      <x:c r="R1252" s="235" t="str">
        <x:v>INVOICE_OR_PLAN</x:v>
      </x:c>
      <x:c r="S1252" s="238" t="n">
        <x:f>'Model_Calc'!BA212</x:f>
        <x:v>708.6063256473601</x:v>
      </x:c>
      <x:c r="T1252" s="238" t="n">
        <x:f>ROUND(S1252-O1252,4)</x:f>
        <x:v>0</x:v>
      </x:c>
    </x:row>
    <x:row r="1253">
      <x:c r="A1253" s="187" t="str">
        <x:v>FORECAST_2026_08_V1</x:v>
      </x:c>
      <x:c r="B1253" s="187" t="str">
        <x:v>FORECAST</x:v>
      </x:c>
      <x:c r="C1253" s="187"/>
      <x:c r="D1253" s="217" t="n">
        <x:v>46266</x:v>
      </x:c>
      <x:c r="E1253" s="187" t="str">
        <x:v>R_GB_DE_C_AIR</x:v>
      </x:c>
      <x:c r="F1253" s="187" t="str">
        <x:v>GB</x:v>
      </x:c>
      <x:c r="G1253" s="187" t="str">
        <x:v>DE_FC</x:v>
      </x:c>
      <x:c r="H1253" s="187" t="str">
        <x:v>CARRIER_C</x:v>
      </x:c>
      <x:c r="I1253" s="187" t="str">
        <x:v>AIR</x:v>
      </x:c>
      <x:c r="J1253" s="187" t="str">
        <x:v>BASE_FREIGHT</x:v>
      </x:c>
      <x:c r="K1253" s="187" t="str">
        <x:v>GBP</x:v>
      </x:c>
      <x:c r="L1253" s="232" t="n">
        <x:v>14443.720216121548</x:v>
      </x:c>
      <x:c r="M1253" s="232" t="n">
        <x:v>9.15</x:v>
      </x:c>
      <x:c r="N1253" s="187" t="str">
        <x:v>132160.039977512171520000000</x:v>
      </x:c>
      <x:c r="O1253" s="235" t="n">
        <x:v>132160.04</x:v>
      </x:c>
      <x:c r="P1253" s="235"/>
      <x:c r="Q1253" s="235"/>
      <x:c r="R1253" s="235" t="str">
        <x:v>INVOICE_OR_PLAN</x:v>
      </x:c>
      <x:c r="S1253" s="238" t="n">
        <x:f>'Model_Calc'!AF213</x:f>
        <x:v>132160.03997751215</x:v>
      </x:c>
      <x:c r="T1253" s="238" t="n">
        <x:f>ROUND(S1253-O1253,4)</x:f>
        <x:v>0</x:v>
      </x:c>
    </x:row>
    <x:row r="1254">
      <x:c r="A1254" s="187" t="str">
        <x:v>FORECAST_2026_08_V1</x:v>
      </x:c>
      <x:c r="B1254" s="187" t="str">
        <x:v>FORECAST</x:v>
      </x:c>
      <x:c r="C1254" s="187"/>
      <x:c r="D1254" s="217" t="n">
        <x:v>46266</x:v>
      </x:c>
      <x:c r="E1254" s="187" t="str">
        <x:v>R_GB_DE_C_AIR</x:v>
      </x:c>
      <x:c r="F1254" s="187" t="str">
        <x:v>GB</x:v>
      </x:c>
      <x:c r="G1254" s="187" t="str">
        <x:v>DE_FC</x:v>
      </x:c>
      <x:c r="H1254" s="187" t="str">
        <x:v>CARRIER_C</x:v>
      </x:c>
      <x:c r="I1254" s="187" t="str">
        <x:v>AIR</x:v>
      </x:c>
      <x:c r="J1254" s="187" t="str">
        <x:v>FUEL_SURCHARGE</x:v>
      </x:c>
      <x:c r="K1254" s="187" t="str">
        <x:v>GBP</x:v>
      </x:c>
      <x:c r="L1254" s="232" t="n">
        <x:v>1116.9810300467332</x:v>
      </x:c>
      <x:c r="M1254" s="232" t="n">
        <x:v>9.15</x:v>
      </x:c>
      <x:c r="N1254" s="187" t="str">
        <x:v>10220.376424927607930880000</x:v>
      </x:c>
      <x:c r="O1254" s="235" t="n">
        <x:v>10220.3764</x:v>
      </x:c>
      <x:c r="P1254" s="235"/>
      <x:c r="Q1254" s="235"/>
      <x:c r="R1254" s="235" t="str">
        <x:v>INVOICE_OR_PLAN</x:v>
      </x:c>
      <x:c r="S1254" s="238" t="n">
        <x:f>'Model_Calc'!AG213</x:f>
        <x:v>10220.376424927608</x:v>
      </x:c>
      <x:c r="T1254" s="238" t="n">
        <x:f>ROUND(S1254-O1254,4)</x:f>
        <x:v>0</x:v>
      </x:c>
    </x:row>
    <x:row r="1255">
      <x:c r="A1255" s="187" t="str">
        <x:v>FORECAST_2026_08_V1</x:v>
      </x:c>
      <x:c r="B1255" s="187" t="str">
        <x:v>FORECAST</x:v>
      </x:c>
      <x:c r="C1255" s="187"/>
      <x:c r="D1255" s="217" t="n">
        <x:v>46266</x:v>
      </x:c>
      <x:c r="E1255" s="187" t="str">
        <x:v>R_GB_DE_C_AIR</x:v>
      </x:c>
      <x:c r="F1255" s="187" t="str">
        <x:v>GB</x:v>
      </x:c>
      <x:c r="G1255" s="187" t="str">
        <x:v>DE_FC</x:v>
      </x:c>
      <x:c r="H1255" s="187" t="str">
        <x:v>CARRIER_C</x:v>
      </x:c>
      <x:c r="I1255" s="187" t="str">
        <x:v>AIR</x:v>
      </x:c>
      <x:c r="J1255" s="187" t="str">
        <x:v>WAREHOUSE_OPERATION</x:v>
      </x:c>
      <x:c r="K1255" s="187" t="str">
        <x:v>EUR</x:v>
      </x:c>
      <x:c r="L1255" s="232" t="n">
        <x:v>1919.81325312</x:v>
      </x:c>
      <x:c r="M1255" s="232" t="n">
        <x:v>7.92</x:v>
      </x:c>
      <x:c r="N1255" s="187" t="str">
        <x:v>15204.9209647104000</x:v>
      </x:c>
      <x:c r="O1255" s="235" t="n">
        <x:v>15204.921</x:v>
      </x:c>
      <x:c r="P1255" s="235"/>
      <x:c r="Q1255" s="235"/>
      <x:c r="R1255" s="235" t="str">
        <x:v>INVOICE_OR_PLAN</x:v>
      </x:c>
      <x:c r="S1255" s="238" t="n">
        <x:f>'Model_Calc'!AL213</x:f>
        <x:v>15204.920964710403</x:v>
      </x:c>
      <x:c r="T1255" s="238" t="n">
        <x:f>ROUND(S1255-O1255,4)</x:f>
        <x:v>0</x:v>
      </x:c>
    </x:row>
    <x:row r="1256">
      <x:c r="A1256" s="187" t="str">
        <x:v>FORECAST_2026_08_V1</x:v>
      </x:c>
      <x:c r="B1256" s="187" t="str">
        <x:v>FORECAST</x:v>
      </x:c>
      <x:c r="C1256" s="187"/>
      <x:c r="D1256" s="217" t="n">
        <x:v>46266</x:v>
      </x:c>
      <x:c r="E1256" s="187" t="str">
        <x:v>R_GB_DE_C_AIR</x:v>
      </x:c>
      <x:c r="F1256" s="187" t="str">
        <x:v>GB</x:v>
      </x:c>
      <x:c r="G1256" s="187" t="str">
        <x:v>DE_FC</x:v>
      </x:c>
      <x:c r="H1256" s="187" t="str">
        <x:v>CARRIER_C</x:v>
      </x:c>
      <x:c r="I1256" s="187" t="str">
        <x:v>AIR</x:v>
      </x:c>
      <x:c r="J1256" s="187" t="str">
        <x:v>PACKAGING</x:v>
      </x:c>
      <x:c r="K1256" s="187" t="str">
        <x:v>EUR</x:v>
      </x:c>
      <x:c r="L1256" s="232" t="n">
        <x:v>813.1547999232</x:v>
      </x:c>
      <x:c r="M1256" s="232" t="n">
        <x:v>7.92</x:v>
      </x:c>
      <x:c r="N1256" s="187" t="str">
        <x:v>6440.186015391744000</x:v>
      </x:c>
      <x:c r="O1256" s="235" t="n">
        <x:v>6440.186</x:v>
      </x:c>
      <x:c r="P1256" s="235"/>
      <x:c r="Q1256" s="235"/>
      <x:c r="R1256" s="235" t="str">
        <x:v>INVOICE_OR_PLAN</x:v>
      </x:c>
      <x:c r="S1256" s="238" t="n">
        <x:f>'Model_Calc'!AQ213</x:f>
        <x:v>6440.186015391744</x:v>
      </x:c>
      <x:c r="T1256" s="238" t="n">
        <x:f>ROUND(S1256-O1256,4)</x:f>
        <x:v>0</x:v>
      </x:c>
    </x:row>
    <x:row r="1257">
      <x:c r="A1257" s="187" t="str">
        <x:v>FORECAST_2026_08_V1</x:v>
      </x:c>
      <x:c r="B1257" s="187" t="str">
        <x:v>FORECAST</x:v>
      </x:c>
      <x:c r="C1257" s="187"/>
      <x:c r="D1257" s="217" t="n">
        <x:v>46266</x:v>
      </x:c>
      <x:c r="E1257" s="187" t="str">
        <x:v>R_GB_DE_C_AIR</x:v>
      </x:c>
      <x:c r="F1257" s="187" t="str">
        <x:v>GB</x:v>
      </x:c>
      <x:c r="G1257" s="187" t="str">
        <x:v>DE_FC</x:v>
      </x:c>
      <x:c r="H1257" s="187" t="str">
        <x:v>CARRIER_C</x:v>
      </x:c>
      <x:c r="I1257" s="187" t="str">
        <x:v>AIR</x:v>
      </x:c>
      <x:c r="J1257" s="187" t="str">
        <x:v>RETURN_LOGISTICS</x:v>
      </x:c>
      <x:c r="K1257" s="187" t="str">
        <x:v>GBP</x:v>
      </x:c>
      <x:c r="L1257" s="232" t="n">
        <x:v>741.893935104</x:v>
      </x:c>
      <x:c r="M1257" s="232" t="n">
        <x:v>9.15</x:v>
      </x:c>
      <x:c r="N1257" s="187" t="str">
        <x:v>6788.3295062016000000</x:v>
      </x:c>
      <x:c r="O1257" s="235" t="n">
        <x:v>6788.3295</x:v>
      </x:c>
      <x:c r="P1257" s="235"/>
      <x:c r="Q1257" s="235"/>
      <x:c r="R1257" s="235" t="str">
        <x:v>INVOICE_OR_PLAN</x:v>
      </x:c>
      <x:c r="S1257" s="238" t="n">
        <x:f>'Model_Calc'!AV213</x:f>
        <x:v>6788.3295062016</x:v>
      </x:c>
      <x:c r="T1257" s="238" t="n">
        <x:f>ROUND(S1257-O1257,4)</x:f>
        <x:v>0</x:v>
      </x:c>
    </x:row>
    <x:row r="1258">
      <x:c r="A1258" s="187" t="str">
        <x:v>FORECAST_2026_08_V1</x:v>
      </x:c>
      <x:c r="B1258" s="187" t="str">
        <x:v>FORECAST</x:v>
      </x:c>
      <x:c r="C1258" s="187"/>
      <x:c r="D1258" s="217" t="n">
        <x:v>46266</x:v>
      </x:c>
      <x:c r="E1258" s="187" t="str">
        <x:v>R_GB_DE_C_AIR</x:v>
      </x:c>
      <x:c r="F1258" s="187" t="str">
        <x:v>GB</x:v>
      </x:c>
      <x:c r="G1258" s="187" t="str">
        <x:v>DE_FC</x:v>
      </x:c>
      <x:c r="H1258" s="187" t="str">
        <x:v>CARRIER_C</x:v>
      </x:c>
      <x:c r="I1258" s="187" t="str">
        <x:v>AIR</x:v>
      </x:c>
      <x:c r="J1258" s="187" t="str">
        <x:v>BILLABLE_EXCEPTION</x:v>
      </x:c>
      <x:c r="K1258" s="187" t="str">
        <x:v>GBP</x:v>
      </x:c>
      <x:c r="L1258" s="232" t="n">
        <x:v>76.668881135616</x:v>
      </x:c>
      <x:c r="M1258" s="232" t="n">
        <x:v>9.15</x:v>
      </x:c>
      <x:c r="N1258" s="187" t="str">
        <x:v>701.520262390886400000</x:v>
      </x:c>
      <x:c r="O1258" s="235" t="n">
        <x:v>701.5203</x:v>
      </x:c>
      <x:c r="P1258" s="235"/>
      <x:c r="Q1258" s="235"/>
      <x:c r="R1258" s="235" t="str">
        <x:v>INVOICE_OR_PLAN</x:v>
      </x:c>
      <x:c r="S1258" s="238" t="n">
        <x:f>'Model_Calc'!BA213</x:f>
        <x:v>701.5202623908864</x:v>
      </x:c>
      <x:c r="T1258" s="238" t="n">
        <x:f>ROUND(S1258-O1258,4)</x:f>
        <x:v>0</x:v>
      </x:c>
    </x:row>
    <x:row r="1259">
      <x:c r="A1259" s="187" t="str">
        <x:v>FORECAST_2026_08_V1</x:v>
      </x:c>
      <x:c r="B1259" s="187" t="str">
        <x:v>FORECAST</x:v>
      </x:c>
      <x:c r="C1259" s="187"/>
      <x:c r="D1259" s="217" t="n">
        <x:v>46266</x:v>
      </x:c>
      <x:c r="E1259" s="187" t="str">
        <x:v>R_GB_FR_B_AIR</x:v>
      </x:c>
      <x:c r="F1259" s="187" t="str">
        <x:v>GB</x:v>
      </x:c>
      <x:c r="G1259" s="187" t="str">
        <x:v>FR_FC</x:v>
      </x:c>
      <x:c r="H1259" s="187" t="str">
        <x:v>CARRIER_B</x:v>
      </x:c>
      <x:c r="I1259" s="187" t="str">
        <x:v>AIR</x:v>
      </x:c>
      <x:c r="J1259" s="187" t="str">
        <x:v>BASE_FREIGHT</x:v>
      </x:c>
      <x:c r="K1259" s="187" t="str">
        <x:v>EUR</x:v>
      </x:c>
      <x:c r="L1259" s="232" t="n">
        <x:v>1742.2523168544</x:v>
      </x:c>
      <x:c r="M1259" s="232" t="n">
        <x:v>7.92</x:v>
      </x:c>
      <x:c r="N1259" s="187" t="str">
        <x:v>13798.63834948684800000</x:v>
      </x:c>
      <x:c r="O1259" s="235" t="n">
        <x:v>13798.6383</x:v>
      </x:c>
      <x:c r="P1259" s="235"/>
      <x:c r="Q1259" s="235"/>
      <x:c r="R1259" s="235" t="str">
        <x:v>INVOICE_OR_PLAN</x:v>
      </x:c>
      <x:c r="S1259" s="238" t="n">
        <x:f>'Model_Calc'!AF214</x:f>
        <x:v>13798.638349486848</x:v>
      </x:c>
      <x:c r="T1259" s="238" t="n">
        <x:f>ROUND(S1259-O1259,4)</x:f>
        <x:v>0</x:v>
      </x:c>
    </x:row>
    <x:row r="1260">
      <x:c r="A1260" s="187" t="str">
        <x:v>FORECAST_2026_08_V1</x:v>
      </x:c>
      <x:c r="B1260" s="187" t="str">
        <x:v>FORECAST</x:v>
      </x:c>
      <x:c r="C1260" s="187"/>
      <x:c r="D1260" s="217" t="n">
        <x:v>46266</x:v>
      </x:c>
      <x:c r="E1260" s="187" t="str">
        <x:v>R_GB_FR_B_AIR</x:v>
      </x:c>
      <x:c r="F1260" s="187" t="str">
        <x:v>GB</x:v>
      </x:c>
      <x:c r="G1260" s="187" t="str">
        <x:v>FR_FC</x:v>
      </x:c>
      <x:c r="H1260" s="187" t="str">
        <x:v>CARRIER_B</x:v>
      </x:c>
      <x:c r="I1260" s="187" t="str">
        <x:v>AIR</x:v>
      </x:c>
      <x:c r="J1260" s="187" t="str">
        <x:v>FUEL_SURCHARGE</x:v>
      </x:c>
      <x:c r="K1260" s="187" t="str">
        <x:v>EUR</x:v>
      </x:c>
      <x:c r="L1260" s="232" t="n">
        <x:v>189.33927053415192</x:v>
      </x:c>
      <x:c r="M1260" s="232" t="n">
        <x:v>7.92</x:v>
      </x:c>
      <x:c r="N1260" s="187" t="str">
        <x:v>1499.56702263048320640000000</x:v>
      </x:c>
      <x:c r="O1260" s="235" t="n">
        <x:v>1499.567</x:v>
      </x:c>
      <x:c r="P1260" s="235"/>
      <x:c r="Q1260" s="235"/>
      <x:c r="R1260" s="235" t="str">
        <x:v>INVOICE_OR_PLAN</x:v>
      </x:c>
      <x:c r="S1260" s="238" t="n">
        <x:f>'Model_Calc'!AG214</x:f>
        <x:v>1499.5670226304833</x:v>
      </x:c>
      <x:c r="T1260" s="238" t="n">
        <x:f>ROUND(S1260-O1260,4)</x:f>
        <x:v>0</x:v>
      </x:c>
    </x:row>
    <x:row r="1261">
      <x:c r="A1261" s="187" t="str">
        <x:v>FORECAST_2026_08_V1</x:v>
      </x:c>
      <x:c r="B1261" s="187" t="str">
        <x:v>FORECAST</x:v>
      </x:c>
      <x:c r="C1261" s="187"/>
      <x:c r="D1261" s="217" t="n">
        <x:v>46266</x:v>
      </x:c>
      <x:c r="E1261" s="187" t="str">
        <x:v>R_GB_FR_B_AIR</x:v>
      </x:c>
      <x:c r="F1261" s="187" t="str">
        <x:v>GB</x:v>
      </x:c>
      <x:c r="G1261" s="187" t="str">
        <x:v>FR_FC</x:v>
      </x:c>
      <x:c r="H1261" s="187" t="str">
        <x:v>CARRIER_B</x:v>
      </x:c>
      <x:c r="I1261" s="187" t="str">
        <x:v>AIR</x:v>
      </x:c>
      <x:c r="J1261" s="187" t="str">
        <x:v>WAREHOUSE_OPERATION</x:v>
      </x:c>
      <x:c r="K1261" s="187" t="str">
        <x:v>EUR</x:v>
      </x:c>
      <x:c r="L1261" s="232" t="n">
        <x:v>254.21256</x:v>
      </x:c>
      <x:c r="M1261" s="232" t="n">
        <x:v>7.92</x:v>
      </x:c>
      <x:c r="N1261" s="187" t="str">
        <x:v>2013.36347520000</x:v>
      </x:c>
      <x:c r="O1261" s="235" t="n">
        <x:v>2013.3635</x:v>
      </x:c>
      <x:c r="P1261" s="235"/>
      <x:c r="Q1261" s="235"/>
      <x:c r="R1261" s="235" t="str">
        <x:v>INVOICE_OR_PLAN</x:v>
      </x:c>
      <x:c r="S1261" s="238" t="n">
        <x:f>'Model_Calc'!AL214</x:f>
        <x:v>2013.3634752000005</x:v>
      </x:c>
      <x:c r="T1261" s="238" t="n">
        <x:f>ROUND(S1261-O1261,4)</x:f>
        <x:v>0</x:v>
      </x:c>
    </x:row>
    <x:row r="1262">
      <x:c r="A1262" s="187" t="str">
        <x:v>FORECAST_2026_08_V1</x:v>
      </x:c>
      <x:c r="B1262" s="187" t="str">
        <x:v>FORECAST</x:v>
      </x:c>
      <x:c r="C1262" s="187"/>
      <x:c r="D1262" s="217" t="n">
        <x:v>46266</x:v>
      </x:c>
      <x:c r="E1262" s="187" t="str">
        <x:v>R_GB_FR_B_AIR</x:v>
      </x:c>
      <x:c r="F1262" s="187" t="str">
        <x:v>GB</x:v>
      </x:c>
      <x:c r="G1262" s="187" t="str">
        <x:v>FR_FC</x:v>
      </x:c>
      <x:c r="H1262" s="187" t="str">
        <x:v>CARRIER_B</x:v>
      </x:c>
      <x:c r="I1262" s="187" t="str">
        <x:v>AIR</x:v>
      </x:c>
      <x:c r="J1262" s="187" t="str">
        <x:v>PACKAGING</x:v>
      </x:c>
      <x:c r="K1262" s="187" t="str">
        <x:v>EUR</x:v>
      </x:c>
      <x:c r="L1262" s="232" t="n">
        <x:v>107.64086112</x:v>
      </x:c>
      <x:c r="M1262" s="232" t="n">
        <x:v>7.92</x:v>
      </x:c>
      <x:c r="N1262" s="187" t="str">
        <x:v>852.5156200704000</x:v>
      </x:c>
      <x:c r="O1262" s="235" t="n">
        <x:v>852.5156</x:v>
      </x:c>
      <x:c r="P1262" s="235"/>
      <x:c r="Q1262" s="235"/>
      <x:c r="R1262" s="235" t="str">
        <x:v>INVOICE_OR_PLAN</x:v>
      </x:c>
      <x:c r="S1262" s="238" t="n">
        <x:f>'Model_Calc'!AQ214</x:f>
        <x:v>852.5156200704</x:v>
      </x:c>
      <x:c r="T1262" s="238" t="n">
        <x:f>ROUND(S1262-O1262,4)</x:f>
        <x:v>0</x:v>
      </x:c>
    </x:row>
    <x:row r="1263">
      <x:c r="A1263" s="187" t="str">
        <x:v>FORECAST_2026_08_V1</x:v>
      </x:c>
      <x:c r="B1263" s="187" t="str">
        <x:v>FORECAST</x:v>
      </x:c>
      <x:c r="C1263" s="187"/>
      <x:c r="D1263" s="217" t="n">
        <x:v>46266</x:v>
      </x:c>
      <x:c r="E1263" s="187" t="str">
        <x:v>R_GB_FR_B_AIR</x:v>
      </x:c>
      <x:c r="F1263" s="187" t="str">
        <x:v>GB</x:v>
      </x:c>
      <x:c r="G1263" s="187" t="str">
        <x:v>FR_FC</x:v>
      </x:c>
      <x:c r="H1263" s="187" t="str">
        <x:v>CARRIER_B</x:v>
      </x:c>
      <x:c r="I1263" s="187" t="str">
        <x:v>AIR</x:v>
      </x:c>
      <x:c r="J1263" s="187" t="str">
        <x:v>RETURN_LOGISTICS</x:v>
      </x:c>
      <x:c r="K1263" s="187" t="str">
        <x:v>EUR</x:v>
      </x:c>
      <x:c r="L1263" s="232" t="n">
        <x:v>119.6009568</x:v>
      </x:c>
      <x:c r="M1263" s="232" t="n">
        <x:v>7.92</x:v>
      </x:c>
      <x:c r="N1263" s="187" t="str">
        <x:v>947.23957785600000</x:v>
      </x:c>
      <x:c r="O1263" s="235" t="n">
        <x:v>947.2396</x:v>
      </x:c>
      <x:c r="P1263" s="235"/>
      <x:c r="Q1263" s="235"/>
      <x:c r="R1263" s="235" t="str">
        <x:v>INVOICE_OR_PLAN</x:v>
      </x:c>
      <x:c r="S1263" s="238" t="n">
        <x:f>'Model_Calc'!AV214</x:f>
        <x:v>947.2395778559999</x:v>
      </x:c>
      <x:c r="T1263" s="238" t="n">
        <x:f>ROUND(S1263-O1263,4)</x:f>
        <x:v>0</x:v>
      </x:c>
    </x:row>
    <x:row r="1264">
      <x:c r="A1264" s="187" t="str">
        <x:v>FORECAST_2026_08_V1</x:v>
      </x:c>
      <x:c r="B1264" s="187" t="str">
        <x:v>FORECAST</x:v>
      </x:c>
      <x:c r="C1264" s="187"/>
      <x:c r="D1264" s="217" t="n">
        <x:v>46266</x:v>
      </x:c>
      <x:c r="E1264" s="187" t="str">
        <x:v>R_GB_FR_B_AIR</x:v>
      </x:c>
      <x:c r="F1264" s="187" t="str">
        <x:v>GB</x:v>
      </x:c>
      <x:c r="G1264" s="187" t="str">
        <x:v>FR_FC</x:v>
      </x:c>
      <x:c r="H1264" s="187" t="str">
        <x:v>CARRIER_B</x:v>
      </x:c>
      <x:c r="I1264" s="187" t="str">
        <x:v>AIR</x:v>
      </x:c>
      <x:c r="J1264" s="187" t="str">
        <x:v>BILLABLE_EXCEPTION</x:v>
      </x:c>
      <x:c r="K1264" s="187" t="str">
        <x:v>EUR</x:v>
      </x:c>
      <x:c r="L1264" s="232" t="n">
        <x:v>11.1040046208</x:v>
      </x:c>
      <x:c r="M1264" s="232" t="n">
        <x:v>7.92</x:v>
      </x:c>
      <x:c r="N1264" s="187" t="str">
        <x:v>87.9437165967360000</x:v>
      </x:c>
      <x:c r="O1264" s="235" t="n">
        <x:v>87.9437</x:v>
      </x:c>
      <x:c r="P1264" s="235"/>
      <x:c r="Q1264" s="235"/>
      <x:c r="R1264" s="235" t="str">
        <x:v>INVOICE_OR_PLAN</x:v>
      </x:c>
      <x:c r="S1264" s="238" t="n">
        <x:f>'Model_Calc'!BA214</x:f>
        <x:v>87.94371659673601</x:v>
      </x:c>
      <x:c r="T1264" s="238" t="n">
        <x:f>ROUND(S1264-O1264,4)</x:f>
        <x:v>0</x:v>
      </x:c>
    </x:row>
    <x:row r="1265">
      <x:c r="A1265" s="187" t="str">
        <x:v>FORECAST_2026_08_V1</x:v>
      </x:c>
      <x:c r="B1265" s="187" t="str">
        <x:v>FORECAST</x:v>
      </x:c>
      <x:c r="C1265" s="187"/>
      <x:c r="D1265" s="217" t="n">
        <x:v>46296</x:v>
      </x:c>
      <x:c r="E1265" s="187" t="str">
        <x:v>R_DE_DE_A_ROAD</x:v>
      </x:c>
      <x:c r="F1265" s="187" t="str">
        <x:v>DE</x:v>
      </x:c>
      <x:c r="G1265" s="187" t="str">
        <x:v>DE_FC</x:v>
      </x:c>
      <x:c r="H1265" s="187" t="str">
        <x:v>CARRIER_A</x:v>
      </x:c>
      <x:c r="I1265" s="187" t="str">
        <x:v>ROAD</x:v>
      </x:c>
      <x:c r="J1265" s="187" t="str">
        <x:v>BASE_FREIGHT</x:v>
      </x:c>
      <x:c r="K1265" s="187" t="str">
        <x:v>EUR</x:v>
      </x:c>
      <x:c r="L1265" s="232" t="n">
        <x:v>7267.8309862158</x:v>
      </x:c>
      <x:c r="M1265" s="232" t="n">
        <x:v>7.9</x:v>
      </x:c>
      <x:c r="N1265" s="187" t="str">
        <x:v>57415.8647911048200000000</x:v>
      </x:c>
      <x:c r="O1265" s="235" t="n">
        <x:v>57415.8648</x:v>
      </x:c>
      <x:c r="P1265" s="235"/>
      <x:c r="Q1265" s="235"/>
      <x:c r="R1265" s="235" t="str">
        <x:v>INVOICE_OR_PLAN</x:v>
      </x:c>
      <x:c r="S1265" s="238" t="n">
        <x:f>'Model_Calc'!AF215</x:f>
        <x:v>57415.86479110482</x:v>
      </x:c>
      <x:c r="T1265" s="238" t="n">
        <x:f>ROUND(S1265-O1265,4)</x:f>
        <x:v>0</x:v>
      </x:c>
    </x:row>
    <x:row r="1266">
      <x:c r="A1266" s="187" t="str">
        <x:v>FORECAST_2026_08_V1</x:v>
      </x:c>
      <x:c r="B1266" s="187" t="str">
        <x:v>FORECAST</x:v>
      </x:c>
      <x:c r="C1266" s="187"/>
      <x:c r="D1266" s="217" t="n">
        <x:v>46296</x:v>
      </x:c>
      <x:c r="E1266" s="187" t="str">
        <x:v>R_DE_DE_A_ROAD</x:v>
      </x:c>
      <x:c r="F1266" s="187" t="str">
        <x:v>DE</x:v>
      </x:c>
      <x:c r="G1266" s="187" t="str">
        <x:v>DE_FC</x:v>
      </x:c>
      <x:c r="H1266" s="187" t="str">
        <x:v>CARRIER_A</x:v>
      </x:c>
      <x:c r="I1266" s="187" t="str">
        <x:v>ROAD</x:v>
      </x:c>
      <x:c r="J1266" s="187" t="str">
        <x:v>FUEL_SURCHARGE</x:v>
      </x:c>
      <x:c r="K1266" s="187" t="str">
        <x:v>EUR</x:v>
      </x:c>
      <x:c r="L1266" s="232" t="n">
        <x:v>714.6094817196686</x:v>
      </x:c>
      <x:c r="M1266" s="232" t="n">
        <x:v>7.9</x:v>
      </x:c>
      <x:c r="N1266" s="187" t="str">
        <x:v>5645.4149055853814265000000000</x:v>
      </x:c>
      <x:c r="O1266" s="235" t="n">
        <x:v>5645.4149</x:v>
      </x:c>
      <x:c r="P1266" s="235"/>
      <x:c r="Q1266" s="235"/>
      <x:c r="R1266" s="235" t="str">
        <x:v>INVOICE_OR_PLAN</x:v>
      </x:c>
      <x:c r="S1266" s="238" t="n">
        <x:f>'Model_Calc'!AG215</x:f>
        <x:v>5645.414905585381</x:v>
      </x:c>
      <x:c r="T1266" s="238" t="n">
        <x:f>ROUND(S1266-O1266,4)</x:f>
        <x:v>0</x:v>
      </x:c>
    </x:row>
    <x:row r="1267">
      <x:c r="A1267" s="187" t="str">
        <x:v>FORECAST_2026_08_V1</x:v>
      </x:c>
      <x:c r="B1267" s="187" t="str">
        <x:v>FORECAST</x:v>
      </x:c>
      <x:c r="C1267" s="187"/>
      <x:c r="D1267" s="217" t="n">
        <x:v>46296</x:v>
      </x:c>
      <x:c r="E1267" s="187" t="str">
        <x:v>R_DE_DE_A_ROAD</x:v>
      </x:c>
      <x:c r="F1267" s="187" t="str">
        <x:v>DE</x:v>
      </x:c>
      <x:c r="G1267" s="187" t="str">
        <x:v>DE_FC</x:v>
      </x:c>
      <x:c r="H1267" s="187" t="str">
        <x:v>CARRIER_A</x:v>
      </x:c>
      <x:c r="I1267" s="187" t="str">
        <x:v>ROAD</x:v>
      </x:c>
      <x:c r="J1267" s="187" t="str">
        <x:v>WAREHOUSE_OPERATION</x:v>
      </x:c>
      <x:c r="K1267" s="187" t="str">
        <x:v>EUR</x:v>
      </x:c>
      <x:c r="L1267" s="232" t="n">
        <x:v>4712.581458</x:v>
      </x:c>
      <x:c r="M1267" s="232" t="n">
        <x:v>7.9</x:v>
      </x:c>
      <x:c r="N1267" s="187" t="str">
        <x:v>37229.3935182000000</x:v>
      </x:c>
      <x:c r="O1267" s="235" t="n">
        <x:v>37229.3935</x:v>
      </x:c>
      <x:c r="P1267" s="235"/>
      <x:c r="Q1267" s="235"/>
      <x:c r="R1267" s="235" t="str">
        <x:v>INVOICE_OR_PLAN</x:v>
      </x:c>
      <x:c r="S1267" s="238" t="n">
        <x:f>'Model_Calc'!AL215</x:f>
        <x:v>37229.3935182</x:v>
      </x:c>
      <x:c r="T1267" s="238" t="n">
        <x:f>ROUND(S1267-O1267,4)</x:f>
        <x:v>0</x:v>
      </x:c>
    </x:row>
    <x:row r="1268">
      <x:c r="A1268" s="187" t="str">
        <x:v>FORECAST_2026_08_V1</x:v>
      </x:c>
      <x:c r="B1268" s="187" t="str">
        <x:v>FORECAST</x:v>
      </x:c>
      <x:c r="C1268" s="187"/>
      <x:c r="D1268" s="217" t="n">
        <x:v>46296</x:v>
      </x:c>
      <x:c r="E1268" s="187" t="str">
        <x:v>R_DE_DE_A_ROAD</x:v>
      </x:c>
      <x:c r="F1268" s="187" t="str">
        <x:v>DE</x:v>
      </x:c>
      <x:c r="G1268" s="187" t="str">
        <x:v>DE_FC</x:v>
      </x:c>
      <x:c r="H1268" s="187" t="str">
        <x:v>CARRIER_A</x:v>
      </x:c>
      <x:c r="I1268" s="187" t="str">
        <x:v>ROAD</x:v>
      </x:c>
      <x:c r="J1268" s="187" t="str">
        <x:v>PACKAGING</x:v>
      </x:c>
      <x:c r="K1268" s="187" t="str">
        <x:v>EUR</x:v>
      </x:c>
      <x:c r="L1268" s="232" t="n">
        <x:v>1761.2274771</x:v>
      </x:c>
      <x:c r="M1268" s="232" t="n">
        <x:v>7.9</x:v>
      </x:c>
      <x:c r="N1268" s="187" t="str">
        <x:v>13913.697069090000000</x:v>
      </x:c>
      <x:c r="O1268" s="235" t="n">
        <x:v>13913.6971</x:v>
      </x:c>
      <x:c r="P1268" s="235"/>
      <x:c r="Q1268" s="235"/>
      <x:c r="R1268" s="235" t="str">
        <x:v>INVOICE_OR_PLAN</x:v>
      </x:c>
      <x:c r="S1268" s="238" t="n">
        <x:f>'Model_Calc'!AQ215</x:f>
        <x:v>13913.697069089998</x:v>
      </x:c>
      <x:c r="T1268" s="238" t="n">
        <x:f>ROUND(S1268-O1268,4)</x:f>
        <x:v>0</x:v>
      </x:c>
    </x:row>
    <x:row r="1269">
      <x:c r="A1269" s="187" t="str">
        <x:v>FORECAST_2026_08_V1</x:v>
      </x:c>
      <x:c r="B1269" s="187" t="str">
        <x:v>FORECAST</x:v>
      </x:c>
      <x:c r="C1269" s="187"/>
      <x:c r="D1269" s="217" t="n">
        <x:v>46296</x:v>
      </x:c>
      <x:c r="E1269" s="187" t="str">
        <x:v>R_DE_DE_A_ROAD</x:v>
      </x:c>
      <x:c r="F1269" s="187" t="str">
        <x:v>DE</x:v>
      </x:c>
      <x:c r="G1269" s="187" t="str">
        <x:v>DE_FC</x:v>
      </x:c>
      <x:c r="H1269" s="187" t="str">
        <x:v>CARRIER_A</x:v>
      </x:c>
      <x:c r="I1269" s="187" t="str">
        <x:v>ROAD</x:v>
      </x:c>
      <x:c r="J1269" s="187" t="str">
        <x:v>RETURN_LOGISTICS</x:v>
      </x:c>
      <x:c r="K1269" s="187" t="str">
        <x:v>EUR</x:v>
      </x:c>
      <x:c r="L1269" s="232" t="n">
        <x:v>638.994096</x:v>
      </x:c>
      <x:c r="M1269" s="232" t="n">
        <x:v>7.9</x:v>
      </x:c>
      <x:c r="N1269" s="187" t="str">
        <x:v>5048.0533584000000000</x:v>
      </x:c>
      <x:c r="O1269" s="235" t="n">
        <x:v>5048.0534</x:v>
      </x:c>
      <x:c r="P1269" s="235"/>
      <x:c r="Q1269" s="235"/>
      <x:c r="R1269" s="235" t="str">
        <x:v>INVOICE_OR_PLAN</x:v>
      </x:c>
      <x:c r="S1269" s="238" t="n">
        <x:f>'Model_Calc'!AV215</x:f>
        <x:v>5048.0533583999995</x:v>
      </x:c>
      <x:c r="T1269" s="238" t="n">
        <x:f>ROUND(S1269-O1269,4)</x:f>
        <x:v>0</x:v>
      </x:c>
    </x:row>
    <x:row r="1270">
      <x:c r="A1270" s="187" t="str">
        <x:v>FORECAST_2026_08_V1</x:v>
      </x:c>
      <x:c r="B1270" s="187" t="str">
        <x:v>FORECAST</x:v>
      </x:c>
      <x:c r="C1270" s="187"/>
      <x:c r="D1270" s="217" t="n">
        <x:v>46296</x:v>
      </x:c>
      <x:c r="E1270" s="187" t="str">
        <x:v>R_DE_DE_A_ROAD</x:v>
      </x:c>
      <x:c r="F1270" s="187" t="str">
        <x:v>DE</x:v>
      </x:c>
      <x:c r="G1270" s="187" t="str">
        <x:v>DE_FC</x:v>
      </x:c>
      <x:c r="H1270" s="187" t="str">
        <x:v>CARRIER_A</x:v>
      </x:c>
      <x:c r="I1270" s="187" t="str">
        <x:v>ROAD</x:v>
      </x:c>
      <x:c r="J1270" s="187" t="str">
        <x:v>BILLABLE_EXCEPTION</x:v>
      </x:c>
      <x:c r="K1270" s="187" t="str">
        <x:v>EUR</x:v>
      </x:c>
      <x:c r="L1270" s="232" t="n">
        <x:v>154.317074184</x:v>
      </x:c>
      <x:c r="M1270" s="232" t="n">
        <x:v>7.9</x:v>
      </x:c>
      <x:c r="N1270" s="187" t="str">
        <x:v>1219.104886053600000000</x:v>
      </x:c>
      <x:c r="O1270" s="235" t="n">
        <x:v>1219.1049</x:v>
      </x:c>
      <x:c r="P1270" s="235"/>
      <x:c r="Q1270" s="235"/>
      <x:c r="R1270" s="235" t="str">
        <x:v>INVOICE_OR_PLAN</x:v>
      </x:c>
      <x:c r="S1270" s="238" t="n">
        <x:f>'Model_Calc'!BA215</x:f>
        <x:v>1219.1048860535998</x:v>
      </x:c>
      <x:c r="T1270" s="238" t="n">
        <x:f>ROUND(S1270-O1270,4)</x:f>
        <x:v>0</x:v>
      </x:c>
    </x:row>
    <x:row r="1271">
      <x:c r="A1271" s="187" t="str">
        <x:v>FORECAST_2026_08_V1</x:v>
      </x:c>
      <x:c r="B1271" s="187" t="str">
        <x:v>FORECAST</x:v>
      </x:c>
      <x:c r="C1271" s="187"/>
      <x:c r="D1271" s="217" t="n">
        <x:v>46296</x:v>
      </x:c>
      <x:c r="E1271" s="187" t="str">
        <x:v>R_DE_DE_B_ROAD</x:v>
      </x:c>
      <x:c r="F1271" s="187" t="str">
        <x:v>DE</x:v>
      </x:c>
      <x:c r="G1271" s="187" t="str">
        <x:v>DE_FC</x:v>
      </x:c>
      <x:c r="H1271" s="187" t="str">
        <x:v>CARRIER_B</x:v>
      </x:c>
      <x:c r="I1271" s="187" t="str">
        <x:v>ROAD</x:v>
      </x:c>
      <x:c r="J1271" s="187" t="str">
        <x:v>BASE_FREIGHT</x:v>
      </x:c>
      <x:c r="K1271" s="187" t="str">
        <x:v>EUR</x:v>
      </x:c>
      <x:c r="L1271" s="232" t="n">
        <x:v>6211.82135574</x:v>
      </x:c>
      <x:c r="M1271" s="232" t="n">
        <x:v>7.9</x:v>
      </x:c>
      <x:c r="N1271" s="187" t="str">
        <x:v>49073.3887103460000000000</x:v>
      </x:c>
      <x:c r="O1271" s="235" t="n">
        <x:v>49073.3887</x:v>
      </x:c>
      <x:c r="P1271" s="235"/>
      <x:c r="Q1271" s="235"/>
      <x:c r="R1271" s="235" t="str">
        <x:v>INVOICE_OR_PLAN</x:v>
      </x:c>
      <x:c r="S1271" s="238" t="n">
        <x:f>'Model_Calc'!AF216</x:f>
        <x:v>49073.38871034602</x:v>
      </x:c>
      <x:c r="T1271" s="238" t="n">
        <x:f>ROUND(S1271-O1271,4)</x:f>
        <x:v>0</x:v>
      </x:c>
    </x:row>
    <x:row r="1272">
      <x:c r="A1272" s="187" t="str">
        <x:v>FORECAST_2026_08_V1</x:v>
      </x:c>
      <x:c r="B1272" s="187" t="str">
        <x:v>FORECAST</x:v>
      </x:c>
      <x:c r="C1272" s="187"/>
      <x:c r="D1272" s="217" t="n">
        <x:v>46296</x:v>
      </x:c>
      <x:c r="E1272" s="187" t="str">
        <x:v>R_DE_DE_B_ROAD</x:v>
      </x:c>
      <x:c r="F1272" s="187" t="str">
        <x:v>DE</x:v>
      </x:c>
      <x:c r="G1272" s="187" t="str">
        <x:v>DE_FC</x:v>
      </x:c>
      <x:c r="H1272" s="187" t="str">
        <x:v>CARRIER_B</x:v>
      </x:c>
      <x:c r="I1272" s="187" t="str">
        <x:v>ROAD</x:v>
      </x:c>
      <x:c r="J1272" s="187" t="str">
        <x:v>FUEL_SURCHARGE</x:v>
      </x:c>
      <x:c r="K1272" s="187" t="str">
        <x:v>EUR</x:v>
      </x:c>
      <x:c r="L1272" s="232" t="n">
        <x:v>474.3572671656</x:v>
      </x:c>
      <x:c r="M1272" s="232" t="n">
        <x:v>7.9</x:v>
      </x:c>
      <x:c r="N1272" s="187" t="str">
        <x:v>3747.4224106082400000000</x:v>
      </x:c>
      <x:c r="O1272" s="235" t="n">
        <x:v>3747.4224</x:v>
      </x:c>
      <x:c r="P1272" s="235"/>
      <x:c r="Q1272" s="235"/>
      <x:c r="R1272" s="235" t="str">
        <x:v>INVOICE_OR_PLAN</x:v>
      </x:c>
      <x:c r="S1272" s="238" t="n">
        <x:f>'Model_Calc'!AG216</x:f>
        <x:v>3747.4224106082415</x:v>
      </x:c>
      <x:c r="T1272" s="238" t="n">
        <x:f>ROUND(S1272-O1272,4)</x:f>
        <x:v>0</x:v>
      </x:c>
    </x:row>
    <x:row r="1273">
      <x:c r="A1273" s="187" t="str">
        <x:v>FORECAST_2026_08_V1</x:v>
      </x:c>
      <x:c r="B1273" s="187" t="str">
        <x:v>FORECAST</x:v>
      </x:c>
      <x:c r="C1273" s="187"/>
      <x:c r="D1273" s="217" t="n">
        <x:v>46296</x:v>
      </x:c>
      <x:c r="E1273" s="187" t="str">
        <x:v>R_DE_DE_B_ROAD</x:v>
      </x:c>
      <x:c r="F1273" s="187" t="str">
        <x:v>DE</x:v>
      </x:c>
      <x:c r="G1273" s="187" t="str">
        <x:v>DE_FC</x:v>
      </x:c>
      <x:c r="H1273" s="187" t="str">
        <x:v>CARRIER_B</x:v>
      </x:c>
      <x:c r="I1273" s="187" t="str">
        <x:v>ROAD</x:v>
      </x:c>
      <x:c r="J1273" s="187" t="str">
        <x:v>WAREHOUSE_OPERATION</x:v>
      </x:c>
      <x:c r="K1273" s="187" t="str">
        <x:v>EUR</x:v>
      </x:c>
      <x:c r="L1273" s="232" t="n">
        <x:v>3141.720972</x:v>
      </x:c>
      <x:c r="M1273" s="232" t="n">
        <x:v>7.9</x:v>
      </x:c>
      <x:c r="N1273" s="187" t="str">
        <x:v>24819.5956788000000</x:v>
      </x:c>
      <x:c r="O1273" s="235" t="n">
        <x:v>24819.5957</x:v>
      </x:c>
      <x:c r="P1273" s="235"/>
      <x:c r="Q1273" s="235"/>
      <x:c r="R1273" s="235" t="str">
        <x:v>INVOICE_OR_PLAN</x:v>
      </x:c>
      <x:c r="S1273" s="238" t="n">
        <x:f>'Model_Calc'!AL216</x:f>
        <x:v>24819.595678800004</x:v>
      </x:c>
      <x:c r="T1273" s="238" t="n">
        <x:f>ROUND(S1273-O1273,4)</x:f>
        <x:v>0</x:v>
      </x:c>
    </x:row>
    <x:row r="1274">
      <x:c r="A1274" s="187" t="str">
        <x:v>FORECAST_2026_08_V1</x:v>
      </x:c>
      <x:c r="B1274" s="187" t="str">
        <x:v>FORECAST</x:v>
      </x:c>
      <x:c r="C1274" s="187"/>
      <x:c r="D1274" s="217" t="n">
        <x:v>46296</x:v>
      </x:c>
      <x:c r="E1274" s="187" t="str">
        <x:v>R_DE_DE_B_ROAD</x:v>
      </x:c>
      <x:c r="F1274" s="187" t="str">
        <x:v>DE</x:v>
      </x:c>
      <x:c r="G1274" s="187" t="str">
        <x:v>DE_FC</x:v>
      </x:c>
      <x:c r="H1274" s="187" t="str">
        <x:v>CARRIER_B</x:v>
      </x:c>
      <x:c r="I1274" s="187" t="str">
        <x:v>ROAD</x:v>
      </x:c>
      <x:c r="J1274" s="187" t="str">
        <x:v>PACKAGING</x:v>
      </x:c>
      <x:c r="K1274" s="187" t="str">
        <x:v>EUR</x:v>
      </x:c>
      <x:c r="L1274" s="232" t="n">
        <x:v>1174.1516514</x:v>
      </x:c>
      <x:c r="M1274" s="232" t="n">
        <x:v>7.9</x:v>
      </x:c>
      <x:c r="N1274" s="187" t="str">
        <x:v>9275.798046060000000</x:v>
      </x:c>
      <x:c r="O1274" s="235" t="n">
        <x:v>9275.798</x:v>
      </x:c>
      <x:c r="P1274" s="235"/>
      <x:c r="Q1274" s="235"/>
      <x:c r="R1274" s="235" t="str">
        <x:v>INVOICE_OR_PLAN</x:v>
      </x:c>
      <x:c r="S1274" s="238" t="n">
        <x:f>'Model_Calc'!AQ216</x:f>
        <x:v>9275.798046060003</x:v>
      </x:c>
      <x:c r="T1274" s="238" t="n">
        <x:f>ROUND(S1274-O1274,4)</x:f>
        <x:v>0</x:v>
      </x:c>
    </x:row>
    <x:row r="1275">
      <x:c r="A1275" s="187" t="str">
        <x:v>FORECAST_2026_08_V1</x:v>
      </x:c>
      <x:c r="B1275" s="187" t="str">
        <x:v>FORECAST</x:v>
      </x:c>
      <x:c r="C1275" s="187"/>
      <x:c r="D1275" s="217" t="n">
        <x:v>46296</x:v>
      </x:c>
      <x:c r="E1275" s="187" t="str">
        <x:v>R_DE_DE_B_ROAD</x:v>
      </x:c>
      <x:c r="F1275" s="187" t="str">
        <x:v>DE</x:v>
      </x:c>
      <x:c r="G1275" s="187" t="str">
        <x:v>DE_FC</x:v>
      </x:c>
      <x:c r="H1275" s="187" t="str">
        <x:v>CARRIER_B</x:v>
      </x:c>
      <x:c r="I1275" s="187" t="str">
        <x:v>ROAD</x:v>
      </x:c>
      <x:c r="J1275" s="187" t="str">
        <x:v>RETURN_LOGISTICS</x:v>
      </x:c>
      <x:c r="K1275" s="187" t="str">
        <x:v>EUR</x:v>
      </x:c>
      <x:c r="L1275" s="232" t="n">
        <x:v>425.996064</x:v>
      </x:c>
      <x:c r="M1275" s="232" t="n">
        <x:v>7.9</x:v>
      </x:c>
      <x:c r="N1275" s="187" t="str">
        <x:v>3365.3689056000000000</x:v>
      </x:c>
      <x:c r="O1275" s="235" t="n">
        <x:v>3365.3689</x:v>
      </x:c>
      <x:c r="P1275" s="235"/>
      <x:c r="Q1275" s="235"/>
      <x:c r="R1275" s="235" t="str">
        <x:v>INVOICE_OR_PLAN</x:v>
      </x:c>
      <x:c r="S1275" s="238" t="n">
        <x:f>'Model_Calc'!AV216</x:f>
        <x:v>3365.3689056000007</x:v>
      </x:c>
      <x:c r="T1275" s="238" t="n">
        <x:f>ROUND(S1275-O1275,4)</x:f>
        <x:v>0</x:v>
      </x:c>
    </x:row>
    <x:row r="1276">
      <x:c r="A1276" s="187" t="str">
        <x:v>FORECAST_2026_08_V1</x:v>
      </x:c>
      <x:c r="B1276" s="187" t="str">
        <x:v>FORECAST</x:v>
      </x:c>
      <x:c r="C1276" s="187"/>
      <x:c r="D1276" s="217" t="n">
        <x:v>46296</x:v>
      </x:c>
      <x:c r="E1276" s="187" t="str">
        <x:v>R_DE_DE_B_ROAD</x:v>
      </x:c>
      <x:c r="F1276" s="187" t="str">
        <x:v>DE</x:v>
      </x:c>
      <x:c r="G1276" s="187" t="str">
        <x:v>DE_FC</x:v>
      </x:c>
      <x:c r="H1276" s="187" t="str">
        <x:v>CARRIER_B</x:v>
      </x:c>
      <x:c r="I1276" s="187" t="str">
        <x:v>ROAD</x:v>
      </x:c>
      <x:c r="J1276" s="187" t="str">
        <x:v>BILLABLE_EXCEPTION</x:v>
      </x:c>
      <x:c r="K1276" s="187" t="str">
        <x:v>EUR</x:v>
      </x:c>
      <x:c r="L1276" s="232" t="n">
        <x:v>83.588415183</x:v>
      </x:c>
      <x:c r="M1276" s="232" t="n">
        <x:v>7.9</x:v>
      </x:c>
      <x:c r="N1276" s="187" t="str">
        <x:v>660.348479945700000000</x:v>
      </x:c>
      <x:c r="O1276" s="235" t="n">
        <x:v>660.3485</x:v>
      </x:c>
      <x:c r="P1276" s="235"/>
      <x:c r="Q1276" s="235"/>
      <x:c r="R1276" s="235" t="str">
        <x:v>INVOICE_OR_PLAN</x:v>
      </x:c>
      <x:c r="S1276" s="238" t="n">
        <x:f>'Model_Calc'!BA216</x:f>
        <x:v>660.3484799457002</x:v>
      </x:c>
      <x:c r="T1276" s="238" t="n">
        <x:f>ROUND(S1276-O1276,4)</x:f>
        <x:v>0</x:v>
      </x:c>
    </x:row>
    <x:row r="1277">
      <x:c r="A1277" s="187" t="str">
        <x:v>FORECAST_2026_08_V1</x:v>
      </x:c>
      <x:c r="B1277" s="187" t="str">
        <x:v>FORECAST</x:v>
      </x:c>
      <x:c r="C1277" s="187"/>
      <x:c r="D1277" s="217" t="n">
        <x:v>46296</x:v>
      </x:c>
      <x:c r="E1277" s="187" t="str">
        <x:v>R_DE_FR_B_ROAD</x:v>
      </x:c>
      <x:c r="F1277" s="187" t="str">
        <x:v>DE</x:v>
      </x:c>
      <x:c r="G1277" s="187" t="str">
        <x:v>FR_FC</x:v>
      </x:c>
      <x:c r="H1277" s="187" t="str">
        <x:v>CARRIER_B</x:v>
      </x:c>
      <x:c r="I1277" s="187" t="str">
        <x:v>ROAD</x:v>
      </x:c>
      <x:c r="J1277" s="187" t="str">
        <x:v>BASE_FREIGHT</x:v>
      </x:c>
      <x:c r="K1277" s="187" t="str">
        <x:v>EUR</x:v>
      </x:c>
      <x:c r="L1277" s="232" t="n">
        <x:v>637.2834692796</x:v>
      </x:c>
      <x:c r="M1277" s="232" t="n">
        <x:v>7.9</x:v>
      </x:c>
      <x:c r="N1277" s="187" t="str">
        <x:v>5034.53940730884000000</x:v>
      </x:c>
      <x:c r="O1277" s="235" t="n">
        <x:v>5034.5394</x:v>
      </x:c>
      <x:c r="P1277" s="235"/>
      <x:c r="Q1277" s="235"/>
      <x:c r="R1277" s="235" t="str">
        <x:v>INVOICE_OR_PLAN</x:v>
      </x:c>
      <x:c r="S1277" s="238" t="n">
        <x:f>'Model_Calc'!AF217</x:f>
        <x:v>5034.539407308841</x:v>
      </x:c>
      <x:c r="T1277" s="238" t="n">
        <x:f>ROUND(S1277-O1277,4)</x:f>
        <x:v>0</x:v>
      </x:c>
    </x:row>
    <x:row r="1278">
      <x:c r="A1278" s="187" t="str">
        <x:v>FORECAST_2026_08_V1</x:v>
      </x:c>
      <x:c r="B1278" s="187" t="str">
        <x:v>FORECAST</x:v>
      </x:c>
      <x:c r="C1278" s="187"/>
      <x:c r="D1278" s="217" t="n">
        <x:v>46296</x:v>
      </x:c>
      <x:c r="E1278" s="187" t="str">
        <x:v>R_DE_FR_B_ROAD</x:v>
      </x:c>
      <x:c r="F1278" s="187" t="str">
        <x:v>DE</x:v>
      </x:c>
      <x:c r="G1278" s="187" t="str">
        <x:v>FR_FC</x:v>
      </x:c>
      <x:c r="H1278" s="187" t="str">
        <x:v>CARRIER_B</x:v>
      </x:c>
      <x:c r="I1278" s="187" t="str">
        <x:v>ROAD</x:v>
      </x:c>
      <x:c r="J1278" s="187" t="str">
        <x:v>FUEL_SURCHARGE</x:v>
      </x:c>
      <x:c r="K1278" s="187" t="str">
        <x:v>EUR</x:v>
      </x:c>
      <x:c r="L1278" s="232" t="n">
        <x:v>46.34788867488</x:v>
      </x:c>
      <x:c r="M1278" s="232" t="n">
        <x:v>7.9</x:v>
      </x:c>
      <x:c r="N1278" s="187" t="str">
        <x:v>366.14832053155200000</x:v>
      </x:c>
      <x:c r="O1278" s="235" t="n">
        <x:v>366.1483</x:v>
      </x:c>
      <x:c r="P1278" s="235"/>
      <x:c r="Q1278" s="235"/>
      <x:c r="R1278" s="235" t="str">
        <x:v>INVOICE_OR_PLAN</x:v>
      </x:c>
      <x:c r="S1278" s="238" t="n">
        <x:f>'Model_Calc'!AG217</x:f>
        <x:v>366.1483205315521</x:v>
      </x:c>
      <x:c r="T1278" s="238" t="n">
        <x:f>ROUND(S1278-O1278,4)</x:f>
        <x:v>0</x:v>
      </x:c>
    </x:row>
    <x:row r="1279">
      <x:c r="A1279" s="187" t="str">
        <x:v>FORECAST_2026_08_V1</x:v>
      </x:c>
      <x:c r="B1279" s="187" t="str">
        <x:v>FORECAST</x:v>
      </x:c>
      <x:c r="C1279" s="187"/>
      <x:c r="D1279" s="217" t="n">
        <x:v>46296</x:v>
      </x:c>
      <x:c r="E1279" s="187" t="str">
        <x:v>R_DE_FR_B_ROAD</x:v>
      </x:c>
      <x:c r="F1279" s="187" t="str">
        <x:v>DE</x:v>
      </x:c>
      <x:c r="G1279" s="187" t="str">
        <x:v>FR_FC</x:v>
      </x:c>
      <x:c r="H1279" s="187" t="str">
        <x:v>CARRIER_B</x:v>
      </x:c>
      <x:c r="I1279" s="187" t="str">
        <x:v>ROAD</x:v>
      </x:c>
      <x:c r="J1279" s="187" t="str">
        <x:v>WAREHOUSE_OPERATION</x:v>
      </x:c>
      <x:c r="K1279" s="187" t="str">
        <x:v>EUR</x:v>
      </x:c>
      <x:c r="L1279" s="232" t="n">
        <x:v>216.154575</x:v>
      </x:c>
      <x:c r="M1279" s="232" t="n">
        <x:v>7.9</x:v>
      </x:c>
      <x:c r="N1279" s="187" t="str">
        <x:v>1707.62114250000</x:v>
      </x:c>
      <x:c r="O1279" s="235" t="n">
        <x:v>1707.6211</x:v>
      </x:c>
      <x:c r="P1279" s="235"/>
      <x:c r="Q1279" s="235"/>
      <x:c r="R1279" s="235" t="str">
        <x:v>INVOICE_OR_PLAN</x:v>
      </x:c>
      <x:c r="S1279" s="238" t="n">
        <x:f>'Model_Calc'!AL217</x:f>
        <x:v>1707.6211425000006</x:v>
      </x:c>
      <x:c r="T1279" s="238" t="n">
        <x:f>ROUND(S1279-O1279,4)</x:f>
        <x:v>0</x:v>
      </x:c>
    </x:row>
    <x:row r="1280">
      <x:c r="A1280" s="187" t="str">
        <x:v>FORECAST_2026_08_V1</x:v>
      </x:c>
      <x:c r="B1280" s="187" t="str">
        <x:v>FORECAST</x:v>
      </x:c>
      <x:c r="C1280" s="187"/>
      <x:c r="D1280" s="217" t="n">
        <x:v>46296</x:v>
      </x:c>
      <x:c r="E1280" s="187" t="str">
        <x:v>R_DE_FR_B_ROAD</x:v>
      </x:c>
      <x:c r="F1280" s="187" t="str">
        <x:v>DE</x:v>
      </x:c>
      <x:c r="G1280" s="187" t="str">
        <x:v>FR_FC</x:v>
      </x:c>
      <x:c r="H1280" s="187" t="str">
        <x:v>CARRIER_B</x:v>
      </x:c>
      <x:c r="I1280" s="187" t="str">
        <x:v>ROAD</x:v>
      </x:c>
      <x:c r="J1280" s="187" t="str">
        <x:v>PACKAGING</x:v>
      </x:c>
      <x:c r="K1280" s="187" t="str">
        <x:v>EUR</x:v>
      </x:c>
      <x:c r="L1280" s="232" t="n">
        <x:v>84.4855596</x:v>
      </x:c>
      <x:c r="M1280" s="232" t="n">
        <x:v>7.9</x:v>
      </x:c>
      <x:c r="N1280" s="187" t="str">
        <x:v>667.4359208400000</x:v>
      </x:c>
      <x:c r="O1280" s="235" t="n">
        <x:v>667.4359</x:v>
      </x:c>
      <x:c r="P1280" s="235"/>
      <x:c r="Q1280" s="235"/>
      <x:c r="R1280" s="235" t="str">
        <x:v>INVOICE_OR_PLAN</x:v>
      </x:c>
      <x:c r="S1280" s="238" t="n">
        <x:f>'Model_Calc'!AQ217</x:f>
        <x:v>667.4359208400001</x:v>
      </x:c>
      <x:c r="T1280" s="238" t="n">
        <x:f>ROUND(S1280-O1280,4)</x:f>
        <x:v>0</x:v>
      </x:c>
    </x:row>
    <x:row r="1281">
      <x:c r="A1281" s="187" t="str">
        <x:v>FORECAST_2026_08_V1</x:v>
      </x:c>
      <x:c r="B1281" s="187" t="str">
        <x:v>FORECAST</x:v>
      </x:c>
      <x:c r="C1281" s="187"/>
      <x:c r="D1281" s="217" t="n">
        <x:v>46296</x:v>
      </x:c>
      <x:c r="E1281" s="187" t="str">
        <x:v>R_DE_FR_B_ROAD</x:v>
      </x:c>
      <x:c r="F1281" s="187" t="str">
        <x:v>DE</x:v>
      </x:c>
      <x:c r="G1281" s="187" t="str">
        <x:v>FR_FC</x:v>
      </x:c>
      <x:c r="H1281" s="187" t="str">
        <x:v>CARRIER_B</x:v>
      </x:c>
      <x:c r="I1281" s="187" t="str">
        <x:v>ROAD</x:v>
      </x:c>
      <x:c r="J1281" s="187" t="str">
        <x:v>RETURN_LOGISTICS</x:v>
      </x:c>
      <x:c r="K1281" s="187" t="str">
        <x:v>EUR</x:v>
      </x:c>
      <x:c r="L1281" s="232" t="n">
        <x:v>39.113685</x:v>
      </x:c>
      <x:c r="M1281" s="232" t="n">
        <x:v>7.9</x:v>
      </x:c>
      <x:c r="N1281" s="187" t="str">
        <x:v>308.99811150000000</x:v>
      </x:c>
      <x:c r="O1281" s="235" t="n">
        <x:v>308.9981</x:v>
      </x:c>
      <x:c r="P1281" s="235"/>
      <x:c r="Q1281" s="235"/>
      <x:c r="R1281" s="235" t="str">
        <x:v>INVOICE_OR_PLAN</x:v>
      </x:c>
      <x:c r="S1281" s="238" t="n">
        <x:f>'Model_Calc'!AV217</x:f>
        <x:v>308.99811150000005</x:v>
      </x:c>
      <x:c r="T1281" s="238" t="n">
        <x:f>ROUND(S1281-O1281,4)</x:f>
        <x:v>0</x:v>
      </x:c>
    </x:row>
    <x:row r="1282">
      <x:c r="A1282" s="187" t="str">
        <x:v>FORECAST_2026_08_V1</x:v>
      </x:c>
      <x:c r="B1282" s="187" t="str">
        <x:v>FORECAST</x:v>
      </x:c>
      <x:c r="C1282" s="187"/>
      <x:c r="D1282" s="217" t="n">
        <x:v>46296</x:v>
      </x:c>
      <x:c r="E1282" s="187" t="str">
        <x:v>R_DE_FR_B_ROAD</x:v>
      </x:c>
      <x:c r="F1282" s="187" t="str">
        <x:v>DE</x:v>
      </x:c>
      <x:c r="G1282" s="187" t="str">
        <x:v>FR_FC</x:v>
      </x:c>
      <x:c r="H1282" s="187" t="str">
        <x:v>CARRIER_B</x:v>
      </x:c>
      <x:c r="I1282" s="187" t="str">
        <x:v>ROAD</x:v>
      </x:c>
      <x:c r="J1282" s="187" t="str">
        <x:v>BILLABLE_EXCEPTION</x:v>
      </x:c>
      <x:c r="K1282" s="187" t="str">
        <x:v>EUR</x:v>
      </x:c>
      <x:c r="L1282" s="232" t="n">
        <x:v>7.159039524</x:v>
      </x:c>
      <x:c r="M1282" s="232" t="n">
        <x:v>7.9</x:v>
      </x:c>
      <x:c r="N1282" s="187" t="str">
        <x:v>56.5564122396000000</x:v>
      </x:c>
      <x:c r="O1282" s="235" t="n">
        <x:v>56.5564</x:v>
      </x:c>
      <x:c r="P1282" s="235"/>
      <x:c r="Q1282" s="235"/>
      <x:c r="R1282" s="235" t="str">
        <x:v>INVOICE_OR_PLAN</x:v>
      </x:c>
      <x:c r="S1282" s="238" t="n">
        <x:f>'Model_Calc'!BA217</x:f>
        <x:v>56.556412239600014</x:v>
      </x:c>
      <x:c r="T1282" s="238" t="n">
        <x:f>ROUND(S1282-O1282,4)</x:f>
        <x:v>0</x:v>
      </x:c>
    </x:row>
    <x:row r="1283">
      <x:c r="A1283" s="187" t="str">
        <x:v>FORECAST_2026_08_V1</x:v>
      </x:c>
      <x:c r="B1283" s="187" t="str">
        <x:v>FORECAST</x:v>
      </x:c>
      <x:c r="C1283" s="187"/>
      <x:c r="D1283" s="217" t="n">
        <x:v>46296</x:v>
      </x:c>
      <x:c r="E1283" s="187" t="str">
        <x:v>R_FR_FR_A_ROAD</x:v>
      </x:c>
      <x:c r="F1283" s="187" t="str">
        <x:v>FR</x:v>
      </x:c>
      <x:c r="G1283" s="187" t="str">
        <x:v>FR_FC</x:v>
      </x:c>
      <x:c r="H1283" s="187" t="str">
        <x:v>CARRIER_A</x:v>
      </x:c>
      <x:c r="I1283" s="187" t="str">
        <x:v>ROAD</x:v>
      </x:c>
      <x:c r="J1283" s="187" t="str">
        <x:v>BASE_FREIGHT</x:v>
      </x:c>
      <x:c r="K1283" s="187" t="str">
        <x:v>EUR</x:v>
      </x:c>
      <x:c r="L1283" s="232" t="n">
        <x:v>3620.96549451</x:v>
      </x:c>
      <x:c r="M1283" s="232" t="n">
        <x:v>7.9</x:v>
      </x:c>
      <x:c r="N1283" s="187" t="str">
        <x:v>28605.62740662900000000</x:v>
      </x:c>
      <x:c r="O1283" s="235" t="n">
        <x:v>28605.6274</x:v>
      </x:c>
      <x:c r="P1283" s="235"/>
      <x:c r="Q1283" s="235"/>
      <x:c r="R1283" s="235" t="str">
        <x:v>INVOICE_OR_PLAN</x:v>
      </x:c>
      <x:c r="S1283" s="238" t="n">
        <x:f>'Model_Calc'!AF218</x:f>
        <x:v>28605.627406629</x:v>
      </x:c>
      <x:c r="T1283" s="238" t="n">
        <x:f>ROUND(S1283-O1283,4)</x:f>
        <x:v>0</x:v>
      </x:c>
    </x:row>
    <x:row r="1284">
      <x:c r="A1284" s="187" t="str">
        <x:v>FORECAST_2026_08_V1</x:v>
      </x:c>
      <x:c r="B1284" s="187" t="str">
        <x:v>FORECAST</x:v>
      </x:c>
      <x:c r="C1284" s="187"/>
      <x:c r="D1284" s="217" t="n">
        <x:v>46296</x:v>
      </x:c>
      <x:c r="E1284" s="187" t="str">
        <x:v>R_FR_FR_A_ROAD</x:v>
      </x:c>
      <x:c r="F1284" s="187" t="str">
        <x:v>FR</x:v>
      </x:c>
      <x:c r="G1284" s="187" t="str">
        <x:v>FR_FC</x:v>
      </x:c>
      <x:c r="H1284" s="187" t="str">
        <x:v>CARRIER_A</x:v>
      </x:c>
      <x:c r="I1284" s="187" t="str">
        <x:v>ROAD</x:v>
      </x:c>
      <x:c r="J1284" s="187" t="str">
        <x:v>FUEL_SURCHARGE</x:v>
      </x:c>
      <x:c r="K1284" s="187" t="str">
        <x:v>EUR</x:v>
      </x:c>
      <x:c r="L1284" s="232" t="n">
        <x:v>337.2929358136065</x:v>
      </x:c>
      <x:c r="M1284" s="232" t="n">
        <x:v>7.9</x:v>
      </x:c>
      <x:c r="N1284" s="187" t="str">
        <x:v>2664.61419292749135000000000</x:v>
      </x:c>
      <x:c r="O1284" s="235" t="n">
        <x:v>2664.6142</x:v>
      </x:c>
      <x:c r="P1284" s="235"/>
      <x:c r="Q1284" s="235"/>
      <x:c r="R1284" s="235" t="str">
        <x:v>INVOICE_OR_PLAN</x:v>
      </x:c>
      <x:c r="S1284" s="238" t="n">
        <x:f>'Model_Calc'!AG218</x:f>
        <x:v>2664.614192927491</x:v>
      </x:c>
      <x:c r="T1284" s="238" t="n">
        <x:f>ROUND(S1284-O1284,4)</x:f>
        <x:v>0</x:v>
      </x:c>
    </x:row>
    <x:row r="1285">
      <x:c r="A1285" s="187" t="str">
        <x:v>FORECAST_2026_08_V1</x:v>
      </x:c>
      <x:c r="B1285" s="187" t="str">
        <x:v>FORECAST</x:v>
      </x:c>
      <x:c r="C1285" s="187"/>
      <x:c r="D1285" s="217" t="n">
        <x:v>46296</x:v>
      </x:c>
      <x:c r="E1285" s="187" t="str">
        <x:v>R_FR_FR_A_ROAD</x:v>
      </x:c>
      <x:c r="F1285" s="187" t="str">
        <x:v>FR</x:v>
      </x:c>
      <x:c r="G1285" s="187" t="str">
        <x:v>FR_FC</x:v>
      </x:c>
      <x:c r="H1285" s="187" t="str">
        <x:v>CARRIER_A</x:v>
      </x:c>
      <x:c r="I1285" s="187" t="str">
        <x:v>ROAD</x:v>
      </x:c>
      <x:c r="J1285" s="187" t="str">
        <x:v>WAREHOUSE_OPERATION</x:v>
      </x:c>
      <x:c r="K1285" s="187" t="str">
        <x:v>EUR</x:v>
      </x:c>
      <x:c r="L1285" s="232" t="n">
        <x:v>2225.120625</x:v>
      </x:c>
      <x:c r="M1285" s="232" t="n">
        <x:v>7.9</x:v>
      </x:c>
      <x:c r="N1285" s="187" t="str">
        <x:v>17578.45293750000</x:v>
      </x:c>
      <x:c r="O1285" s="235" t="n">
        <x:v>17578.4529</x:v>
      </x:c>
      <x:c r="P1285" s="235"/>
      <x:c r="Q1285" s="235"/>
      <x:c r="R1285" s="235" t="str">
        <x:v>INVOICE_OR_PLAN</x:v>
      </x:c>
      <x:c r="S1285" s="238" t="n">
        <x:f>'Model_Calc'!AL218</x:f>
        <x:v>17578.452937500002</x:v>
      </x:c>
      <x:c r="T1285" s="238" t="n">
        <x:f>ROUND(S1285-O1285,4)</x:f>
        <x:v>0</x:v>
      </x:c>
    </x:row>
    <x:row r="1286">
      <x:c r="A1286" s="187" t="str">
        <x:v>FORECAST_2026_08_V1</x:v>
      </x:c>
      <x:c r="B1286" s="187" t="str">
        <x:v>FORECAST</x:v>
      </x:c>
      <x:c r="C1286" s="187"/>
      <x:c r="D1286" s="217" t="n">
        <x:v>46296</x:v>
      </x:c>
      <x:c r="E1286" s="187" t="str">
        <x:v>R_FR_FR_A_ROAD</x:v>
      </x:c>
      <x:c r="F1286" s="187" t="str">
        <x:v>FR</x:v>
      </x:c>
      <x:c r="G1286" s="187" t="str">
        <x:v>FR_FC</x:v>
      </x:c>
      <x:c r="H1286" s="187" t="str">
        <x:v>CARRIER_A</x:v>
      </x:c>
      <x:c r="I1286" s="187" t="str">
        <x:v>ROAD</x:v>
      </x:c>
      <x:c r="J1286" s="187" t="str">
        <x:v>PACKAGING</x:v>
      </x:c>
      <x:c r="K1286" s="187" t="str">
        <x:v>EUR</x:v>
      </x:c>
      <x:c r="L1286" s="232" t="n">
        <x:v>853.598655</x:v>
      </x:c>
      <x:c r="M1286" s="232" t="n">
        <x:v>7.9</x:v>
      </x:c>
      <x:c r="N1286" s="187" t="str">
        <x:v>6743.4293745000000</x:v>
      </x:c>
      <x:c r="O1286" s="235" t="n">
        <x:v>6743.4294</x:v>
      </x:c>
      <x:c r="P1286" s="235"/>
      <x:c r="Q1286" s="235"/>
      <x:c r="R1286" s="235" t="str">
        <x:v>INVOICE_OR_PLAN</x:v>
      </x:c>
      <x:c r="S1286" s="238" t="n">
        <x:f>'Model_Calc'!AQ218</x:f>
        <x:v>6743.4293744999995</x:v>
      </x:c>
      <x:c r="T1286" s="238" t="n">
        <x:f>ROUND(S1286-O1286,4)</x:f>
        <x:v>0</x:v>
      </x:c>
    </x:row>
    <x:row r="1287">
      <x:c r="A1287" s="187" t="str">
        <x:v>FORECAST_2026_08_V1</x:v>
      </x:c>
      <x:c r="B1287" s="187" t="str">
        <x:v>FORECAST</x:v>
      </x:c>
      <x:c r="C1287" s="187"/>
      <x:c r="D1287" s="217" t="n">
        <x:v>46296</x:v>
      </x:c>
      <x:c r="E1287" s="187" t="str">
        <x:v>R_FR_FR_A_ROAD</x:v>
      </x:c>
      <x:c r="F1287" s="187" t="str">
        <x:v>FR</x:v>
      </x:c>
      <x:c r="G1287" s="187" t="str">
        <x:v>FR_FC</x:v>
      </x:c>
      <x:c r="H1287" s="187" t="str">
        <x:v>CARRIER_A</x:v>
      </x:c>
      <x:c r="I1287" s="187" t="str">
        <x:v>ROAD</x:v>
      </x:c>
      <x:c r="J1287" s="187" t="str">
        <x:v>RETURN_LOGISTICS</x:v>
      </x:c>
      <x:c r="K1287" s="187" t="str">
        <x:v>EUR</x:v>
      </x:c>
      <x:c r="L1287" s="232" t="n">
        <x:v>381.44925</x:v>
      </x:c>
      <x:c r="M1287" s="232" t="n">
        <x:v>7.9</x:v>
      </x:c>
      <x:c r="N1287" s="187" t="str">
        <x:v>3013.44907500000000</x:v>
      </x:c>
      <x:c r="O1287" s="235" t="n">
        <x:v>3013.4491</x:v>
      </x:c>
      <x:c r="P1287" s="235"/>
      <x:c r="Q1287" s="235"/>
      <x:c r="R1287" s="235" t="str">
        <x:v>INVOICE_OR_PLAN</x:v>
      </x:c>
      <x:c r="S1287" s="238" t="n">
        <x:f>'Model_Calc'!AV218</x:f>
        <x:v>3013.4490749999995</x:v>
      </x:c>
      <x:c r="T1287" s="238" t="n">
        <x:f>ROUND(S1287-O1287,4)</x:f>
        <x:v>0</x:v>
      </x:c>
    </x:row>
    <x:row r="1288">
      <x:c r="A1288" s="187" t="str">
        <x:v>FORECAST_2026_08_V1</x:v>
      </x:c>
      <x:c r="B1288" s="187" t="str">
        <x:v>FORECAST</x:v>
      </x:c>
      <x:c r="C1288" s="187"/>
      <x:c r="D1288" s="217" t="n">
        <x:v>46296</x:v>
      </x:c>
      <x:c r="E1288" s="187" t="str">
        <x:v>R_FR_FR_A_ROAD</x:v>
      </x:c>
      <x:c r="F1288" s="187" t="str">
        <x:v>FR</x:v>
      </x:c>
      <x:c r="G1288" s="187" t="str">
        <x:v>FR_FC</x:v>
      </x:c>
      <x:c r="H1288" s="187" t="str">
        <x:v>CARRIER_A</x:v>
      </x:c>
      <x:c r="I1288" s="187" t="str">
        <x:v>ROAD</x:v>
      </x:c>
      <x:c r="J1288" s="187" t="str">
        <x:v>BILLABLE_EXCEPTION</x:v>
      </x:c>
      <x:c r="K1288" s="187" t="str">
        <x:v>EUR</x:v>
      </x:c>
      <x:c r="L1288" s="232" t="n">
        <x:v>87.830808975</x:v>
      </x:c>
      <x:c r="M1288" s="232" t="n">
        <x:v>7.9</x:v>
      </x:c>
      <x:c r="N1288" s="187" t="str">
        <x:v>693.8633909025000000</x:v>
      </x:c>
      <x:c r="O1288" s="235" t="n">
        <x:v>693.8634</x:v>
      </x:c>
      <x:c r="P1288" s="235"/>
      <x:c r="Q1288" s="235"/>
      <x:c r="R1288" s="235" t="str">
        <x:v>INVOICE_OR_PLAN</x:v>
      </x:c>
      <x:c r="S1288" s="238" t="n">
        <x:f>'Model_Calc'!BA218</x:f>
        <x:v>693.8633909025</x:v>
      </x:c>
      <x:c r="T1288" s="238" t="n">
        <x:f>ROUND(S1288-O1288,4)</x:f>
        <x:v>0</x:v>
      </x:c>
    </x:row>
    <x:row r="1289">
      <x:c r="A1289" s="187" t="str">
        <x:v>FORECAST_2026_08_V1</x:v>
      </x:c>
      <x:c r="B1289" s="187" t="str">
        <x:v>FORECAST</x:v>
      </x:c>
      <x:c r="C1289" s="187"/>
      <x:c r="D1289" s="217" t="n">
        <x:v>46296</x:v>
      </x:c>
      <x:c r="E1289" s="187" t="str">
        <x:v>R_FR_FR_B_ROAD</x:v>
      </x:c>
      <x:c r="F1289" s="187" t="str">
        <x:v>FR</x:v>
      </x:c>
      <x:c r="G1289" s="187" t="str">
        <x:v>FR_FC</x:v>
      </x:c>
      <x:c r="H1289" s="187" t="str">
        <x:v>CARRIER_B</x:v>
      </x:c>
      <x:c r="I1289" s="187" t="str">
        <x:v>ROAD</x:v>
      </x:c>
      <x:c r="J1289" s="187" t="str">
        <x:v>BASE_FREIGHT</x:v>
      </x:c>
      <x:c r="K1289" s="187" t="str">
        <x:v>EUR</x:v>
      </x:c>
      <x:c r="L1289" s="232" t="n">
        <x:v>8654.405713785</x:v>
      </x:c>
      <x:c r="M1289" s="232" t="n">
        <x:v>7.9</x:v>
      </x:c>
      <x:c r="N1289" s="187" t="str">
        <x:v>68369.80513890150000000</x:v>
      </x:c>
      <x:c r="O1289" s="235" t="n">
        <x:v>68369.8051</x:v>
      </x:c>
      <x:c r="P1289" s="235"/>
      <x:c r="Q1289" s="235"/>
      <x:c r="R1289" s="235" t="str">
        <x:v>INVOICE_OR_PLAN</x:v>
      </x:c>
      <x:c r="S1289" s="238" t="n">
        <x:f>'Model_Calc'!AF219</x:f>
        <x:v>68369.8051389015</x:v>
      </x:c>
      <x:c r="T1289" s="238" t="n">
        <x:f>ROUND(S1289-O1289,4)</x:f>
        <x:v>0</x:v>
      </x:c>
    </x:row>
    <x:row r="1290">
      <x:c r="A1290" s="187" t="str">
        <x:v>FORECAST_2026_08_V1</x:v>
      </x:c>
      <x:c r="B1290" s="187" t="str">
        <x:v>FORECAST</x:v>
      </x:c>
      <x:c r="C1290" s="187"/>
      <x:c r="D1290" s="217" t="n">
        <x:v>46296</x:v>
      </x:c>
      <x:c r="E1290" s="187" t="str">
        <x:v>R_FR_FR_B_ROAD</x:v>
      </x:c>
      <x:c r="F1290" s="187" t="str">
        <x:v>FR</x:v>
      </x:c>
      <x:c r="G1290" s="187" t="str">
        <x:v>FR_FC</x:v>
      </x:c>
      <x:c r="H1290" s="187" t="str">
        <x:v>CARRIER_B</x:v>
      </x:c>
      <x:c r="I1290" s="187" t="str">
        <x:v>ROAD</x:v>
      </x:c>
      <x:c r="J1290" s="187" t="str">
        <x:v>FUEL_SURCHARGE</x:v>
      </x:c>
      <x:c r="K1290" s="187" t="str">
        <x:v>EUR</x:v>
      </x:c>
      <x:c r="L1290" s="232" t="n">
        <x:v>665.723516445</x:v>
      </x:c>
      <x:c r="M1290" s="232" t="n">
        <x:v>7.9</x:v>
      </x:c>
      <x:c r="N1290" s="187" t="str">
        <x:v>5259.21577991550000000</x:v>
      </x:c>
      <x:c r="O1290" s="235" t="n">
        <x:v>5259.2158</x:v>
      </x:c>
      <x:c r="P1290" s="235"/>
      <x:c r="Q1290" s="235"/>
      <x:c r="R1290" s="235" t="str">
        <x:v>INVOICE_OR_PLAN</x:v>
      </x:c>
      <x:c r="S1290" s="238" t="n">
        <x:f>'Model_Calc'!AG219</x:f>
        <x:v>5259.2157799155</x:v>
      </x:c>
      <x:c r="T1290" s="238" t="n">
        <x:f>ROUND(S1290-O1290,4)</x:f>
        <x:v>0</x:v>
      </x:c>
    </x:row>
    <x:row r="1291">
      <x:c r="A1291" s="187" t="str">
        <x:v>FORECAST_2026_08_V1</x:v>
      </x:c>
      <x:c r="B1291" s="187" t="str">
        <x:v>FORECAST</x:v>
      </x:c>
      <x:c r="C1291" s="187"/>
      <x:c r="D1291" s="217" t="n">
        <x:v>46296</x:v>
      </x:c>
      <x:c r="E1291" s="187" t="str">
        <x:v>R_FR_FR_B_ROAD</x:v>
      </x:c>
      <x:c r="F1291" s="187" t="str">
        <x:v>FR</x:v>
      </x:c>
      <x:c r="G1291" s="187" t="str">
        <x:v>FR_FC</x:v>
      </x:c>
      <x:c r="H1291" s="187" t="str">
        <x:v>CARRIER_B</x:v>
      </x:c>
      <x:c r="I1291" s="187" t="str">
        <x:v>ROAD</x:v>
      </x:c>
      <x:c r="J1291" s="187" t="str">
        <x:v>WAREHOUSE_OPERATION</x:v>
      </x:c>
      <x:c r="K1291" s="187" t="str">
        <x:v>EUR</x:v>
      </x:c>
      <x:c r="L1291" s="232" t="n">
        <x:v>4132.366875</x:v>
      </x:c>
      <x:c r="M1291" s="232" t="n">
        <x:v>7.9</x:v>
      </x:c>
      <x:c r="N1291" s="187" t="str">
        <x:v>32645.69831250000</x:v>
      </x:c>
      <x:c r="O1291" s="235" t="n">
        <x:v>32645.6983</x:v>
      </x:c>
      <x:c r="P1291" s="235"/>
      <x:c r="Q1291" s="235"/>
      <x:c r="R1291" s="235" t="str">
        <x:v>INVOICE_OR_PLAN</x:v>
      </x:c>
      <x:c r="S1291" s="238" t="n">
        <x:f>'Model_Calc'!AL219</x:f>
        <x:v>32645.698312500008</x:v>
      </x:c>
      <x:c r="T1291" s="238" t="n">
        <x:f>ROUND(S1291-O1291,4)</x:f>
        <x:v>0</x:v>
      </x:c>
    </x:row>
    <x:row r="1292">
      <x:c r="A1292" s="187" t="str">
        <x:v>FORECAST_2026_08_V1</x:v>
      </x:c>
      <x:c r="B1292" s="187" t="str">
        <x:v>FORECAST</x:v>
      </x:c>
      <x:c r="C1292" s="187"/>
      <x:c r="D1292" s="217" t="n">
        <x:v>46296</x:v>
      </x:c>
      <x:c r="E1292" s="187" t="str">
        <x:v>R_FR_FR_B_ROAD</x:v>
      </x:c>
      <x:c r="F1292" s="187" t="str">
        <x:v>FR</x:v>
      </x:c>
      <x:c r="G1292" s="187" t="str">
        <x:v>FR_FC</x:v>
      </x:c>
      <x:c r="H1292" s="187" t="str">
        <x:v>CARRIER_B</x:v>
      </x:c>
      <x:c r="I1292" s="187" t="str">
        <x:v>ROAD</x:v>
      </x:c>
      <x:c r="J1292" s="187" t="str">
        <x:v>PACKAGING</x:v>
      </x:c>
      <x:c r="K1292" s="187" t="str">
        <x:v>EUR</x:v>
      </x:c>
      <x:c r="L1292" s="232" t="n">
        <x:v>1585.254645</x:v>
      </x:c>
      <x:c r="M1292" s="232" t="n">
        <x:v>7.9</x:v>
      </x:c>
      <x:c r="N1292" s="187" t="str">
        <x:v>12523.5116955000000</x:v>
      </x:c>
      <x:c r="O1292" s="235" t="n">
        <x:v>12523.5117</x:v>
      </x:c>
      <x:c r="P1292" s="235"/>
      <x:c r="Q1292" s="235"/>
      <x:c r="R1292" s="235" t="str">
        <x:v>INVOICE_OR_PLAN</x:v>
      </x:c>
      <x:c r="S1292" s="238" t="n">
        <x:f>'Model_Calc'!AQ219</x:f>
        <x:v>12523.511695500001</x:v>
      </x:c>
      <x:c r="T1292" s="238" t="n">
        <x:f>ROUND(S1292-O1292,4)</x:f>
        <x:v>0</x:v>
      </x:c>
    </x:row>
    <x:row r="1293">
      <x:c r="A1293" s="187" t="str">
        <x:v>FORECAST_2026_08_V1</x:v>
      </x:c>
      <x:c r="B1293" s="187" t="str">
        <x:v>FORECAST</x:v>
      </x:c>
      <x:c r="C1293" s="187"/>
      <x:c r="D1293" s="217" t="n">
        <x:v>46296</x:v>
      </x:c>
      <x:c r="E1293" s="187" t="str">
        <x:v>R_FR_FR_B_ROAD</x:v>
      </x:c>
      <x:c r="F1293" s="187" t="str">
        <x:v>FR</x:v>
      </x:c>
      <x:c r="G1293" s="187" t="str">
        <x:v>FR_FC</x:v>
      </x:c>
      <x:c r="H1293" s="187" t="str">
        <x:v>CARRIER_B</x:v>
      </x:c>
      <x:c r="I1293" s="187" t="str">
        <x:v>ROAD</x:v>
      </x:c>
      <x:c r="J1293" s="187" t="str">
        <x:v>RETURN_LOGISTICS</x:v>
      </x:c>
      <x:c r="K1293" s="187" t="str">
        <x:v>EUR</x:v>
      </x:c>
      <x:c r="L1293" s="232" t="n">
        <x:v>708.40575</x:v>
      </x:c>
      <x:c r="M1293" s="232" t="n">
        <x:v>7.9</x:v>
      </x:c>
      <x:c r="N1293" s="187" t="str">
        <x:v>5596.40542500000000</x:v>
      </x:c>
      <x:c r="O1293" s="235" t="n">
        <x:v>5596.4054</x:v>
      </x:c>
      <x:c r="P1293" s="235"/>
      <x:c r="Q1293" s="235"/>
      <x:c r="R1293" s="235" t="str">
        <x:v>INVOICE_OR_PLAN</x:v>
      </x:c>
      <x:c r="S1293" s="238" t="n">
        <x:f>'Model_Calc'!AV219</x:f>
        <x:v>5596.405425</x:v>
      </x:c>
      <x:c r="T1293" s="238" t="n">
        <x:f>ROUND(S1293-O1293,4)</x:f>
        <x:v>0</x:v>
      </x:c>
    </x:row>
    <x:row r="1294">
      <x:c r="A1294" s="187" t="str">
        <x:v>FORECAST_2026_08_V1</x:v>
      </x:c>
      <x:c r="B1294" s="187" t="str">
        <x:v>FORECAST</x:v>
      </x:c>
      <x:c r="C1294" s="187"/>
      <x:c r="D1294" s="217" t="n">
        <x:v>46296</x:v>
      </x:c>
      <x:c r="E1294" s="187" t="str">
        <x:v>R_FR_FR_B_ROAD</x:v>
      </x:c>
      <x:c r="F1294" s="187" t="str">
        <x:v>FR</x:v>
      </x:c>
      <x:c r="G1294" s="187" t="str">
        <x:v>FR_FC</x:v>
      </x:c>
      <x:c r="H1294" s="187" t="str">
        <x:v>CARRIER_B</x:v>
      </x:c>
      <x:c r="I1294" s="187" t="str">
        <x:v>ROAD</x:v>
      </x:c>
      <x:c r="J1294" s="187" t="str">
        <x:v>BILLABLE_EXCEPTION</x:v>
      </x:c>
      <x:c r="K1294" s="187" t="str">
        <x:v>EUR</x:v>
      </x:c>
      <x:c r="L1294" s="232" t="n">
        <x:v>134.32947255</x:v>
      </x:c>
      <x:c r="M1294" s="232" t="n">
        <x:v>7.9</x:v>
      </x:c>
      <x:c r="N1294" s="187" t="str">
        <x:v>1061.2028331450000000</x:v>
      </x:c>
      <x:c r="O1294" s="235" t="n">
        <x:v>1061.2028</x:v>
      </x:c>
      <x:c r="P1294" s="235"/>
      <x:c r="Q1294" s="235"/>
      <x:c r="R1294" s="235" t="str">
        <x:v>INVOICE_OR_PLAN</x:v>
      </x:c>
      <x:c r="S1294" s="238" t="n">
        <x:f>'Model_Calc'!BA219</x:f>
        <x:v>1061.202833145</x:v>
      </x:c>
      <x:c r="T1294" s="238" t="n">
        <x:f>ROUND(S1294-O1294,4)</x:f>
        <x:v>0</x:v>
      </x:c>
    </x:row>
    <x:row r="1295">
      <x:c r="A1295" s="187" t="str">
        <x:v>FORECAST_2026_08_V1</x:v>
      </x:c>
      <x:c r="B1295" s="187" t="str">
        <x:v>FORECAST</x:v>
      </x:c>
      <x:c r="C1295" s="187"/>
      <x:c r="D1295" s="217" t="n">
        <x:v>46296</x:v>
      </x:c>
      <x:c r="E1295" s="187" t="str">
        <x:v>R_GB_DE_A_ROAD</x:v>
      </x:c>
      <x:c r="F1295" s="187" t="str">
        <x:v>GB</x:v>
      </x:c>
      <x:c r="G1295" s="187" t="str">
        <x:v>DE_FC</x:v>
      </x:c>
      <x:c r="H1295" s="187" t="str">
        <x:v>CARRIER_A</x:v>
      </x:c>
      <x:c r="I1295" s="187" t="str">
        <x:v>ROAD</x:v>
      </x:c>
      <x:c r="J1295" s="187" t="str">
        <x:v>BASE_FREIGHT</x:v>
      </x:c>
      <x:c r="K1295" s="187" t="str">
        <x:v>GBP</x:v>
      </x:c>
      <x:c r="L1295" s="232" t="n">
        <x:v>12348.629658329703</x:v>
      </x:c>
      <x:c r="M1295" s="232" t="n">
        <x:v>9.1</x:v>
      </x:c>
      <x:c r="N1295" s="187" t="str">
        <x:v>112372.529890800291840000000</x:v>
      </x:c>
      <x:c r="O1295" s="235" t="n">
        <x:v>112372.5299</x:v>
      </x:c>
      <x:c r="P1295" s="235"/>
      <x:c r="Q1295" s="235"/>
      <x:c r="R1295" s="235" t="str">
        <x:v>INVOICE_OR_PLAN</x:v>
      </x:c>
      <x:c r="S1295" s="238" t="n">
        <x:f>'Model_Calc'!AF220</x:f>
        <x:v>112372.52989080026</x:v>
      </x:c>
      <x:c r="T1295" s="238" t="n">
        <x:f>ROUND(S1295-O1295,4)</x:f>
        <x:v>0</x:v>
      </x:c>
    </x:row>
    <x:row r="1296">
      <x:c r="A1296" s="187" t="str">
        <x:v>FORECAST_2026_08_V1</x:v>
      </x:c>
      <x:c r="B1296" s="187" t="str">
        <x:v>FORECAST</x:v>
      </x:c>
      <x:c r="C1296" s="187"/>
      <x:c r="D1296" s="217" t="n">
        <x:v>46296</x:v>
      </x:c>
      <x:c r="E1296" s="187" t="str">
        <x:v>R_GB_DE_A_ROAD</x:v>
      </x:c>
      <x:c r="F1296" s="187" t="str">
        <x:v>GB</x:v>
      </x:c>
      <x:c r="G1296" s="187" t="str">
        <x:v>DE_FC</x:v>
      </x:c>
      <x:c r="H1296" s="187" t="str">
        <x:v>CARRIER_A</x:v>
      </x:c>
      <x:c r="I1296" s="187" t="str">
        <x:v>ROAD</x:v>
      </x:c>
      <x:c r="J1296" s="187" t="str">
        <x:v>FUEL_SURCHARGE</x:v>
      </x:c>
      <x:c r="K1296" s="187" t="str">
        <x:v>GBP</x:v>
      </x:c>
      <x:c r="L1296" s="232" t="n">
        <x:v>1278.0831696371242</x:v>
      </x:c>
      <x:c r="M1296" s="232" t="n">
        <x:v>9.1</x:v>
      </x:c>
      <x:c r="N1296" s="187" t="str">
        <x:v>11630.556843697830205440000000000</x:v>
      </x:c>
      <x:c r="O1296" s="235" t="n">
        <x:v>11630.5568</x:v>
      </x:c>
      <x:c r="P1296" s="235"/>
      <x:c r="Q1296" s="235"/>
      <x:c r="R1296" s="235" t="str">
        <x:v>INVOICE_OR_PLAN</x:v>
      </x:c>
      <x:c r="S1296" s="238" t="n">
        <x:f>'Model_Calc'!AG220</x:f>
        <x:v>11630.556843697826</x:v>
      </x:c>
      <x:c r="T1296" s="238" t="n">
        <x:f>ROUND(S1296-O1296,4)</x:f>
        <x:v>0</x:v>
      </x:c>
    </x:row>
    <x:row r="1297">
      <x:c r="A1297" s="187" t="str">
        <x:v>FORECAST_2026_08_V1</x:v>
      </x:c>
      <x:c r="B1297" s="187" t="str">
        <x:v>FORECAST</x:v>
      </x:c>
      <x:c r="C1297" s="187"/>
      <x:c r="D1297" s="217" t="n">
        <x:v>46296</x:v>
      </x:c>
      <x:c r="E1297" s="187" t="str">
        <x:v>R_GB_DE_A_ROAD</x:v>
      </x:c>
      <x:c r="F1297" s="187" t="str">
        <x:v>GB</x:v>
      </x:c>
      <x:c r="G1297" s="187" t="str">
        <x:v>DE_FC</x:v>
      </x:c>
      <x:c r="H1297" s="187" t="str">
        <x:v>CARRIER_A</x:v>
      </x:c>
      <x:c r="I1297" s="187" t="str">
        <x:v>ROAD</x:v>
      </x:c>
      <x:c r="J1297" s="187" t="str">
        <x:v>WAREHOUSE_OPERATION</x:v>
      </x:c>
      <x:c r="K1297" s="187" t="str">
        <x:v>EUR</x:v>
      </x:c>
      <x:c r="L1297" s="232" t="n">
        <x:v>2963.0105856</x:v>
      </x:c>
      <x:c r="M1297" s="232" t="n">
        <x:v>7.9</x:v>
      </x:c>
      <x:c r="N1297" s="187" t="str">
        <x:v>23407.7836262400000</x:v>
      </x:c>
      <x:c r="O1297" s="235" t="n">
        <x:v>23407.7836</x:v>
      </x:c>
      <x:c r="P1297" s="235"/>
      <x:c r="Q1297" s="235"/>
      <x:c r="R1297" s="235" t="str">
        <x:v>INVOICE_OR_PLAN</x:v>
      </x:c>
      <x:c r="S1297" s="238" t="n">
        <x:f>'Model_Calc'!AL220</x:f>
        <x:v>23407.783626239998</x:v>
      </x:c>
      <x:c r="T1297" s="238" t="n">
        <x:f>ROUND(S1297-O1297,4)</x:f>
        <x:v>0</x:v>
      </x:c>
    </x:row>
    <x:row r="1298">
      <x:c r="A1298" s="187" t="str">
        <x:v>FORECAST_2026_08_V1</x:v>
      </x:c>
      <x:c r="B1298" s="187" t="str">
        <x:v>FORECAST</x:v>
      </x:c>
      <x:c r="C1298" s="187"/>
      <x:c r="D1298" s="217" t="n">
        <x:v>46296</x:v>
      </x:c>
      <x:c r="E1298" s="187" t="str">
        <x:v>R_GB_DE_A_ROAD</x:v>
      </x:c>
      <x:c r="F1298" s="187" t="str">
        <x:v>GB</x:v>
      </x:c>
      <x:c r="G1298" s="187" t="str">
        <x:v>DE_FC</x:v>
      </x:c>
      <x:c r="H1298" s="187" t="str">
        <x:v>CARRIER_A</x:v>
      </x:c>
      <x:c r="I1298" s="187" t="str">
        <x:v>ROAD</x:v>
      </x:c>
      <x:c r="J1298" s="187" t="str">
        <x:v>PACKAGING</x:v>
      </x:c>
      <x:c r="K1298" s="187" t="str">
        <x:v>EUR</x:v>
      </x:c>
      <x:c r="L1298" s="232" t="n">
        <x:v>1233.918137088</x:v>
      </x:c>
      <x:c r="M1298" s="232" t="n">
        <x:v>7.9</x:v>
      </x:c>
      <x:c r="N1298" s="187" t="str">
        <x:v>9747.953282995200000</x:v>
      </x:c>
      <x:c r="O1298" s="235" t="n">
        <x:v>9747.9533</x:v>
      </x:c>
      <x:c r="P1298" s="235"/>
      <x:c r="Q1298" s="235"/>
      <x:c r="R1298" s="235" t="str">
        <x:v>INVOICE_OR_PLAN</x:v>
      </x:c>
      <x:c r="S1298" s="238" t="n">
        <x:f>'Model_Calc'!AQ220</x:f>
        <x:v>9747.953282995197</x:v>
      </x:c>
      <x:c r="T1298" s="238" t="n">
        <x:f>ROUND(S1298-O1298,4)</x:f>
        <x:v>0</x:v>
      </x:c>
    </x:row>
    <x:row r="1299">
      <x:c r="A1299" s="187" t="str">
        <x:v>FORECAST_2026_08_V1</x:v>
      </x:c>
      <x:c r="B1299" s="187" t="str">
        <x:v>FORECAST</x:v>
      </x:c>
      <x:c r="C1299" s="187"/>
      <x:c r="D1299" s="217" t="n">
        <x:v>46296</x:v>
      </x:c>
      <x:c r="E1299" s="187" t="str">
        <x:v>R_GB_DE_A_ROAD</x:v>
      </x:c>
      <x:c r="F1299" s="187" t="str">
        <x:v>GB</x:v>
      </x:c>
      <x:c r="G1299" s="187" t="str">
        <x:v>DE_FC</x:v>
      </x:c>
      <x:c r="H1299" s="187" t="str">
        <x:v>CARRIER_A</x:v>
      </x:c>
      <x:c r="I1299" s="187" t="str">
        <x:v>ROAD</x:v>
      </x:c>
      <x:c r="J1299" s="187" t="str">
        <x:v>RETURN_LOGISTICS</x:v>
      </x:c>
      <x:c r="K1299" s="187" t="str">
        <x:v>GBP</x:v>
      </x:c>
      <x:c r="L1299" s="232" t="n">
        <x:v>1084.76319744</x:v>
      </x:c>
      <x:c r="M1299" s="232" t="n">
        <x:v>9.1</x:v>
      </x:c>
      <x:c r="N1299" s="187" t="str">
        <x:v>9871.3450967040000000</x:v>
      </x:c>
      <x:c r="O1299" s="235" t="n">
        <x:v>9871.3451</x:v>
      </x:c>
      <x:c r="P1299" s="235"/>
      <x:c r="Q1299" s="235"/>
      <x:c r="R1299" s="235" t="str">
        <x:v>INVOICE_OR_PLAN</x:v>
      </x:c>
      <x:c r="S1299" s="238" t="n">
        <x:f>'Model_Calc'!AV220</x:f>
        <x:v>9871.345096703999</x:v>
      </x:c>
      <x:c r="T1299" s="238" t="n">
        <x:f>ROUND(S1299-O1299,4)</x:f>
        <x:v>0</x:v>
      </x:c>
    </x:row>
    <x:row r="1300">
      <x:c r="A1300" s="187" t="str">
        <x:v>FORECAST_2026_08_V1</x:v>
      </x:c>
      <x:c r="B1300" s="187" t="str">
        <x:v>FORECAST</x:v>
      </x:c>
      <x:c r="C1300" s="187"/>
      <x:c r="D1300" s="217" t="n">
        <x:v>46296</x:v>
      </x:c>
      <x:c r="E1300" s="187" t="str">
        <x:v>R_GB_DE_A_ROAD</x:v>
      </x:c>
      <x:c r="F1300" s="187" t="str">
        <x:v>GB</x:v>
      </x:c>
      <x:c r="G1300" s="187" t="str">
        <x:v>DE_FC</x:v>
      </x:c>
      <x:c r="H1300" s="187" t="str">
        <x:v>CARRIER_A</x:v>
      </x:c>
      <x:c r="I1300" s="187" t="str">
        <x:v>ROAD</x:v>
      </x:c>
      <x:c r="J1300" s="187" t="str">
        <x:v>BILLABLE_EXCEPTION</x:v>
      </x:c>
      <x:c r="K1300" s="187" t="str">
        <x:v>GBP</x:v>
      </x:c>
      <x:c r="L1300" s="232" t="n">
        <x:v>182.44361026944</x:v>
      </x:c>
      <x:c r="M1300" s="232" t="n">
        <x:v>9.1</x:v>
      </x:c>
      <x:c r="N1300" s="187" t="str">
        <x:v>1660.236853451904000000</x:v>
      </x:c>
      <x:c r="O1300" s="235" t="n">
        <x:v>1660.2369</x:v>
      </x:c>
      <x:c r="P1300" s="235"/>
      <x:c r="Q1300" s="235"/>
      <x:c r="R1300" s="235" t="str">
        <x:v>INVOICE_OR_PLAN</x:v>
      </x:c>
      <x:c r="S1300" s="238" t="n">
        <x:f>'Model_Calc'!BA220</x:f>
        <x:v>1660.2368534519035</x:v>
      </x:c>
      <x:c r="T1300" s="238" t="n">
        <x:f>ROUND(S1300-O1300,4)</x:f>
        <x:v>0</x:v>
      </x:c>
    </x:row>
    <x:row r="1301">
      <x:c r="A1301" s="187" t="str">
        <x:v>FORECAST_2026_08_V1</x:v>
      </x:c>
      <x:c r="B1301" s="187" t="str">
        <x:v>FORECAST</x:v>
      </x:c>
      <x:c r="C1301" s="187"/>
      <x:c r="D1301" s="217" t="n">
        <x:v>46296</x:v>
      </x:c>
      <x:c r="E1301" s="187" t="str">
        <x:v>R_GB_DE_B_ROAD</x:v>
      </x:c>
      <x:c r="F1301" s="187" t="str">
        <x:v>GB</x:v>
      </x:c>
      <x:c r="G1301" s="187" t="str">
        <x:v>DE_FC</x:v>
      </x:c>
      <x:c r="H1301" s="187" t="str">
        <x:v>CARRIER_B</x:v>
      </x:c>
      <x:c r="I1301" s="187" t="str">
        <x:v>ROAD</x:v>
      </x:c>
      <x:c r="J1301" s="187" t="str">
        <x:v>BASE_FREIGHT</x:v>
      </x:c>
      <x:c r="K1301" s="187" t="str">
        <x:v>GBP</x:v>
      </x:c>
      <x:c r="L1301" s="232" t="n">
        <x:v>7902.85394800512</x:v>
      </x:c>
      <x:c r="M1301" s="232" t="n">
        <x:v>9.1</x:v>
      </x:c>
      <x:c r="N1301" s="187" t="str">
        <x:v>71915.970926846592000000000</x:v>
      </x:c>
      <x:c r="O1301" s="235" t="n">
        <x:v>71915.9709</x:v>
      </x:c>
      <x:c r="P1301" s="235"/>
      <x:c r="Q1301" s="235"/>
      <x:c r="R1301" s="235" t="str">
        <x:v>INVOICE_OR_PLAN</x:v>
      </x:c>
      <x:c r="S1301" s="238" t="n">
        <x:f>'Model_Calc'!AF221</x:f>
        <x:v>71915.97092684658</x:v>
      </x:c>
      <x:c r="T1301" s="238" t="n">
        <x:f>ROUND(S1301-O1301,4)</x:f>
        <x:v>0</x:v>
      </x:c>
    </x:row>
    <x:row r="1302">
      <x:c r="A1302" s="187" t="str">
        <x:v>FORECAST_2026_08_V1</x:v>
      </x:c>
      <x:c r="B1302" s="187" t="str">
        <x:v>FORECAST</x:v>
      </x:c>
      <x:c r="C1302" s="187"/>
      <x:c r="D1302" s="217" t="n">
        <x:v>46296</x:v>
      </x:c>
      <x:c r="E1302" s="187" t="str">
        <x:v>R_GB_DE_B_ROAD</x:v>
      </x:c>
      <x:c r="F1302" s="187" t="str">
        <x:v>GB</x:v>
      </x:c>
      <x:c r="G1302" s="187" t="str">
        <x:v>DE_FC</x:v>
      </x:c>
      <x:c r="H1302" s="187" t="str">
        <x:v>CARRIER_B</x:v>
      </x:c>
      <x:c r="I1302" s="187" t="str">
        <x:v>ROAD</x:v>
      </x:c>
      <x:c r="J1302" s="187" t="str">
        <x:v>FUEL_SURCHARGE</x:v>
      </x:c>
      <x:c r="K1302" s="187" t="str">
        <x:v>GBP</x:v>
      </x:c>
      <x:c r="L1302" s="232" t="n">
        <x:v>554.881234647168</x:v>
      </x:c>
      <x:c r="M1302" s="232" t="n">
        <x:v>9.1</x:v>
      </x:c>
      <x:c r="N1302" s="187" t="str">
        <x:v>5049.419235289228800000000</x:v>
      </x:c>
      <x:c r="O1302" s="235" t="n">
        <x:v>5049.4192</x:v>
      </x:c>
      <x:c r="P1302" s="235"/>
      <x:c r="Q1302" s="235"/>
      <x:c r="R1302" s="235" t="str">
        <x:v>INVOICE_OR_PLAN</x:v>
      </x:c>
      <x:c r="S1302" s="238" t="n">
        <x:f>'Model_Calc'!AG221</x:f>
        <x:v>5049.419235289228</x:v>
      </x:c>
      <x:c r="T1302" s="238" t="n">
        <x:f>ROUND(S1302-O1302,4)</x:f>
        <x:v>0</x:v>
      </x:c>
    </x:row>
    <x:row r="1303">
      <x:c r="A1303" s="187" t="str">
        <x:v>FORECAST_2026_08_V1</x:v>
      </x:c>
      <x:c r="B1303" s="187" t="str">
        <x:v>FORECAST</x:v>
      </x:c>
      <x:c r="C1303" s="187"/>
      <x:c r="D1303" s="217" t="n">
        <x:v>46296</x:v>
      </x:c>
      <x:c r="E1303" s="187" t="str">
        <x:v>R_GB_DE_B_ROAD</x:v>
      </x:c>
      <x:c r="F1303" s="187" t="str">
        <x:v>GB</x:v>
      </x:c>
      <x:c r="G1303" s="187" t="str">
        <x:v>DE_FC</x:v>
      </x:c>
      <x:c r="H1303" s="187" t="str">
        <x:v>CARRIER_B</x:v>
      </x:c>
      <x:c r="I1303" s="187" t="str">
        <x:v>ROAD</x:v>
      </x:c>
      <x:c r="J1303" s="187" t="str">
        <x:v>WAREHOUSE_OPERATION</x:v>
      </x:c>
      <x:c r="K1303" s="187" t="str">
        <x:v>EUR</x:v>
      </x:c>
      <x:c r="L1303" s="232" t="n">
        <x:v>1646.116992</x:v>
      </x:c>
      <x:c r="M1303" s="232" t="n">
        <x:v>7.9</x:v>
      </x:c>
      <x:c r="N1303" s="187" t="str">
        <x:v>13004.3242368000000</x:v>
      </x:c>
      <x:c r="O1303" s="235" t="n">
        <x:v>13004.3242</x:v>
      </x:c>
      <x:c r="P1303" s="235"/>
      <x:c r="Q1303" s="235"/>
      <x:c r="R1303" s="235" t="str">
        <x:v>INVOICE_OR_PLAN</x:v>
      </x:c>
      <x:c r="S1303" s="238" t="n">
        <x:f>'Model_Calc'!AL221</x:f>
        <x:v>13004.324236800003</x:v>
      </x:c>
      <x:c r="T1303" s="238" t="n">
        <x:f>ROUND(S1303-O1303,4)</x:f>
        <x:v>0</x:v>
      </x:c>
    </x:row>
    <x:row r="1304">
      <x:c r="A1304" s="187" t="str">
        <x:v>FORECAST_2026_08_V1</x:v>
      </x:c>
      <x:c r="B1304" s="187" t="str">
        <x:v>FORECAST</x:v>
      </x:c>
      <x:c r="C1304" s="187"/>
      <x:c r="D1304" s="217" t="n">
        <x:v>46296</x:v>
      </x:c>
      <x:c r="E1304" s="187" t="str">
        <x:v>R_GB_DE_B_ROAD</x:v>
      </x:c>
      <x:c r="F1304" s="187" t="str">
        <x:v>GB</x:v>
      </x:c>
      <x:c r="G1304" s="187" t="str">
        <x:v>DE_FC</x:v>
      </x:c>
      <x:c r="H1304" s="187" t="str">
        <x:v>CARRIER_B</x:v>
      </x:c>
      <x:c r="I1304" s="187" t="str">
        <x:v>ROAD</x:v>
      </x:c>
      <x:c r="J1304" s="187" t="str">
        <x:v>PACKAGING</x:v>
      </x:c>
      <x:c r="K1304" s="187" t="str">
        <x:v>EUR</x:v>
      </x:c>
      <x:c r="L1304" s="232" t="n">
        <x:v>685.51007616</x:v>
      </x:c>
      <x:c r="M1304" s="232" t="n">
        <x:v>7.9</x:v>
      </x:c>
      <x:c r="N1304" s="187" t="str">
        <x:v>5415.529601664000000</x:v>
      </x:c>
      <x:c r="O1304" s="235" t="n">
        <x:v>5415.5296</x:v>
      </x:c>
      <x:c r="P1304" s="235"/>
      <x:c r="Q1304" s="235"/>
      <x:c r="R1304" s="235" t="str">
        <x:v>INVOICE_OR_PLAN</x:v>
      </x:c>
      <x:c r="S1304" s="238" t="n">
        <x:f>'Model_Calc'!AQ221</x:f>
        <x:v>5415.5296016639995</x:v>
      </x:c>
      <x:c r="T1304" s="238" t="n">
        <x:f>ROUND(S1304-O1304,4)</x:f>
        <x:v>0</x:v>
      </x:c>
    </x:row>
    <x:row r="1305">
      <x:c r="A1305" s="187" t="str">
        <x:v>FORECAST_2026_08_V1</x:v>
      </x:c>
      <x:c r="B1305" s="187" t="str">
        <x:v>FORECAST</x:v>
      </x:c>
      <x:c r="C1305" s="187"/>
      <x:c r="D1305" s="217" t="n">
        <x:v>46296</x:v>
      </x:c>
      <x:c r="E1305" s="187" t="str">
        <x:v>R_GB_DE_B_ROAD</x:v>
      </x:c>
      <x:c r="F1305" s="187" t="str">
        <x:v>GB</x:v>
      </x:c>
      <x:c r="G1305" s="187" t="str">
        <x:v>DE_FC</x:v>
      </x:c>
      <x:c r="H1305" s="187" t="str">
        <x:v>CARRIER_B</x:v>
      </x:c>
      <x:c r="I1305" s="187" t="str">
        <x:v>ROAD</x:v>
      </x:c>
      <x:c r="J1305" s="187" t="str">
        <x:v>RETURN_LOGISTICS</x:v>
      </x:c>
      <x:c r="K1305" s="187" t="str">
        <x:v>GBP</x:v>
      </x:c>
      <x:c r="L1305" s="232" t="n">
        <x:v>602.6462208</x:v>
      </x:c>
      <x:c r="M1305" s="232" t="n">
        <x:v>9.1</x:v>
      </x:c>
      <x:c r="N1305" s="187" t="str">
        <x:v>5484.0806092800000000</x:v>
      </x:c>
      <x:c r="O1305" s="235" t="n">
        <x:v>5484.0806</x:v>
      </x:c>
      <x:c r="P1305" s="235"/>
      <x:c r="Q1305" s="235"/>
      <x:c r="R1305" s="235" t="str">
        <x:v>INVOICE_OR_PLAN</x:v>
      </x:c>
      <x:c r="S1305" s="238" t="n">
        <x:f>'Model_Calc'!AV221</x:f>
        <x:v>5484.08060928</x:v>
      </x:c>
      <x:c r="T1305" s="238" t="n">
        <x:f>ROUND(S1305-O1305,4)</x:f>
        <x:v>0</x:v>
      </x:c>
    </x:row>
    <x:row r="1306">
      <x:c r="A1306" s="187" t="str">
        <x:v>FORECAST_2026_08_V1</x:v>
      </x:c>
      <x:c r="B1306" s="187" t="str">
        <x:v>FORECAST</x:v>
      </x:c>
      <x:c r="C1306" s="187"/>
      <x:c r="D1306" s="217" t="n">
        <x:v>46296</x:v>
      </x:c>
      <x:c r="E1306" s="187" t="str">
        <x:v>R_GB_DE_B_ROAD</x:v>
      </x:c>
      <x:c r="F1306" s="187" t="str">
        <x:v>GB</x:v>
      </x:c>
      <x:c r="G1306" s="187" t="str">
        <x:v>DE_FC</x:v>
      </x:c>
      <x:c r="H1306" s="187" t="str">
        <x:v>CARRIER_B</x:v>
      </x:c>
      <x:c r="I1306" s="187" t="str">
        <x:v>ROAD</x:v>
      </x:c>
      <x:c r="J1306" s="187" t="str">
        <x:v>BILLABLE_EXCEPTION</x:v>
      </x:c>
      <x:c r="K1306" s="187" t="str">
        <x:v>GBP</x:v>
      </x:c>
      <x:c r="L1306" s="232" t="n">
        <x:v>75.079675008</x:v>
      </x:c>
      <x:c r="M1306" s="232" t="n">
        <x:v>9.1</x:v>
      </x:c>
      <x:c r="N1306" s="187" t="str">
        <x:v>683.225042572800000000</x:v>
      </x:c>
      <x:c r="O1306" s="235" t="n">
        <x:v>683.225</x:v>
      </x:c>
      <x:c r="P1306" s="235"/>
      <x:c r="Q1306" s="235"/>
      <x:c r="R1306" s="235" t="str">
        <x:v>INVOICE_OR_PLAN</x:v>
      </x:c>
      <x:c r="S1306" s="238" t="n">
        <x:f>'Model_Calc'!BA221</x:f>
        <x:v>683.2250425728</x:v>
      </x:c>
      <x:c r="T1306" s="238" t="n">
        <x:f>ROUND(S1306-O1306,4)</x:f>
        <x:v>0</x:v>
      </x:c>
    </x:row>
    <x:row r="1307">
      <x:c r="A1307" s="187" t="str">
        <x:v>FORECAST_2026_08_V1</x:v>
      </x:c>
      <x:c r="B1307" s="187" t="str">
        <x:v>FORECAST</x:v>
      </x:c>
      <x:c r="C1307" s="187"/>
      <x:c r="D1307" s="217" t="n">
        <x:v>46296</x:v>
      </x:c>
      <x:c r="E1307" s="187" t="str">
        <x:v>R_GB_DE_B_AIR</x:v>
      </x:c>
      <x:c r="F1307" s="187" t="str">
        <x:v>GB</x:v>
      </x:c>
      <x:c r="G1307" s="187" t="str">
        <x:v>DE_FC</x:v>
      </x:c>
      <x:c r="H1307" s="187" t="str">
        <x:v>CARRIER_B</x:v>
      </x:c>
      <x:c r="I1307" s="187" t="str">
        <x:v>AIR</x:v>
      </x:c>
      <x:c r="J1307" s="187" t="str">
        <x:v>BASE_FREIGHT</x:v>
      </x:c>
      <x:c r="K1307" s="187" t="str">
        <x:v>GBP</x:v>
      </x:c>
      <x:c r="L1307" s="232" t="n">
        <x:v>12229.824541616883</x:v>
      </x:c>
      <x:c r="M1307" s="232" t="n">
        <x:v>9.1</x:v>
      </x:c>
      <x:c r="N1307" s="187" t="str">
        <x:v>111291.40332871363805184000000</x:v>
      </x:c>
      <x:c r="O1307" s="235" t="n">
        <x:v>111291.4033</x:v>
      </x:c>
      <x:c r="P1307" s="235"/>
      <x:c r="Q1307" s="235"/>
      <x:c r="R1307" s="235" t="str">
        <x:v>INVOICE_OR_PLAN</x:v>
      </x:c>
      <x:c r="S1307" s="238" t="n">
        <x:f>'Model_Calc'!AF222</x:f>
        <x:v>111291.40332871363</x:v>
      </x:c>
      <x:c r="T1307" s="238" t="n">
        <x:f>ROUND(S1307-O1307,4)</x:f>
        <x:v>0</x:v>
      </x:c>
    </x:row>
    <x:row r="1308">
      <x:c r="A1308" s="187" t="str">
        <x:v>FORECAST_2026_08_V1</x:v>
      </x:c>
      <x:c r="B1308" s="187" t="str">
        <x:v>FORECAST</x:v>
      </x:c>
      <x:c r="C1308" s="187"/>
      <x:c r="D1308" s="217" t="n">
        <x:v>46296</x:v>
      </x:c>
      <x:c r="E1308" s="187" t="str">
        <x:v>R_GB_DE_B_AIR</x:v>
      </x:c>
      <x:c r="F1308" s="187" t="str">
        <x:v>GB</x:v>
      </x:c>
      <x:c r="G1308" s="187" t="str">
        <x:v>DE_FC</x:v>
      </x:c>
      <x:c r="H1308" s="187" t="str">
        <x:v>CARRIER_B</x:v>
      </x:c>
      <x:c r="I1308" s="187" t="str">
        <x:v>AIR</x:v>
      </x:c>
      <x:c r="J1308" s="187" t="str">
        <x:v>FUEL_SURCHARGE</x:v>
      </x:c>
      <x:c r="K1308" s="187" t="str">
        <x:v>GBP</x:v>
      </x:c>
      <x:c r="L1308" s="232" t="n">
        <x:v>1513.8810607085875</x:v>
      </x:c>
      <x:c r="M1308" s="232" t="n">
        <x:v>9.1</x:v>
      </x:c>
      <x:c r="N1308" s="187" t="str">
        <x:v>13776.3176524481463998850662400000000</x:v>
      </x:c>
      <x:c r="O1308" s="235" t="n">
        <x:v>13776.3177</x:v>
      </x:c>
      <x:c r="P1308" s="235"/>
      <x:c r="Q1308" s="235"/>
      <x:c r="R1308" s="235" t="str">
        <x:v>INVOICE_OR_PLAN</x:v>
      </x:c>
      <x:c r="S1308" s="238" t="n">
        <x:f>'Model_Calc'!AG222</x:f>
        <x:v>13776.317652448146</x:v>
      </x:c>
      <x:c r="T1308" s="238" t="n">
        <x:f>ROUND(S1308-O1308,4)</x:f>
        <x:v>0</x:v>
      </x:c>
    </x:row>
    <x:row r="1309">
      <x:c r="A1309" s="187" t="str">
        <x:v>FORECAST_2026_08_V1</x:v>
      </x:c>
      <x:c r="B1309" s="187" t="str">
        <x:v>FORECAST</x:v>
      </x:c>
      <x:c r="C1309" s="187"/>
      <x:c r="D1309" s="217" t="n">
        <x:v>46296</x:v>
      </x:c>
      <x:c r="E1309" s="187" t="str">
        <x:v>R_GB_DE_B_AIR</x:v>
      </x:c>
      <x:c r="F1309" s="187" t="str">
        <x:v>GB</x:v>
      </x:c>
      <x:c r="G1309" s="187" t="str">
        <x:v>DE_FC</x:v>
      </x:c>
      <x:c r="H1309" s="187" t="str">
        <x:v>CARRIER_B</x:v>
      </x:c>
      <x:c r="I1309" s="187" t="str">
        <x:v>AIR</x:v>
      </x:c>
      <x:c r="J1309" s="187" t="str">
        <x:v>WAREHOUSE_OPERATION</x:v>
      </x:c>
      <x:c r="K1309" s="187" t="str">
        <x:v>EUR</x:v>
      </x:c>
      <x:c r="L1309" s="232" t="n">
        <x:v>1975.3403904</x:v>
      </x:c>
      <x:c r="M1309" s="232" t="n">
        <x:v>7.9</x:v>
      </x:c>
      <x:c r="N1309" s="187" t="str">
        <x:v>15605.1890841600000</x:v>
      </x:c>
      <x:c r="O1309" s="235" t="n">
        <x:v>15605.1891</x:v>
      </x:c>
      <x:c r="P1309" s="235"/>
      <x:c r="Q1309" s="235"/>
      <x:c r="R1309" s="235" t="str">
        <x:v>INVOICE_OR_PLAN</x:v>
      </x:c>
      <x:c r="S1309" s="238" t="n">
        <x:f>'Model_Calc'!AL222</x:f>
        <x:v>15605.18908416</x:v>
      </x:c>
      <x:c r="T1309" s="238" t="n">
        <x:f>ROUND(S1309-O1309,4)</x:f>
        <x:v>0</x:v>
      </x:c>
    </x:row>
    <x:row r="1310">
      <x:c r="A1310" s="187" t="str">
        <x:v>FORECAST_2026_08_V1</x:v>
      </x:c>
      <x:c r="B1310" s="187" t="str">
        <x:v>FORECAST</x:v>
      </x:c>
      <x:c r="C1310" s="187"/>
      <x:c r="D1310" s="217" t="n">
        <x:v>46296</x:v>
      </x:c>
      <x:c r="E1310" s="187" t="str">
        <x:v>R_GB_DE_B_AIR</x:v>
      </x:c>
      <x:c r="F1310" s="187" t="str">
        <x:v>GB</x:v>
      </x:c>
      <x:c r="G1310" s="187" t="str">
        <x:v>DE_FC</x:v>
      </x:c>
      <x:c r="H1310" s="187" t="str">
        <x:v>CARRIER_B</x:v>
      </x:c>
      <x:c r="I1310" s="187" t="str">
        <x:v>AIR</x:v>
      </x:c>
      <x:c r="J1310" s="187" t="str">
        <x:v>PACKAGING</x:v>
      </x:c>
      <x:c r="K1310" s="187" t="str">
        <x:v>EUR</x:v>
      </x:c>
      <x:c r="L1310" s="232" t="n">
        <x:v>822.612091392</x:v>
      </x:c>
      <x:c r="M1310" s="232" t="n">
        <x:v>7.9</x:v>
      </x:c>
      <x:c r="N1310" s="187" t="str">
        <x:v>6498.635521996800000</x:v>
      </x:c>
      <x:c r="O1310" s="235" t="n">
        <x:v>6498.6355</x:v>
      </x:c>
      <x:c r="P1310" s="235"/>
      <x:c r="Q1310" s="235"/>
      <x:c r="R1310" s="235" t="str">
        <x:v>INVOICE_OR_PLAN</x:v>
      </x:c>
      <x:c r="S1310" s="238" t="n">
        <x:f>'Model_Calc'!AQ222</x:f>
        <x:v>6498.635521996799</x:v>
      </x:c>
      <x:c r="T1310" s="238" t="n">
        <x:f>ROUND(S1310-O1310,4)</x:f>
        <x:v>0</x:v>
      </x:c>
    </x:row>
    <x:row r="1311">
      <x:c r="A1311" s="187" t="str">
        <x:v>FORECAST_2026_08_V1</x:v>
      </x:c>
      <x:c r="B1311" s="187" t="str">
        <x:v>FORECAST</x:v>
      </x:c>
      <x:c r="C1311" s="187"/>
      <x:c r="D1311" s="217" t="n">
        <x:v>46296</x:v>
      </x:c>
      <x:c r="E1311" s="187" t="str">
        <x:v>R_GB_DE_B_AIR</x:v>
      </x:c>
      <x:c r="F1311" s="187" t="str">
        <x:v>GB</x:v>
      </x:c>
      <x:c r="G1311" s="187" t="str">
        <x:v>DE_FC</x:v>
      </x:c>
      <x:c r="H1311" s="187" t="str">
        <x:v>CARRIER_B</x:v>
      </x:c>
      <x:c r="I1311" s="187" t="str">
        <x:v>AIR</x:v>
      </x:c>
      <x:c r="J1311" s="187" t="str">
        <x:v>RETURN_LOGISTICS</x:v>
      </x:c>
      <x:c r="K1311" s="187" t="str">
        <x:v>GBP</x:v>
      </x:c>
      <x:c r="L1311" s="232" t="n">
        <x:v>723.17546496</x:v>
      </x:c>
      <x:c r="M1311" s="232" t="n">
        <x:v>9.1</x:v>
      </x:c>
      <x:c r="N1311" s="187" t="str">
        <x:v>6580.8967311360000000</x:v>
      </x:c>
      <x:c r="O1311" s="235" t="n">
        <x:v>6580.8967</x:v>
      </x:c>
      <x:c r="P1311" s="235"/>
      <x:c r="Q1311" s="235"/>
      <x:c r="R1311" s="235" t="str">
        <x:v>INVOICE_OR_PLAN</x:v>
      </x:c>
      <x:c r="S1311" s="238" t="n">
        <x:f>'Model_Calc'!AV222</x:f>
        <x:v>6580.896731135998</x:v>
      </x:c>
      <x:c r="T1311" s="238" t="n">
        <x:f>ROUND(S1311-O1311,4)</x:f>
        <x:v>0</x:v>
      </x:c>
    </x:row>
    <x:row r="1312">
      <x:c r="A1312" s="187" t="str">
        <x:v>FORECAST_2026_08_V1</x:v>
      </x:c>
      <x:c r="B1312" s="187" t="str">
        <x:v>FORECAST</x:v>
      </x:c>
      <x:c r="C1312" s="187"/>
      <x:c r="D1312" s="217" t="n">
        <x:v>46296</x:v>
      </x:c>
      <x:c r="E1312" s="187" t="str">
        <x:v>R_GB_DE_B_AIR</x:v>
      </x:c>
      <x:c r="F1312" s="187" t="str">
        <x:v>GB</x:v>
      </x:c>
      <x:c r="G1312" s="187" t="str">
        <x:v>DE_FC</x:v>
      </x:c>
      <x:c r="H1312" s="187" t="str">
        <x:v>CARRIER_B</x:v>
      </x:c>
      <x:c r="I1312" s="187" t="str">
        <x:v>AIR</x:v>
      </x:c>
      <x:c r="J1312" s="187" t="str">
        <x:v>BILLABLE_EXCEPTION</x:v>
      </x:c>
      <x:c r="K1312" s="187" t="str">
        <x:v>GBP</x:v>
      </x:c>
      <x:c r="L1312" s="232" t="n">
        <x:v>87.74528974848</x:v>
      </x:c>
      <x:c r="M1312" s="232" t="n">
        <x:v>9.1</x:v>
      </x:c>
      <x:c r="N1312" s="187" t="str">
        <x:v>798.482136711168000000</x:v>
      </x:c>
      <x:c r="O1312" s="235" t="n">
        <x:v>798.4821</x:v>
      </x:c>
      <x:c r="P1312" s="235"/>
      <x:c r="Q1312" s="235"/>
      <x:c r="R1312" s="235" t="str">
        <x:v>INVOICE_OR_PLAN</x:v>
      </x:c>
      <x:c r="S1312" s="238" t="n">
        <x:f>'Model_Calc'!BA222</x:f>
        <x:v>798.4821367111679</x:v>
      </x:c>
      <x:c r="T1312" s="238" t="n">
        <x:f>ROUND(S1312-O1312,4)</x:f>
        <x:v>0</x:v>
      </x:c>
    </x:row>
    <x:row r="1313">
      <x:c r="A1313" s="187" t="str">
        <x:v>FORECAST_2026_08_V1</x:v>
      </x:c>
      <x:c r="B1313" s="187" t="str">
        <x:v>FORECAST</x:v>
      </x:c>
      <x:c r="C1313" s="187"/>
      <x:c r="D1313" s="217" t="n">
        <x:v>46296</x:v>
      </x:c>
      <x:c r="E1313" s="187" t="str">
        <x:v>R_GB_DE_C_AIR</x:v>
      </x:c>
      <x:c r="F1313" s="187" t="str">
        <x:v>GB</x:v>
      </x:c>
      <x:c r="G1313" s="187" t="str">
        <x:v>DE_FC</x:v>
      </x:c>
      <x:c r="H1313" s="187" t="str">
        <x:v>CARRIER_C</x:v>
      </x:c>
      <x:c r="I1313" s="187" t="str">
        <x:v>AIR</x:v>
      </x:c>
      <x:c r="J1313" s="187" t="str">
        <x:v>BASE_FREIGHT</x:v>
      </x:c>
      <x:c r="K1313" s="187" t="str">
        <x:v>GBP</x:v>
      </x:c>
      <x:c r="L1313" s="232" t="n">
        <x:v>12298.185909725415</x:v>
      </x:c>
      <x:c r="M1313" s="232" t="n">
        <x:v>9.1</x:v>
      </x:c>
      <x:c r="N1313" s="187" t="str">
        <x:v>111913.49177850127104000000000</x:v>
      </x:c>
      <x:c r="O1313" s="235" t="n">
        <x:v>111913.4918</x:v>
      </x:c>
      <x:c r="P1313" s="235"/>
      <x:c r="Q1313" s="235"/>
      <x:c r="R1313" s="235" t="str">
        <x:v>INVOICE_OR_PLAN</x:v>
      </x:c>
      <x:c r="S1313" s="238" t="n">
        <x:f>'Model_Calc'!AF223</x:f>
        <x:v>111913.49177850125</x:v>
      </x:c>
      <x:c r="T1313" s="238" t="n">
        <x:f>ROUND(S1313-O1313,4)</x:f>
        <x:v>0</x:v>
      </x:c>
    </x:row>
    <x:row r="1314">
      <x:c r="A1314" s="187" t="str">
        <x:v>FORECAST_2026_08_V1</x:v>
      </x:c>
      <x:c r="B1314" s="187" t="str">
        <x:v>FORECAST</x:v>
      </x:c>
      <x:c r="C1314" s="187"/>
      <x:c r="D1314" s="217" t="n">
        <x:v>46296</x:v>
      </x:c>
      <x:c r="E1314" s="187" t="str">
        <x:v>R_GB_DE_C_AIR</x:v>
      </x:c>
      <x:c r="F1314" s="187" t="str">
        <x:v>GB</x:v>
      </x:c>
      <x:c r="G1314" s="187" t="str">
        <x:v>DE_FC</x:v>
      </x:c>
      <x:c r="H1314" s="187" t="str">
        <x:v>CARRIER_C</x:v>
      </x:c>
      <x:c r="I1314" s="187" t="str">
        <x:v>AIR</x:v>
      </x:c>
      <x:c r="J1314" s="187" t="str">
        <x:v>FUEL_SURCHARGE</x:v>
      </x:c>
      <x:c r="K1314" s="187" t="str">
        <x:v>GBP</x:v>
      </x:c>
      <x:c r="L1314" s="232" t="n">
        <x:v>951.0597103520987</x:v>
      </x:c>
      <x:c r="M1314" s="232" t="n">
        <x:v>9.1</x:v>
      </x:c>
      <x:c r="N1314" s="187" t="str">
        <x:v>8654.64336420409829376000000</x:v>
      </x:c>
      <x:c r="O1314" s="235" t="n">
        <x:v>8654.6434</x:v>
      </x:c>
      <x:c r="P1314" s="235"/>
      <x:c r="Q1314" s="235"/>
      <x:c r="R1314" s="235" t="str">
        <x:v>INVOICE_OR_PLAN</x:v>
      </x:c>
      <x:c r="S1314" s="238" t="n">
        <x:f>'Model_Calc'!AG223</x:f>
        <x:v>8654.643364204097</x:v>
      </x:c>
      <x:c r="T1314" s="238" t="n">
        <x:f>ROUND(S1314-O1314,4)</x:f>
        <x:v>0</x:v>
      </x:c>
    </x:row>
    <x:row r="1315">
      <x:c r="A1315" s="187" t="str">
        <x:v>FORECAST_2026_08_V1</x:v>
      </x:c>
      <x:c r="B1315" s="187" t="str">
        <x:v>FORECAST</x:v>
      </x:c>
      <x:c r="C1315" s="187"/>
      <x:c r="D1315" s="217" t="n">
        <x:v>46296</x:v>
      </x:c>
      <x:c r="E1315" s="187" t="str">
        <x:v>R_GB_DE_C_AIR</x:v>
      </x:c>
      <x:c r="F1315" s="187" t="str">
        <x:v>GB</x:v>
      </x:c>
      <x:c r="G1315" s="187" t="str">
        <x:v>DE_FC</x:v>
      </x:c>
      <x:c r="H1315" s="187" t="str">
        <x:v>CARRIER_C</x:v>
      </x:c>
      <x:c r="I1315" s="187" t="str">
        <x:v>AIR</x:v>
      </x:c>
      <x:c r="J1315" s="187" t="str">
        <x:v>WAREHOUSE_OPERATION</x:v>
      </x:c>
      <x:c r="K1315" s="187" t="str">
        <x:v>EUR</x:v>
      </x:c>
      <x:c r="L1315" s="232" t="n">
        <x:v>1646.116992</x:v>
      </x:c>
      <x:c r="M1315" s="232" t="n">
        <x:v>7.9</x:v>
      </x:c>
      <x:c r="N1315" s="187" t="str">
        <x:v>13004.3242368000000</x:v>
      </x:c>
      <x:c r="O1315" s="235" t="n">
        <x:v>13004.3242</x:v>
      </x:c>
      <x:c r="P1315" s="235"/>
      <x:c r="Q1315" s="235"/>
      <x:c r="R1315" s="235" t="str">
        <x:v>INVOICE_OR_PLAN</x:v>
      </x:c>
      <x:c r="S1315" s="238" t="n">
        <x:f>'Model_Calc'!AL223</x:f>
        <x:v>13004.324236800003</x:v>
      </x:c>
      <x:c r="T1315" s="238" t="n">
        <x:f>ROUND(S1315-O1315,4)</x:f>
        <x:v>0</x:v>
      </x:c>
    </x:row>
    <x:row r="1316">
      <x:c r="A1316" s="187" t="str">
        <x:v>FORECAST_2026_08_V1</x:v>
      </x:c>
      <x:c r="B1316" s="187" t="str">
        <x:v>FORECAST</x:v>
      </x:c>
      <x:c r="C1316" s="187"/>
      <x:c r="D1316" s="217" t="n">
        <x:v>46296</x:v>
      </x:c>
      <x:c r="E1316" s="187" t="str">
        <x:v>R_GB_DE_C_AIR</x:v>
      </x:c>
      <x:c r="F1316" s="187" t="str">
        <x:v>GB</x:v>
      </x:c>
      <x:c r="G1316" s="187" t="str">
        <x:v>DE_FC</x:v>
      </x:c>
      <x:c r="H1316" s="187" t="str">
        <x:v>CARRIER_C</x:v>
      </x:c>
      <x:c r="I1316" s="187" t="str">
        <x:v>AIR</x:v>
      </x:c>
      <x:c r="J1316" s="187" t="str">
        <x:v>PACKAGING</x:v>
      </x:c>
      <x:c r="K1316" s="187" t="str">
        <x:v>EUR</x:v>
      </x:c>
      <x:c r="L1316" s="232" t="n">
        <x:v>685.51007616</x:v>
      </x:c>
      <x:c r="M1316" s="232" t="n">
        <x:v>7.9</x:v>
      </x:c>
      <x:c r="N1316" s="187" t="str">
        <x:v>5415.529601664000000</x:v>
      </x:c>
      <x:c r="O1316" s="235" t="n">
        <x:v>5415.5296</x:v>
      </x:c>
      <x:c r="P1316" s="235"/>
      <x:c r="Q1316" s="235"/>
      <x:c r="R1316" s="235" t="str">
        <x:v>INVOICE_OR_PLAN</x:v>
      </x:c>
      <x:c r="S1316" s="238" t="n">
        <x:f>'Model_Calc'!AQ223</x:f>
        <x:v>5415.5296016639995</x:v>
      </x:c>
      <x:c r="T1316" s="238" t="n">
        <x:f>ROUND(S1316-O1316,4)</x:f>
        <x:v>0</x:v>
      </x:c>
    </x:row>
    <x:row r="1317">
      <x:c r="A1317" s="187" t="str">
        <x:v>FORECAST_2026_08_V1</x:v>
      </x:c>
      <x:c r="B1317" s="187" t="str">
        <x:v>FORECAST</x:v>
      </x:c>
      <x:c r="C1317" s="187"/>
      <x:c r="D1317" s="217" t="n">
        <x:v>46296</x:v>
      </x:c>
      <x:c r="E1317" s="187" t="str">
        <x:v>R_GB_DE_C_AIR</x:v>
      </x:c>
      <x:c r="F1317" s="187" t="str">
        <x:v>GB</x:v>
      </x:c>
      <x:c r="G1317" s="187" t="str">
        <x:v>DE_FC</x:v>
      </x:c>
      <x:c r="H1317" s="187" t="str">
        <x:v>CARRIER_C</x:v>
      </x:c>
      <x:c r="I1317" s="187" t="str">
        <x:v>AIR</x:v>
      </x:c>
      <x:c r="J1317" s="187" t="str">
        <x:v>RETURN_LOGISTICS</x:v>
      </x:c>
      <x:c r="K1317" s="187" t="str">
        <x:v>GBP</x:v>
      </x:c>
      <x:c r="L1317" s="232" t="n">
        <x:v>602.6462208</x:v>
      </x:c>
      <x:c r="M1317" s="232" t="n">
        <x:v>9.1</x:v>
      </x:c>
      <x:c r="N1317" s="187" t="str">
        <x:v>5484.0806092800000000</x:v>
      </x:c>
      <x:c r="O1317" s="235" t="n">
        <x:v>5484.0806</x:v>
      </x:c>
      <x:c r="P1317" s="235"/>
      <x:c r="Q1317" s="235"/>
      <x:c r="R1317" s="235" t="str">
        <x:v>INVOICE_OR_PLAN</x:v>
      </x:c>
      <x:c r="S1317" s="238" t="n">
        <x:f>'Model_Calc'!AV223</x:f>
        <x:v>5484.08060928</x:v>
      </x:c>
      <x:c r="T1317" s="238" t="n">
        <x:f>ROUND(S1317-O1317,4)</x:f>
        <x:v>0</x:v>
      </x:c>
    </x:row>
    <x:row r="1318">
      <x:c r="A1318" s="187" t="str">
        <x:v>FORECAST_2026_08_V1</x:v>
      </x:c>
      <x:c r="B1318" s="187" t="str">
        <x:v>FORECAST</x:v>
      </x:c>
      <x:c r="C1318" s="187"/>
      <x:c r="D1318" s="217" t="n">
        <x:v>46296</x:v>
      </x:c>
      <x:c r="E1318" s="187" t="str">
        <x:v>R_GB_DE_C_AIR</x:v>
      </x:c>
      <x:c r="F1318" s="187" t="str">
        <x:v>GB</x:v>
      </x:c>
      <x:c r="G1318" s="187" t="str">
        <x:v>DE_FC</x:v>
      </x:c>
      <x:c r="H1318" s="187" t="str">
        <x:v>CARRIER_C</x:v>
      </x:c>
      <x:c r="I1318" s="187" t="str">
        <x:v>AIR</x:v>
      </x:c>
      <x:c r="J1318" s="187" t="str">
        <x:v>BILLABLE_EXCEPTION</x:v>
      </x:c>
      <x:c r="K1318" s="187" t="str">
        <x:v>GBP</x:v>
      </x:c>
      <x:c r="L1318" s="232" t="n">
        <x:v>64.6338071808</x:v>
      </x:c>
      <x:c r="M1318" s="232" t="n">
        <x:v>9.1</x:v>
      </x:c>
      <x:c r="N1318" s="187" t="str">
        <x:v>588.167645345280000000</x:v>
      </x:c>
      <x:c r="O1318" s="235" t="n">
        <x:v>588.1676</x:v>
      </x:c>
      <x:c r="P1318" s="235"/>
      <x:c r="Q1318" s="235"/>
      <x:c r="R1318" s="235" t="str">
        <x:v>INVOICE_OR_PLAN</x:v>
      </x:c>
      <x:c r="S1318" s="238" t="n">
        <x:f>'Model_Calc'!BA223</x:f>
        <x:v>588.16764534528</x:v>
      </x:c>
      <x:c r="T1318" s="238" t="n">
        <x:f>ROUND(S1318-O1318,4)</x:f>
        <x:v>0</x:v>
      </x:c>
    </x:row>
    <x:row r="1319">
      <x:c r="A1319" s="187" t="str">
        <x:v>FORECAST_2026_08_V1</x:v>
      </x:c>
      <x:c r="B1319" s="187" t="str">
        <x:v>FORECAST</x:v>
      </x:c>
      <x:c r="C1319" s="187"/>
      <x:c r="D1319" s="217" t="n">
        <x:v>46296</x:v>
      </x:c>
      <x:c r="E1319" s="187" t="str">
        <x:v>R_GB_FR_B_AIR</x:v>
      </x:c>
      <x:c r="F1319" s="187" t="str">
        <x:v>GB</x:v>
      </x:c>
      <x:c r="G1319" s="187" t="str">
        <x:v>FR_FC</x:v>
      </x:c>
      <x:c r="H1319" s="187" t="str">
        <x:v>CARRIER_B</x:v>
      </x:c>
      <x:c r="I1319" s="187" t="str">
        <x:v>AIR</x:v>
      </x:c>
      <x:c r="J1319" s="187" t="str">
        <x:v>BASE_FREIGHT</x:v>
      </x:c>
      <x:c r="K1319" s="187" t="str">
        <x:v>EUR</x:v>
      </x:c>
      <x:c r="L1319" s="232" t="n">
        <x:v>2112.33197280456</x:v>
      </x:c>
      <x:c r="M1319" s="232" t="n">
        <x:v>7.9</x:v>
      </x:c>
      <x:c r="N1319" s="187" t="str">
        <x:v>16687.4225851560240000000</x:v>
      </x:c>
      <x:c r="O1319" s="235" t="n">
        <x:v>16687.4226</x:v>
      </x:c>
      <x:c r="P1319" s="235"/>
      <x:c r="Q1319" s="235"/>
      <x:c r="R1319" s="235" t="str">
        <x:v>INVOICE_OR_PLAN</x:v>
      </x:c>
      <x:c r="S1319" s="238" t="n">
        <x:f>'Model_Calc'!AF224</x:f>
        <x:v>16687.422585156022</x:v>
      </x:c>
      <x:c r="T1319" s="238" t="n">
        <x:f>ROUND(S1319-O1319,4)</x:f>
        <x:v>0</x:v>
      </x:c>
    </x:row>
    <x:row r="1320">
      <x:c r="A1320" s="187" t="str">
        <x:v>FORECAST_2026_08_V1</x:v>
      </x:c>
      <x:c r="B1320" s="187" t="str">
        <x:v>FORECAST</x:v>
      </x:c>
      <x:c r="C1320" s="187"/>
      <x:c r="D1320" s="217" t="n">
        <x:v>46296</x:v>
      </x:c>
      <x:c r="E1320" s="187" t="str">
        <x:v>R_GB_FR_B_AIR</x:v>
      </x:c>
      <x:c r="F1320" s="187" t="str">
        <x:v>GB</x:v>
      </x:c>
      <x:c r="G1320" s="187" t="str">
        <x:v>FR_FC</x:v>
      </x:c>
      <x:c r="H1320" s="187" t="str">
        <x:v>CARRIER_B</x:v>
      </x:c>
      <x:c r="I1320" s="187" t="str">
        <x:v>AIR</x:v>
      </x:c>
      <x:c r="J1320" s="187" t="str">
        <x:v>FUEL_SURCHARGE</x:v>
      </x:c>
      <x:c r="K1320" s="187" t="str">
        <x:v>EUR</x:v>
      </x:c>
      <x:c r="L1320" s="232" t="n">
        <x:v>229.55767714453555</x:v>
      </x:c>
      <x:c r="M1320" s="232" t="n">
        <x:v>7.9</x:v>
      </x:c>
      <x:c r="N1320" s="187" t="str">
        <x:v>1813.5056494418309082000000000</x:v>
      </x:c>
      <x:c r="O1320" s="235" t="n">
        <x:v>1813.5056</x:v>
      </x:c>
      <x:c r="P1320" s="235"/>
      <x:c r="Q1320" s="235"/>
      <x:c r="R1320" s="235" t="str">
        <x:v>INVOICE_OR_PLAN</x:v>
      </x:c>
      <x:c r="S1320" s="238" t="n">
        <x:f>'Model_Calc'!AG224</x:f>
        <x:v>1813.5056494418309</x:v>
      </x:c>
      <x:c r="T1320" s="238" t="n">
        <x:f>ROUND(S1320-O1320,4)</x:f>
        <x:v>0</x:v>
      </x:c>
    </x:row>
    <x:row r="1321">
      <x:c r="A1321" s="187" t="str">
        <x:v>FORECAST_2026_08_V1</x:v>
      </x:c>
      <x:c r="B1321" s="187" t="str">
        <x:v>FORECAST</x:v>
      </x:c>
      <x:c r="C1321" s="187"/>
      <x:c r="D1321" s="217" t="n">
        <x:v>46296</x:v>
      </x:c>
      <x:c r="E1321" s="187" t="str">
        <x:v>R_GB_FR_B_AIR</x:v>
      </x:c>
      <x:c r="F1321" s="187" t="str">
        <x:v>GB</x:v>
      </x:c>
      <x:c r="G1321" s="187" t="str">
        <x:v>FR_FC</x:v>
      </x:c>
      <x:c r="H1321" s="187" t="str">
        <x:v>CARRIER_B</x:v>
      </x:c>
      <x:c r="I1321" s="187" t="str">
        <x:v>AIR</x:v>
      </x:c>
      <x:c r="J1321" s="187" t="str">
        <x:v>WAREHOUSE_OPERATION</x:v>
      </x:c>
      <x:c r="K1321" s="187" t="str">
        <x:v>EUR</x:v>
      </x:c>
      <x:c r="L1321" s="232" t="n">
        <x:v>305.1594</x:v>
      </x:c>
      <x:c r="M1321" s="232" t="n">
        <x:v>7.9</x:v>
      </x:c>
      <x:c r="N1321" s="187" t="str">
        <x:v>2410.75926000000</x:v>
      </x:c>
      <x:c r="O1321" s="235" t="n">
        <x:v>2410.7593</x:v>
      </x:c>
      <x:c r="P1321" s="235"/>
      <x:c r="Q1321" s="235"/>
      <x:c r="R1321" s="235" t="str">
        <x:v>INVOICE_OR_PLAN</x:v>
      </x:c>
      <x:c r="S1321" s="238" t="n">
        <x:f>'Model_Calc'!AL224</x:f>
        <x:v>2410.7592600000007</x:v>
      </x:c>
      <x:c r="T1321" s="238" t="n">
        <x:f>ROUND(S1321-O1321,4)</x:f>
        <x:v>0</x:v>
      </x:c>
    </x:row>
    <x:row r="1322">
      <x:c r="A1322" s="187" t="str">
        <x:v>FORECAST_2026_08_V1</x:v>
      </x:c>
      <x:c r="B1322" s="187" t="str">
        <x:v>FORECAST</x:v>
      </x:c>
      <x:c r="C1322" s="187"/>
      <x:c r="D1322" s="217" t="n">
        <x:v>46296</x:v>
      </x:c>
      <x:c r="E1322" s="187" t="str">
        <x:v>R_GB_FR_B_AIR</x:v>
      </x:c>
      <x:c r="F1322" s="187" t="str">
        <x:v>GB</x:v>
      </x:c>
      <x:c r="G1322" s="187" t="str">
        <x:v>FR_FC</x:v>
      </x:c>
      <x:c r="H1322" s="187" t="str">
        <x:v>CARRIER_B</x:v>
      </x:c>
      <x:c r="I1322" s="187" t="str">
        <x:v>AIR</x:v>
      </x:c>
      <x:c r="J1322" s="187" t="str">
        <x:v>PACKAGING</x:v>
      </x:c>
      <x:c r="K1322" s="187" t="str">
        <x:v>EUR</x:v>
      </x:c>
      <x:c r="L1322" s="232" t="n">
        <x:v>129.2132088</x:v>
      </x:c>
      <x:c r="M1322" s="232" t="n">
        <x:v>7.9</x:v>
      </x:c>
      <x:c r="N1322" s="187" t="str">
        <x:v>1020.7843495200000</x:v>
      </x:c>
      <x:c r="O1322" s="235" t="n">
        <x:v>1020.7843</x:v>
      </x:c>
      <x:c r="P1322" s="235"/>
      <x:c r="Q1322" s="235"/>
      <x:c r="R1322" s="235" t="str">
        <x:v>INVOICE_OR_PLAN</x:v>
      </x:c>
      <x:c r="S1322" s="238" t="n">
        <x:f>'Model_Calc'!AQ224</x:f>
        <x:v>1020.78434952</x:v>
      </x:c>
      <x:c r="T1322" s="238" t="n">
        <x:f>ROUND(S1322-O1322,4)</x:f>
        <x:v>0</x:v>
      </x:c>
    </x:row>
    <x:row r="1323">
      <x:c r="A1323" s="187" t="str">
        <x:v>FORECAST_2026_08_V1</x:v>
      </x:c>
      <x:c r="B1323" s="187" t="str">
        <x:v>FORECAST</x:v>
      </x:c>
      <x:c r="C1323" s="187"/>
      <x:c r="D1323" s="217" t="n">
        <x:v>46296</x:v>
      </x:c>
      <x:c r="E1323" s="187" t="str">
        <x:v>R_GB_FR_B_AIR</x:v>
      </x:c>
      <x:c r="F1323" s="187" t="str">
        <x:v>GB</x:v>
      </x:c>
      <x:c r="G1323" s="187" t="str">
        <x:v>FR_FC</x:v>
      </x:c>
      <x:c r="H1323" s="187" t="str">
        <x:v>CARRIER_B</x:v>
      </x:c>
      <x:c r="I1323" s="187" t="str">
        <x:v>AIR</x:v>
      </x:c>
      <x:c r="J1323" s="187" t="str">
        <x:v>RETURN_LOGISTICS</x:v>
      </x:c>
      <x:c r="K1323" s="187" t="str">
        <x:v>EUR</x:v>
      </x:c>
      <x:c r="L1323" s="232" t="n">
        <x:v>136.013904</x:v>
      </x:c>
      <x:c r="M1323" s="232" t="n">
        <x:v>7.9</x:v>
      </x:c>
      <x:c r="N1323" s="187" t="str">
        <x:v>1074.50984160000000</x:v>
      </x:c>
      <x:c r="O1323" s="235" t="n">
        <x:v>1074.5098</x:v>
      </x:c>
      <x:c r="P1323" s="235"/>
      <x:c r="Q1323" s="235"/>
      <x:c r="R1323" s="235" t="str">
        <x:v>INVOICE_OR_PLAN</x:v>
      </x:c>
      <x:c r="S1323" s="238" t="n">
        <x:f>'Model_Calc'!AV224</x:f>
        <x:v>1074.5098416</x:v>
      </x:c>
      <x:c r="T1323" s="238" t="n">
        <x:f>ROUND(S1323-O1323,4)</x:f>
        <x:v>0</x:v>
      </x:c>
    </x:row>
    <x:row r="1324">
      <x:c r="A1324" s="187" t="str">
        <x:v>FORECAST_2026_08_V1</x:v>
      </x:c>
      <x:c r="B1324" s="187" t="str">
        <x:v>FORECAST</x:v>
      </x:c>
      <x:c r="C1324" s="187"/>
      <x:c r="D1324" s="217" t="n">
        <x:v>46296</x:v>
      </x:c>
      <x:c r="E1324" s="187" t="str">
        <x:v>R_GB_FR_B_AIR</x:v>
      </x:c>
      <x:c r="F1324" s="187" t="str">
        <x:v>GB</x:v>
      </x:c>
      <x:c r="G1324" s="187" t="str">
        <x:v>FR_FC</x:v>
      </x:c>
      <x:c r="H1324" s="187" t="str">
        <x:v>CARRIER_B</x:v>
      </x:c>
      <x:c r="I1324" s="187" t="str">
        <x:v>AIR</x:v>
      </x:c>
      <x:c r="J1324" s="187" t="str">
        <x:v>BILLABLE_EXCEPTION</x:v>
      </x:c>
      <x:c r="K1324" s="187" t="str">
        <x:v>EUR</x:v>
      </x:c>
      <x:c r="L1324" s="232" t="n">
        <x:v>13.329362592</x:v>
      </x:c>
      <x:c r="M1324" s="232" t="n">
        <x:v>7.9</x:v>
      </x:c>
      <x:c r="N1324" s="187" t="str">
        <x:v>105.3019644768000000</x:v>
      </x:c>
      <x:c r="O1324" s="235" t="n">
        <x:v>105.302</x:v>
      </x:c>
      <x:c r="P1324" s="235"/>
      <x:c r="Q1324" s="235"/>
      <x:c r="R1324" s="235" t="str">
        <x:v>INVOICE_OR_PLAN</x:v>
      </x:c>
      <x:c r="S1324" s="238" t="n">
        <x:f>'Model_Calc'!BA224</x:f>
        <x:v>105.30196447680002</x:v>
      </x:c>
      <x:c r="T1324" s="238" t="n">
        <x:f>ROUND(S1324-O1324,4)</x:f>
        <x:v>0</x:v>
      </x:c>
    </x:row>
    <x:row r="1325">
      <x:c r="A1325" s="187" t="str">
        <x:v>FORECAST_2026_08_V1</x:v>
      </x:c>
      <x:c r="B1325" s="187" t="str">
        <x:v>FORECAST</x:v>
      </x:c>
      <x:c r="C1325" s="187"/>
      <x:c r="D1325" s="217" t="n">
        <x:v>46327</x:v>
      </x:c>
      <x:c r="E1325" s="187" t="str">
        <x:v>R_DE_DE_A_ROAD</x:v>
      </x:c>
      <x:c r="F1325" s="187" t="str">
        <x:v>DE</x:v>
      </x:c>
      <x:c r="G1325" s="187" t="str">
        <x:v>DE_FC</x:v>
      </x:c>
      <x:c r="H1325" s="187" t="str">
        <x:v>CARRIER_A</x:v>
      </x:c>
      <x:c r="I1325" s="187" t="str">
        <x:v>ROAD</x:v>
      </x:c>
      <x:c r="J1325" s="187" t="str">
        <x:v>BASE_FREIGHT</x:v>
      </x:c>
      <x:c r="K1325" s="187" t="str">
        <x:v>EUR</x:v>
      </x:c>
      <x:c r="L1325" s="232" t="n">
        <x:v>8699.47310808576</x:v>
      </x:c>
      <x:c r="M1325" s="232" t="n">
        <x:v>7.88</x:v>
      </x:c>
      <x:c r="N1325" s="187" t="str">
        <x:v>68551.8480917157888000000</x:v>
      </x:c>
      <x:c r="O1325" s="235" t="n">
        <x:v>68551.8481</x:v>
      </x:c>
      <x:c r="P1325" s="235"/>
      <x:c r="Q1325" s="235"/>
      <x:c r="R1325" s="235" t="str">
        <x:v>INVOICE_OR_PLAN</x:v>
      </x:c>
      <x:c r="S1325" s="238" t="n">
        <x:f>'Model_Calc'!AF225</x:f>
        <x:v>68551.84809171577</x:v>
      </x:c>
      <x:c r="T1325" s="238" t="n">
        <x:f>ROUND(S1325-O1325,4)</x:f>
        <x:v>0</x:v>
      </x:c>
    </x:row>
    <x:row r="1326">
      <x:c r="A1326" s="187" t="str">
        <x:v>FORECAST_2026_08_V1</x:v>
      </x:c>
      <x:c r="B1326" s="187" t="str">
        <x:v>FORECAST</x:v>
      </x:c>
      <x:c r="C1326" s="187"/>
      <x:c r="D1326" s="217" t="n">
        <x:v>46327</x:v>
      </x:c>
      <x:c r="E1326" s="187" t="str">
        <x:v>R_DE_DE_A_ROAD</x:v>
      </x:c>
      <x:c r="F1326" s="187" t="str">
        <x:v>DE</x:v>
      </x:c>
      <x:c r="G1326" s="187" t="str">
        <x:v>DE_FC</x:v>
      </x:c>
      <x:c r="H1326" s="187" t="str">
        <x:v>CARRIER_A</x:v>
      </x:c>
      <x:c r="I1326" s="187" t="str">
        <x:v>ROAD</x:v>
      </x:c>
      <x:c r="J1326" s="187" t="str">
        <x:v>FUEL_SURCHARGE</x:v>
      </x:c>
      <x:c r="K1326" s="187" t="str">
        <x:v>EUR</x:v>
      </x:c>
      <x:c r="L1326" s="232" t="n">
        <x:v>855.3756933525324</x:v>
      </x:c>
      <x:c r="M1326" s="232" t="n">
        <x:v>7.88</x:v>
      </x:c>
      <x:c r="N1326" s="187" t="str">
        <x:v>6740.3604636179549337600000000</x:v>
      </x:c>
      <x:c r="O1326" s="235" t="n">
        <x:v>6740.3605</x:v>
      </x:c>
      <x:c r="P1326" s="235"/>
      <x:c r="Q1326" s="235"/>
      <x:c r="R1326" s="235" t="str">
        <x:v>INVOICE_OR_PLAN</x:v>
      </x:c>
      <x:c r="S1326" s="238" t="n">
        <x:f>'Model_Calc'!AG225</x:f>
        <x:v>6740.360463617953</x:v>
      </x:c>
      <x:c r="T1326" s="238" t="n">
        <x:f>ROUND(S1326-O1326,4)</x:f>
        <x:v>0</x:v>
      </x:c>
    </x:row>
    <x:row r="1327">
      <x:c r="A1327" s="187" t="str">
        <x:v>FORECAST_2026_08_V1</x:v>
      </x:c>
      <x:c r="B1327" s="187" t="str">
        <x:v>FORECAST</x:v>
      </x:c>
      <x:c r="C1327" s="187"/>
      <x:c r="D1327" s="217" t="n">
        <x:v>46327</x:v>
      </x:c>
      <x:c r="E1327" s="187" t="str">
        <x:v>R_DE_DE_A_ROAD</x:v>
      </x:c>
      <x:c r="F1327" s="187" t="str">
        <x:v>DE</x:v>
      </x:c>
      <x:c r="G1327" s="187" t="str">
        <x:v>DE_FC</x:v>
      </x:c>
      <x:c r="H1327" s="187" t="str">
        <x:v>CARRIER_A</x:v>
      </x:c>
      <x:c r="I1327" s="187" t="str">
        <x:v>ROAD</x:v>
      </x:c>
      <x:c r="J1327" s="187" t="str">
        <x:v>WAREHOUSE_OPERATION</x:v>
      </x:c>
      <x:c r="K1327" s="187" t="str">
        <x:v>EUR</x:v>
      </x:c>
      <x:c r="L1327" s="232" t="n">
        <x:v>5640.8818176</x:v>
      </x:c>
      <x:c r="M1327" s="232" t="n">
        <x:v>7.88</x:v>
      </x:c>
      <x:c r="N1327" s="187" t="str">
        <x:v>44450.1487226880000</x:v>
      </x:c>
      <x:c r="O1327" s="235" t="n">
        <x:v>44450.1487</x:v>
      </x:c>
      <x:c r="P1327" s="235"/>
      <x:c r="Q1327" s="235"/>
      <x:c r="R1327" s="235" t="str">
        <x:v>INVOICE_OR_PLAN</x:v>
      </x:c>
      <x:c r="S1327" s="238" t="n">
        <x:f>'Model_Calc'!AL225</x:f>
        <x:v>44450.148722688</x:v>
      </x:c>
      <x:c r="T1327" s="238" t="n">
        <x:f>ROUND(S1327-O1327,4)</x:f>
        <x:v>0</x:v>
      </x:c>
    </x:row>
    <x:row r="1328">
      <x:c r="A1328" s="187" t="str">
        <x:v>FORECAST_2026_08_V1</x:v>
      </x:c>
      <x:c r="B1328" s="187" t="str">
        <x:v>FORECAST</x:v>
      </x:c>
      <x:c r="C1328" s="187"/>
      <x:c r="D1328" s="217" t="n">
        <x:v>46327</x:v>
      </x:c>
      <x:c r="E1328" s="187" t="str">
        <x:v>R_DE_DE_A_ROAD</x:v>
      </x:c>
      <x:c r="F1328" s="187" t="str">
        <x:v>DE</x:v>
      </x:c>
      <x:c r="G1328" s="187" t="str">
        <x:v>DE_FC</x:v>
      </x:c>
      <x:c r="H1328" s="187" t="str">
        <x:v>CARRIER_A</x:v>
      </x:c>
      <x:c r="I1328" s="187" t="str">
        <x:v>ROAD</x:v>
      </x:c>
      <x:c r="J1328" s="187" t="str">
        <x:v>PACKAGING</x:v>
      </x:c>
      <x:c r="K1328" s="187" t="str">
        <x:v>EUR</x:v>
      </x:c>
      <x:c r="L1328" s="232" t="n">
        <x:v>2108.16006912</x:v>
      </x:c>
      <x:c r="M1328" s="232" t="n">
        <x:v>7.88</x:v>
      </x:c>
      <x:c r="N1328" s="187" t="str">
        <x:v>16612.301344665600000</x:v>
      </x:c>
      <x:c r="O1328" s="235" t="n">
        <x:v>16612.3013</x:v>
      </x:c>
      <x:c r="P1328" s="235"/>
      <x:c r="Q1328" s="235"/>
      <x:c r="R1328" s="235" t="str">
        <x:v>INVOICE_OR_PLAN</x:v>
      </x:c>
      <x:c r="S1328" s="238" t="n">
        <x:f>'Model_Calc'!AQ225</x:f>
        <x:v>16612.301344665597</x:v>
      </x:c>
      <x:c r="T1328" s="238" t="n">
        <x:f>ROUND(S1328-O1328,4)</x:f>
        <x:v>0</x:v>
      </x:c>
    </x:row>
    <x:row r="1329">
      <x:c r="A1329" s="187" t="str">
        <x:v>FORECAST_2026_08_V1</x:v>
      </x:c>
      <x:c r="B1329" s="187" t="str">
        <x:v>FORECAST</x:v>
      </x:c>
      <x:c r="C1329" s="187"/>
      <x:c r="D1329" s="217" t="n">
        <x:v>46327</x:v>
      </x:c>
      <x:c r="E1329" s="187" t="str">
        <x:v>R_DE_DE_A_ROAD</x:v>
      </x:c>
      <x:c r="F1329" s="187" t="str">
        <x:v>DE</x:v>
      </x:c>
      <x:c r="G1329" s="187" t="str">
        <x:v>DE_FC</x:v>
      </x:c>
      <x:c r="H1329" s="187" t="str">
        <x:v>CARRIER_A</x:v>
      </x:c>
      <x:c r="I1329" s="187" t="str">
        <x:v>ROAD</x:v>
      </x:c>
      <x:c r="J1329" s="187" t="str">
        <x:v>RETURN_LOGISTICS</x:v>
      </x:c>
      <x:c r="K1329" s="187" t="str">
        <x:v>EUR</x:v>
      </x:c>
      <x:c r="L1329" s="232" t="n">
        <x:v>764.8653312</x:v>
      </x:c>
      <x:c r="M1329" s="232" t="n">
        <x:v>7.88</x:v>
      </x:c>
      <x:c r="N1329" s="187" t="str">
        <x:v>6027.1388098560000000</x:v>
      </x:c>
      <x:c r="O1329" s="235" t="n">
        <x:v>6027.1388</x:v>
      </x:c>
      <x:c r="P1329" s="235"/>
      <x:c r="Q1329" s="235"/>
      <x:c r="R1329" s="235" t="str">
        <x:v>INVOICE_OR_PLAN</x:v>
      </x:c>
      <x:c r="S1329" s="238" t="n">
        <x:f>'Model_Calc'!AV225</x:f>
        <x:v>6027.138809855999</x:v>
      </x:c>
      <x:c r="T1329" s="238" t="n">
        <x:f>ROUND(S1329-O1329,4)</x:f>
        <x:v>0</x:v>
      </x:c>
    </x:row>
    <x:row r="1330">
      <x:c r="A1330" s="187" t="str">
        <x:v>FORECAST_2026_08_V1</x:v>
      </x:c>
      <x:c r="B1330" s="187" t="str">
        <x:v>FORECAST</x:v>
      </x:c>
      <x:c r="C1330" s="187"/>
      <x:c r="D1330" s="217" t="n">
        <x:v>46327</x:v>
      </x:c>
      <x:c r="E1330" s="187" t="str">
        <x:v>R_DE_DE_A_ROAD</x:v>
      </x:c>
      <x:c r="F1330" s="187" t="str">
        <x:v>DE</x:v>
      </x:c>
      <x:c r="G1330" s="187" t="str">
        <x:v>DE_FC</x:v>
      </x:c>
      <x:c r="H1330" s="187" t="str">
        <x:v>CARRIER_A</x:v>
      </x:c>
      <x:c r="I1330" s="187" t="str">
        <x:v>ROAD</x:v>
      </x:c>
      <x:c r="J1330" s="187" t="str">
        <x:v>BILLABLE_EXCEPTION</x:v>
      </x:c>
      <x:c r="K1330" s="187" t="str">
        <x:v>EUR</x:v>
      </x:c>
      <x:c r="L1330" s="232" t="n">
        <x:v>184.7149774848</x:v>
      </x:c>
      <x:c r="M1330" s="232" t="n">
        <x:v>7.88</x:v>
      </x:c>
      <x:c r="N1330" s="187" t="str">
        <x:v>1455.554022580224000000</x:v>
      </x:c>
      <x:c r="O1330" s="235" t="n">
        <x:v>1455.554</x:v>
      </x:c>
      <x:c r="P1330" s="235"/>
      <x:c r="Q1330" s="235"/>
      <x:c r="R1330" s="235" t="str">
        <x:v>INVOICE_OR_PLAN</x:v>
      </x:c>
      <x:c r="S1330" s="238" t="n">
        <x:f>'Model_Calc'!BA225</x:f>
        <x:v>1455.5540225802238</x:v>
      </x:c>
      <x:c r="T1330" s="238" t="n">
        <x:f>ROUND(S1330-O1330,4)</x:f>
        <x:v>0</x:v>
      </x:c>
    </x:row>
    <x:row r="1331">
      <x:c r="A1331" s="187" t="str">
        <x:v>FORECAST_2026_08_V1</x:v>
      </x:c>
      <x:c r="B1331" s="187" t="str">
        <x:v>FORECAST</x:v>
      </x:c>
      <x:c r="C1331" s="187"/>
      <x:c r="D1331" s="217" t="n">
        <x:v>46327</x:v>
      </x:c>
      <x:c r="E1331" s="187" t="str">
        <x:v>R_DE_DE_B_ROAD</x:v>
      </x:c>
      <x:c r="F1331" s="187" t="str">
        <x:v>DE</x:v>
      </x:c>
      <x:c r="G1331" s="187" t="str">
        <x:v>DE_FC</x:v>
      </x:c>
      <x:c r="H1331" s="187" t="str">
        <x:v>CARRIER_B</x:v>
      </x:c>
      <x:c r="I1331" s="187" t="str">
        <x:v>ROAD</x:v>
      </x:c>
      <x:c r="J1331" s="187" t="str">
        <x:v>BASE_FREIGHT</x:v>
      </x:c>
      <x:c r="K1331" s="187" t="str">
        <x:v>EUR</x:v>
      </x:c>
      <x:c r="L1331" s="232" t="n">
        <x:v>7435.447100928</x:v>
      </x:c>
      <x:c r="M1331" s="232" t="n">
        <x:v>7.88</x:v>
      </x:c>
      <x:c r="N1331" s="187" t="str">
        <x:v>58591.3231553126400000000</x:v>
      </x:c>
      <x:c r="O1331" s="235" t="n">
        <x:v>58591.3232</x:v>
      </x:c>
      <x:c r="P1331" s="235"/>
      <x:c r="Q1331" s="235"/>
      <x:c r="R1331" s="235" t="str">
        <x:v>INVOICE_OR_PLAN</x:v>
      </x:c>
      <x:c r="S1331" s="238" t="n">
        <x:f>'Model_Calc'!AF226</x:f>
        <x:v>58591.323155312646</x:v>
      </x:c>
      <x:c r="T1331" s="238" t="n">
        <x:f>ROUND(S1331-O1331,4)</x:f>
        <x:v>0</x:v>
      </x:c>
    </x:row>
    <x:row r="1332">
      <x:c r="A1332" s="187" t="str">
        <x:v>FORECAST_2026_08_V1</x:v>
      </x:c>
      <x:c r="B1332" s="187" t="str">
        <x:v>FORECAST</x:v>
      </x:c>
      <x:c r="C1332" s="187"/>
      <x:c r="D1332" s="217" t="n">
        <x:v>46327</x:v>
      </x:c>
      <x:c r="E1332" s="187" t="str">
        <x:v>R_DE_DE_B_ROAD</x:v>
      </x:c>
      <x:c r="F1332" s="187" t="str">
        <x:v>DE</x:v>
      </x:c>
      <x:c r="G1332" s="187" t="str">
        <x:v>DE_FC</x:v>
      </x:c>
      <x:c r="H1332" s="187" t="str">
        <x:v>CARRIER_B</x:v>
      </x:c>
      <x:c r="I1332" s="187" t="str">
        <x:v>ROAD</x:v>
      </x:c>
      <x:c r="J1332" s="187" t="str">
        <x:v>FUEL_SURCHARGE</x:v>
      </x:c>
      <x:c r="K1332" s="187" t="str">
        <x:v>EUR</x:v>
      </x:c>
      <x:c r="L1332" s="232" t="n">
        <x:v>567.79777861632</x:v>
      </x:c>
      <x:c r="M1332" s="232" t="n">
        <x:v>7.88</x:v>
      </x:c>
      <x:c r="N1332" s="187" t="str">
        <x:v>4474.2464954966016000000</x:v>
      </x:c>
      <x:c r="O1332" s="235" t="n">
        <x:v>4474.2465</x:v>
      </x:c>
      <x:c r="P1332" s="235"/>
      <x:c r="Q1332" s="235"/>
      <x:c r="R1332" s="235" t="str">
        <x:v>INVOICE_OR_PLAN</x:v>
      </x:c>
      <x:c r="S1332" s="238" t="n">
        <x:f>'Model_Calc'!AG226</x:f>
        <x:v>4474.246495496603</x:v>
      </x:c>
      <x:c r="T1332" s="238" t="n">
        <x:f>ROUND(S1332-O1332,4)</x:f>
        <x:v>0</x:v>
      </x:c>
    </x:row>
    <x:row r="1333">
      <x:c r="A1333" s="187" t="str">
        <x:v>FORECAST_2026_08_V1</x:v>
      </x:c>
      <x:c r="B1333" s="187" t="str">
        <x:v>FORECAST</x:v>
      </x:c>
      <x:c r="C1333" s="187"/>
      <x:c r="D1333" s="217" t="n">
        <x:v>46327</x:v>
      </x:c>
      <x:c r="E1333" s="187" t="str">
        <x:v>R_DE_DE_B_ROAD</x:v>
      </x:c>
      <x:c r="F1333" s="187" t="str">
        <x:v>DE</x:v>
      </x:c>
      <x:c r="G1333" s="187" t="str">
        <x:v>DE_FC</x:v>
      </x:c>
      <x:c r="H1333" s="187" t="str">
        <x:v>CARRIER_B</x:v>
      </x:c>
      <x:c r="I1333" s="187" t="str">
        <x:v>ROAD</x:v>
      </x:c>
      <x:c r="J1333" s="187" t="str">
        <x:v>WAREHOUSE_OPERATION</x:v>
      </x:c>
      <x:c r="K1333" s="187" t="str">
        <x:v>EUR</x:v>
      </x:c>
      <x:c r="L1333" s="232" t="n">
        <x:v>3760.5878784</x:v>
      </x:c>
      <x:c r="M1333" s="232" t="n">
        <x:v>7.88</x:v>
      </x:c>
      <x:c r="N1333" s="187" t="str">
        <x:v>29633.4324817920000</x:v>
      </x:c>
      <x:c r="O1333" s="235" t="n">
        <x:v>29633.4325</x:v>
      </x:c>
      <x:c r="P1333" s="235"/>
      <x:c r="Q1333" s="235"/>
      <x:c r="R1333" s="235" t="str">
        <x:v>INVOICE_OR_PLAN</x:v>
      </x:c>
      <x:c r="S1333" s="238" t="n">
        <x:f>'Model_Calc'!AL226</x:f>
        <x:v>29633.432481792002</x:v>
      </x:c>
      <x:c r="T1333" s="238" t="n">
        <x:f>ROUND(S1333-O1333,4)</x:f>
        <x:v>0</x:v>
      </x:c>
    </x:row>
    <x:row r="1334">
      <x:c r="A1334" s="187" t="str">
        <x:v>FORECAST_2026_08_V1</x:v>
      </x:c>
      <x:c r="B1334" s="187" t="str">
        <x:v>FORECAST</x:v>
      </x:c>
      <x:c r="C1334" s="187"/>
      <x:c r="D1334" s="217" t="n">
        <x:v>46327</x:v>
      </x:c>
      <x:c r="E1334" s="187" t="str">
        <x:v>R_DE_DE_B_ROAD</x:v>
      </x:c>
      <x:c r="F1334" s="187" t="str">
        <x:v>DE</x:v>
      </x:c>
      <x:c r="G1334" s="187" t="str">
        <x:v>DE_FC</x:v>
      </x:c>
      <x:c r="H1334" s="187" t="str">
        <x:v>CARRIER_B</x:v>
      </x:c>
      <x:c r="I1334" s="187" t="str">
        <x:v>ROAD</x:v>
      </x:c>
      <x:c r="J1334" s="187" t="str">
        <x:v>PACKAGING</x:v>
      </x:c>
      <x:c r="K1334" s="187" t="str">
        <x:v>EUR</x:v>
      </x:c>
      <x:c r="L1334" s="232" t="n">
        <x:v>1405.44004608</x:v>
      </x:c>
      <x:c r="M1334" s="232" t="n">
        <x:v>7.88</x:v>
      </x:c>
      <x:c r="N1334" s="187" t="str">
        <x:v>11074.867563110400000</x:v>
      </x:c>
      <x:c r="O1334" s="235" t="n">
        <x:v>11074.8676</x:v>
      </x:c>
      <x:c r="P1334" s="235"/>
      <x:c r="Q1334" s="235"/>
      <x:c r="R1334" s="235" t="str">
        <x:v>INVOICE_OR_PLAN</x:v>
      </x:c>
      <x:c r="S1334" s="238" t="n">
        <x:f>'Model_Calc'!AQ226</x:f>
        <x:v>11074.8675631104</x:v>
      </x:c>
      <x:c r="T1334" s="238" t="n">
        <x:f>ROUND(S1334-O1334,4)</x:f>
        <x:v>0</x:v>
      </x:c>
    </x:row>
    <x:row r="1335">
      <x:c r="A1335" s="187" t="str">
        <x:v>FORECAST_2026_08_V1</x:v>
      </x:c>
      <x:c r="B1335" s="187" t="str">
        <x:v>FORECAST</x:v>
      </x:c>
      <x:c r="C1335" s="187"/>
      <x:c r="D1335" s="217" t="n">
        <x:v>46327</x:v>
      </x:c>
      <x:c r="E1335" s="187" t="str">
        <x:v>R_DE_DE_B_ROAD</x:v>
      </x:c>
      <x:c r="F1335" s="187" t="str">
        <x:v>DE</x:v>
      </x:c>
      <x:c r="G1335" s="187" t="str">
        <x:v>DE_FC</x:v>
      </x:c>
      <x:c r="H1335" s="187" t="str">
        <x:v>CARRIER_B</x:v>
      </x:c>
      <x:c r="I1335" s="187" t="str">
        <x:v>ROAD</x:v>
      </x:c>
      <x:c r="J1335" s="187" t="str">
        <x:v>RETURN_LOGISTICS</x:v>
      </x:c>
      <x:c r="K1335" s="187" t="str">
        <x:v>EUR</x:v>
      </x:c>
      <x:c r="L1335" s="232" t="n">
        <x:v>509.9102208</x:v>
      </x:c>
      <x:c r="M1335" s="232" t="n">
        <x:v>7.88</x:v>
      </x:c>
      <x:c r="N1335" s="187" t="str">
        <x:v>4018.0925399040000000</x:v>
      </x:c>
      <x:c r="O1335" s="235" t="n">
        <x:v>4018.0925</x:v>
      </x:c>
      <x:c r="P1335" s="235"/>
      <x:c r="Q1335" s="235"/>
      <x:c r="R1335" s="235" t="str">
        <x:v>INVOICE_OR_PLAN</x:v>
      </x:c>
      <x:c r="S1335" s="238" t="n">
        <x:f>'Model_Calc'!AV226</x:f>
        <x:v>4018.0925399039998</x:v>
      </x:c>
      <x:c r="T1335" s="238" t="n">
        <x:f>ROUND(S1335-O1335,4)</x:f>
        <x:v>0</x:v>
      </x:c>
    </x:row>
    <x:row r="1336">
      <x:c r="A1336" s="187" t="str">
        <x:v>FORECAST_2026_08_V1</x:v>
      </x:c>
      <x:c r="B1336" s="187" t="str">
        <x:v>FORECAST</x:v>
      </x:c>
      <x:c r="C1336" s="187"/>
      <x:c r="D1336" s="217" t="n">
        <x:v>46327</x:v>
      </x:c>
      <x:c r="E1336" s="187" t="str">
        <x:v>R_DE_DE_B_ROAD</x:v>
      </x:c>
      <x:c r="F1336" s="187" t="str">
        <x:v>DE</x:v>
      </x:c>
      <x:c r="G1336" s="187" t="str">
        <x:v>DE_FC</x:v>
      </x:c>
      <x:c r="H1336" s="187" t="str">
        <x:v>CARRIER_B</x:v>
      </x:c>
      <x:c r="I1336" s="187" t="str">
        <x:v>ROAD</x:v>
      </x:c>
      <x:c r="J1336" s="187" t="str">
        <x:v>BILLABLE_EXCEPTION</x:v>
      </x:c>
      <x:c r="K1336" s="187" t="str">
        <x:v>EUR</x:v>
      </x:c>
      <x:c r="L1336" s="232" t="n">
        <x:v>100.0539461376</x:v>
      </x:c>
      <x:c r="M1336" s="232" t="n">
        <x:v>7.88</x:v>
      </x:c>
      <x:c r="N1336" s="187" t="str">
        <x:v>788.425095564288000000</x:v>
      </x:c>
      <x:c r="O1336" s="235" t="n">
        <x:v>788.4251</x:v>
      </x:c>
      <x:c r="P1336" s="235"/>
      <x:c r="Q1336" s="235"/>
      <x:c r="R1336" s="235" t="str">
        <x:v>INVOICE_OR_PLAN</x:v>
      </x:c>
      <x:c r="S1336" s="238" t="n">
        <x:f>'Model_Calc'!BA226</x:f>
        <x:v>788.4250955642881</x:v>
      </x:c>
      <x:c r="T1336" s="238" t="n">
        <x:f>ROUND(S1336-O1336,4)</x:f>
        <x:v>0</x:v>
      </x:c>
    </x:row>
    <x:row r="1337">
      <x:c r="A1337" s="187" t="str">
        <x:v>FORECAST_2026_08_V1</x:v>
      </x:c>
      <x:c r="B1337" s="187" t="str">
        <x:v>FORECAST</x:v>
      </x:c>
      <x:c r="C1337" s="187"/>
      <x:c r="D1337" s="217" t="n">
        <x:v>46327</x:v>
      </x:c>
      <x:c r="E1337" s="187" t="str">
        <x:v>R_DE_FR_B_ROAD</x:v>
      </x:c>
      <x:c r="F1337" s="187" t="str">
        <x:v>DE</x:v>
      </x:c>
      <x:c r="G1337" s="187" t="str">
        <x:v>FR_FC</x:v>
      </x:c>
      <x:c r="H1337" s="187" t="str">
        <x:v>CARRIER_B</x:v>
      </x:c>
      <x:c r="I1337" s="187" t="str">
        <x:v>ROAD</x:v>
      </x:c>
      <x:c r="J1337" s="187" t="str">
        <x:v>BASE_FREIGHT</x:v>
      </x:c>
      <x:c r="K1337" s="187" t="str">
        <x:v>EUR</x:v>
      </x:c>
      <x:c r="L1337" s="232" t="n">
        <x:v>762.81773939712</x:v>
      </x:c>
      <x:c r="M1337" s="232" t="n">
        <x:v>7.88</x:v>
      </x:c>
      <x:c r="N1337" s="187" t="str">
        <x:v>6011.00378644930560000</x:v>
      </x:c>
      <x:c r="O1337" s="235" t="n">
        <x:v>6011.0038</x:v>
      </x:c>
      <x:c r="P1337" s="235"/>
      <x:c r="Q1337" s="235"/>
      <x:c r="R1337" s="235" t="str">
        <x:v>INVOICE_OR_PLAN</x:v>
      </x:c>
      <x:c r="S1337" s="238" t="n">
        <x:f>'Model_Calc'!AF227</x:f>
        <x:v>6011.003786449306</x:v>
      </x:c>
      <x:c r="T1337" s="238" t="n">
        <x:f>ROUND(S1337-O1337,4)</x:f>
        <x:v>0</x:v>
      </x:c>
    </x:row>
    <x:row r="1338">
      <x:c r="A1338" s="187" t="str">
        <x:v>FORECAST_2026_08_V1</x:v>
      </x:c>
      <x:c r="B1338" s="187" t="str">
        <x:v>FORECAST</x:v>
      </x:c>
      <x:c r="C1338" s="187"/>
      <x:c r="D1338" s="217" t="n">
        <x:v>46327</x:v>
      </x:c>
      <x:c r="E1338" s="187" t="str">
        <x:v>R_DE_FR_B_ROAD</x:v>
      </x:c>
      <x:c r="F1338" s="187" t="str">
        <x:v>DE</x:v>
      </x:c>
      <x:c r="G1338" s="187" t="str">
        <x:v>FR_FC</x:v>
      </x:c>
      <x:c r="H1338" s="187" t="str">
        <x:v>CARRIER_B</x:v>
      </x:c>
      <x:c r="I1338" s="187" t="str">
        <x:v>ROAD</x:v>
      </x:c>
      <x:c r="J1338" s="187" t="str">
        <x:v>FUEL_SURCHARGE</x:v>
      </x:c>
      <x:c r="K1338" s="187" t="str">
        <x:v>EUR</x:v>
      </x:c>
      <x:c r="L1338" s="232" t="n">
        <x:v>55.477653774336</x:v>
      </x:c>
      <x:c r="M1338" s="232" t="n">
        <x:v>7.88</x:v>
      </x:c>
      <x:c r="N1338" s="187" t="str">
        <x:v>437.16391174176768000</x:v>
      </x:c>
      <x:c r="O1338" s="235" t="n">
        <x:v>437.1639</x:v>
      </x:c>
      <x:c r="P1338" s="235"/>
      <x:c r="Q1338" s="235"/>
      <x:c r="R1338" s="235" t="str">
        <x:v>INVOICE_OR_PLAN</x:v>
      </x:c>
      <x:c r="S1338" s="238" t="n">
        <x:f>'Model_Calc'!AG227</x:f>
        <x:v>437.1639117417677</x:v>
      </x:c>
      <x:c r="T1338" s="238" t="n">
        <x:f>ROUND(S1338-O1338,4)</x:f>
        <x:v>0</x:v>
      </x:c>
    </x:row>
    <x:row r="1339">
      <x:c r="A1339" s="187" t="str">
        <x:v>FORECAST_2026_08_V1</x:v>
      </x:c>
      <x:c r="B1339" s="187" t="str">
        <x:v>FORECAST</x:v>
      </x:c>
      <x:c r="C1339" s="187"/>
      <x:c r="D1339" s="217" t="n">
        <x:v>46327</x:v>
      </x:c>
      <x:c r="E1339" s="187" t="str">
        <x:v>R_DE_FR_B_ROAD</x:v>
      </x:c>
      <x:c r="F1339" s="187" t="str">
        <x:v>DE</x:v>
      </x:c>
      <x:c r="G1339" s="187" t="str">
        <x:v>FR_FC</x:v>
      </x:c>
      <x:c r="H1339" s="187" t="str">
        <x:v>CARRIER_B</x:v>
      </x:c>
      <x:c r="I1339" s="187" t="str">
        <x:v>ROAD</x:v>
      </x:c>
      <x:c r="J1339" s="187" t="str">
        <x:v>WAREHOUSE_OPERATION</x:v>
      </x:c>
      <x:c r="K1339" s="187" t="str">
        <x:v>EUR</x:v>
      </x:c>
      <x:c r="L1339" s="232" t="n">
        <x:v>258.73344</x:v>
      </x:c>
      <x:c r="M1339" s="232" t="n">
        <x:v>7.88</x:v>
      </x:c>
      <x:c r="N1339" s="187" t="str">
        <x:v>2038.81950720000</x:v>
      </x:c>
      <x:c r="O1339" s="235" t="n">
        <x:v>2038.8195</x:v>
      </x:c>
      <x:c r="P1339" s="235"/>
      <x:c r="Q1339" s="235"/>
      <x:c r="R1339" s="235" t="str">
        <x:v>INVOICE_OR_PLAN</x:v>
      </x:c>
      <x:c r="S1339" s="238" t="n">
        <x:f>'Model_Calc'!AL227</x:f>
        <x:v>2038.8195072000003</x:v>
      </x:c>
      <x:c r="T1339" s="238" t="n">
        <x:f>ROUND(S1339-O1339,4)</x:f>
        <x:v>0</x:v>
      </x:c>
    </x:row>
    <x:row r="1340">
      <x:c r="A1340" s="187" t="str">
        <x:v>FORECAST_2026_08_V1</x:v>
      </x:c>
      <x:c r="B1340" s="187" t="str">
        <x:v>FORECAST</x:v>
      </x:c>
      <x:c r="C1340" s="187"/>
      <x:c r="D1340" s="217" t="n">
        <x:v>46327</x:v>
      </x:c>
      <x:c r="E1340" s="187" t="str">
        <x:v>R_DE_FR_B_ROAD</x:v>
      </x:c>
      <x:c r="F1340" s="187" t="str">
        <x:v>DE</x:v>
      </x:c>
      <x:c r="G1340" s="187" t="str">
        <x:v>FR_FC</x:v>
      </x:c>
      <x:c r="H1340" s="187" t="str">
        <x:v>CARRIER_B</x:v>
      </x:c>
      <x:c r="I1340" s="187" t="str">
        <x:v>ROAD</x:v>
      </x:c>
      <x:c r="J1340" s="187" t="str">
        <x:v>PACKAGING</x:v>
      </x:c>
      <x:c r="K1340" s="187" t="str">
        <x:v>EUR</x:v>
      </x:c>
      <x:c r="L1340" s="232" t="n">
        <x:v>101.12781312</x:v>
      </x:c>
      <x:c r="M1340" s="232" t="n">
        <x:v>7.88</x:v>
      </x:c>
      <x:c r="N1340" s="187" t="str">
        <x:v>796.8871673856000</x:v>
      </x:c>
      <x:c r="O1340" s="235" t="n">
        <x:v>796.8872</x:v>
      </x:c>
      <x:c r="P1340" s="235"/>
      <x:c r="Q1340" s="235"/>
      <x:c r="R1340" s="235" t="str">
        <x:v>INVOICE_OR_PLAN</x:v>
      </x:c>
      <x:c r="S1340" s="238" t="n">
        <x:f>'Model_Calc'!AQ227</x:f>
        <x:v>796.8871673855999</x:v>
      </x:c>
      <x:c r="T1340" s="238" t="n">
        <x:f>ROUND(S1340-O1340,4)</x:f>
        <x:v>0</x:v>
      </x:c>
    </x:row>
    <x:row r="1341">
      <x:c r="A1341" s="187" t="str">
        <x:v>FORECAST_2026_08_V1</x:v>
      </x:c>
      <x:c r="B1341" s="187" t="str">
        <x:v>FORECAST</x:v>
      </x:c>
      <x:c r="C1341" s="187"/>
      <x:c r="D1341" s="217" t="n">
        <x:v>46327</x:v>
      </x:c>
      <x:c r="E1341" s="187" t="str">
        <x:v>R_DE_FR_B_ROAD</x:v>
      </x:c>
      <x:c r="F1341" s="187" t="str">
        <x:v>DE</x:v>
      </x:c>
      <x:c r="G1341" s="187" t="str">
        <x:v>FR_FC</x:v>
      </x:c>
      <x:c r="H1341" s="187" t="str">
        <x:v>CARRIER_B</x:v>
      </x:c>
      <x:c r="I1341" s="187" t="str">
        <x:v>ROAD</x:v>
      </x:c>
      <x:c r="J1341" s="187" t="str">
        <x:v>RETURN_LOGISTICS</x:v>
      </x:c>
      <x:c r="K1341" s="187" t="str">
        <x:v>EUR</x:v>
      </x:c>
      <x:c r="L1341" s="232" t="n">
        <x:v>46.818432</x:v>
      </x:c>
      <x:c r="M1341" s="232" t="n">
        <x:v>7.88</x:v>
      </x:c>
      <x:c r="N1341" s="187" t="str">
        <x:v>368.92924416000000</x:v>
      </x:c>
      <x:c r="O1341" s="235" t="n">
        <x:v>368.9292</x:v>
      </x:c>
      <x:c r="P1341" s="235"/>
      <x:c r="Q1341" s="235"/>
      <x:c r="R1341" s="235" t="str">
        <x:v>INVOICE_OR_PLAN</x:v>
      </x:c>
      <x:c r="S1341" s="238" t="n">
        <x:f>'Model_Calc'!AV227</x:f>
        <x:v>368.92924415999994</x:v>
      </x:c>
      <x:c r="T1341" s="238" t="n">
        <x:f>ROUND(S1341-O1341,4)</x:f>
        <x:v>0</x:v>
      </x:c>
    </x:row>
    <x:row r="1342">
      <x:c r="A1342" s="187" t="str">
        <x:v>FORECAST_2026_08_V1</x:v>
      </x:c>
      <x:c r="B1342" s="187" t="str">
        <x:v>FORECAST</x:v>
      </x:c>
      <x:c r="C1342" s="187"/>
      <x:c r="D1342" s="217" t="n">
        <x:v>46327</x:v>
      </x:c>
      <x:c r="E1342" s="187" t="str">
        <x:v>R_DE_FR_B_ROAD</x:v>
      </x:c>
      <x:c r="F1342" s="187" t="str">
        <x:v>DE</x:v>
      </x:c>
      <x:c r="G1342" s="187" t="str">
        <x:v>FR_FC</x:v>
      </x:c>
      <x:c r="H1342" s="187" t="str">
        <x:v>CARRIER_B</x:v>
      </x:c>
      <x:c r="I1342" s="187" t="str">
        <x:v>ROAD</x:v>
      </x:c>
      <x:c r="J1342" s="187" t="str">
        <x:v>BILLABLE_EXCEPTION</x:v>
      </x:c>
      <x:c r="K1342" s="187" t="str">
        <x:v>EUR</x:v>
      </x:c>
      <x:c r="L1342" s="232" t="n">
        <x:v>8.5692515328</x:v>
      </x:c>
      <x:c r="M1342" s="232" t="n">
        <x:v>7.88</x:v>
      </x:c>
      <x:c r="N1342" s="187" t="str">
        <x:v>67.5257020784640000</x:v>
      </x:c>
      <x:c r="O1342" s="235" t="n">
        <x:v>67.5257</x:v>
      </x:c>
      <x:c r="P1342" s="235"/>
      <x:c r="Q1342" s="235"/>
      <x:c r="R1342" s="235" t="str">
        <x:v>INVOICE_OR_PLAN</x:v>
      </x:c>
      <x:c r="S1342" s="238" t="n">
        <x:f>'Model_Calc'!BA227</x:f>
        <x:v>67.52570207846401</x:v>
      </x:c>
      <x:c r="T1342" s="238" t="n">
        <x:f>ROUND(S1342-O1342,4)</x:f>
        <x:v>0</x:v>
      </x:c>
    </x:row>
    <x:row r="1343">
      <x:c r="A1343" s="187" t="str">
        <x:v>FORECAST_2026_08_V1</x:v>
      </x:c>
      <x:c r="B1343" s="187" t="str">
        <x:v>FORECAST</x:v>
      </x:c>
      <x:c r="C1343" s="187"/>
      <x:c r="D1343" s="217" t="n">
        <x:v>46327</x:v>
      </x:c>
      <x:c r="E1343" s="187" t="str">
        <x:v>R_FR_FR_A_ROAD</x:v>
      </x:c>
      <x:c r="F1343" s="187" t="str">
        <x:v>FR</x:v>
      </x:c>
      <x:c r="G1343" s="187" t="str">
        <x:v>FR_FC</x:v>
      </x:c>
      <x:c r="H1343" s="187" t="str">
        <x:v>CARRIER_A</x:v>
      </x:c>
      <x:c r="I1343" s="187" t="str">
        <x:v>ROAD</x:v>
      </x:c>
      <x:c r="J1343" s="187" t="str">
        <x:v>BASE_FREIGHT</x:v>
      </x:c>
      <x:c r="K1343" s="187" t="str">
        <x:v>EUR</x:v>
      </x:c>
      <x:c r="L1343" s="232" t="n">
        <x:v>4451.6211686352</x:v>
      </x:c>
      <x:c r="M1343" s="232" t="n">
        <x:v>7.88</x:v>
      </x:c>
      <x:c r="N1343" s="187" t="str">
        <x:v>35078.77480884537600000</x:v>
      </x:c>
      <x:c r="O1343" s="235" t="n">
        <x:v>35078.7748</x:v>
      </x:c>
      <x:c r="P1343" s="235"/>
      <x:c r="Q1343" s="235"/>
      <x:c r="R1343" s="235" t="str">
        <x:v>INVOICE_OR_PLAN</x:v>
      </x:c>
      <x:c r="S1343" s="238" t="n">
        <x:f>'Model_Calc'!AF228</x:f>
        <x:v>35078.774808845366</x:v>
      </x:c>
      <x:c r="T1343" s="238" t="n">
        <x:f>ROUND(S1343-O1343,4)</x:f>
        <x:v>0</x:v>
      </x:c>
    </x:row>
    <x:row r="1344">
      <x:c r="A1344" s="187" t="str">
        <x:v>FORECAST_2026_08_V1</x:v>
      </x:c>
      <x:c r="B1344" s="187" t="str">
        <x:v>FORECAST</x:v>
      </x:c>
      <x:c r="C1344" s="187"/>
      <x:c r="D1344" s="217" t="n">
        <x:v>46327</x:v>
      </x:c>
      <x:c r="E1344" s="187" t="str">
        <x:v>R_FR_FR_A_ROAD</x:v>
      </x:c>
      <x:c r="F1344" s="187" t="str">
        <x:v>FR</x:v>
      </x:c>
      <x:c r="G1344" s="187" t="str">
        <x:v>FR_FC</x:v>
      </x:c>
      <x:c r="H1344" s="187" t="str">
        <x:v>CARRIER_A</x:v>
      </x:c>
      <x:c r="I1344" s="187" t="str">
        <x:v>ROAD</x:v>
      </x:c>
      <x:c r="J1344" s="187" t="str">
        <x:v>FUEL_SURCHARGE</x:v>
      </x:c>
      <x:c r="K1344" s="187" t="str">
        <x:v>EUR</x:v>
      </x:c>
      <x:c r="L1344" s="232" t="n">
        <x:v>414.6685118583689</x:v>
      </x:c>
      <x:c r="M1344" s="232" t="n">
        <x:v>7.88</x:v>
      </x:c>
      <x:c r="N1344" s="187" t="str">
        <x:v>3267.58787344394677440000000</x:v>
      </x:c>
      <x:c r="O1344" s="235" t="n">
        <x:v>3267.5879</x:v>
      </x:c>
      <x:c r="P1344" s="235"/>
      <x:c r="Q1344" s="235"/>
      <x:c r="R1344" s="235" t="str">
        <x:v>INVOICE_OR_PLAN</x:v>
      </x:c>
      <x:c r="S1344" s="238" t="n">
        <x:f>'Model_Calc'!AG228</x:f>
        <x:v>3267.587873443946</x:v>
      </x:c>
      <x:c r="T1344" s="238" t="n">
        <x:f>ROUND(S1344-O1344,4)</x:f>
        <x:v>0</x:v>
      </x:c>
    </x:row>
    <x:row r="1345">
      <x:c r="A1345" s="187" t="str">
        <x:v>FORECAST_2026_08_V1</x:v>
      </x:c>
      <x:c r="B1345" s="187" t="str">
        <x:v>FORECAST</x:v>
      </x:c>
      <x:c r="C1345" s="187"/>
      <x:c r="D1345" s="217" t="n">
        <x:v>46327</x:v>
      </x:c>
      <x:c r="E1345" s="187" t="str">
        <x:v>R_FR_FR_A_ROAD</x:v>
      </x:c>
      <x:c r="F1345" s="187" t="str">
        <x:v>FR</x:v>
      </x:c>
      <x:c r="G1345" s="187" t="str">
        <x:v>FR_FC</x:v>
      </x:c>
      <x:c r="H1345" s="187" t="str">
        <x:v>CARRIER_A</x:v>
      </x:c>
      <x:c r="I1345" s="187" t="str">
        <x:v>ROAD</x:v>
      </x:c>
      <x:c r="J1345" s="187" t="str">
        <x:v>WAREHOUSE_OPERATION</x:v>
      </x:c>
      <x:c r="K1345" s="187" t="str">
        <x:v>EUR</x:v>
      </x:c>
      <x:c r="L1345" s="232" t="n">
        <x:v>2735.5671</x:v>
      </x:c>
      <x:c r="M1345" s="232" t="n">
        <x:v>7.88</x:v>
      </x:c>
      <x:c r="N1345" s="187" t="str">
        <x:v>21556.26874800000</x:v>
      </x:c>
      <x:c r="O1345" s="235" t="n">
        <x:v>21556.2687</x:v>
      </x:c>
      <x:c r="P1345" s="235"/>
      <x:c r="Q1345" s="235"/>
      <x:c r="R1345" s="235" t="str">
        <x:v>INVOICE_OR_PLAN</x:v>
      </x:c>
      <x:c r="S1345" s="238" t="n">
        <x:f>'Model_Calc'!AL228</x:f>
        <x:v>21556.268748</x:v>
      </x:c>
      <x:c r="T1345" s="238" t="n">
        <x:f>ROUND(S1345-O1345,4)</x:f>
        <x:v>0</x:v>
      </x:c>
    </x:row>
    <x:row r="1346">
      <x:c r="A1346" s="187" t="str">
        <x:v>FORECAST_2026_08_V1</x:v>
      </x:c>
      <x:c r="B1346" s="187" t="str">
        <x:v>FORECAST</x:v>
      </x:c>
      <x:c r="C1346" s="187"/>
      <x:c r="D1346" s="217" t="n">
        <x:v>46327</x:v>
      </x:c>
      <x:c r="E1346" s="187" t="str">
        <x:v>R_FR_FR_A_ROAD</x:v>
      </x:c>
      <x:c r="F1346" s="187" t="str">
        <x:v>FR</x:v>
      </x:c>
      <x:c r="G1346" s="187" t="str">
        <x:v>FR_FC</x:v>
      </x:c>
      <x:c r="H1346" s="187" t="str">
        <x:v>CARRIER_A</x:v>
      </x:c>
      <x:c r="I1346" s="187" t="str">
        <x:v>ROAD</x:v>
      </x:c>
      <x:c r="J1346" s="187" t="str">
        <x:v>PACKAGING</x:v>
      </x:c>
      <x:c r="K1346" s="187" t="str">
        <x:v>EUR</x:v>
      </x:c>
      <x:c r="L1346" s="232" t="n">
        <x:v>1049.4156456</x:v>
      </x:c>
      <x:c r="M1346" s="232" t="n">
        <x:v>7.88</x:v>
      </x:c>
      <x:c r="N1346" s="187" t="str">
        <x:v>8269.3952873280000</x:v>
      </x:c>
      <x:c r="O1346" s="235" t="n">
        <x:v>8269.3953</x:v>
      </x:c>
      <x:c r="P1346" s="235"/>
      <x:c r="Q1346" s="235"/>
      <x:c r="R1346" s="235" t="str">
        <x:v>INVOICE_OR_PLAN</x:v>
      </x:c>
      <x:c r="S1346" s="238" t="n">
        <x:f>'Model_Calc'!AQ228</x:f>
        <x:v>8269.395287327998</x:v>
      </x:c>
      <x:c r="T1346" s="238" t="n">
        <x:f>ROUND(S1346-O1346,4)</x:f>
        <x:v>0</x:v>
      </x:c>
    </x:row>
    <x:row r="1347">
      <x:c r="A1347" s="187" t="str">
        <x:v>FORECAST_2026_08_V1</x:v>
      </x:c>
      <x:c r="B1347" s="187" t="str">
        <x:v>FORECAST</x:v>
      </x:c>
      <x:c r="C1347" s="187"/>
      <x:c r="D1347" s="217" t="n">
        <x:v>46327</x:v>
      </x:c>
      <x:c r="E1347" s="187" t="str">
        <x:v>R_FR_FR_A_ROAD</x:v>
      </x:c>
      <x:c r="F1347" s="187" t="str">
        <x:v>FR</x:v>
      </x:c>
      <x:c r="G1347" s="187" t="str">
        <x:v>FR_FC</x:v>
      </x:c>
      <x:c r="H1347" s="187" t="str">
        <x:v>CARRIER_A</x:v>
      </x:c>
      <x:c r="I1347" s="187" t="str">
        <x:v>ROAD</x:v>
      </x:c>
      <x:c r="J1347" s="187" t="str">
        <x:v>RETURN_LOGISTICS</x:v>
      </x:c>
      <x:c r="K1347" s="187" t="str">
        <x:v>EUR</x:v>
      </x:c>
      <x:c r="L1347" s="232" t="n">
        <x:v>468.95436</x:v>
      </x:c>
      <x:c r="M1347" s="232" t="n">
        <x:v>7.88</x:v>
      </x:c>
      <x:c r="N1347" s="187" t="str">
        <x:v>3695.36035680000000</x:v>
      </x:c>
      <x:c r="O1347" s="235" t="n">
        <x:v>3695.3604</x:v>
      </x:c>
      <x:c r="P1347" s="235"/>
      <x:c r="Q1347" s="235"/>
      <x:c r="R1347" s="235" t="str">
        <x:v>INVOICE_OR_PLAN</x:v>
      </x:c>
      <x:c r="S1347" s="238" t="n">
        <x:f>'Model_Calc'!AV228</x:f>
        <x:v>3695.3603567999985</x:v>
      </x:c>
      <x:c r="T1347" s="238" t="n">
        <x:f>ROUND(S1347-O1347,4)</x:f>
        <x:v>0</x:v>
      </x:c>
    </x:row>
    <x:row r="1348">
      <x:c r="A1348" s="187" t="str">
        <x:v>FORECAST_2026_08_V1</x:v>
      </x:c>
      <x:c r="B1348" s="187" t="str">
        <x:v>FORECAST</x:v>
      </x:c>
      <x:c r="C1348" s="187"/>
      <x:c r="D1348" s="217" t="n">
        <x:v>46327</x:v>
      </x:c>
      <x:c r="E1348" s="187" t="str">
        <x:v>R_FR_FR_A_ROAD</x:v>
      </x:c>
      <x:c r="F1348" s="187" t="str">
        <x:v>FR</x:v>
      </x:c>
      <x:c r="G1348" s="187" t="str">
        <x:v>FR_FC</x:v>
      </x:c>
      <x:c r="H1348" s="187" t="str">
        <x:v>CARRIER_A</x:v>
      </x:c>
      <x:c r="I1348" s="187" t="str">
        <x:v>ROAD</x:v>
      </x:c>
      <x:c r="J1348" s="187" t="str">
        <x:v>BILLABLE_EXCEPTION</x:v>
      </x:c>
      <x:c r="K1348" s="187" t="str">
        <x:v>EUR</x:v>
      </x:c>
      <x:c r="L1348" s="232" t="n">
        <x:v>107.979346692</x:v>
      </x:c>
      <x:c r="M1348" s="232" t="n">
        <x:v>7.88</x:v>
      </x:c>
      <x:c r="N1348" s="187" t="str">
        <x:v>850.8772519329600000</x:v>
      </x:c>
      <x:c r="O1348" s="235" t="n">
        <x:v>850.8773</x:v>
      </x:c>
      <x:c r="P1348" s="235"/>
      <x:c r="Q1348" s="235"/>
      <x:c r="R1348" s="235" t="str">
        <x:v>INVOICE_OR_PLAN</x:v>
      </x:c>
      <x:c r="S1348" s="238" t="n">
        <x:f>'Model_Calc'!BA228</x:f>
        <x:v>850.8772519329598</x:v>
      </x:c>
      <x:c r="T1348" s="238" t="n">
        <x:f>ROUND(S1348-O1348,4)</x:f>
        <x:v>0</x:v>
      </x:c>
    </x:row>
    <x:row r="1349">
      <x:c r="A1349" s="187" t="str">
        <x:v>FORECAST_2026_08_V1</x:v>
      </x:c>
      <x:c r="B1349" s="187" t="str">
        <x:v>FORECAST</x:v>
      </x:c>
      <x:c r="C1349" s="187"/>
      <x:c r="D1349" s="217" t="n">
        <x:v>46327</x:v>
      </x:c>
      <x:c r="E1349" s="187" t="str">
        <x:v>R_FR_FR_B_ROAD</x:v>
      </x:c>
      <x:c r="F1349" s="187" t="str">
        <x:v>FR</x:v>
      </x:c>
      <x:c r="G1349" s="187" t="str">
        <x:v>FR_FC</x:v>
      </x:c>
      <x:c r="H1349" s="187" t="str">
        <x:v>CARRIER_B</x:v>
      </x:c>
      <x:c r="I1349" s="187" t="str">
        <x:v>ROAD</x:v>
      </x:c>
      <x:c r="J1349" s="187" t="str">
        <x:v>BASE_FREIGHT</x:v>
      </x:c>
      <x:c r="K1349" s="187" t="str">
        <x:v>EUR</x:v>
      </x:c>
      <x:c r="L1349" s="232" t="n">
        <x:v>10639.7411783832</x:v>
      </x:c>
      <x:c r="M1349" s="232" t="n">
        <x:v>7.88</x:v>
      </x:c>
      <x:c r="N1349" s="187" t="str">
        <x:v>83841.16048565961600000</x:v>
      </x:c>
      <x:c r="O1349" s="235" t="n">
        <x:v>83841.1605</x:v>
      </x:c>
      <x:c r="P1349" s="235"/>
      <x:c r="Q1349" s="235"/>
      <x:c r="R1349" s="235" t="str">
        <x:v>INVOICE_OR_PLAN</x:v>
      </x:c>
      <x:c r="S1349" s="238" t="n">
        <x:f>'Model_Calc'!AF229</x:f>
        <x:v>83841.16048565961</x:v>
      </x:c>
      <x:c r="T1349" s="238" t="n">
        <x:f>ROUND(S1349-O1349,4)</x:f>
        <x:v>0</x:v>
      </x:c>
    </x:row>
    <x:row r="1350">
      <x:c r="A1350" s="187" t="str">
        <x:v>FORECAST_2026_08_V1</x:v>
      </x:c>
      <x:c r="B1350" s="187" t="str">
        <x:v>FORECAST</x:v>
      </x:c>
      <x:c r="C1350" s="187"/>
      <x:c r="D1350" s="217" t="n">
        <x:v>46327</x:v>
      </x:c>
      <x:c r="E1350" s="187" t="str">
        <x:v>R_FR_FR_B_ROAD</x:v>
      </x:c>
      <x:c r="F1350" s="187" t="str">
        <x:v>FR</x:v>
      </x:c>
      <x:c r="G1350" s="187" t="str">
        <x:v>FR_FC</x:v>
      </x:c>
      <x:c r="H1350" s="187" t="str">
        <x:v>CARRIER_B</x:v>
      </x:c>
      <x:c r="I1350" s="187" t="str">
        <x:v>ROAD</x:v>
      </x:c>
      <x:c r="J1350" s="187" t="str">
        <x:v>FUEL_SURCHARGE</x:v>
      </x:c>
      <x:c r="K1350" s="187" t="str">
        <x:v>EUR</x:v>
      </x:c>
      <x:c r="L1350" s="232" t="n">
        <x:v>818.4416291064</x:v>
      </x:c>
      <x:c r="M1350" s="232" t="n">
        <x:v>7.88</x:v>
      </x:c>
      <x:c r="N1350" s="187" t="str">
        <x:v>6449.32003735843200000</x:v>
      </x:c>
      <x:c r="O1350" s="235" t="n">
        <x:v>6449.32</x:v>
      </x:c>
      <x:c r="P1350" s="235"/>
      <x:c r="Q1350" s="235"/>
      <x:c r="R1350" s="235" t="str">
        <x:v>INVOICE_OR_PLAN</x:v>
      </x:c>
      <x:c r="S1350" s="238" t="n">
        <x:f>'Model_Calc'!AG229</x:f>
        <x:v>6449.320037358432</x:v>
      </x:c>
      <x:c r="T1350" s="238" t="n">
        <x:f>ROUND(S1350-O1350,4)</x:f>
        <x:v>0</x:v>
      </x:c>
    </x:row>
    <x:row r="1351">
      <x:c r="A1351" s="187" t="str">
        <x:v>FORECAST_2026_08_V1</x:v>
      </x:c>
      <x:c r="B1351" s="187" t="str">
        <x:v>FORECAST</x:v>
      </x:c>
      <x:c r="C1351" s="187"/>
      <x:c r="D1351" s="217" t="n">
        <x:v>46327</x:v>
      </x:c>
      <x:c r="E1351" s="187" t="str">
        <x:v>R_FR_FR_B_ROAD</x:v>
      </x:c>
      <x:c r="F1351" s="187" t="str">
        <x:v>FR</x:v>
      </x:c>
      <x:c r="G1351" s="187" t="str">
        <x:v>FR_FC</x:v>
      </x:c>
      <x:c r="H1351" s="187" t="str">
        <x:v>CARRIER_B</x:v>
      </x:c>
      <x:c r="I1351" s="187" t="str">
        <x:v>ROAD</x:v>
      </x:c>
      <x:c r="J1351" s="187" t="str">
        <x:v>WAREHOUSE_OPERATION</x:v>
      </x:c>
      <x:c r="K1351" s="187" t="str">
        <x:v>EUR</x:v>
      </x:c>
      <x:c r="L1351" s="232" t="n">
        <x:v>5080.3389</x:v>
      </x:c>
      <x:c r="M1351" s="232" t="n">
        <x:v>7.88</x:v>
      </x:c>
      <x:c r="N1351" s="187" t="str">
        <x:v>40033.07053200000</x:v>
      </x:c>
      <x:c r="O1351" s="235" t="n">
        <x:v>40033.0705</x:v>
      </x:c>
      <x:c r="P1351" s="235"/>
      <x:c r="Q1351" s="235"/>
      <x:c r="R1351" s="235" t="str">
        <x:v>INVOICE_OR_PLAN</x:v>
      </x:c>
      <x:c r="S1351" s="238" t="n">
        <x:f>'Model_Calc'!AL229</x:f>
        <x:v>40033.070532</x:v>
      </x:c>
      <x:c r="T1351" s="238" t="n">
        <x:f>ROUND(S1351-O1351,4)</x:f>
        <x:v>0</x:v>
      </x:c>
    </x:row>
    <x:row r="1352">
      <x:c r="A1352" s="187" t="str">
        <x:v>FORECAST_2026_08_V1</x:v>
      </x:c>
      <x:c r="B1352" s="187" t="str">
        <x:v>FORECAST</x:v>
      </x:c>
      <x:c r="C1352" s="187"/>
      <x:c r="D1352" s="217" t="n">
        <x:v>46327</x:v>
      </x:c>
      <x:c r="E1352" s="187" t="str">
        <x:v>R_FR_FR_B_ROAD</x:v>
      </x:c>
      <x:c r="F1352" s="187" t="str">
        <x:v>FR</x:v>
      </x:c>
      <x:c r="G1352" s="187" t="str">
        <x:v>FR_FC</x:v>
      </x:c>
      <x:c r="H1352" s="187" t="str">
        <x:v>CARRIER_B</x:v>
      </x:c>
      <x:c r="I1352" s="187" t="str">
        <x:v>ROAD</x:v>
      </x:c>
      <x:c r="J1352" s="187" t="str">
        <x:v>PACKAGING</x:v>
      </x:c>
      <x:c r="K1352" s="187" t="str">
        <x:v>EUR</x:v>
      </x:c>
      <x:c r="L1352" s="232" t="n">
        <x:v>1948.9147704</x:v>
      </x:c>
      <x:c r="M1352" s="232" t="n">
        <x:v>7.88</x:v>
      </x:c>
      <x:c r="N1352" s="187" t="str">
        <x:v>15357.4483907520000</x:v>
      </x:c>
      <x:c r="O1352" s="235" t="n">
        <x:v>15357.4484</x:v>
      </x:c>
      <x:c r="P1352" s="235"/>
      <x:c r="Q1352" s="235"/>
      <x:c r="R1352" s="235" t="str">
        <x:v>INVOICE_OR_PLAN</x:v>
      </x:c>
      <x:c r="S1352" s="238" t="n">
        <x:f>'Model_Calc'!AQ229</x:f>
        <x:v>15357.448390751997</x:v>
      </x:c>
      <x:c r="T1352" s="238" t="n">
        <x:f>ROUND(S1352-O1352,4)</x:f>
        <x:v>0</x:v>
      </x:c>
    </x:row>
    <x:row r="1353">
      <x:c r="A1353" s="187" t="str">
        <x:v>FORECAST_2026_08_V1</x:v>
      </x:c>
      <x:c r="B1353" s="187" t="str">
        <x:v>FORECAST</x:v>
      </x:c>
      <x:c r="C1353" s="187"/>
      <x:c r="D1353" s="217" t="n">
        <x:v>46327</x:v>
      </x:c>
      <x:c r="E1353" s="187" t="str">
        <x:v>R_FR_FR_B_ROAD</x:v>
      </x:c>
      <x:c r="F1353" s="187" t="str">
        <x:v>FR</x:v>
      </x:c>
      <x:c r="G1353" s="187" t="str">
        <x:v>FR_FC</x:v>
      </x:c>
      <x:c r="H1353" s="187" t="str">
        <x:v>CARRIER_B</x:v>
      </x:c>
      <x:c r="I1353" s="187" t="str">
        <x:v>ROAD</x:v>
      </x:c>
      <x:c r="J1353" s="187" t="str">
        <x:v>RETURN_LOGISTICS</x:v>
      </x:c>
      <x:c r="K1353" s="187" t="str">
        <x:v>EUR</x:v>
      </x:c>
      <x:c r="L1353" s="232" t="n">
        <x:v>870.91524</x:v>
      </x:c>
      <x:c r="M1353" s="232" t="n">
        <x:v>7.88</x:v>
      </x:c>
      <x:c r="N1353" s="187" t="str">
        <x:v>6862.81209120000000</x:v>
      </x:c>
      <x:c r="O1353" s="235" t="n">
        <x:v>6862.8121</x:v>
      </x:c>
      <x:c r="P1353" s="235"/>
      <x:c r="Q1353" s="235"/>
      <x:c r="R1353" s="235" t="str">
        <x:v>INVOICE_OR_PLAN</x:v>
      </x:c>
      <x:c r="S1353" s="238" t="n">
        <x:f>'Model_Calc'!AV229</x:f>
        <x:v>6862.812091199999</x:v>
      </x:c>
      <x:c r="T1353" s="238" t="n">
        <x:f>ROUND(S1353-O1353,4)</x:f>
        <x:v>0</x:v>
      </x:c>
    </x:row>
    <x:row r="1354">
      <x:c r="A1354" s="187" t="str">
        <x:v>FORECAST_2026_08_V1</x:v>
      </x:c>
      <x:c r="B1354" s="187" t="str">
        <x:v>FORECAST</x:v>
      </x:c>
      <x:c r="C1354" s="187"/>
      <x:c r="D1354" s="217" t="n">
        <x:v>46327</x:v>
      </x:c>
      <x:c r="E1354" s="187" t="str">
        <x:v>R_FR_FR_B_ROAD</x:v>
      </x:c>
      <x:c r="F1354" s="187" t="str">
        <x:v>FR</x:v>
      </x:c>
      <x:c r="G1354" s="187" t="str">
        <x:v>FR_FC</x:v>
      </x:c>
      <x:c r="H1354" s="187" t="str">
        <x:v>CARRIER_B</x:v>
      </x:c>
      <x:c r="I1354" s="187" t="str">
        <x:v>ROAD</x:v>
      </x:c>
      <x:c r="J1354" s="187" t="str">
        <x:v>BILLABLE_EXCEPTION</x:v>
      </x:c>
      <x:c r="K1354" s="187" t="str">
        <x:v>EUR</x:v>
      </x:c>
      <x:c r="L1354" s="232" t="n">
        <x:v>165.144883176</x:v>
      </x:c>
      <x:c r="M1354" s="232" t="n">
        <x:v>7.88</x:v>
      </x:c>
      <x:c r="N1354" s="187" t="str">
        <x:v>1301.3416794268800000</x:v>
      </x:c>
      <x:c r="O1354" s="235" t="n">
        <x:v>1301.3417</x:v>
      </x:c>
      <x:c r="P1354" s="235"/>
      <x:c r="Q1354" s="235"/>
      <x:c r="R1354" s="235" t="str">
        <x:v>INVOICE_OR_PLAN</x:v>
      </x:c>
      <x:c r="S1354" s="238" t="n">
        <x:f>'Model_Calc'!BA229</x:f>
        <x:v>1301.34167942688</x:v>
      </x:c>
      <x:c r="T1354" s="238" t="n">
        <x:f>ROUND(S1354-O1354,4)</x:f>
        <x:v>0</x:v>
      </x:c>
    </x:row>
    <x:row r="1355">
      <x:c r="A1355" s="187" t="str">
        <x:v>FORECAST_2026_08_V1</x:v>
      </x:c>
      <x:c r="B1355" s="187" t="str">
        <x:v>FORECAST</x:v>
      </x:c>
      <x:c r="C1355" s="187"/>
      <x:c r="D1355" s="217" t="n">
        <x:v>46327</x:v>
      </x:c>
      <x:c r="E1355" s="187" t="str">
        <x:v>R_GB_DE_A_ROAD</x:v>
      </x:c>
      <x:c r="F1355" s="187" t="str">
        <x:v>GB</x:v>
      </x:c>
      <x:c r="G1355" s="187" t="str">
        <x:v>DE_FC</x:v>
      </x:c>
      <x:c r="H1355" s="187" t="str">
        <x:v>CARRIER_A</x:v>
      </x:c>
      <x:c r="I1355" s="187" t="str">
        <x:v>ROAD</x:v>
      </x:c>
      <x:c r="J1355" s="187" t="str">
        <x:v>BASE_FREIGHT</x:v>
      </x:c>
      <x:c r="K1355" s="187" t="str">
        <x:v>GBP</x:v>
      </x:c>
      <x:c r="L1355" s="232" t="n">
        <x:v>19849.278784129965</x:v>
      </x:c>
      <x:c r="M1355" s="232" t="n">
        <x:v>9.05</x:v>
      </x:c>
      <x:c r="N1355" s="187" t="str">
        <x:v>179635.972996376193024000000</x:v>
      </x:c>
      <x:c r="O1355" s="235" t="n">
        <x:v>179635.973</x:v>
      </x:c>
      <x:c r="P1355" s="235"/>
      <x:c r="Q1355" s="235"/>
      <x:c r="R1355" s="235" t="str">
        <x:v>INVOICE_OR_PLAN</x:v>
      </x:c>
      <x:c r="S1355" s="238" t="n">
        <x:f>'Model_Calc'!AF230</x:f>
        <x:v>179635.97299637616</x:v>
      </x:c>
      <x:c r="T1355" s="238" t="n">
        <x:f>ROUND(S1355-O1355,4)</x:f>
        <x:v>0</x:v>
      </x:c>
    </x:row>
    <x:row r="1356">
      <x:c r="A1356" s="187" t="str">
        <x:v>FORECAST_2026_08_V1</x:v>
      </x:c>
      <x:c r="B1356" s="187" t="str">
        <x:v>FORECAST</x:v>
      </x:c>
      <x:c r="C1356" s="187"/>
      <x:c r="D1356" s="217" t="n">
        <x:v>46327</x:v>
      </x:c>
      <x:c r="E1356" s="187" t="str">
        <x:v>R_GB_DE_A_ROAD</x:v>
      </x:c>
      <x:c r="F1356" s="187" t="str">
        <x:v>GB</x:v>
      </x:c>
      <x:c r="G1356" s="187" t="str">
        <x:v>DE_FC</x:v>
      </x:c>
      <x:c r="H1356" s="187" t="str">
        <x:v>CARRIER_A</x:v>
      </x:c>
      <x:c r="I1356" s="187" t="str">
        <x:v>ROAD</x:v>
      </x:c>
      <x:c r="J1356" s="187" t="str">
        <x:v>FUEL_SURCHARGE</x:v>
      </x:c>
      <x:c r="K1356" s="187" t="str">
        <x:v>GBP</x:v>
      </x:c>
      <x:c r="L1356" s="232" t="n">
        <x:v>2054.4003541574516</x:v>
      </x:c>
      <x:c r="M1356" s="232" t="n">
        <x:v>9.05</x:v>
      </x:c>
      <x:c r="N1356" s="187" t="str">
        <x:v>18592.323205124935977984000000000</x:v>
      </x:c>
      <x:c r="O1356" s="235" t="n">
        <x:v>18592.3232</x:v>
      </x:c>
      <x:c r="P1356" s="235"/>
      <x:c r="Q1356" s="235"/>
      <x:c r="R1356" s="235" t="str">
        <x:v>INVOICE_OR_PLAN</x:v>
      </x:c>
      <x:c r="S1356" s="238" t="n">
        <x:f>'Model_Calc'!AG230</x:f>
        <x:v>18592.32320512493</x:v>
      </x:c>
      <x:c r="T1356" s="238" t="n">
        <x:f>ROUND(S1356-O1356,4)</x:f>
        <x:v>0</x:v>
      </x:c>
    </x:row>
    <x:row r="1357">
      <x:c r="A1357" s="187" t="str">
        <x:v>FORECAST_2026_08_V1</x:v>
      </x:c>
      <x:c r="B1357" s="187" t="str">
        <x:v>FORECAST</x:v>
      </x:c>
      <x:c r="C1357" s="187"/>
      <x:c r="D1357" s="217" t="n">
        <x:v>46327</x:v>
      </x:c>
      <x:c r="E1357" s="187" t="str">
        <x:v>R_GB_DE_A_ROAD</x:v>
      </x:c>
      <x:c r="F1357" s="187" t="str">
        <x:v>GB</x:v>
      </x:c>
      <x:c r="G1357" s="187" t="str">
        <x:v>DE_FC</x:v>
      </x:c>
      <x:c r="H1357" s="187" t="str">
        <x:v>CARRIER_A</x:v>
      </x:c>
      <x:c r="I1357" s="187" t="str">
        <x:v>ROAD</x:v>
      </x:c>
      <x:c r="J1357" s="187" t="str">
        <x:v>WAREHOUSE_OPERATION</x:v>
      </x:c>
      <x:c r="K1357" s="187" t="str">
        <x:v>EUR</x:v>
      </x:c>
      <x:c r="L1357" s="232" t="n">
        <x:v>4762.76516352</x:v>
      </x:c>
      <x:c r="M1357" s="232" t="n">
        <x:v>7.88</x:v>
      </x:c>
      <x:c r="N1357" s="187" t="str">
        <x:v>37530.5894885376000</x:v>
      </x:c>
      <x:c r="O1357" s="235" t="n">
        <x:v>37530.5895</x:v>
      </x:c>
      <x:c r="P1357" s="235"/>
      <x:c r="Q1357" s="235"/>
      <x:c r="R1357" s="235" t="str">
        <x:v>INVOICE_OR_PLAN</x:v>
      </x:c>
      <x:c r="S1357" s="238" t="n">
        <x:f>'Model_Calc'!AL230</x:f>
        <x:v>37530.58948853759</x:v>
      </x:c>
      <x:c r="T1357" s="238" t="n">
        <x:f>ROUND(S1357-O1357,4)</x:f>
        <x:v>0</x:v>
      </x:c>
    </x:row>
    <x:row r="1358">
      <x:c r="A1358" s="187" t="str">
        <x:v>FORECAST_2026_08_V1</x:v>
      </x:c>
      <x:c r="B1358" s="187" t="str">
        <x:v>FORECAST</x:v>
      </x:c>
      <x:c r="C1358" s="187"/>
      <x:c r="D1358" s="217" t="n">
        <x:v>46327</x:v>
      </x:c>
      <x:c r="E1358" s="187" t="str">
        <x:v>R_GB_DE_A_ROAD</x:v>
      </x:c>
      <x:c r="F1358" s="187" t="str">
        <x:v>GB</x:v>
      </x:c>
      <x:c r="G1358" s="187" t="str">
        <x:v>DE_FC</x:v>
      </x:c>
      <x:c r="H1358" s="187" t="str">
        <x:v>CARRIER_A</x:v>
      </x:c>
      <x:c r="I1358" s="187" t="str">
        <x:v>ROAD</x:v>
      </x:c>
      <x:c r="J1358" s="187" t="str">
        <x:v>PACKAGING</x:v>
      </x:c>
      <x:c r="K1358" s="187" t="str">
        <x:v>EUR</x:v>
      </x:c>
      <x:c r="L1358" s="232" t="n">
        <x:v>1983.4091536896</x:v>
      </x:c>
      <x:c r="M1358" s="232" t="n">
        <x:v>7.88</x:v>
      </x:c>
      <x:c r="N1358" s="187" t="str">
        <x:v>15629.264131074048000</x:v>
      </x:c>
      <x:c r="O1358" s="235" t="n">
        <x:v>15629.2641</x:v>
      </x:c>
      <x:c r="P1358" s="235"/>
      <x:c r="Q1358" s="235"/>
      <x:c r="R1358" s="235" t="str">
        <x:v>INVOICE_OR_PLAN</x:v>
      </x:c>
      <x:c r="S1358" s="238" t="n">
        <x:f>'Model_Calc'!AQ230</x:f>
        <x:v>15629.264131074044</x:v>
      </x:c>
      <x:c r="T1358" s="238" t="n">
        <x:f>ROUND(S1358-O1358,4)</x:f>
        <x:v>0</x:v>
      </x:c>
    </x:row>
    <x:row r="1359">
      <x:c r="A1359" s="187" t="str">
        <x:v>FORECAST_2026_08_V1</x:v>
      </x:c>
      <x:c r="B1359" s="187" t="str">
        <x:v>FORECAST</x:v>
      </x:c>
      <x:c r="C1359" s="187"/>
      <x:c r="D1359" s="217" t="n">
        <x:v>46327</x:v>
      </x:c>
      <x:c r="E1359" s="187" t="str">
        <x:v>R_GB_DE_A_ROAD</x:v>
      </x:c>
      <x:c r="F1359" s="187" t="str">
        <x:v>GB</x:v>
      </x:c>
      <x:c r="G1359" s="187" t="str">
        <x:v>DE_FC</x:v>
      </x:c>
      <x:c r="H1359" s="187" t="str">
        <x:v>CARRIER_A</x:v>
      </x:c>
      <x:c r="I1359" s="187" t="str">
        <x:v>ROAD</x:v>
      </x:c>
      <x:c r="J1359" s="187" t="str">
        <x:v>RETURN_LOGISTICS</x:v>
      </x:c>
      <x:c r="K1359" s="187" t="str">
        <x:v>GBP</x:v>
      </x:c>
      <x:c r="L1359" s="232" t="n">
        <x:v>1743.656398848</x:v>
      </x:c>
      <x:c r="M1359" s="232" t="n">
        <x:v>9.05</x:v>
      </x:c>
      <x:c r="N1359" s="187" t="str">
        <x:v>15780.0904095744000000</x:v>
      </x:c>
      <x:c r="O1359" s="235" t="n">
        <x:v>15780.0904</x:v>
      </x:c>
      <x:c r="P1359" s="235"/>
      <x:c r="Q1359" s="235"/>
      <x:c r="R1359" s="235" t="str">
        <x:v>INVOICE_OR_PLAN</x:v>
      </x:c>
      <x:c r="S1359" s="238" t="n">
        <x:f>'Model_Calc'!AV230</x:f>
        <x:v>15780.090409574399</x:v>
      </x:c>
      <x:c r="T1359" s="238" t="n">
        <x:f>ROUND(S1359-O1359,4)</x:f>
        <x:v>0</x:v>
      </x:c>
    </x:row>
    <x:row r="1360">
      <x:c r="A1360" s="187" t="str">
        <x:v>FORECAST_2026_08_V1</x:v>
      </x:c>
      <x:c r="B1360" s="187" t="str">
        <x:v>FORECAST</x:v>
      </x:c>
      <x:c r="C1360" s="187"/>
      <x:c r="D1360" s="217" t="n">
        <x:v>46327</x:v>
      </x:c>
      <x:c r="E1360" s="187" t="str">
        <x:v>R_GB_DE_A_ROAD</x:v>
      </x:c>
      <x:c r="F1360" s="187" t="str">
        <x:v>GB</x:v>
      </x:c>
      <x:c r="G1360" s="187" t="str">
        <x:v>DE_FC</x:v>
      </x:c>
      <x:c r="H1360" s="187" t="str">
        <x:v>CARRIER_A</x:v>
      </x:c>
      <x:c r="I1360" s="187" t="str">
        <x:v>ROAD</x:v>
      </x:c>
      <x:c r="J1360" s="187" t="str">
        <x:v>BILLABLE_EXCEPTION</x:v>
      </x:c>
      <x:c r="K1360" s="187" t="str">
        <x:v>GBP</x:v>
      </x:c>
      <x:c r="L1360" s="232" t="n">
        <x:v>293.261210581248</x:v>
      </x:c>
      <x:c r="M1360" s="232" t="n">
        <x:v>9.05</x:v>
      </x:c>
      <x:c r="N1360" s="187" t="str">
        <x:v>2654.013955760294400000</x:v>
      </x:c>
      <x:c r="O1360" s="235" t="n">
        <x:v>2654.014</x:v>
      </x:c>
      <x:c r="P1360" s="235"/>
      <x:c r="Q1360" s="235"/>
      <x:c r="R1360" s="235" t="str">
        <x:v>INVOICE_OR_PLAN</x:v>
      </x:c>
      <x:c r="S1360" s="238" t="n">
        <x:f>'Model_Calc'!BA230</x:f>
        <x:v>2654.013955760294</x:v>
      </x:c>
      <x:c r="T1360" s="238" t="n">
        <x:f>ROUND(S1360-O1360,4)</x:f>
        <x:v>0</x:v>
      </x:c>
    </x:row>
    <x:row r="1361">
      <x:c r="A1361" s="187" t="str">
        <x:v>FORECAST_2026_08_V1</x:v>
      </x:c>
      <x:c r="B1361" s="187" t="str">
        <x:v>FORECAST</x:v>
      </x:c>
      <x:c r="C1361" s="187"/>
      <x:c r="D1361" s="217" t="n">
        <x:v>46327</x:v>
      </x:c>
      <x:c r="E1361" s="187" t="str">
        <x:v>R_GB_DE_B_ROAD</x:v>
      </x:c>
      <x:c r="F1361" s="187" t="str">
        <x:v>GB</x:v>
      </x:c>
      <x:c r="G1361" s="187" t="str">
        <x:v>DE_FC</x:v>
      </x:c>
      <x:c r="H1361" s="187" t="str">
        <x:v>CARRIER_B</x:v>
      </x:c>
      <x:c r="I1361" s="187" t="str">
        <x:v>ROAD</x:v>
      </x:c>
      <x:c r="J1361" s="187" t="str">
        <x:v>BASE_FREIGHT</x:v>
      </x:c>
      <x:c r="K1361" s="187" t="str">
        <x:v>GBP</x:v>
      </x:c>
      <x:c r="L1361" s="232" t="n">
        <x:v>12521.633033172557</x:v>
      </x:c>
      <x:c r="M1361" s="232" t="n">
        <x:v>9.05</x:v>
      </x:c>
      <x:c r="N1361" s="187" t="str">
        <x:v>113320.778950211639040000000</x:v>
      </x:c>
      <x:c r="O1361" s="235" t="n">
        <x:v>113320.779</x:v>
      </x:c>
      <x:c r="P1361" s="235"/>
      <x:c r="Q1361" s="235"/>
      <x:c r="R1361" s="235" t="str">
        <x:v>INVOICE_OR_PLAN</x:v>
      </x:c>
      <x:c r="S1361" s="238" t="n">
        <x:f>'Model_Calc'!AF231</x:f>
        <x:v>113320.77895021164</x:v>
      </x:c>
      <x:c r="T1361" s="238" t="n">
        <x:f>ROUND(S1361-O1361,4)</x:f>
        <x:v>0</x:v>
      </x:c>
    </x:row>
    <x:row r="1362">
      <x:c r="A1362" s="187" t="str">
        <x:v>FORECAST_2026_08_V1</x:v>
      </x:c>
      <x:c r="B1362" s="187" t="str">
        <x:v>FORECAST</x:v>
      </x:c>
      <x:c r="C1362" s="187"/>
      <x:c r="D1362" s="217" t="n">
        <x:v>46327</x:v>
      </x:c>
      <x:c r="E1362" s="187" t="str">
        <x:v>R_GB_DE_B_ROAD</x:v>
      </x:c>
      <x:c r="F1362" s="187" t="str">
        <x:v>GB</x:v>
      </x:c>
      <x:c r="G1362" s="187" t="str">
        <x:v>DE_FC</x:v>
      </x:c>
      <x:c r="H1362" s="187" t="str">
        <x:v>CARRIER_B</x:v>
      </x:c>
      <x:c r="I1362" s="187" t="str">
        <x:v>ROAD</x:v>
      </x:c>
      <x:c r="J1362" s="187" t="str">
        <x:v>FUEL_SURCHARGE</x:v>
      </x:c>
      <x:c r="K1362" s="187" t="str">
        <x:v>GBP</x:v>
      </x:c>
      <x:c r="L1362" s="232" t="n">
        <x:v>879.1784895631795</x:v>
      </x:c>
      <x:c r="M1362" s="232" t="n">
        <x:v>9.05</x:v>
      </x:c>
      <x:c r="N1362" s="187" t="str">
        <x:v>7956.565330546774656000000</x:v>
      </x:c>
      <x:c r="O1362" s="235" t="n">
        <x:v>7956.5653</x:v>
      </x:c>
      <x:c r="P1362" s="235"/>
      <x:c r="Q1362" s="235"/>
      <x:c r="R1362" s="235" t="str">
        <x:v>INVOICE_OR_PLAN</x:v>
      </x:c>
      <x:c r="S1362" s="238" t="n">
        <x:f>'Model_Calc'!AG231</x:f>
        <x:v>7956.565330546775</x:v>
      </x:c>
      <x:c r="T1362" s="238" t="n">
        <x:f>ROUND(S1362-O1362,4)</x:f>
        <x:v>0</x:v>
      </x:c>
    </x:row>
    <x:row r="1363">
      <x:c r="A1363" s="187" t="str">
        <x:v>FORECAST_2026_08_V1</x:v>
      </x:c>
      <x:c r="B1363" s="187" t="str">
        <x:v>FORECAST</x:v>
      </x:c>
      <x:c r="C1363" s="187"/>
      <x:c r="D1363" s="217" t="n">
        <x:v>46327</x:v>
      </x:c>
      <x:c r="E1363" s="187" t="str">
        <x:v>R_GB_DE_B_ROAD</x:v>
      </x:c>
      <x:c r="F1363" s="187" t="str">
        <x:v>GB</x:v>
      </x:c>
      <x:c r="G1363" s="187" t="str">
        <x:v>DE_FC</x:v>
      </x:c>
      <x:c r="H1363" s="187" t="str">
        <x:v>CARRIER_B</x:v>
      </x:c>
      <x:c r="I1363" s="187" t="str">
        <x:v>ROAD</x:v>
      </x:c>
      <x:c r="J1363" s="187" t="str">
        <x:v>WAREHOUSE_OPERATION</x:v>
      </x:c>
      <x:c r="K1363" s="187" t="str">
        <x:v>EUR</x:v>
      </x:c>
      <x:c r="L1363" s="232" t="n">
        <x:v>2608.18092288</x:v>
      </x:c>
      <x:c r="M1363" s="232" t="n">
        <x:v>7.88</x:v>
      </x:c>
      <x:c r="N1363" s="187" t="str">
        <x:v>20552.4656722944000</x:v>
      </x:c>
      <x:c r="O1363" s="235" t="n">
        <x:v>20552.4657</x:v>
      </x:c>
      <x:c r="P1363" s="235"/>
      <x:c r="Q1363" s="235"/>
      <x:c r="R1363" s="235" t="str">
        <x:v>INVOICE_OR_PLAN</x:v>
      </x:c>
      <x:c r="S1363" s="238" t="n">
        <x:f>'Model_Calc'!AL231</x:f>
        <x:v>20552.465672294402</x:v>
      </x:c>
      <x:c r="T1363" s="238" t="n">
        <x:f>ROUND(S1363-O1363,4)</x:f>
        <x:v>0</x:v>
      </x:c>
    </x:row>
    <x:row r="1364">
      <x:c r="A1364" s="187" t="str">
        <x:v>FORECAST_2026_08_V1</x:v>
      </x:c>
      <x:c r="B1364" s="187" t="str">
        <x:v>FORECAST</x:v>
      </x:c>
      <x:c r="C1364" s="187"/>
      <x:c r="D1364" s="217" t="n">
        <x:v>46327</x:v>
      </x:c>
      <x:c r="E1364" s="187" t="str">
        <x:v>R_GB_DE_B_ROAD</x:v>
      </x:c>
      <x:c r="F1364" s="187" t="str">
        <x:v>GB</x:v>
      </x:c>
      <x:c r="G1364" s="187" t="str">
        <x:v>DE_FC</x:v>
      </x:c>
      <x:c r="H1364" s="187" t="str">
        <x:v>CARRIER_B</x:v>
      </x:c>
      <x:c r="I1364" s="187" t="str">
        <x:v>ROAD</x:v>
      </x:c>
      <x:c r="J1364" s="187" t="str">
        <x:v>PACKAGING</x:v>
      </x:c>
      <x:c r="K1364" s="187" t="str">
        <x:v>EUR</x:v>
      </x:c>
      <x:c r="L1364" s="232" t="n">
        <x:v>1086.1526317824</x:v>
      </x:c>
      <x:c r="M1364" s="232" t="n">
        <x:v>7.88</x:v>
      </x:c>
      <x:c r="N1364" s="187" t="str">
        <x:v>8558.882738445312000</x:v>
      </x:c>
      <x:c r="O1364" s="235" t="n">
        <x:v>8558.8827</x:v>
      </x:c>
      <x:c r="P1364" s="235"/>
      <x:c r="Q1364" s="235"/>
      <x:c r="R1364" s="235" t="str">
        <x:v>INVOICE_OR_PLAN</x:v>
      </x:c>
      <x:c r="S1364" s="238" t="n">
        <x:f>'Model_Calc'!AQ231</x:f>
        <x:v>8558.88273844531</x:v>
      </x:c>
      <x:c r="T1364" s="238" t="n">
        <x:f>ROUND(S1364-O1364,4)</x:f>
        <x:v>0</x:v>
      </x:c>
    </x:row>
    <x:row r="1365">
      <x:c r="A1365" s="187" t="str">
        <x:v>FORECAST_2026_08_V1</x:v>
      </x:c>
      <x:c r="B1365" s="187" t="str">
        <x:v>FORECAST</x:v>
      </x:c>
      <x:c r="C1365" s="187"/>
      <x:c r="D1365" s="217" t="n">
        <x:v>46327</x:v>
      </x:c>
      <x:c r="E1365" s="187" t="str">
        <x:v>R_GB_DE_B_ROAD</x:v>
      </x:c>
      <x:c r="F1365" s="187" t="str">
        <x:v>GB</x:v>
      </x:c>
      <x:c r="G1365" s="187" t="str">
        <x:v>DE_FC</x:v>
      </x:c>
      <x:c r="H1365" s="187" t="str">
        <x:v>CARRIER_B</x:v>
      </x:c>
      <x:c r="I1365" s="187" t="str">
        <x:v>ROAD</x:v>
      </x:c>
      <x:c r="J1365" s="187" t="str">
        <x:v>RETURN_LOGISTICS</x:v>
      </x:c>
      <x:c r="K1365" s="187" t="str">
        <x:v>GBP</x:v>
      </x:c>
      <x:c r="L1365" s="232" t="n">
        <x:v>954.859456512</x:v>
      </x:c>
      <x:c r="M1365" s="232" t="n">
        <x:v>9.05</x:v>
      </x:c>
      <x:c r="N1365" s="187" t="str">
        <x:v>8641.4780814336000000</x:v>
      </x:c>
      <x:c r="O1365" s="235" t="n">
        <x:v>8641.4781</x:v>
      </x:c>
      <x:c r="P1365" s="235"/>
      <x:c r="Q1365" s="235"/>
      <x:c r="R1365" s="235" t="str">
        <x:v>INVOICE_OR_PLAN</x:v>
      </x:c>
      <x:c r="S1365" s="238" t="n">
        <x:f>'Model_Calc'!AV231</x:f>
        <x:v>8641.4780814336</x:v>
      </x:c>
      <x:c r="T1365" s="238" t="n">
        <x:f>ROUND(S1365-O1365,4)</x:f>
        <x:v>0</x:v>
      </x:c>
    </x:row>
    <x:row r="1366">
      <x:c r="A1366" s="187" t="str">
        <x:v>FORECAST_2026_08_V1</x:v>
      </x:c>
      <x:c r="B1366" s="187" t="str">
        <x:v>FORECAST</x:v>
      </x:c>
      <x:c r="C1366" s="187"/>
      <x:c r="D1366" s="217" t="n">
        <x:v>46327</x:v>
      </x:c>
      <x:c r="E1366" s="187" t="str">
        <x:v>R_GB_DE_B_ROAD</x:v>
      </x:c>
      <x:c r="F1366" s="187" t="str">
        <x:v>GB</x:v>
      </x:c>
      <x:c r="G1366" s="187" t="str">
        <x:v>DE_FC</x:v>
      </x:c>
      <x:c r="H1366" s="187" t="str">
        <x:v>CARRIER_B</x:v>
      </x:c>
      <x:c r="I1366" s="187" t="str">
        <x:v>ROAD</x:v>
      </x:c>
      <x:c r="J1366" s="187" t="str">
        <x:v>BILLABLE_EXCEPTION</x:v>
      </x:c>
      <x:c r="K1366" s="187" t="str">
        <x:v>GBP</x:v>
      </x:c>
      <x:c r="L1366" s="232" t="n">
        <x:v>118.95957395712</x:v>
      </x:c>
      <x:c r="M1366" s="232" t="n">
        <x:v>9.05</x:v>
      </x:c>
      <x:c r="N1366" s="187" t="str">
        <x:v>1076.584144311936000000</x:v>
      </x:c>
      <x:c r="O1366" s="235" t="n">
        <x:v>1076.5841</x:v>
      </x:c>
      <x:c r="P1366" s="235"/>
      <x:c r="Q1366" s="235"/>
      <x:c r="R1366" s="235" t="str">
        <x:v>INVOICE_OR_PLAN</x:v>
      </x:c>
      <x:c r="S1366" s="238" t="n">
        <x:f>'Model_Calc'!BA231</x:f>
        <x:v>1076.5841443119361</x:v>
      </x:c>
      <x:c r="T1366" s="238" t="n">
        <x:f>ROUND(S1366-O1366,4)</x:f>
        <x:v>0</x:v>
      </x:c>
    </x:row>
    <x:row r="1367">
      <x:c r="A1367" s="187" t="str">
        <x:v>FORECAST_2026_08_V1</x:v>
      </x:c>
      <x:c r="B1367" s="187" t="str">
        <x:v>FORECAST</x:v>
      </x:c>
      <x:c r="C1367" s="187"/>
      <x:c r="D1367" s="217" t="n">
        <x:v>46327</x:v>
      </x:c>
      <x:c r="E1367" s="187" t="str">
        <x:v>R_GB_DE_B_AIR</x:v>
      </x:c>
      <x:c r="F1367" s="187" t="str">
        <x:v>GB</x:v>
      </x:c>
      <x:c r="G1367" s="187" t="str">
        <x:v>DE_FC</x:v>
      </x:c>
      <x:c r="H1367" s="187" t="str">
        <x:v>CARRIER_B</x:v>
      </x:c>
      <x:c r="I1367" s="187" t="str">
        <x:v>AIR</x:v>
      </x:c>
      <x:c r="J1367" s="187" t="str">
        <x:v>BASE_FREIGHT</x:v>
      </x:c>
      <x:c r="K1367" s="187" t="str">
        <x:v>GBP</x:v>
      </x:c>
      <x:c r="L1367" s="232" t="n">
        <x:v>15445.81543959762</x:v>
      </x:c>
      <x:c r="M1367" s="232" t="n">
        <x:v>9.05</x:v>
      </x:c>
      <x:c r="N1367" s="187" t="str">
        <x:v>139784.62972835845450137600000</x:v>
      </x:c>
      <x:c r="O1367" s="235" t="n">
        <x:v>139784.6297</x:v>
      </x:c>
      <x:c r="P1367" s="235"/>
      <x:c r="Q1367" s="235"/>
      <x:c r="R1367" s="235" t="str">
        <x:v>INVOICE_OR_PLAN</x:v>
      </x:c>
      <x:c r="S1367" s="238" t="n">
        <x:f>'Model_Calc'!AF232</x:f>
        <x:v>139784.62972835844</x:v>
      </x:c>
      <x:c r="T1367" s="238" t="n">
        <x:f>ROUND(S1367-O1367,4)</x:f>
        <x:v>0</x:v>
      </x:c>
    </x:row>
    <x:row r="1368">
      <x:c r="A1368" s="187" t="str">
        <x:v>FORECAST_2026_08_V1</x:v>
      </x:c>
      <x:c r="B1368" s="187" t="str">
        <x:v>FORECAST</x:v>
      </x:c>
      <x:c r="C1368" s="187"/>
      <x:c r="D1368" s="217" t="n">
        <x:v>46327</x:v>
      </x:c>
      <x:c r="E1368" s="187" t="str">
        <x:v>R_GB_DE_B_AIR</x:v>
      </x:c>
      <x:c r="F1368" s="187" t="str">
        <x:v>GB</x:v>
      </x:c>
      <x:c r="G1368" s="187" t="str">
        <x:v>DE_FC</x:v>
      </x:c>
      <x:c r="H1368" s="187" t="str">
        <x:v>CARRIER_B</x:v>
      </x:c>
      <x:c r="I1368" s="187" t="str">
        <x:v>AIR</x:v>
      </x:c>
      <x:c r="J1368" s="187" t="str">
        <x:v>FUEL_SURCHARGE</x:v>
      </x:c>
      <x:c r="K1368" s="187" t="str">
        <x:v>GBP</x:v>
      </x:c>
      <x:c r="L1368" s="232" t="n">
        <x:v>1911.9757100060308</x:v>
      </x:c>
      <x:c r="M1368" s="232" t="n">
        <x:v>9.05</x:v>
      </x:c>
      <x:c r="N1368" s="187" t="str">
        <x:v>17303.3801755545796489073295360000000</x:v>
      </x:c>
      <x:c r="O1368" s="235" t="n">
        <x:v>17303.3802</x:v>
      </x:c>
      <x:c r="P1368" s="235"/>
      <x:c r="Q1368" s="235"/>
      <x:c r="R1368" s="235" t="str">
        <x:v>INVOICE_OR_PLAN</x:v>
      </x:c>
      <x:c r="S1368" s="238" t="n">
        <x:f>'Model_Calc'!AG232</x:f>
        <x:v>17303.38017555458</x:v>
      </x:c>
      <x:c r="T1368" s="238" t="n">
        <x:f>ROUND(S1368-O1368,4)</x:f>
        <x:v>0</x:v>
      </x:c>
    </x:row>
    <x:row r="1369">
      <x:c r="A1369" s="187" t="str">
        <x:v>FORECAST_2026_08_V1</x:v>
      </x:c>
      <x:c r="B1369" s="187" t="str">
        <x:v>FORECAST</x:v>
      </x:c>
      <x:c r="C1369" s="187"/>
      <x:c r="D1369" s="217" t="n">
        <x:v>46327</x:v>
      </x:c>
      <x:c r="E1369" s="187" t="str">
        <x:v>R_GB_DE_B_AIR</x:v>
      </x:c>
      <x:c r="F1369" s="187" t="str">
        <x:v>GB</x:v>
      </x:c>
      <x:c r="G1369" s="187" t="str">
        <x:v>DE_FC</x:v>
      </x:c>
      <x:c r="H1369" s="187" t="str">
        <x:v>CARRIER_B</x:v>
      </x:c>
      <x:c r="I1369" s="187" t="str">
        <x:v>AIR</x:v>
      </x:c>
      <x:c r="J1369" s="187" t="str">
        <x:v>WAREHOUSE_OPERATION</x:v>
      </x:c>
      <x:c r="K1369" s="187" t="str">
        <x:v>EUR</x:v>
      </x:c>
      <x:c r="L1369" s="232" t="n">
        <x:v>2494.78175232</x:v>
      </x:c>
      <x:c r="M1369" s="232" t="n">
        <x:v>7.88</x:v>
      </x:c>
      <x:c r="N1369" s="187" t="str">
        <x:v>19658.8802082816000</x:v>
      </x:c>
      <x:c r="O1369" s="235" t="n">
        <x:v>19658.8802</x:v>
      </x:c>
      <x:c r="P1369" s="235"/>
      <x:c r="Q1369" s="235"/>
      <x:c r="R1369" s="235" t="str">
        <x:v>INVOICE_OR_PLAN</x:v>
      </x:c>
      <x:c r="S1369" s="238" t="n">
        <x:f>'Model_Calc'!AL232</x:f>
        <x:v>19658.880208281596</x:v>
      </x:c>
      <x:c r="T1369" s="238" t="n">
        <x:f>ROUND(S1369-O1369,4)</x:f>
        <x:v>0</x:v>
      </x:c>
    </x:row>
    <x:row r="1370">
      <x:c r="A1370" s="187" t="str">
        <x:v>FORECAST_2026_08_V1</x:v>
      </x:c>
      <x:c r="B1370" s="187" t="str">
        <x:v>FORECAST</x:v>
      </x:c>
      <x:c r="C1370" s="187"/>
      <x:c r="D1370" s="217" t="n">
        <x:v>46327</x:v>
      </x:c>
      <x:c r="E1370" s="187" t="str">
        <x:v>R_GB_DE_B_AIR</x:v>
      </x:c>
      <x:c r="F1370" s="187" t="str">
        <x:v>GB</x:v>
      </x:c>
      <x:c r="G1370" s="187" t="str">
        <x:v>DE_FC</x:v>
      </x:c>
      <x:c r="H1370" s="187" t="str">
        <x:v>CARRIER_B</x:v>
      </x:c>
      <x:c r="I1370" s="187" t="str">
        <x:v>AIR</x:v>
      </x:c>
      <x:c r="J1370" s="187" t="str">
        <x:v>PACKAGING</x:v>
      </x:c>
      <x:c r="K1370" s="187" t="str">
        <x:v>EUR</x:v>
      </x:c>
      <x:c r="L1370" s="232" t="n">
        <x:v>1038.9286043136</x:v>
      </x:c>
      <x:c r="M1370" s="232" t="n">
        <x:v>7.88</x:v>
      </x:c>
      <x:c r="N1370" s="187" t="str">
        <x:v>8186.757401991168000</x:v>
      </x:c>
      <x:c r="O1370" s="235" t="n">
        <x:v>8186.7574</x:v>
      </x:c>
      <x:c r="P1370" s="235"/>
      <x:c r="Q1370" s="235"/>
      <x:c r="R1370" s="235" t="str">
        <x:v>INVOICE_OR_PLAN</x:v>
      </x:c>
      <x:c r="S1370" s="238" t="n">
        <x:f>'Model_Calc'!AQ232</x:f>
        <x:v>8186.757401991167</x:v>
      </x:c>
      <x:c r="T1370" s="238" t="n">
        <x:f>ROUND(S1370-O1370,4)</x:f>
        <x:v>0</x:v>
      </x:c>
    </x:row>
    <x:row r="1371">
      <x:c r="A1371" s="187" t="str">
        <x:v>FORECAST_2026_08_V1</x:v>
      </x:c>
      <x:c r="B1371" s="187" t="str">
        <x:v>FORECAST</x:v>
      </x:c>
      <x:c r="C1371" s="187"/>
      <x:c r="D1371" s="217" t="n">
        <x:v>46327</x:v>
      </x:c>
      <x:c r="E1371" s="187" t="str">
        <x:v>R_GB_DE_B_AIR</x:v>
      </x:c>
      <x:c r="F1371" s="187" t="str">
        <x:v>GB</x:v>
      </x:c>
      <x:c r="G1371" s="187" t="str">
        <x:v>DE_FC</x:v>
      </x:c>
      <x:c r="H1371" s="187" t="str">
        <x:v>CARRIER_B</x:v>
      </x:c>
      <x:c r="I1371" s="187" t="str">
        <x:v>AIR</x:v>
      </x:c>
      <x:c r="J1371" s="187" t="str">
        <x:v>RETURN_LOGISTICS</x:v>
      </x:c>
      <x:c r="K1371" s="187" t="str">
        <x:v>GBP</x:v>
      </x:c>
      <x:c r="L1371" s="232" t="n">
        <x:v>913.343827968</x:v>
      </x:c>
      <x:c r="M1371" s="232" t="n">
        <x:v>9.05</x:v>
      </x:c>
      <x:c r="N1371" s="187" t="str">
        <x:v>8265.7616431104000000</x:v>
      </x:c>
      <x:c r="O1371" s="235" t="n">
        <x:v>8265.7616</x:v>
      </x:c>
      <x:c r="P1371" s="235"/>
      <x:c r="Q1371" s="235"/>
      <x:c r="R1371" s="235" t="str">
        <x:v>INVOICE_OR_PLAN</x:v>
      </x:c>
      <x:c r="S1371" s="238" t="n">
        <x:f>'Model_Calc'!AV232</x:f>
        <x:v>8265.7616431104</x:v>
      </x:c>
      <x:c r="T1371" s="238" t="n">
        <x:f>ROUND(S1371-O1371,4)</x:f>
        <x:v>0</x:v>
      </x:c>
    </x:row>
    <x:row r="1372">
      <x:c r="A1372" s="187" t="str">
        <x:v>FORECAST_2026_08_V1</x:v>
      </x:c>
      <x:c r="B1372" s="187" t="str">
        <x:v>FORECAST</x:v>
      </x:c>
      <x:c r="C1372" s="187"/>
      <x:c r="D1372" s="217" t="n">
        <x:v>46327</x:v>
      </x:c>
      <x:c r="E1372" s="187" t="str">
        <x:v>R_GB_DE_B_AIR</x:v>
      </x:c>
      <x:c r="F1372" s="187" t="str">
        <x:v>GB</x:v>
      </x:c>
      <x:c r="G1372" s="187" t="str">
        <x:v>DE_FC</x:v>
      </x:c>
      <x:c r="H1372" s="187" t="str">
        <x:v>CARRIER_B</x:v>
      </x:c>
      <x:c r="I1372" s="187" t="str">
        <x:v>AIR</x:v>
      </x:c>
      <x:c r="J1372" s="187" t="str">
        <x:v>BILLABLE_EXCEPTION</x:v>
      </x:c>
      <x:c r="K1372" s="187" t="str">
        <x:v>GBP</x:v>
      </x:c>
      <x:c r="L1372" s="232" t="n">
        <x:v>110.819051126784</x:v>
      </x:c>
      <x:c r="M1372" s="232" t="n">
        <x:v>9.05</x:v>
      </x:c>
      <x:c r="N1372" s="187" t="str">
        <x:v>1002.912412697395200000</x:v>
      </x:c>
      <x:c r="O1372" s="235" t="n">
        <x:v>1002.9124</x:v>
      </x:c>
      <x:c r="P1372" s="235"/>
      <x:c r="Q1372" s="235"/>
      <x:c r="R1372" s="235" t="str">
        <x:v>INVOICE_OR_PLAN</x:v>
      </x:c>
      <x:c r="S1372" s="238" t="n">
        <x:f>'Model_Calc'!BA232</x:f>
        <x:v>1002.9124126973952</x:v>
      </x:c>
      <x:c r="T1372" s="238" t="n">
        <x:f>ROUND(S1372-O1372,4)</x:f>
        <x:v>0</x:v>
      </x:c>
    </x:row>
    <x:row r="1373">
      <x:c r="A1373" s="187" t="str">
        <x:v>FORECAST_2026_08_V1</x:v>
      </x:c>
      <x:c r="B1373" s="187" t="str">
        <x:v>FORECAST</x:v>
      </x:c>
      <x:c r="C1373" s="187"/>
      <x:c r="D1373" s="217" t="n">
        <x:v>46327</x:v>
      </x:c>
      <x:c r="E1373" s="187" t="str">
        <x:v>R_GB_DE_C_AIR</x:v>
      </x:c>
      <x:c r="F1373" s="187" t="str">
        <x:v>GB</x:v>
      </x:c>
      <x:c r="G1373" s="187" t="str">
        <x:v>DE_FC</x:v>
      </x:c>
      <x:c r="H1373" s="187" t="str">
        <x:v>CARRIER_C</x:v>
      </x:c>
      <x:c r="I1373" s="187" t="str">
        <x:v>AIR</x:v>
      </x:c>
      <x:c r="J1373" s="187" t="str">
        <x:v>BASE_FREIGHT</x:v>
      </x:c>
      <x:c r="K1373" s="187" t="str">
        <x:v>GBP</x:v>
      </x:c>
      <x:c r="L1373" s="232" t="n">
        <x:v>11013.708714709648</x:v>
      </x:c>
      <x:c r="M1373" s="232" t="n">
        <x:v>9.05</x:v>
      </x:c>
      <x:c r="N1373" s="187" t="str">
        <x:v>99674.06386812232250880000000</x:v>
      </x:c>
      <x:c r="O1373" s="235" t="n">
        <x:v>99674.0639</x:v>
      </x:c>
      <x:c r="P1373" s="235"/>
      <x:c r="Q1373" s="235"/>
      <x:c r="R1373" s="235" t="str">
        <x:v>INVOICE_OR_PLAN</x:v>
      </x:c>
      <x:c r="S1373" s="238" t="n">
        <x:f>'Model_Calc'!AF233</x:f>
        <x:v>99674.0638681223</x:v>
      </x:c>
      <x:c r="T1373" s="238" t="n">
        <x:f>ROUND(S1373-O1373,4)</x:f>
        <x:v>0</x:v>
      </x:c>
    </x:row>
    <x:row r="1374">
      <x:c r="A1374" s="187" t="str">
        <x:v>FORECAST_2026_08_V1</x:v>
      </x:c>
      <x:c r="B1374" s="187" t="str">
        <x:v>FORECAST</x:v>
      </x:c>
      <x:c r="C1374" s="187"/>
      <x:c r="D1374" s="217" t="n">
        <x:v>46327</x:v>
      </x:c>
      <x:c r="E1374" s="187" t="str">
        <x:v>R_GB_DE_C_AIR</x:v>
      </x:c>
      <x:c r="F1374" s="187" t="str">
        <x:v>GB</x:v>
      </x:c>
      <x:c r="G1374" s="187" t="str">
        <x:v>DE_FC</x:v>
      </x:c>
      <x:c r="H1374" s="187" t="str">
        <x:v>CARRIER_C</x:v>
      </x:c>
      <x:c r="I1374" s="187" t="str">
        <x:v>AIR</x:v>
      </x:c>
      <x:c r="J1374" s="187" t="str">
        <x:v>FUEL_SURCHARGE</x:v>
      </x:c>
      <x:c r="K1374" s="187" t="str">
        <x:v>GBP</x:v>
      </x:c>
      <x:c r="L1374" s="232" t="n">
        <x:v>851.7268072708795</x:v>
      </x:c>
      <x:c r="M1374" s="232" t="n">
        <x:v>9.05</x:v>
      </x:c>
      <x:c r="N1374" s="187" t="str">
        <x:v>7708.12760580145960734720000</x:v>
      </x:c>
      <x:c r="O1374" s="235" t="n">
        <x:v>7708.1276</x:v>
      </x:c>
      <x:c r="P1374" s="235"/>
      <x:c r="Q1374" s="235"/>
      <x:c r="R1374" s="235" t="str">
        <x:v>INVOICE_OR_PLAN</x:v>
      </x:c>
      <x:c r="S1374" s="238" t="n">
        <x:f>'Model_Calc'!AG233</x:f>
        <x:v>7708.12760580146</x:v>
      </x:c>
      <x:c r="T1374" s="238" t="n">
        <x:f>ROUND(S1374-O1374,4)</x:f>
        <x:v>0</x:v>
      </x:c>
    </x:row>
    <x:row r="1375">
      <x:c r="A1375" s="187" t="str">
        <x:v>FORECAST_2026_08_V1</x:v>
      </x:c>
      <x:c r="B1375" s="187" t="str">
        <x:v>FORECAST</x:v>
      </x:c>
      <x:c r="C1375" s="187"/>
      <x:c r="D1375" s="217" t="n">
        <x:v>46327</x:v>
      </x:c>
      <x:c r="E1375" s="187" t="str">
        <x:v>R_GB_DE_C_AIR</x:v>
      </x:c>
      <x:c r="F1375" s="187" t="str">
        <x:v>GB</x:v>
      </x:c>
      <x:c r="G1375" s="187" t="str">
        <x:v>DE_FC</x:v>
      </x:c>
      <x:c r="H1375" s="187" t="str">
        <x:v>CARRIER_C</x:v>
      </x:c>
      <x:c r="I1375" s="187" t="str">
        <x:v>AIR</x:v>
      </x:c>
      <x:c r="J1375" s="187" t="str">
        <x:v>WAREHOUSE_OPERATION</x:v>
      </x:c>
      <x:c r="K1375" s="187" t="str">
        <x:v>EUR</x:v>
      </x:c>
      <x:c r="L1375" s="232" t="n">
        <x:v>1474.18921728</x:v>
      </x:c>
      <x:c r="M1375" s="232" t="n">
        <x:v>7.88</x:v>
      </x:c>
      <x:c r="N1375" s="187" t="str">
        <x:v>11616.6110321664000</x:v>
      </x:c>
      <x:c r="O1375" s="235" t="n">
        <x:v>11616.611</x:v>
      </x:c>
      <x:c r="P1375" s="235"/>
      <x:c r="Q1375" s="235"/>
      <x:c r="R1375" s="235" t="str">
        <x:v>INVOICE_OR_PLAN</x:v>
      </x:c>
      <x:c r="S1375" s="238" t="n">
        <x:f>'Model_Calc'!AL233</x:f>
        <x:v>11616.611032166398</x:v>
      </x:c>
      <x:c r="T1375" s="238" t="n">
        <x:f>ROUND(S1375-O1375,4)</x:f>
        <x:v>0</x:v>
      </x:c>
    </x:row>
    <x:row r="1376">
      <x:c r="A1376" s="187" t="str">
        <x:v>FORECAST_2026_08_V1</x:v>
      </x:c>
      <x:c r="B1376" s="187" t="str">
        <x:v>FORECAST</x:v>
      </x:c>
      <x:c r="C1376" s="187"/>
      <x:c r="D1376" s="217" t="n">
        <x:v>46327</x:v>
      </x:c>
      <x:c r="E1376" s="187" t="str">
        <x:v>R_GB_DE_C_AIR</x:v>
      </x:c>
      <x:c r="F1376" s="187" t="str">
        <x:v>GB</x:v>
      </x:c>
      <x:c r="G1376" s="187" t="str">
        <x:v>DE_FC</x:v>
      </x:c>
      <x:c r="H1376" s="187" t="str">
        <x:v>CARRIER_C</x:v>
      </x:c>
      <x:c r="I1376" s="187" t="str">
        <x:v>AIR</x:v>
      </x:c>
      <x:c r="J1376" s="187" t="str">
        <x:v>PACKAGING</x:v>
      </x:c>
      <x:c r="K1376" s="187" t="str">
        <x:v>EUR</x:v>
      </x:c>
      <x:c r="L1376" s="232" t="n">
        <x:v>613.9123570944</x:v>
      </x:c>
      <x:c r="M1376" s="232" t="n">
        <x:v>7.88</x:v>
      </x:c>
      <x:c r="N1376" s="187" t="str">
        <x:v>4837.629373903872000</x:v>
      </x:c>
      <x:c r="O1376" s="235" t="n">
        <x:v>4837.6294</x:v>
      </x:c>
      <x:c r="P1376" s="235"/>
      <x:c r="Q1376" s="235"/>
      <x:c r="R1376" s="235" t="str">
        <x:v>INVOICE_OR_PLAN</x:v>
      </x:c>
      <x:c r="S1376" s="238" t="n">
        <x:f>'Model_Calc'!AQ233</x:f>
        <x:v>4837.629373903871</x:v>
      </x:c>
      <x:c r="T1376" s="238" t="n">
        <x:f>ROUND(S1376-O1376,4)</x:f>
        <x:v>0</x:v>
      </x:c>
    </x:row>
    <x:row r="1377">
      <x:c r="A1377" s="187" t="str">
        <x:v>FORECAST_2026_08_V1</x:v>
      </x:c>
      <x:c r="B1377" s="187" t="str">
        <x:v>FORECAST</x:v>
      </x:c>
      <x:c r="C1377" s="187"/>
      <x:c r="D1377" s="217" t="n">
        <x:v>46327</x:v>
      </x:c>
      <x:c r="E1377" s="187" t="str">
        <x:v>R_GB_DE_C_AIR</x:v>
      </x:c>
      <x:c r="F1377" s="187" t="str">
        <x:v>GB</x:v>
      </x:c>
      <x:c r="G1377" s="187" t="str">
        <x:v>DE_FC</x:v>
      </x:c>
      <x:c r="H1377" s="187" t="str">
        <x:v>CARRIER_C</x:v>
      </x:c>
      <x:c r="I1377" s="187" t="str">
        <x:v>AIR</x:v>
      </x:c>
      <x:c r="J1377" s="187" t="str">
        <x:v>RETURN_LOGISTICS</x:v>
      </x:c>
      <x:c r="K1377" s="187" t="str">
        <x:v>GBP</x:v>
      </x:c>
      <x:c r="L1377" s="232" t="n">
        <x:v>539.703171072</x:v>
      </x:c>
      <x:c r="M1377" s="232" t="n">
        <x:v>9.05</x:v>
      </x:c>
      <x:c r="N1377" s="187" t="str">
        <x:v>4884.3136982016000000</x:v>
      </x:c>
      <x:c r="O1377" s="235" t="n">
        <x:v>4884.3137</x:v>
      </x:c>
      <x:c r="P1377" s="235"/>
      <x:c r="Q1377" s="235"/>
      <x:c r="R1377" s="235" t="str">
        <x:v>INVOICE_OR_PLAN</x:v>
      </x:c>
      <x:c r="S1377" s="238" t="n">
        <x:f>'Model_Calc'!AV233</x:f>
        <x:v>4884.313698201599</x:v>
      </x:c>
      <x:c r="T1377" s="238" t="n">
        <x:f>ROUND(S1377-O1377,4)</x:f>
        <x:v>0</x:v>
      </x:c>
    </x:row>
    <x:row r="1378">
      <x:c r="A1378" s="187" t="str">
        <x:v>FORECAST_2026_08_V1</x:v>
      </x:c>
      <x:c r="B1378" s="187" t="str">
        <x:v>FORECAST</x:v>
      </x:c>
      <x:c r="C1378" s="187"/>
      <x:c r="D1378" s="217" t="n">
        <x:v>46327</x:v>
      </x:c>
      <x:c r="E1378" s="187" t="str">
        <x:v>R_GB_DE_C_AIR</x:v>
      </x:c>
      <x:c r="F1378" s="187" t="str">
        <x:v>GB</x:v>
      </x:c>
      <x:c r="G1378" s="187" t="str">
        <x:v>DE_FC</x:v>
      </x:c>
      <x:c r="H1378" s="187" t="str">
        <x:v>CARRIER_C</x:v>
      </x:c>
      <x:c r="I1378" s="187" t="str">
        <x:v>AIR</x:v>
      </x:c>
      <x:c r="J1378" s="187" t="str">
        <x:v>BILLABLE_EXCEPTION</x:v>
      </x:c>
      <x:c r="K1378" s="187" t="str">
        <x:v>GBP</x:v>
      </x:c>
      <x:c r="L1378" s="232" t="n">
        <x:v>57.883165097472</x:v>
      </x:c>
      <x:c r="M1378" s="232" t="n">
        <x:v>9.05</x:v>
      </x:c>
      <x:c r="N1378" s="187" t="str">
        <x:v>523.842644132121600000</x:v>
      </x:c>
      <x:c r="O1378" s="235" t="n">
        <x:v>523.8426</x:v>
      </x:c>
      <x:c r="P1378" s="235"/>
      <x:c r="Q1378" s="235"/>
      <x:c r="R1378" s="235" t="str">
        <x:v>INVOICE_OR_PLAN</x:v>
      </x:c>
      <x:c r="S1378" s="238" t="n">
        <x:f>'Model_Calc'!BA233</x:f>
        <x:v>523.8426441321216</x:v>
      </x:c>
      <x:c r="T1378" s="238" t="n">
        <x:f>ROUND(S1378-O1378,4)</x:f>
        <x:v>0</x:v>
      </x:c>
    </x:row>
    <x:row r="1379">
      <x:c r="A1379" s="187" t="str">
        <x:v>FORECAST_2026_08_V1</x:v>
      </x:c>
      <x:c r="B1379" s="187" t="str">
        <x:v>FORECAST</x:v>
      </x:c>
      <x:c r="C1379" s="187"/>
      <x:c r="D1379" s="217" t="n">
        <x:v>46327</x:v>
      </x:c>
      <x:c r="E1379" s="187" t="str">
        <x:v>R_GB_FR_B_AIR</x:v>
      </x:c>
      <x:c r="F1379" s="187" t="str">
        <x:v>GB</x:v>
      </x:c>
      <x:c r="G1379" s="187" t="str">
        <x:v>FR_FC</x:v>
      </x:c>
      <x:c r="H1379" s="187" t="str">
        <x:v>CARRIER_B</x:v>
      </x:c>
      <x:c r="I1379" s="187" t="str">
        <x:v>AIR</x:v>
      </x:c>
      <x:c r="J1379" s="187" t="str">
        <x:v>BASE_FREIGHT</x:v>
      </x:c>
      <x:c r="K1379" s="187" t="str">
        <x:v>EUR</x:v>
      </x:c>
      <x:c r="L1379" s="232" t="n">
        <x:v>2910.324051419616</x:v>
      </x:c>
      <x:c r="M1379" s="232" t="n">
        <x:v>7.88</x:v>
      </x:c>
      <x:c r="N1379" s="187" t="str">
        <x:v>22933.3535251865740800000</x:v>
      </x:c>
      <x:c r="O1379" s="235" t="n">
        <x:v>22933.3535</x:v>
      </x:c>
      <x:c r="P1379" s="235"/>
      <x:c r="Q1379" s="235"/>
      <x:c r="R1379" s="235" t="str">
        <x:v>INVOICE_OR_PLAN</x:v>
      </x:c>
      <x:c r="S1379" s="238" t="n">
        <x:f>'Model_Calc'!AF234</x:f>
        <x:v>22933.35352518657</x:v>
      </x:c>
      <x:c r="T1379" s="238" t="n">
        <x:f>ROUND(S1379-O1379,4)</x:f>
        <x:v>0</x:v>
      </x:c>
    </x:row>
    <x:row r="1380">
      <x:c r="A1380" s="187" t="str">
        <x:v>FORECAST_2026_08_V1</x:v>
      </x:c>
      <x:c r="B1380" s="187" t="str">
        <x:v>FORECAST</x:v>
      </x:c>
      <x:c r="C1380" s="187"/>
      <x:c r="D1380" s="217" t="n">
        <x:v>46327</x:v>
      </x:c>
      <x:c r="E1380" s="187" t="str">
        <x:v>R_GB_FR_B_AIR</x:v>
      </x:c>
      <x:c r="F1380" s="187" t="str">
        <x:v>GB</x:v>
      </x:c>
      <x:c r="G1380" s="187" t="str">
        <x:v>FR_FC</x:v>
      </x:c>
      <x:c r="H1380" s="187" t="str">
        <x:v>CARRIER_B</x:v>
      </x:c>
      <x:c r="I1380" s="187" t="str">
        <x:v>AIR</x:v>
      </x:c>
      <x:c r="J1380" s="187" t="str">
        <x:v>FUEL_SURCHARGE</x:v>
      </x:c>
      <x:c r="K1380" s="187" t="str">
        <x:v>EUR</x:v>
      </x:c>
      <x:c r="L1380" s="232" t="n">
        <x:v>316.27946628802675</x:v>
      </x:c>
      <x:c r="M1380" s="232" t="n">
        <x:v>7.88</x:v>
      </x:c>
      <x:c r="N1380" s="187" t="str">
        <x:v>2492.2821943496509381440000000</x:v>
      </x:c>
      <x:c r="O1380" s="235" t="n">
        <x:v>2492.2822</x:v>
      </x:c>
      <x:c r="P1380" s="235"/>
      <x:c r="Q1380" s="235"/>
      <x:c r="R1380" s="235" t="str">
        <x:v>INVOICE_OR_PLAN</x:v>
      </x:c>
      <x:c r="S1380" s="238" t="n">
        <x:f>'Model_Calc'!AG234</x:f>
        <x:v>2492.28219434965</x:v>
      </x:c>
      <x:c r="T1380" s="238" t="n">
        <x:f>ROUND(S1380-O1380,4)</x:f>
        <x:v>0</x:v>
      </x:c>
    </x:row>
    <x:row r="1381">
      <x:c r="A1381" s="187" t="str">
        <x:v>FORECAST_2026_08_V1</x:v>
      </x:c>
      <x:c r="B1381" s="187" t="str">
        <x:v>FORECAST</x:v>
      </x:c>
      <x:c r="C1381" s="187"/>
      <x:c r="D1381" s="217" t="n">
        <x:v>46327</x:v>
      </x:c>
      <x:c r="E1381" s="187" t="str">
        <x:v>R_GB_FR_B_AIR</x:v>
      </x:c>
      <x:c r="F1381" s="187" t="str">
        <x:v>GB</x:v>
      </x:c>
      <x:c r="G1381" s="187" t="str">
        <x:v>FR_FC</x:v>
      </x:c>
      <x:c r="H1381" s="187" t="str">
        <x:v>CARRIER_B</x:v>
      </x:c>
      <x:c r="I1381" s="187" t="str">
        <x:v>AIR</x:v>
      </x:c>
      <x:c r="J1381" s="187" t="str">
        <x:v>WAREHOUSE_OPERATION</x:v>
      </x:c>
      <x:c r="K1381" s="187" t="str">
        <x:v>EUR</x:v>
      </x:c>
      <x:c r="L1381" s="232" t="n">
        <x:v>420.44184</x:v>
      </x:c>
      <x:c r="M1381" s="232" t="n">
        <x:v>7.88</x:v>
      </x:c>
      <x:c r="N1381" s="187" t="str">
        <x:v>3313.08169920000</x:v>
      </x:c>
      <x:c r="O1381" s="235" t="n">
        <x:v>3313.0817</x:v>
      </x:c>
      <x:c r="P1381" s="235"/>
      <x:c r="Q1381" s="235"/>
      <x:c r="R1381" s="235" t="str">
        <x:v>INVOICE_OR_PLAN</x:v>
      </x:c>
      <x:c r="S1381" s="238" t="n">
        <x:f>'Model_Calc'!AL234</x:f>
        <x:v>3313.0816992</x:v>
      </x:c>
      <x:c r="T1381" s="238" t="n">
        <x:f>ROUND(S1381-O1381,4)</x:f>
        <x:v>0</x:v>
      </x:c>
    </x:row>
    <x:row r="1382">
      <x:c r="A1382" s="187" t="str">
        <x:v>FORECAST_2026_08_V1</x:v>
      </x:c>
      <x:c r="B1382" s="187" t="str">
        <x:v>FORECAST</x:v>
      </x:c>
      <x:c r="C1382" s="187"/>
      <x:c r="D1382" s="217" t="n">
        <x:v>46327</x:v>
      </x:c>
      <x:c r="E1382" s="187" t="str">
        <x:v>R_GB_FR_B_AIR</x:v>
      </x:c>
      <x:c r="F1382" s="187" t="str">
        <x:v>GB</x:v>
      </x:c>
      <x:c r="G1382" s="187" t="str">
        <x:v>FR_FC</x:v>
      </x:c>
      <x:c r="H1382" s="187" t="str">
        <x:v>CARRIER_B</x:v>
      </x:c>
      <x:c r="I1382" s="187" t="str">
        <x:v>AIR</x:v>
      </x:c>
      <x:c r="J1382" s="187" t="str">
        <x:v>PACKAGING</x:v>
      </x:c>
      <x:c r="K1382" s="187" t="str">
        <x:v>EUR</x:v>
      </x:c>
      <x:c r="L1382" s="232" t="n">
        <x:v>178.02708768</x:v>
      </x:c>
      <x:c r="M1382" s="232" t="n">
        <x:v>7.88</x:v>
      </x:c>
      <x:c r="N1382" s="187" t="str">
        <x:v>1402.8534509184000</x:v>
      </x:c>
      <x:c r="O1382" s="235" t="n">
        <x:v>1402.8535</x:v>
      </x:c>
      <x:c r="P1382" s="235"/>
      <x:c r="Q1382" s="235"/>
      <x:c r="R1382" s="235" t="str">
        <x:v>INVOICE_OR_PLAN</x:v>
      </x:c>
      <x:c r="S1382" s="238" t="n">
        <x:f>'Model_Calc'!AQ234</x:f>
        <x:v>1402.8534509183996</x:v>
      </x:c>
      <x:c r="T1382" s="238" t="n">
        <x:f>ROUND(S1382-O1382,4)</x:f>
        <x:v>0</x:v>
      </x:c>
    </x:row>
    <x:row r="1383">
      <x:c r="A1383" s="187" t="str">
        <x:v>FORECAST_2026_08_V1</x:v>
      </x:c>
      <x:c r="B1383" s="187" t="str">
        <x:v>FORECAST</x:v>
      </x:c>
      <x:c r="C1383" s="187"/>
      <x:c r="D1383" s="217" t="n">
        <x:v>46327</x:v>
      </x:c>
      <x:c r="E1383" s="187" t="str">
        <x:v>R_GB_FR_B_AIR</x:v>
      </x:c>
      <x:c r="F1383" s="187" t="str">
        <x:v>GB</x:v>
      </x:c>
      <x:c r="G1383" s="187" t="str">
        <x:v>FR_FC</x:v>
      </x:c>
      <x:c r="H1383" s="187" t="str">
        <x:v>CARRIER_B</x:v>
      </x:c>
      <x:c r="I1383" s="187" t="str">
        <x:v>AIR</x:v>
      </x:c>
      <x:c r="J1383" s="187" t="str">
        <x:v>RETURN_LOGISTICS</x:v>
      </x:c>
      <x:c r="K1383" s="187" t="str">
        <x:v>EUR</x:v>
      </x:c>
      <x:c r="L1383" s="232" t="n">
        <x:v>187.3969344</x:v>
      </x:c>
      <x:c r="M1383" s="232" t="n">
        <x:v>7.88</x:v>
      </x:c>
      <x:c r="N1383" s="187" t="str">
        <x:v>1476.68784307200000</x:v>
      </x:c>
      <x:c r="O1383" s="235" t="n">
        <x:v>1476.6878</x:v>
      </x:c>
      <x:c r="P1383" s="235"/>
      <x:c r="Q1383" s="235"/>
      <x:c r="R1383" s="235" t="str">
        <x:v>INVOICE_OR_PLAN</x:v>
      </x:c>
      <x:c r="S1383" s="238" t="n">
        <x:f>'Model_Calc'!AV234</x:f>
        <x:v>1476.6878430719996</x:v>
      </x:c>
      <x:c r="T1383" s="238" t="n">
        <x:f>ROUND(S1383-O1383,4)</x:f>
        <x:v>0</x:v>
      </x:c>
    </x:row>
    <x:row r="1384">
      <x:c r="A1384" s="187" t="str">
        <x:v>FORECAST_2026_08_V1</x:v>
      </x:c>
      <x:c r="B1384" s="187" t="str">
        <x:v>FORECAST</x:v>
      </x:c>
      <x:c r="C1384" s="187"/>
      <x:c r="D1384" s="217" t="n">
        <x:v>46327</x:v>
      </x:c>
      <x:c r="E1384" s="187" t="str">
        <x:v>R_GB_FR_B_AIR</x:v>
      </x:c>
      <x:c r="F1384" s="187" t="str">
        <x:v>GB</x:v>
      </x:c>
      <x:c r="G1384" s="187" t="str">
        <x:v>FR_FC</x:v>
      </x:c>
      <x:c r="H1384" s="187" t="str">
        <x:v>CARRIER_B</x:v>
      </x:c>
      <x:c r="I1384" s="187" t="str">
        <x:v>AIR</x:v>
      </x:c>
      <x:c r="J1384" s="187" t="str">
        <x:v>BILLABLE_EXCEPTION</x:v>
      </x:c>
      <x:c r="K1384" s="187" t="str">
        <x:v>EUR</x:v>
      </x:c>
      <x:c r="L1384" s="232" t="n">
        <x:v>18.3648995712</x:v>
      </x:c>
      <x:c r="M1384" s="232" t="n">
        <x:v>7.88</x:v>
      </x:c>
      <x:c r="N1384" s="187" t="str">
        <x:v>144.7154086210560000</x:v>
      </x:c>
      <x:c r="O1384" s="235" t="n">
        <x:v>144.7154</x:v>
      </x:c>
      <x:c r="P1384" s="235"/>
      <x:c r="Q1384" s="235"/>
      <x:c r="R1384" s="235" t="str">
        <x:v>INVOICE_OR_PLAN</x:v>
      </x:c>
      <x:c r="S1384" s="238" t="n">
        <x:f>'Model_Calc'!BA234</x:f>
        <x:v>144.71540862105599</x:v>
      </x:c>
      <x:c r="T1384" s="238" t="n">
        <x:f>ROUND(S1384-O1384,4)</x:f>
        <x:v>0</x:v>
      </x:c>
    </x:row>
    <x:row r="1385">
      <x:c r="A1385" s="187" t="str">
        <x:v>FORECAST_2026_08_V1</x:v>
      </x:c>
      <x:c r="B1385" s="187" t="str">
        <x:v>FORECAST</x:v>
      </x:c>
      <x:c r="C1385" s="187"/>
      <x:c r="D1385" s="217" t="n">
        <x:v>46357</x:v>
      </x:c>
      <x:c r="E1385" s="187" t="str">
        <x:v>R_DE_DE_A_ROAD</x:v>
      </x:c>
      <x:c r="F1385" s="187" t="str">
        <x:v>DE</x:v>
      </x:c>
      <x:c r="G1385" s="187" t="str">
        <x:v>DE_FC</x:v>
      </x:c>
      <x:c r="H1385" s="187" t="str">
        <x:v>CARRIER_A</x:v>
      </x:c>
      <x:c r="I1385" s="187" t="str">
        <x:v>ROAD</x:v>
      </x:c>
      <x:c r="J1385" s="187" t="str">
        <x:v>BASE_FREIGHT</x:v>
      </x:c>
      <x:c r="K1385" s="187" t="str">
        <x:v>EUR</x:v>
      </x:c>
      <x:c r="L1385" s="232" t="n">
        <x:v>10032.45689077632</x:v>
      </x:c>
      <x:c r="M1385" s="232" t="n">
        <x:v>7.86</x:v>
      </x:c>
      <x:c r="N1385" s="187" t="str">
        <x:v>78855.1111615018752000000</x:v>
      </x:c>
      <x:c r="O1385" s="235" t="n">
        <x:v>78855.1112</x:v>
      </x:c>
      <x:c r="P1385" s="235"/>
      <x:c r="Q1385" s="235"/>
      <x:c r="R1385" s="235" t="str">
        <x:v>INVOICE_OR_PLAN</x:v>
      </x:c>
      <x:c r="S1385" s="238" t="n">
        <x:f>'Model_Calc'!AF235</x:f>
        <x:v>78855.11116150189</x:v>
      </x:c>
      <x:c r="T1385" s="238" t="n">
        <x:f>ROUND(S1385-O1385,4)</x:f>
        <x:v>0</x:v>
      </x:c>
    </x:row>
    <x:row r="1386">
      <x:c r="A1386" s="187" t="str">
        <x:v>FORECAST_2026_08_V1</x:v>
      </x:c>
      <x:c r="B1386" s="187" t="str">
        <x:v>FORECAST</x:v>
      </x:c>
      <x:c r="C1386" s="187"/>
      <x:c r="D1386" s="217" t="n">
        <x:v>46357</x:v>
      </x:c>
      <x:c r="E1386" s="187" t="str">
        <x:v>R_DE_DE_A_ROAD</x:v>
      </x:c>
      <x:c r="F1386" s="187" t="str">
        <x:v>DE</x:v>
      </x:c>
      <x:c r="G1386" s="187" t="str">
        <x:v>DE_FC</x:v>
      </x:c>
      <x:c r="H1386" s="187" t="str">
        <x:v>CARRIER_A</x:v>
      </x:c>
      <x:c r="I1386" s="187" t="str">
        <x:v>ROAD</x:v>
      </x:c>
      <x:c r="J1386" s="187" t="str">
        <x:v>FUEL_SURCHARGE</x:v>
      </x:c>
      <x:c r="K1386" s="187" t="str">
        <x:v>EUR</x:v>
      </x:c>
      <x:c r="L1386" s="232" t="n">
        <x:v>986.4413237855816</x:v>
      </x:c>
      <x:c r="M1386" s="232" t="n">
        <x:v>7.86</x:v>
      </x:c>
      <x:c r="N1386" s="187" t="str">
        <x:v>7753.4288049546718790400000000</x:v>
      </x:c>
      <x:c r="O1386" s="235" t="n">
        <x:v>7753.4288</x:v>
      </x:c>
      <x:c r="P1386" s="235"/>
      <x:c r="Q1386" s="235"/>
      <x:c r="R1386" s="235" t="str">
        <x:v>INVOICE_OR_PLAN</x:v>
      </x:c>
      <x:c r="S1386" s="238" t="n">
        <x:f>'Model_Calc'!AG235</x:f>
        <x:v>7753.428804954672</x:v>
      </x:c>
      <x:c r="T1386" s="238" t="n">
        <x:f>ROUND(S1386-O1386,4)</x:f>
        <x:v>0</x:v>
      </x:c>
    </x:row>
    <x:row r="1387">
      <x:c r="A1387" s="187" t="str">
        <x:v>FORECAST_2026_08_V1</x:v>
      </x:c>
      <x:c r="B1387" s="187" t="str">
        <x:v>FORECAST</x:v>
      </x:c>
      <x:c r="C1387" s="187"/>
      <x:c r="D1387" s="217" t="n">
        <x:v>46357</x:v>
      </x:c>
      <x:c r="E1387" s="187" t="str">
        <x:v>R_DE_DE_A_ROAD</x:v>
      </x:c>
      <x:c r="F1387" s="187" t="str">
        <x:v>DE</x:v>
      </x:c>
      <x:c r="G1387" s="187" t="str">
        <x:v>DE_FC</x:v>
      </x:c>
      <x:c r="H1387" s="187" t="str">
        <x:v>CARRIER_A</x:v>
      </x:c>
      <x:c r="I1387" s="187" t="str">
        <x:v>ROAD</x:v>
      </x:c>
      <x:c r="J1387" s="187" t="str">
        <x:v>WAREHOUSE_OPERATION</x:v>
      </x:c>
      <x:c r="K1387" s="187" t="str">
        <x:v>EUR</x:v>
      </x:c>
      <x:c r="L1387" s="232" t="n">
        <x:v>6505.2104832</x:v>
      </x:c>
      <x:c r="M1387" s="232" t="n">
        <x:v>7.86</x:v>
      </x:c>
      <x:c r="N1387" s="187" t="str">
        <x:v>51130.9543979520000</x:v>
      </x:c>
      <x:c r="O1387" s="235" t="n">
        <x:v>51130.9544</x:v>
      </x:c>
      <x:c r="P1387" s="235"/>
      <x:c r="Q1387" s="235"/>
      <x:c r="R1387" s="235" t="str">
        <x:v>INVOICE_OR_PLAN</x:v>
      </x:c>
      <x:c r="S1387" s="238" t="n">
        <x:f>'Model_Calc'!AL235</x:f>
        <x:v>51130.954397952</x:v>
      </x:c>
      <x:c r="T1387" s="238" t="n">
        <x:f>ROUND(S1387-O1387,4)</x:f>
        <x:v>0</x:v>
      </x:c>
    </x:row>
    <x:row r="1388">
      <x:c r="A1388" s="187" t="str">
        <x:v>FORECAST_2026_08_V1</x:v>
      </x:c>
      <x:c r="B1388" s="187" t="str">
        <x:v>FORECAST</x:v>
      </x:c>
      <x:c r="C1388" s="187"/>
      <x:c r="D1388" s="217" t="n">
        <x:v>46357</x:v>
      </x:c>
      <x:c r="E1388" s="187" t="str">
        <x:v>R_DE_DE_A_ROAD</x:v>
      </x:c>
      <x:c r="F1388" s="187" t="str">
        <x:v>DE</x:v>
      </x:c>
      <x:c r="G1388" s="187" t="str">
        <x:v>DE_FC</x:v>
      </x:c>
      <x:c r="H1388" s="187" t="str">
        <x:v>CARRIER_A</x:v>
      </x:c>
      <x:c r="I1388" s="187" t="str">
        <x:v>ROAD</x:v>
      </x:c>
      <x:c r="J1388" s="187" t="str">
        <x:v>PACKAGING</x:v>
      </x:c>
      <x:c r="K1388" s="187" t="str">
        <x:v>EUR</x:v>
      </x:c>
      <x:c r="L1388" s="232" t="n">
        <x:v>2431.18459584</x:v>
      </x:c>
      <x:c r="M1388" s="232" t="n">
        <x:v>7.86</x:v>
      </x:c>
      <x:c r="N1388" s="187" t="str">
        <x:v>19109.110923302400000</x:v>
      </x:c>
      <x:c r="O1388" s="235" t="n">
        <x:v>19109.1109</x:v>
      </x:c>
      <x:c r="P1388" s="235"/>
      <x:c r="Q1388" s="235"/>
      <x:c r="R1388" s="235" t="str">
        <x:v>INVOICE_OR_PLAN</x:v>
      </x:c>
      <x:c r="S1388" s="238" t="n">
        <x:f>'Model_Calc'!AQ235</x:f>
        <x:v>19109.1109233024</x:v>
      </x:c>
      <x:c r="T1388" s="238" t="n">
        <x:f>ROUND(S1388-O1388,4)</x:f>
        <x:v>0</x:v>
      </x:c>
    </x:row>
    <x:row r="1389">
      <x:c r="A1389" s="187" t="str">
        <x:v>FORECAST_2026_08_V1</x:v>
      </x:c>
      <x:c r="B1389" s="187" t="str">
        <x:v>FORECAST</x:v>
      </x:c>
      <x:c r="C1389" s="187"/>
      <x:c r="D1389" s="217" t="n">
        <x:v>46357</x:v>
      </x:c>
      <x:c r="E1389" s="187" t="str">
        <x:v>R_DE_DE_A_ROAD</x:v>
      </x:c>
      <x:c r="F1389" s="187" t="str">
        <x:v>DE</x:v>
      </x:c>
      <x:c r="G1389" s="187" t="str">
        <x:v>DE_FC</x:v>
      </x:c>
      <x:c r="H1389" s="187" t="str">
        <x:v>CARRIER_A</x:v>
      </x:c>
      <x:c r="I1389" s="187" t="str">
        <x:v>ROAD</x:v>
      </x:c>
      <x:c r="J1389" s="187" t="str">
        <x:v>RETURN_LOGISTICS</x:v>
      </x:c>
      <x:c r="K1389" s="187" t="str">
        <x:v>EUR</x:v>
      </x:c>
      <x:c r="L1389" s="232" t="n">
        <x:v>882.0624384</x:v>
      </x:c>
      <x:c r="M1389" s="232" t="n">
        <x:v>7.86</x:v>
      </x:c>
      <x:c r="N1389" s="187" t="str">
        <x:v>6933.0107658240000000</x:v>
      </x:c>
      <x:c r="O1389" s="235" t="n">
        <x:v>6933.0108</x:v>
      </x:c>
      <x:c r="P1389" s="235"/>
      <x:c r="Q1389" s="235"/>
      <x:c r="R1389" s="235" t="str">
        <x:v>INVOICE_OR_PLAN</x:v>
      </x:c>
      <x:c r="S1389" s="238" t="n">
        <x:f>'Model_Calc'!AV235</x:f>
        <x:v>6933.0107658239995</x:v>
      </x:c>
      <x:c r="T1389" s="238" t="n">
        <x:f>ROUND(S1389-O1389,4)</x:f>
        <x:v>0</x:v>
      </x:c>
    </x:row>
    <x:row r="1390">
      <x:c r="A1390" s="187" t="str">
        <x:v>FORECAST_2026_08_V1</x:v>
      </x:c>
      <x:c r="B1390" s="187" t="str">
        <x:v>FORECAST</x:v>
      </x:c>
      <x:c r="C1390" s="187"/>
      <x:c r="D1390" s="217" t="n">
        <x:v>46357</x:v>
      </x:c>
      <x:c r="E1390" s="187" t="str">
        <x:v>R_DE_DE_A_ROAD</x:v>
      </x:c>
      <x:c r="F1390" s="187" t="str">
        <x:v>DE</x:v>
      </x:c>
      <x:c r="G1390" s="187" t="str">
        <x:v>DE_FC</x:v>
      </x:c>
      <x:c r="H1390" s="187" t="str">
        <x:v>CARRIER_A</x:v>
      </x:c>
      <x:c r="I1390" s="187" t="str">
        <x:v>ROAD</x:v>
      </x:c>
      <x:c r="J1390" s="187" t="str">
        <x:v>BILLABLE_EXCEPTION</x:v>
      </x:c>
      <x:c r="K1390" s="187" t="str">
        <x:v>EUR</x:v>
      </x:c>
      <x:c r="L1390" s="232" t="n">
        <x:v>213.0180788736</x:v>
      </x:c>
      <x:c r="M1390" s="232" t="n">
        <x:v>7.86</x:v>
      </x:c>
      <x:c r="N1390" s="187" t="str">
        <x:v>1674.322099946496000000</x:v>
      </x:c>
      <x:c r="O1390" s="235" t="n">
        <x:v>1674.3221</x:v>
      </x:c>
      <x:c r="P1390" s="235"/>
      <x:c r="Q1390" s="235"/>
      <x:c r="R1390" s="235" t="str">
        <x:v>INVOICE_OR_PLAN</x:v>
      </x:c>
      <x:c r="S1390" s="238" t="n">
        <x:f>'Model_Calc'!BA235</x:f>
        <x:v>1674.322099946496</x:v>
      </x:c>
      <x:c r="T1390" s="238" t="n">
        <x:f>ROUND(S1390-O1390,4)</x:f>
        <x:v>0</x:v>
      </x:c>
    </x:row>
    <x:row r="1391">
      <x:c r="A1391" s="187" t="str">
        <x:v>FORECAST_2026_08_V1</x:v>
      </x:c>
      <x:c r="B1391" s="187" t="str">
        <x:v>FORECAST</x:v>
      </x:c>
      <x:c r="C1391" s="187"/>
      <x:c r="D1391" s="217" t="n">
        <x:v>46357</x:v>
      </x:c>
      <x:c r="E1391" s="187" t="str">
        <x:v>R_DE_DE_B_ROAD</x:v>
      </x:c>
      <x:c r="F1391" s="187" t="str">
        <x:v>DE</x:v>
      </x:c>
      <x:c r="G1391" s="187" t="str">
        <x:v>DE_FC</x:v>
      </x:c>
      <x:c r="H1391" s="187" t="str">
        <x:v>CARRIER_B</x:v>
      </x:c>
      <x:c r="I1391" s="187" t="str">
        <x:v>ROAD</x:v>
      </x:c>
      <x:c r="J1391" s="187" t="str">
        <x:v>BASE_FREIGHT</x:v>
      </x:c>
      <x:c r="K1391" s="187" t="str">
        <x:v>EUR</x:v>
      </x:c>
      <x:c r="L1391" s="232" t="n">
        <x:v>8574.749479296</x:v>
      </x:c>
      <x:c r="M1391" s="232" t="n">
        <x:v>7.86</x:v>
      </x:c>
      <x:c r="N1391" s="187" t="str">
        <x:v>67397.5309072665600000000</x:v>
      </x:c>
      <x:c r="O1391" s="235" t="n">
        <x:v>67397.5309</x:v>
      </x:c>
      <x:c r="P1391" s="235"/>
      <x:c r="Q1391" s="235"/>
      <x:c r="R1391" s="235" t="str">
        <x:v>INVOICE_OR_PLAN</x:v>
      </x:c>
      <x:c r="S1391" s="238" t="n">
        <x:f>'Model_Calc'!AF236</x:f>
        <x:v>67397.53090726658</x:v>
      </x:c>
      <x:c r="T1391" s="238" t="n">
        <x:f>ROUND(S1391-O1391,4)</x:f>
        <x:v>0</x:v>
      </x:c>
    </x:row>
    <x:row r="1392">
      <x:c r="A1392" s="187" t="str">
        <x:v>FORECAST_2026_08_V1</x:v>
      </x:c>
      <x:c r="B1392" s="187" t="str">
        <x:v>FORECAST</x:v>
      </x:c>
      <x:c r="C1392" s="187"/>
      <x:c r="D1392" s="217" t="n">
        <x:v>46357</x:v>
      </x:c>
      <x:c r="E1392" s="187" t="str">
        <x:v>R_DE_DE_B_ROAD</x:v>
      </x:c>
      <x:c r="F1392" s="187" t="str">
        <x:v>DE</x:v>
      </x:c>
      <x:c r="G1392" s="187" t="str">
        <x:v>DE_FC</x:v>
      </x:c>
      <x:c r="H1392" s="187" t="str">
        <x:v>CARRIER_B</x:v>
      </x:c>
      <x:c r="I1392" s="187" t="str">
        <x:v>ROAD</x:v>
      </x:c>
      <x:c r="J1392" s="187" t="str">
        <x:v>FUEL_SURCHARGE</x:v>
      </x:c>
      <x:c r="K1392" s="187" t="str">
        <x:v>EUR</x:v>
      </x:c>
      <x:c r="L1392" s="232" t="n">
        <x:v>654.79905114624</x:v>
      </x:c>
      <x:c r="M1392" s="232" t="n">
        <x:v>7.86</x:v>
      </x:c>
      <x:c r="N1392" s="187" t="str">
        <x:v>5146.7205420094464000000</x:v>
      </x:c>
      <x:c r="O1392" s="235" t="n">
        <x:v>5146.7205</x:v>
      </x:c>
      <x:c r="P1392" s="235"/>
      <x:c r="Q1392" s="235"/>
      <x:c r="R1392" s="235" t="str">
        <x:v>INVOICE_OR_PLAN</x:v>
      </x:c>
      <x:c r="S1392" s="238" t="n">
        <x:f>'Model_Calc'!AG236</x:f>
        <x:v>5146.720542009448</x:v>
      </x:c>
      <x:c r="T1392" s="238" t="n">
        <x:f>ROUND(S1392-O1392,4)</x:f>
        <x:v>0</x:v>
      </x:c>
    </x:row>
    <x:row r="1393">
      <x:c r="A1393" s="187" t="str">
        <x:v>FORECAST_2026_08_V1</x:v>
      </x:c>
      <x:c r="B1393" s="187" t="str">
        <x:v>FORECAST</x:v>
      </x:c>
      <x:c r="C1393" s="187"/>
      <x:c r="D1393" s="217" t="n">
        <x:v>46357</x:v>
      </x:c>
      <x:c r="E1393" s="187" t="str">
        <x:v>R_DE_DE_B_ROAD</x:v>
      </x:c>
      <x:c r="F1393" s="187" t="str">
        <x:v>DE</x:v>
      </x:c>
      <x:c r="G1393" s="187" t="str">
        <x:v>DE_FC</x:v>
      </x:c>
      <x:c r="H1393" s="187" t="str">
        <x:v>CARRIER_B</x:v>
      </x:c>
      <x:c r="I1393" s="187" t="str">
        <x:v>ROAD</x:v>
      </x:c>
      <x:c r="J1393" s="187" t="str">
        <x:v>WAREHOUSE_OPERATION</x:v>
      </x:c>
      <x:c r="K1393" s="187" t="str">
        <x:v>EUR</x:v>
      </x:c>
      <x:c r="L1393" s="232" t="n">
        <x:v>4336.8069888</x:v>
      </x:c>
      <x:c r="M1393" s="232" t="n">
        <x:v>7.86</x:v>
      </x:c>
      <x:c r="N1393" s="187" t="str">
        <x:v>34087.3029319680000</x:v>
      </x:c>
      <x:c r="O1393" s="235" t="n">
        <x:v>34087.3029</x:v>
      </x:c>
      <x:c r="P1393" s="235"/>
      <x:c r="Q1393" s="235"/>
      <x:c r="R1393" s="235" t="str">
        <x:v>INVOICE_OR_PLAN</x:v>
      </x:c>
      <x:c r="S1393" s="238" t="n">
        <x:f>'Model_Calc'!AL236</x:f>
        <x:v>34087.302931968006</x:v>
      </x:c>
      <x:c r="T1393" s="238" t="n">
        <x:f>ROUND(S1393-O1393,4)</x:f>
        <x:v>0</x:v>
      </x:c>
    </x:row>
    <x:row r="1394">
      <x:c r="A1394" s="187" t="str">
        <x:v>FORECAST_2026_08_V1</x:v>
      </x:c>
      <x:c r="B1394" s="187" t="str">
        <x:v>FORECAST</x:v>
      </x:c>
      <x:c r="C1394" s="187"/>
      <x:c r="D1394" s="217" t="n">
        <x:v>46357</x:v>
      </x:c>
      <x:c r="E1394" s="187" t="str">
        <x:v>R_DE_DE_B_ROAD</x:v>
      </x:c>
      <x:c r="F1394" s="187" t="str">
        <x:v>DE</x:v>
      </x:c>
      <x:c r="G1394" s="187" t="str">
        <x:v>DE_FC</x:v>
      </x:c>
      <x:c r="H1394" s="187" t="str">
        <x:v>CARRIER_B</x:v>
      </x:c>
      <x:c r="I1394" s="187" t="str">
        <x:v>ROAD</x:v>
      </x:c>
      <x:c r="J1394" s="187" t="str">
        <x:v>PACKAGING</x:v>
      </x:c>
      <x:c r="K1394" s="187" t="str">
        <x:v>EUR</x:v>
      </x:c>
      <x:c r="L1394" s="232" t="n">
        <x:v>1620.78973056</x:v>
      </x:c>
      <x:c r="M1394" s="232" t="n">
        <x:v>7.86</x:v>
      </x:c>
      <x:c r="N1394" s="187" t="str">
        <x:v>12739.407282201600000</x:v>
      </x:c>
      <x:c r="O1394" s="235" t="n">
        <x:v>12739.4073</x:v>
      </x:c>
      <x:c r="P1394" s="235"/>
      <x:c r="Q1394" s="235"/>
      <x:c r="R1394" s="235" t="str">
        <x:v>INVOICE_OR_PLAN</x:v>
      </x:c>
      <x:c r="S1394" s="238" t="n">
        <x:f>'Model_Calc'!AQ236</x:f>
        <x:v>12739.407282201602</x:v>
      </x:c>
      <x:c r="T1394" s="238" t="n">
        <x:f>ROUND(S1394-O1394,4)</x:f>
        <x:v>0</x:v>
      </x:c>
    </x:row>
    <x:row r="1395">
      <x:c r="A1395" s="187" t="str">
        <x:v>FORECAST_2026_08_V1</x:v>
      </x:c>
      <x:c r="B1395" s="187" t="str">
        <x:v>FORECAST</x:v>
      </x:c>
      <x:c r="C1395" s="187"/>
      <x:c r="D1395" s="217" t="n">
        <x:v>46357</x:v>
      </x:c>
      <x:c r="E1395" s="187" t="str">
        <x:v>R_DE_DE_B_ROAD</x:v>
      </x:c>
      <x:c r="F1395" s="187" t="str">
        <x:v>DE</x:v>
      </x:c>
      <x:c r="G1395" s="187" t="str">
        <x:v>DE_FC</x:v>
      </x:c>
      <x:c r="H1395" s="187" t="str">
        <x:v>CARRIER_B</x:v>
      </x:c>
      <x:c r="I1395" s="187" t="str">
        <x:v>ROAD</x:v>
      </x:c>
      <x:c r="J1395" s="187" t="str">
        <x:v>RETURN_LOGISTICS</x:v>
      </x:c>
      <x:c r="K1395" s="187" t="str">
        <x:v>EUR</x:v>
      </x:c>
      <x:c r="L1395" s="232" t="n">
        <x:v>588.0416256</x:v>
      </x:c>
      <x:c r="M1395" s="232" t="n">
        <x:v>7.86</x:v>
      </x:c>
      <x:c r="N1395" s="187" t="str">
        <x:v>4622.0071772160000000</x:v>
      </x:c>
      <x:c r="O1395" s="235" t="n">
        <x:v>4622.0072</x:v>
      </x:c>
      <x:c r="P1395" s="235"/>
      <x:c r="Q1395" s="235"/>
      <x:c r="R1395" s="235" t="str">
        <x:v>INVOICE_OR_PLAN</x:v>
      </x:c>
      <x:c r="S1395" s="238" t="n">
        <x:f>'Model_Calc'!AV236</x:f>
        <x:v>4622.007177216001</x:v>
      </x:c>
      <x:c r="T1395" s="238" t="n">
        <x:f>ROUND(S1395-O1395,4)</x:f>
        <x:v>0</x:v>
      </x:c>
    </x:row>
    <x:row r="1396">
      <x:c r="A1396" s="187" t="str">
        <x:v>FORECAST_2026_08_V1</x:v>
      </x:c>
      <x:c r="B1396" s="187" t="str">
        <x:v>FORECAST</x:v>
      </x:c>
      <x:c r="C1396" s="187"/>
      <x:c r="D1396" s="217" t="n">
        <x:v>46357</x:v>
      </x:c>
      <x:c r="E1396" s="187" t="str">
        <x:v>R_DE_DE_B_ROAD</x:v>
      </x:c>
      <x:c r="F1396" s="187" t="str">
        <x:v>DE</x:v>
      </x:c>
      <x:c r="G1396" s="187" t="str">
        <x:v>DE_FC</x:v>
      </x:c>
      <x:c r="H1396" s="187" t="str">
        <x:v>CARRIER_B</x:v>
      </x:c>
      <x:c r="I1396" s="187" t="str">
        <x:v>ROAD</x:v>
      </x:c>
      <x:c r="J1396" s="187" t="str">
        <x:v>BILLABLE_EXCEPTION</x:v>
      </x:c>
      <x:c r="K1396" s="187" t="str">
        <x:v>EUR</x:v>
      </x:c>
      <x:c r="L1396" s="232" t="n">
        <x:v>115.3847927232</x:v>
      </x:c>
      <x:c r="M1396" s="232" t="n">
        <x:v>7.86</x:v>
      </x:c>
      <x:c r="N1396" s="187" t="str">
        <x:v>906.924470804352000000</x:v>
      </x:c>
      <x:c r="O1396" s="235" t="n">
        <x:v>906.9245</x:v>
      </x:c>
      <x:c r="P1396" s="235"/>
      <x:c r="Q1396" s="235"/>
      <x:c r="R1396" s="235" t="str">
        <x:v>INVOICE_OR_PLAN</x:v>
      </x:c>
      <x:c r="S1396" s="238" t="n">
        <x:f>'Model_Calc'!BA236</x:f>
        <x:v>906.924470804352</x:v>
      </x:c>
      <x:c r="T1396" s="238" t="n">
        <x:f>ROUND(S1396-O1396,4)</x:f>
        <x:v>0</x:v>
      </x:c>
    </x:row>
    <x:row r="1397">
      <x:c r="A1397" s="187" t="str">
        <x:v>FORECAST_2026_08_V1</x:v>
      </x:c>
      <x:c r="B1397" s="187" t="str">
        <x:v>FORECAST</x:v>
      </x:c>
      <x:c r="C1397" s="187"/>
      <x:c r="D1397" s="217" t="n">
        <x:v>46357</x:v>
      </x:c>
      <x:c r="E1397" s="187" t="str">
        <x:v>R_DE_FR_B_ROAD</x:v>
      </x:c>
      <x:c r="F1397" s="187" t="str">
        <x:v>DE</x:v>
      </x:c>
      <x:c r="G1397" s="187" t="str">
        <x:v>FR_FC</x:v>
      </x:c>
      <x:c r="H1397" s="187" t="str">
        <x:v>CARRIER_B</x:v>
      </x:c>
      <x:c r="I1397" s="187" t="str">
        <x:v>ROAD</x:v>
      </x:c>
      <x:c r="J1397" s="187" t="str">
        <x:v>BASE_FREIGHT</x:v>
      </x:c>
      <x:c r="K1397" s="187" t="str">
        <x:v>EUR</x:v>
      </x:c>
      <x:c r="L1397" s="232" t="n">
        <x:v>879.70110269184</x:v>
      </x:c>
      <x:c r="M1397" s="232" t="n">
        <x:v>7.86</x:v>
      </x:c>
      <x:c r="N1397" s="187" t="str">
        <x:v>6914.45066715786240000</x:v>
      </x:c>
      <x:c r="O1397" s="235" t="n">
        <x:v>6914.4507</x:v>
      </x:c>
      <x:c r="P1397" s="235"/>
      <x:c r="Q1397" s="235"/>
      <x:c r="R1397" s="235" t="str">
        <x:v>INVOICE_OR_PLAN</x:v>
      </x:c>
      <x:c r="S1397" s="238" t="n">
        <x:f>'Model_Calc'!AF237</x:f>
        <x:v>6914.450667157865</x:v>
      </x:c>
      <x:c r="T1397" s="238" t="n">
        <x:f>ROUND(S1397-O1397,4)</x:f>
        <x:v>0</x:v>
      </x:c>
    </x:row>
    <x:row r="1398">
      <x:c r="A1398" s="187" t="str">
        <x:v>FORECAST_2026_08_V1</x:v>
      </x:c>
      <x:c r="B1398" s="187" t="str">
        <x:v>FORECAST</x:v>
      </x:c>
      <x:c r="C1398" s="187"/>
      <x:c r="D1398" s="217" t="n">
        <x:v>46357</x:v>
      </x:c>
      <x:c r="E1398" s="187" t="str">
        <x:v>R_DE_FR_B_ROAD</x:v>
      </x:c>
      <x:c r="F1398" s="187" t="str">
        <x:v>DE</x:v>
      </x:c>
      <x:c r="G1398" s="187" t="str">
        <x:v>FR_FC</x:v>
      </x:c>
      <x:c r="H1398" s="187" t="str">
        <x:v>CARRIER_B</x:v>
      </x:c>
      <x:c r="I1398" s="187" t="str">
        <x:v>ROAD</x:v>
      </x:c>
      <x:c r="J1398" s="187" t="str">
        <x:v>FUEL_SURCHARGE</x:v>
      </x:c>
      <x:c r="K1398" s="187" t="str">
        <x:v>EUR</x:v>
      </x:c>
      <x:c r="L1398" s="232" t="n">
        <x:v>63.978262013952</x:v>
      </x:c>
      <x:c r="M1398" s="232" t="n">
        <x:v>7.86</x:v>
      </x:c>
      <x:c r="N1398" s="187" t="str">
        <x:v>502.86913942966272000</x:v>
      </x:c>
      <x:c r="O1398" s="235" t="n">
        <x:v>502.8691</x:v>
      </x:c>
      <x:c r="P1398" s="235"/>
      <x:c r="Q1398" s="235"/>
      <x:c r="R1398" s="235" t="str">
        <x:v>INVOICE_OR_PLAN</x:v>
      </x:c>
      <x:c r="S1398" s="238" t="n">
        <x:f>'Model_Calc'!AG237</x:f>
        <x:v>502.8691394296629</x:v>
      </x:c>
      <x:c r="T1398" s="238" t="n">
        <x:f>ROUND(S1398-O1398,4)</x:f>
        <x:v>0</x:v>
      </x:c>
    </x:row>
    <x:row r="1399">
      <x:c r="A1399" s="187" t="str">
        <x:v>FORECAST_2026_08_V1</x:v>
      </x:c>
      <x:c r="B1399" s="187" t="str">
        <x:v>FORECAST</x:v>
      </x:c>
      <x:c r="C1399" s="187"/>
      <x:c r="D1399" s="217" t="n">
        <x:v>46357</x:v>
      </x:c>
      <x:c r="E1399" s="187" t="str">
        <x:v>R_DE_FR_B_ROAD</x:v>
      </x:c>
      <x:c r="F1399" s="187" t="str">
        <x:v>DE</x:v>
      </x:c>
      <x:c r="G1399" s="187" t="str">
        <x:v>FR_FC</x:v>
      </x:c>
      <x:c r="H1399" s="187" t="str">
        <x:v>CARRIER_B</x:v>
      </x:c>
      <x:c r="I1399" s="187" t="str">
        <x:v>ROAD</x:v>
      </x:c>
      <x:c r="J1399" s="187" t="str">
        <x:v>WAREHOUSE_OPERATION</x:v>
      </x:c>
      <x:c r="K1399" s="187" t="str">
        <x:v>EUR</x:v>
      </x:c>
      <x:c r="L1399" s="232" t="n">
        <x:v>298.37808</x:v>
      </x:c>
      <x:c r="M1399" s="232" t="n">
        <x:v>7.86</x:v>
      </x:c>
      <x:c r="N1399" s="187" t="str">
        <x:v>2345.25170880000</x:v>
      </x:c>
      <x:c r="O1399" s="235" t="n">
        <x:v>2345.2517</x:v>
      </x:c>
      <x:c r="P1399" s="235"/>
      <x:c r="Q1399" s="235"/>
      <x:c r="R1399" s="235" t="str">
        <x:v>INVOICE_OR_PLAN</x:v>
      </x:c>
      <x:c r="S1399" s="238" t="n">
        <x:f>'Model_Calc'!AL237</x:f>
        <x:v>2345.2517088</x:v>
      </x:c>
      <x:c r="T1399" s="238" t="n">
        <x:f>ROUND(S1399-O1399,4)</x:f>
        <x:v>0</x:v>
      </x:c>
    </x:row>
    <x:row r="1400">
      <x:c r="A1400" s="187" t="str">
        <x:v>FORECAST_2026_08_V1</x:v>
      </x:c>
      <x:c r="B1400" s="187" t="str">
        <x:v>FORECAST</x:v>
      </x:c>
      <x:c r="C1400" s="187"/>
      <x:c r="D1400" s="217" t="n">
        <x:v>46357</x:v>
      </x:c>
      <x:c r="E1400" s="187" t="str">
        <x:v>R_DE_FR_B_ROAD</x:v>
      </x:c>
      <x:c r="F1400" s="187" t="str">
        <x:v>DE</x:v>
      </x:c>
      <x:c r="G1400" s="187" t="str">
        <x:v>FR_FC</x:v>
      </x:c>
      <x:c r="H1400" s="187" t="str">
        <x:v>CARRIER_B</x:v>
      </x:c>
      <x:c r="I1400" s="187" t="str">
        <x:v>ROAD</x:v>
      </x:c>
      <x:c r="J1400" s="187" t="str">
        <x:v>PACKAGING</x:v>
      </x:c>
      <x:c r="K1400" s="187" t="str">
        <x:v>EUR</x:v>
      </x:c>
      <x:c r="L1400" s="232" t="n">
        <x:v>116.62320384</x:v>
      </x:c>
      <x:c r="M1400" s="232" t="n">
        <x:v>7.86</x:v>
      </x:c>
      <x:c r="N1400" s="187" t="str">
        <x:v>916.6583821824000</x:v>
      </x:c>
      <x:c r="O1400" s="235" t="n">
        <x:v>916.6584</x:v>
      </x:c>
      <x:c r="P1400" s="235"/>
      <x:c r="Q1400" s="235"/>
      <x:c r="R1400" s="235" t="str">
        <x:v>INVOICE_OR_PLAN</x:v>
      </x:c>
      <x:c r="S1400" s="238" t="n">
        <x:f>'Model_Calc'!AQ237</x:f>
        <x:v>916.6583821824</x:v>
      </x:c>
      <x:c r="T1400" s="238" t="n">
        <x:f>ROUND(S1400-O1400,4)</x:f>
        <x:v>0</x:v>
      </x:c>
    </x:row>
    <x:row r="1401">
      <x:c r="A1401" s="187" t="str">
        <x:v>FORECAST_2026_08_V1</x:v>
      </x:c>
      <x:c r="B1401" s="187" t="str">
        <x:v>FORECAST</x:v>
      </x:c>
      <x:c r="C1401" s="187"/>
      <x:c r="D1401" s="217" t="n">
        <x:v>46357</x:v>
      </x:c>
      <x:c r="E1401" s="187" t="str">
        <x:v>R_DE_FR_B_ROAD</x:v>
      </x:c>
      <x:c r="F1401" s="187" t="str">
        <x:v>DE</x:v>
      </x:c>
      <x:c r="G1401" s="187" t="str">
        <x:v>FR_FC</x:v>
      </x:c>
      <x:c r="H1401" s="187" t="str">
        <x:v>CARRIER_B</x:v>
      </x:c>
      <x:c r="I1401" s="187" t="str">
        <x:v>ROAD</x:v>
      </x:c>
      <x:c r="J1401" s="187" t="str">
        <x:v>RETURN_LOGISTICS</x:v>
      </x:c>
      <x:c r="K1401" s="187" t="str">
        <x:v>EUR</x:v>
      </x:c>
      <x:c r="L1401" s="232" t="n">
        <x:v>53.992224</x:v>
      </x:c>
      <x:c r="M1401" s="232" t="n">
        <x:v>7.86</x:v>
      </x:c>
      <x:c r="N1401" s="187" t="str">
        <x:v>424.37888064000000</x:v>
      </x:c>
      <x:c r="O1401" s="235" t="n">
        <x:v>424.3789</x:v>
      </x:c>
      <x:c r="P1401" s="235"/>
      <x:c r="Q1401" s="235"/>
      <x:c r="R1401" s="235" t="str">
        <x:v>INVOICE_OR_PLAN</x:v>
      </x:c>
      <x:c r="S1401" s="238" t="n">
        <x:f>'Model_Calc'!AV237</x:f>
        <x:v>424.37888064000003</x:v>
      </x:c>
      <x:c r="T1401" s="238" t="n">
        <x:f>ROUND(S1401-O1401,4)</x:f>
        <x:v>0</x:v>
      </x:c>
    </x:row>
    <x:row r="1402">
      <x:c r="A1402" s="187" t="str">
        <x:v>FORECAST_2026_08_V1</x:v>
      </x:c>
      <x:c r="B1402" s="187" t="str">
        <x:v>FORECAST</x:v>
      </x:c>
      <x:c r="C1402" s="187"/>
      <x:c r="D1402" s="217" t="n">
        <x:v>46357</x:v>
      </x:c>
      <x:c r="E1402" s="187" t="str">
        <x:v>R_DE_FR_B_ROAD</x:v>
      </x:c>
      <x:c r="F1402" s="187" t="str">
        <x:v>DE</x:v>
      </x:c>
      <x:c r="G1402" s="187" t="str">
        <x:v>FR_FC</x:v>
      </x:c>
      <x:c r="H1402" s="187" t="str">
        <x:v>CARRIER_B</x:v>
      </x:c>
      <x:c r="I1402" s="187" t="str">
        <x:v>ROAD</x:v>
      </x:c>
      <x:c r="J1402" s="187" t="str">
        <x:v>BILLABLE_EXCEPTION</x:v>
      </x:c>
      <x:c r="K1402" s="187" t="str">
        <x:v>EUR</x:v>
      </x:c>
      <x:c r="L1402" s="232" t="n">
        <x:v>9.8822820096</x:v>
      </x:c>
      <x:c r="M1402" s="232" t="n">
        <x:v>7.86</x:v>
      </x:c>
      <x:c r="N1402" s="187" t="str">
        <x:v>77.6747365954560000</x:v>
      </x:c>
      <x:c r="O1402" s="235" t="n">
        <x:v>77.6747</x:v>
      </x:c>
      <x:c r="P1402" s="235"/>
      <x:c r="Q1402" s="235"/>
      <x:c r="R1402" s="235" t="str">
        <x:v>INVOICE_OR_PLAN</x:v>
      </x:c>
      <x:c r="S1402" s="238" t="n">
        <x:f>'Model_Calc'!BA237</x:f>
        <x:v>77.67473659545603</x:v>
      </x:c>
      <x:c r="T1402" s="238" t="n">
        <x:f>ROUND(S1402-O1402,4)</x:f>
        <x:v>0</x:v>
      </x:c>
    </x:row>
    <x:row r="1403">
      <x:c r="A1403" s="187" t="str">
        <x:v>FORECAST_2026_08_V1</x:v>
      </x:c>
      <x:c r="B1403" s="187" t="str">
        <x:v>FORECAST</x:v>
      </x:c>
      <x:c r="C1403" s="187"/>
      <x:c r="D1403" s="217" t="n">
        <x:v>46357</x:v>
      </x:c>
      <x:c r="E1403" s="187" t="str">
        <x:v>R_FR_FR_A_ROAD</x:v>
      </x:c>
      <x:c r="F1403" s="187" t="str">
        <x:v>FR</x:v>
      </x:c>
      <x:c r="G1403" s="187" t="str">
        <x:v>FR_FC</x:v>
      </x:c>
      <x:c r="H1403" s="187" t="str">
        <x:v>CARRIER_A</x:v>
      </x:c>
      <x:c r="I1403" s="187" t="str">
        <x:v>ROAD</x:v>
      </x:c>
      <x:c r="J1403" s="187" t="str">
        <x:v>BASE_FREIGHT</x:v>
      </x:c>
      <x:c r="K1403" s="187" t="str">
        <x:v>EUR</x:v>
      </x:c>
      <x:c r="L1403" s="232" t="n">
        <x:v>4956.6994324848</x:v>
      </x:c>
      <x:c r="M1403" s="232" t="n">
        <x:v>7.86</x:v>
      </x:c>
      <x:c r="N1403" s="187" t="str">
        <x:v>38959.65753933052800000</x:v>
      </x:c>
      <x:c r="O1403" s="235" t="n">
        <x:v>38959.6575</x:v>
      </x:c>
      <x:c r="P1403" s="235"/>
      <x:c r="Q1403" s="235"/>
      <x:c r="R1403" s="235" t="str">
        <x:v>INVOICE_OR_PLAN</x:v>
      </x:c>
      <x:c r="S1403" s="238" t="n">
        <x:f>'Model_Calc'!AF238</x:f>
        <x:v>38959.65753933053</x:v>
      </x:c>
      <x:c r="T1403" s="238" t="n">
        <x:f>ROUND(S1403-O1403,4)</x:f>
        <x:v>0</x:v>
      </x:c>
    </x:row>
    <x:row r="1404">
      <x:c r="A1404" s="187" t="str">
        <x:v>FORECAST_2026_08_V1</x:v>
      </x:c>
      <x:c r="B1404" s="187" t="str">
        <x:v>FORECAST</x:v>
      </x:c>
      <x:c r="C1404" s="187"/>
      <x:c r="D1404" s="217" t="n">
        <x:v>46357</x:v>
      </x:c>
      <x:c r="E1404" s="187" t="str">
        <x:v>R_FR_FR_A_ROAD</x:v>
      </x:c>
      <x:c r="F1404" s="187" t="str">
        <x:v>FR</x:v>
      </x:c>
      <x:c r="G1404" s="187" t="str">
        <x:v>FR_FC</x:v>
      </x:c>
      <x:c r="H1404" s="187" t="str">
        <x:v>CARRIER_A</x:v>
      </x:c>
      <x:c r="I1404" s="187" t="str">
        <x:v>ROAD</x:v>
      </x:c>
      <x:c r="J1404" s="187" t="str">
        <x:v>FUEL_SURCHARGE</x:v>
      </x:c>
      <x:c r="K1404" s="187" t="str">
        <x:v>EUR</x:v>
      </x:c>
      <x:c r="L1404" s="232" t="n">
        <x:v>461.71655213595915</x:v>
      </x:c>
      <x:c r="M1404" s="232" t="n">
        <x:v>7.86</x:v>
      </x:c>
      <x:c r="N1404" s="187" t="str">
        <x:v>3629.09209978863868320000000</x:v>
      </x:c>
      <x:c r="O1404" s="235" t="n">
        <x:v>3629.0921</x:v>
      </x:c>
      <x:c r="P1404" s="235"/>
      <x:c r="Q1404" s="235"/>
      <x:c r="R1404" s="235" t="str">
        <x:v>INVOICE_OR_PLAN</x:v>
      </x:c>
      <x:c r="S1404" s="238" t="n">
        <x:f>'Model_Calc'!AG238</x:f>
        <x:v>3629.0920997886387</x:v>
      </x:c>
      <x:c r="T1404" s="238" t="n">
        <x:f>ROUND(S1404-O1404,4)</x:f>
        <x:v>0</x:v>
      </x:c>
    </x:row>
    <x:row r="1405">
      <x:c r="A1405" s="187" t="str">
        <x:v>FORECAST_2026_08_V1</x:v>
      </x:c>
      <x:c r="B1405" s="187" t="str">
        <x:v>FORECAST</x:v>
      </x:c>
      <x:c r="C1405" s="187"/>
      <x:c r="D1405" s="217" t="n">
        <x:v>46357</x:v>
      </x:c>
      <x:c r="E1405" s="187" t="str">
        <x:v>R_FR_FR_A_ROAD</x:v>
      </x:c>
      <x:c r="F1405" s="187" t="str">
        <x:v>FR</x:v>
      </x:c>
      <x:c r="G1405" s="187" t="str">
        <x:v>FR_FC</x:v>
      </x:c>
      <x:c r="H1405" s="187" t="str">
        <x:v>CARRIER_A</x:v>
      </x:c>
      <x:c r="I1405" s="187" t="str">
        <x:v>ROAD</x:v>
      </x:c>
      <x:c r="J1405" s="187" t="str">
        <x:v>WAREHOUSE_OPERATION</x:v>
      </x:c>
      <x:c r="K1405" s="187" t="str">
        <x:v>EUR</x:v>
      </x:c>
      <x:c r="L1405" s="232" t="n">
        <x:v>3045.9429</x:v>
      </x:c>
      <x:c r="M1405" s="232" t="n">
        <x:v>7.86</x:v>
      </x:c>
      <x:c r="N1405" s="187" t="str">
        <x:v>23941.11119400000</x:v>
      </x:c>
      <x:c r="O1405" s="235" t="n">
        <x:v>23941.1112</x:v>
      </x:c>
      <x:c r="P1405" s="235"/>
      <x:c r="Q1405" s="235"/>
      <x:c r="R1405" s="235" t="str">
        <x:v>INVOICE_OR_PLAN</x:v>
      </x:c>
      <x:c r="S1405" s="238" t="n">
        <x:f>'Model_Calc'!AL238</x:f>
        <x:v>23941.111194000005</x:v>
      </x:c>
      <x:c r="T1405" s="238" t="n">
        <x:f>ROUND(S1405-O1405,4)</x:f>
        <x:v>0</x:v>
      </x:c>
    </x:row>
    <x:row r="1406">
      <x:c r="A1406" s="187" t="str">
        <x:v>FORECAST_2026_08_V1</x:v>
      </x:c>
      <x:c r="B1406" s="187" t="str">
        <x:v>FORECAST</x:v>
      </x:c>
      <x:c r="C1406" s="187"/>
      <x:c r="D1406" s="217" t="n">
        <x:v>46357</x:v>
      </x:c>
      <x:c r="E1406" s="187" t="str">
        <x:v>R_FR_FR_A_ROAD</x:v>
      </x:c>
      <x:c r="F1406" s="187" t="str">
        <x:v>FR</x:v>
      </x:c>
      <x:c r="G1406" s="187" t="str">
        <x:v>FR_FC</x:v>
      </x:c>
      <x:c r="H1406" s="187" t="str">
        <x:v>CARRIER_A</x:v>
      </x:c>
      <x:c r="I1406" s="187" t="str">
        <x:v>ROAD</x:v>
      </x:c>
      <x:c r="J1406" s="187" t="str">
        <x:v>PACKAGING</x:v>
      </x:c>
      <x:c r="K1406" s="187" t="str">
        <x:v>EUR</x:v>
      </x:c>
      <x:c r="L1406" s="232" t="n">
        <x:v>1168.4817144</x:v>
      </x:c>
      <x:c r="M1406" s="232" t="n">
        <x:v>7.86</x:v>
      </x:c>
      <x:c r="N1406" s="187" t="str">
        <x:v>9184.2662751840000</x:v>
      </x:c>
      <x:c r="O1406" s="235" t="n">
        <x:v>9184.2663</x:v>
      </x:c>
      <x:c r="P1406" s="235"/>
      <x:c r="Q1406" s="235"/>
      <x:c r="R1406" s="235" t="str">
        <x:v>INVOICE_OR_PLAN</x:v>
      </x:c>
      <x:c r="S1406" s="238" t="n">
        <x:f>'Model_Calc'!AQ238</x:f>
        <x:v>9184.266275184002</x:v>
      </x:c>
      <x:c r="T1406" s="238" t="n">
        <x:f>ROUND(S1406-O1406,4)</x:f>
        <x:v>0</x:v>
      </x:c>
    </x:row>
    <x:row r="1407">
      <x:c r="A1407" s="187" t="str">
        <x:v>FORECAST_2026_08_V1</x:v>
      </x:c>
      <x:c r="B1407" s="187" t="str">
        <x:v>FORECAST</x:v>
      </x:c>
      <x:c r="C1407" s="187"/>
      <x:c r="D1407" s="217" t="n">
        <x:v>46357</x:v>
      </x:c>
      <x:c r="E1407" s="187" t="str">
        <x:v>R_FR_FR_A_ROAD</x:v>
      </x:c>
      <x:c r="F1407" s="187" t="str">
        <x:v>FR</x:v>
      </x:c>
      <x:c r="G1407" s="187" t="str">
        <x:v>FR_FC</x:v>
      </x:c>
      <x:c r="H1407" s="187" t="str">
        <x:v>CARRIER_A</x:v>
      </x:c>
      <x:c r="I1407" s="187" t="str">
        <x:v>ROAD</x:v>
      </x:c>
      <x:c r="J1407" s="187" t="str">
        <x:v>RETURN_LOGISTICS</x:v>
      </x:c>
      <x:c r="K1407" s="187" t="str">
        <x:v>EUR</x:v>
      </x:c>
      <x:c r="L1407" s="232" t="n">
        <x:v>522.16164</x:v>
      </x:c>
      <x:c r="M1407" s="232" t="n">
        <x:v>7.86</x:v>
      </x:c>
      <x:c r="N1407" s="187" t="str">
        <x:v>4104.19049040000000</x:v>
      </x:c>
      <x:c r="O1407" s="235" t="n">
        <x:v>4104.1905</x:v>
      </x:c>
      <x:c r="P1407" s="235"/>
      <x:c r="Q1407" s="235"/>
      <x:c r="R1407" s="235" t="str">
        <x:v>INVOICE_OR_PLAN</x:v>
      </x:c>
      <x:c r="S1407" s="238" t="n">
        <x:f>'Model_Calc'!AV238</x:f>
        <x:v>4104.1904904</x:v>
      </x:c>
      <x:c r="T1407" s="238" t="n">
        <x:f>ROUND(S1407-O1407,4)</x:f>
        <x:v>0</x:v>
      </x:c>
    </x:row>
    <x:row r="1408">
      <x:c r="A1408" s="187" t="str">
        <x:v>FORECAST_2026_08_V1</x:v>
      </x:c>
      <x:c r="B1408" s="187" t="str">
        <x:v>FORECAST</x:v>
      </x:c>
      <x:c r="C1408" s="187"/>
      <x:c r="D1408" s="217" t="n">
        <x:v>46357</x:v>
      </x:c>
      <x:c r="E1408" s="187" t="str">
        <x:v>R_FR_FR_A_ROAD</x:v>
      </x:c>
      <x:c r="F1408" s="187" t="str">
        <x:v>FR</x:v>
      </x:c>
      <x:c r="G1408" s="187" t="str">
        <x:v>FR_FC</x:v>
      </x:c>
      <x:c r="H1408" s="187" t="str">
        <x:v>CARRIER_A</x:v>
      </x:c>
      <x:c r="I1408" s="187" t="str">
        <x:v>ROAD</x:v>
      </x:c>
      <x:c r="J1408" s="187" t="str">
        <x:v>BILLABLE_EXCEPTION</x:v>
      </x:c>
      <x:c r="K1408" s="187" t="str">
        <x:v>EUR</x:v>
      </x:c>
      <x:c r="L1408" s="232" t="n">
        <x:v>120.230618508</x:v>
      </x:c>
      <x:c r="M1408" s="232" t="n">
        <x:v>7.86</x:v>
      </x:c>
      <x:c r="N1408" s="187" t="str">
        <x:v>945.0126614728800000</x:v>
      </x:c>
      <x:c r="O1408" s="235" t="n">
        <x:v>945.0127</x:v>
      </x:c>
      <x:c r="P1408" s="235"/>
      <x:c r="Q1408" s="235"/>
      <x:c r="R1408" s="235" t="str">
        <x:v>INVOICE_OR_PLAN</x:v>
      </x:c>
      <x:c r="S1408" s="238" t="n">
        <x:f>'Model_Calc'!BA238</x:f>
        <x:v>945.0126614728802</x:v>
      </x:c>
      <x:c r="T1408" s="238" t="n">
        <x:f>ROUND(S1408-O1408,4)</x:f>
        <x:v>0</x:v>
      </x:c>
    </x:row>
    <x:row r="1409">
      <x:c r="A1409" s="187" t="str">
        <x:v>FORECAST_2026_08_V1</x:v>
      </x:c>
      <x:c r="B1409" s="187" t="str">
        <x:v>FORECAST</x:v>
      </x:c>
      <x:c r="C1409" s="187"/>
      <x:c r="D1409" s="217" t="n">
        <x:v>46357</x:v>
      </x:c>
      <x:c r="E1409" s="187" t="str">
        <x:v>R_FR_FR_B_ROAD</x:v>
      </x:c>
      <x:c r="F1409" s="187" t="str">
        <x:v>FR</x:v>
      </x:c>
      <x:c r="G1409" s="187" t="str">
        <x:v>FR_FC</x:v>
      </x:c>
      <x:c r="H1409" s="187" t="str">
        <x:v>CARRIER_B</x:v>
      </x:c>
      <x:c r="I1409" s="187" t="str">
        <x:v>ROAD</x:v>
      </x:c>
      <x:c r="J1409" s="187" t="str">
        <x:v>BASE_FREIGHT</x:v>
      </x:c>
      <x:c r="K1409" s="187" t="str">
        <x:v>EUR</x:v>
      </x:c>
      <x:c r="L1409" s="232" t="n">
        <x:v>11846.9198215368</x:v>
      </x:c>
      <x:c r="M1409" s="232" t="n">
        <x:v>7.86</x:v>
      </x:c>
      <x:c r="N1409" s="187" t="str">
        <x:v>93116.78979727924800000</x:v>
      </x:c>
      <x:c r="O1409" s="235" t="n">
        <x:v>93116.7898</x:v>
      </x:c>
      <x:c r="P1409" s="235"/>
      <x:c r="Q1409" s="235"/>
      <x:c r="R1409" s="235" t="str">
        <x:v>INVOICE_OR_PLAN</x:v>
      </x:c>
      <x:c r="S1409" s="238" t="n">
        <x:f>'Model_Calc'!AF239</x:f>
        <x:v>93116.78979727926</x:v>
      </x:c>
      <x:c r="T1409" s="238" t="n">
        <x:f>ROUND(S1409-O1409,4)</x:f>
        <x:v>0</x:v>
      </x:c>
    </x:row>
    <x:row r="1410">
      <x:c r="A1410" s="187" t="str">
        <x:v>FORECAST_2026_08_V1</x:v>
      </x:c>
      <x:c r="B1410" s="187" t="str">
        <x:v>FORECAST</x:v>
      </x:c>
      <x:c r="C1410" s="187"/>
      <x:c r="D1410" s="217" t="n">
        <x:v>46357</x:v>
      </x:c>
      <x:c r="E1410" s="187" t="str">
        <x:v>R_FR_FR_B_ROAD</x:v>
      </x:c>
      <x:c r="F1410" s="187" t="str">
        <x:v>FR</x:v>
      </x:c>
      <x:c r="G1410" s="187" t="str">
        <x:v>FR_FC</x:v>
      </x:c>
      <x:c r="H1410" s="187" t="str">
        <x:v>CARRIER_B</x:v>
      </x:c>
      <x:c r="I1410" s="187" t="str">
        <x:v>ROAD</x:v>
      </x:c>
      <x:c r="J1410" s="187" t="str">
        <x:v>FUEL_SURCHARGE</x:v>
      </x:c>
      <x:c r="K1410" s="187" t="str">
        <x:v>EUR</x:v>
      </x:c>
      <x:c r="L1410" s="232" t="n">
        <x:v>911.3015247336</x:v>
      </x:c>
      <x:c r="M1410" s="232" t="n">
        <x:v>7.86</x:v>
      </x:c>
      <x:c r="N1410" s="187" t="str">
        <x:v>7162.82998440609600000</x:v>
      </x:c>
      <x:c r="O1410" s="235" t="n">
        <x:v>7162.83</x:v>
      </x:c>
      <x:c r="P1410" s="235"/>
      <x:c r="Q1410" s="235"/>
      <x:c r="R1410" s="235" t="str">
        <x:v>INVOICE_OR_PLAN</x:v>
      </x:c>
      <x:c r="S1410" s="238" t="n">
        <x:f>'Model_Calc'!AG239</x:f>
        <x:v>7162.8299844060975</x:v>
      </x:c>
      <x:c r="T1410" s="238" t="n">
        <x:f>ROUND(S1410-O1410,4)</x:f>
        <x:v>0</x:v>
      </x:c>
    </x:row>
    <x:row r="1411">
      <x:c r="A1411" s="187" t="str">
        <x:v>FORECAST_2026_08_V1</x:v>
      </x:c>
      <x:c r="B1411" s="187" t="str">
        <x:v>FORECAST</x:v>
      </x:c>
      <x:c r="C1411" s="187"/>
      <x:c r="D1411" s="217" t="n">
        <x:v>46357</x:v>
      </x:c>
      <x:c r="E1411" s="187" t="str">
        <x:v>R_FR_FR_B_ROAD</x:v>
      </x:c>
      <x:c r="F1411" s="187" t="str">
        <x:v>FR</x:v>
      </x:c>
      <x:c r="G1411" s="187" t="str">
        <x:v>FR_FC</x:v>
      </x:c>
      <x:c r="H1411" s="187" t="str">
        <x:v>CARRIER_B</x:v>
      </x:c>
      <x:c r="I1411" s="187" t="str">
        <x:v>ROAD</x:v>
      </x:c>
      <x:c r="J1411" s="187" t="str">
        <x:v>WAREHOUSE_OPERATION</x:v>
      </x:c>
      <x:c r="K1411" s="187" t="str">
        <x:v>EUR</x:v>
      </x:c>
      <x:c r="L1411" s="232" t="n">
        <x:v>5656.7511</x:v>
      </x:c>
      <x:c r="M1411" s="232" t="n">
        <x:v>7.86</x:v>
      </x:c>
      <x:c r="N1411" s="187" t="str">
        <x:v>44462.06364600000</x:v>
      </x:c>
      <x:c r="O1411" s="235" t="n">
        <x:v>44462.0636</x:v>
      </x:c>
      <x:c r="P1411" s="235"/>
      <x:c r="Q1411" s="235"/>
      <x:c r="R1411" s="235" t="str">
        <x:v>INVOICE_OR_PLAN</x:v>
      </x:c>
      <x:c r="S1411" s="238" t="n">
        <x:f>'Model_Calc'!AL239</x:f>
        <x:v>44462.06364600001</x:v>
      </x:c>
      <x:c r="T1411" s="238" t="n">
        <x:f>ROUND(S1411-O1411,4)</x:f>
        <x:v>0</x:v>
      </x:c>
    </x:row>
    <x:row r="1412">
      <x:c r="A1412" s="187" t="str">
        <x:v>FORECAST_2026_08_V1</x:v>
      </x:c>
      <x:c r="B1412" s="187" t="str">
        <x:v>FORECAST</x:v>
      </x:c>
      <x:c r="C1412" s="187"/>
      <x:c r="D1412" s="217" t="n">
        <x:v>46357</x:v>
      </x:c>
      <x:c r="E1412" s="187" t="str">
        <x:v>R_FR_FR_B_ROAD</x:v>
      </x:c>
      <x:c r="F1412" s="187" t="str">
        <x:v>FR</x:v>
      </x:c>
      <x:c r="G1412" s="187" t="str">
        <x:v>FR_FC</x:v>
      </x:c>
      <x:c r="H1412" s="187" t="str">
        <x:v>CARRIER_B</x:v>
      </x:c>
      <x:c r="I1412" s="187" t="str">
        <x:v>ROAD</x:v>
      </x:c>
      <x:c r="J1412" s="187" t="str">
        <x:v>PACKAGING</x:v>
      </x:c>
      <x:c r="K1412" s="187" t="str">
        <x:v>EUR</x:v>
      </x:c>
      <x:c r="L1412" s="232" t="n">
        <x:v>2170.0374696</x:v>
      </x:c>
      <x:c r="M1412" s="232" t="n">
        <x:v>7.86</x:v>
      </x:c>
      <x:c r="N1412" s="187" t="str">
        <x:v>17056.4945110560000</x:v>
      </x:c>
      <x:c r="O1412" s="235" t="n">
        <x:v>17056.4945</x:v>
      </x:c>
      <x:c r="P1412" s="235"/>
      <x:c r="Q1412" s="235"/>
      <x:c r="R1412" s="235" t="str">
        <x:v>INVOICE_OR_PLAN</x:v>
      </x:c>
      <x:c r="S1412" s="238" t="n">
        <x:f>'Model_Calc'!AQ239</x:f>
        <x:v>17056.494511056004</x:v>
      </x:c>
      <x:c r="T1412" s="238" t="n">
        <x:f>ROUND(S1412-O1412,4)</x:f>
        <x:v>0</x:v>
      </x:c>
    </x:row>
    <x:row r="1413">
      <x:c r="A1413" s="187" t="str">
        <x:v>FORECAST_2026_08_V1</x:v>
      </x:c>
      <x:c r="B1413" s="187" t="str">
        <x:v>FORECAST</x:v>
      </x:c>
      <x:c r="C1413" s="187"/>
      <x:c r="D1413" s="217" t="n">
        <x:v>46357</x:v>
      </x:c>
      <x:c r="E1413" s="187" t="str">
        <x:v>R_FR_FR_B_ROAD</x:v>
      </x:c>
      <x:c r="F1413" s="187" t="str">
        <x:v>FR</x:v>
      </x:c>
      <x:c r="G1413" s="187" t="str">
        <x:v>FR_FC</x:v>
      </x:c>
      <x:c r="H1413" s="187" t="str">
        <x:v>CARRIER_B</x:v>
      </x:c>
      <x:c r="I1413" s="187" t="str">
        <x:v>ROAD</x:v>
      </x:c>
      <x:c r="J1413" s="187" t="str">
        <x:v>RETURN_LOGISTICS</x:v>
      </x:c>
      <x:c r="K1413" s="187" t="str">
        <x:v>EUR</x:v>
      </x:c>
      <x:c r="L1413" s="232" t="n">
        <x:v>969.72876</x:v>
      </x:c>
      <x:c r="M1413" s="232" t="n">
        <x:v>7.86</x:v>
      </x:c>
      <x:c r="N1413" s="187" t="str">
        <x:v>7622.06805360000000</x:v>
      </x:c>
      <x:c r="O1413" s="235" t="n">
        <x:v>7622.0681</x:v>
      </x:c>
      <x:c r="P1413" s="235"/>
      <x:c r="Q1413" s="235"/>
      <x:c r="R1413" s="235" t="str">
        <x:v>INVOICE_OR_PLAN</x:v>
      </x:c>
      <x:c r="S1413" s="238" t="n">
        <x:f>'Model_Calc'!AV239</x:f>
        <x:v>7622.068053600001</x:v>
      </x:c>
      <x:c r="T1413" s="238" t="n">
        <x:f>ROUND(S1413-O1413,4)</x:f>
        <x:v>0</x:v>
      </x:c>
    </x:row>
    <x:row r="1414">
      <x:c r="A1414" s="187" t="str">
        <x:v>FORECAST_2026_08_V1</x:v>
      </x:c>
      <x:c r="B1414" s="187" t="str">
        <x:v>FORECAST</x:v>
      </x:c>
      <x:c r="C1414" s="187"/>
      <x:c r="D1414" s="217" t="n">
        <x:v>46357</x:v>
      </x:c>
      <x:c r="E1414" s="187" t="str">
        <x:v>R_FR_FR_B_ROAD</x:v>
      </x:c>
      <x:c r="F1414" s="187" t="str">
        <x:v>FR</x:v>
      </x:c>
      <x:c r="G1414" s="187" t="str">
        <x:v>FR_FC</x:v>
      </x:c>
      <x:c r="H1414" s="187" t="str">
        <x:v>CARRIER_B</x:v>
      </x:c>
      <x:c r="I1414" s="187" t="str">
        <x:v>ROAD</x:v>
      </x:c>
      <x:c r="J1414" s="187" t="str">
        <x:v>BILLABLE_EXCEPTION</x:v>
      </x:c>
      <x:c r="K1414" s="187" t="str">
        <x:v>EUR</x:v>
      </x:c>
      <x:c r="L1414" s="232" t="n">
        <x:v>183.882122424</x:v>
      </x:c>
      <x:c r="M1414" s="232" t="n">
        <x:v>7.86</x:v>
      </x:c>
      <x:c r="N1414" s="187" t="str">
        <x:v>1445.3134822526400000</x:v>
      </x:c>
      <x:c r="O1414" s="235" t="n">
        <x:v>1445.3135</x:v>
      </x:c>
      <x:c r="P1414" s="235"/>
      <x:c r="Q1414" s="235"/>
      <x:c r="R1414" s="235" t="str">
        <x:v>INVOICE_OR_PLAN</x:v>
      </x:c>
      <x:c r="S1414" s="238" t="n">
        <x:f>'Model_Calc'!BA239</x:f>
        <x:v>1445.3134822526401</x:v>
      </x:c>
      <x:c r="T1414" s="238" t="n">
        <x:f>ROUND(S1414-O1414,4)</x:f>
        <x:v>0</x:v>
      </x:c>
    </x:row>
    <x:row r="1415">
      <x:c r="A1415" s="187" t="str">
        <x:v>FORECAST_2026_08_V1</x:v>
      </x:c>
      <x:c r="B1415" s="187" t="str">
        <x:v>FORECAST</x:v>
      </x:c>
      <x:c r="C1415" s="187"/>
      <x:c r="D1415" s="217" t="n">
        <x:v>46357</x:v>
      </x:c>
      <x:c r="E1415" s="187" t="str">
        <x:v>R_GB_DE_A_ROAD</x:v>
      </x:c>
      <x:c r="F1415" s="187" t="str">
        <x:v>GB</x:v>
      </x:c>
      <x:c r="G1415" s="187" t="str">
        <x:v>DE_FC</x:v>
      </x:c>
      <x:c r="H1415" s="187" t="str">
        <x:v>CARRIER_A</x:v>
      </x:c>
      <x:c r="I1415" s="187" t="str">
        <x:v>ROAD</x:v>
      </x:c>
      <x:c r="J1415" s="187" t="str">
        <x:v>BASE_FREIGHT</x:v>
      </x:c>
      <x:c r="K1415" s="187" t="str">
        <x:v>GBP</x:v>
      </x:c>
      <x:c r="L1415" s="232" t="n">
        <x:v>26831.590368716392</x:v>
      </x:c>
      <x:c r="M1415" s="232" t="n">
        <x:v>9</x:v>
      </x:c>
      <x:c r="N1415" s="187" t="str">
        <x:v>241484.313318447513600000000</x:v>
      </x:c>
      <x:c r="O1415" s="235" t="n">
        <x:v>241484.3133</x:v>
      </x:c>
      <x:c r="P1415" s="235"/>
      <x:c r="Q1415" s="235"/>
      <x:c r="R1415" s="235" t="str">
        <x:v>INVOICE_OR_PLAN</x:v>
      </x:c>
      <x:c r="S1415" s="238" t="n">
        <x:f>'Model_Calc'!AF240</x:f>
        <x:v>241484.3133184475</x:v>
      </x:c>
      <x:c r="T1415" s="238" t="n">
        <x:f>ROUND(S1415-O1415,4)</x:f>
        <x:v>0</x:v>
      </x:c>
    </x:row>
    <x:row r="1416">
      <x:c r="A1416" s="187" t="str">
        <x:v>FORECAST_2026_08_V1</x:v>
      </x:c>
      <x:c r="B1416" s="187" t="str">
        <x:v>FORECAST</x:v>
      </x:c>
      <x:c r="C1416" s="187"/>
      <x:c r="D1416" s="217" t="n">
        <x:v>46357</x:v>
      </x:c>
      <x:c r="E1416" s="187" t="str">
        <x:v>R_GB_DE_A_ROAD</x:v>
      </x:c>
      <x:c r="F1416" s="187" t="str">
        <x:v>GB</x:v>
      </x:c>
      <x:c r="G1416" s="187" t="str">
        <x:v>DE_FC</x:v>
      </x:c>
      <x:c r="H1416" s="187" t="str">
        <x:v>CARRIER_A</x:v>
      </x:c>
      <x:c r="I1416" s="187" t="str">
        <x:v>ROAD</x:v>
      </x:c>
      <x:c r="J1416" s="187" t="str">
        <x:v>FUEL_SURCHARGE</x:v>
      </x:c>
      <x:c r="K1416" s="187" t="str">
        <x:v>GBP</x:v>
      </x:c>
      <x:c r="L1416" s="232" t="n">
        <x:v>2777.0696031621464</x:v>
      </x:c>
      <x:c r="M1416" s="232" t="n">
        <x:v>9</x:v>
      </x:c>
      <x:c r="N1416" s="187" t="str">
        <x:v>24993.626428459317657600000000000</x:v>
      </x:c>
      <x:c r="O1416" s="235" t="n">
        <x:v>24993.6264</x:v>
      </x:c>
      <x:c r="P1416" s="235"/>
      <x:c r="Q1416" s="235"/>
      <x:c r="R1416" s="235" t="str">
        <x:v>INVOICE_OR_PLAN</x:v>
      </x:c>
      <x:c r="S1416" s="238" t="n">
        <x:f>'Model_Calc'!AG240</x:f>
        <x:v>24993.626428459313</x:v>
      </x:c>
      <x:c r="T1416" s="238" t="n">
        <x:f>ROUND(S1416-O1416,4)</x:f>
        <x:v>0</x:v>
      </x:c>
    </x:row>
    <x:row r="1417">
      <x:c r="A1417" s="187" t="str">
        <x:v>FORECAST_2026_08_V1</x:v>
      </x:c>
      <x:c r="B1417" s="187" t="str">
        <x:v>FORECAST</x:v>
      </x:c>
      <x:c r="C1417" s="187"/>
      <x:c r="D1417" s="217" t="n">
        <x:v>46357</x:v>
      </x:c>
      <x:c r="E1417" s="187" t="str">
        <x:v>R_GB_DE_A_ROAD</x:v>
      </x:c>
      <x:c r="F1417" s="187" t="str">
        <x:v>GB</x:v>
      </x:c>
      <x:c r="G1417" s="187" t="str">
        <x:v>DE_FC</x:v>
      </x:c>
      <x:c r="H1417" s="187" t="str">
        <x:v>CARRIER_A</x:v>
      </x:c>
      <x:c r="I1417" s="187" t="str">
        <x:v>ROAD</x:v>
      </x:c>
      <x:c r="J1417" s="187" t="str">
        <x:v>WAREHOUSE_OPERATION</x:v>
      </x:c>
      <x:c r="K1417" s="187" t="str">
        <x:v>EUR</x:v>
      </x:c>
      <x:c r="L1417" s="232" t="n">
        <x:v>6438.1464576</x:v>
      </x:c>
      <x:c r="M1417" s="232" t="n">
        <x:v>7.86</x:v>
      </x:c>
      <x:c r="N1417" s="187" t="str">
        <x:v>50603.8311567360000</x:v>
      </x:c>
      <x:c r="O1417" s="235" t="n">
        <x:v>50603.8312</x:v>
      </x:c>
      <x:c r="P1417" s="235"/>
      <x:c r="Q1417" s="235"/>
      <x:c r="R1417" s="235" t="str">
        <x:v>INVOICE_OR_PLAN</x:v>
      </x:c>
      <x:c r="S1417" s="238" t="n">
        <x:f>'Model_Calc'!AL240</x:f>
        <x:v>50603.831156736</x:v>
      </x:c>
      <x:c r="T1417" s="238" t="n">
        <x:f>ROUND(S1417-O1417,4)</x:f>
        <x:v>0</x:v>
      </x:c>
    </x:row>
    <x:row r="1418">
      <x:c r="A1418" s="187" t="str">
        <x:v>FORECAST_2026_08_V1</x:v>
      </x:c>
      <x:c r="B1418" s="187" t="str">
        <x:v>FORECAST</x:v>
      </x:c>
      <x:c r="C1418" s="187"/>
      <x:c r="D1418" s="217" t="n">
        <x:v>46357</x:v>
      </x:c>
      <x:c r="E1418" s="187" t="str">
        <x:v>R_GB_DE_A_ROAD</x:v>
      </x:c>
      <x:c r="F1418" s="187" t="str">
        <x:v>GB</x:v>
      </x:c>
      <x:c r="G1418" s="187" t="str">
        <x:v>DE_FC</x:v>
      </x:c>
      <x:c r="H1418" s="187" t="str">
        <x:v>CARRIER_A</x:v>
      </x:c>
      <x:c r="I1418" s="187" t="str">
        <x:v>ROAD</x:v>
      </x:c>
      <x:c r="J1418" s="187" t="str">
        <x:v>PACKAGING</x:v>
      </x:c>
      <x:c r="K1418" s="187" t="str">
        <x:v>EUR</x:v>
      </x:c>
      <x:c r="L1418" s="232" t="n">
        <x:v>2681.106075648</x:v>
      </x:c>
      <x:c r="M1418" s="232" t="n">
        <x:v>7.86</x:v>
      </x:c>
      <x:c r="N1418" s="187" t="str">
        <x:v>21073.493754593280000</x:v>
      </x:c>
      <x:c r="O1418" s="235" t="n">
        <x:v>21073.4938</x:v>
      </x:c>
      <x:c r="P1418" s="235"/>
      <x:c r="Q1418" s="235"/>
      <x:c r="R1418" s="235" t="str">
        <x:v>INVOICE_OR_PLAN</x:v>
      </x:c>
      <x:c r="S1418" s="238" t="n">
        <x:f>'Model_Calc'!AQ240</x:f>
        <x:v>21073.493754593273</x:v>
      </x:c>
      <x:c r="T1418" s="238" t="n">
        <x:f>ROUND(S1418-O1418,4)</x:f>
        <x:v>0</x:v>
      </x:c>
    </x:row>
    <x:row r="1419">
      <x:c r="A1419" s="187" t="str">
        <x:v>FORECAST_2026_08_V1</x:v>
      </x:c>
      <x:c r="B1419" s="187" t="str">
        <x:v>FORECAST</x:v>
      </x:c>
      <x:c r="C1419" s="187"/>
      <x:c r="D1419" s="217" t="n">
        <x:v>46357</x:v>
      </x:c>
      <x:c r="E1419" s="187" t="str">
        <x:v>R_GB_DE_A_ROAD</x:v>
      </x:c>
      <x:c r="F1419" s="187" t="str">
        <x:v>GB</x:v>
      </x:c>
      <x:c r="G1419" s="187" t="str">
        <x:v>DE_FC</x:v>
      </x:c>
      <x:c r="H1419" s="187" t="str">
        <x:v>CARRIER_A</x:v>
      </x:c>
      <x:c r="I1419" s="187" t="str">
        <x:v>ROAD</x:v>
      </x:c>
      <x:c r="J1419" s="187" t="str">
        <x:v>RETURN_LOGISTICS</x:v>
      </x:c>
      <x:c r="K1419" s="187" t="str">
        <x:v>GBP</x:v>
      </x:c>
      <x:c r="L1419" s="232" t="n">
        <x:v>2357.01633024</x:v>
      </x:c>
      <x:c r="M1419" s="232" t="n">
        <x:v>9</x:v>
      </x:c>
      <x:c r="N1419" s="187" t="str">
        <x:v>21213.1469721600000000</x:v>
      </x:c>
      <x:c r="O1419" s="235" t="n">
        <x:v>21213.147</x:v>
      </x:c>
      <x:c r="P1419" s="235"/>
      <x:c r="Q1419" s="235"/>
      <x:c r="R1419" s="235" t="str">
        <x:v>INVOICE_OR_PLAN</x:v>
      </x:c>
      <x:c r="S1419" s="238" t="n">
        <x:f>'Model_Calc'!AV240</x:f>
        <x:v>21213.146972159997</x:v>
      </x:c>
      <x:c r="T1419" s="238" t="n">
        <x:f>ROUND(S1419-O1419,4)</x:f>
        <x:v>0</x:v>
      </x:c>
    </x:row>
    <x:row r="1420">
      <x:c r="A1420" s="187" t="str">
        <x:v>FORECAST_2026_08_V1</x:v>
      </x:c>
      <x:c r="B1420" s="187" t="str">
        <x:v>FORECAST</x:v>
      </x:c>
      <x:c r="C1420" s="187"/>
      <x:c r="D1420" s="217" t="n">
        <x:v>46357</x:v>
      </x:c>
      <x:c r="E1420" s="187" t="str">
        <x:v>R_GB_DE_A_ROAD</x:v>
      </x:c>
      <x:c r="F1420" s="187" t="str">
        <x:v>GB</x:v>
      </x:c>
      <x:c r="G1420" s="187" t="str">
        <x:v>DE_FC</x:v>
      </x:c>
      <x:c r="H1420" s="187" t="str">
        <x:v>CARRIER_A</x:v>
      </x:c>
      <x:c r="I1420" s="187" t="str">
        <x:v>ROAD</x:v>
      </x:c>
      <x:c r="J1420" s="187" t="str">
        <x:v>BILLABLE_EXCEPTION</x:v>
      </x:c>
      <x:c r="K1420" s="187" t="str">
        <x:v>GBP</x:v>
      </x:c>
      <x:c r="L1420" s="232" t="n">
        <x:v>396.42068404224</x:v>
      </x:c>
      <x:c r="M1420" s="232" t="n">
        <x:v>9</x:v>
      </x:c>
      <x:c r="N1420" s="187" t="str">
        <x:v>3567.786156380160000000</x:v>
      </x:c>
      <x:c r="O1420" s="235" t="n">
        <x:v>3567.7862</x:v>
      </x:c>
      <x:c r="P1420" s="235"/>
      <x:c r="Q1420" s="235"/>
      <x:c r="R1420" s="235" t="str">
        <x:v>INVOICE_OR_PLAN</x:v>
      </x:c>
      <x:c r="S1420" s="238" t="n">
        <x:f>'Model_Calc'!BA240</x:f>
        <x:v>3567.7861563801594</x:v>
      </x:c>
      <x:c r="T1420" s="238" t="n">
        <x:f>ROUND(S1420-O1420,4)</x:f>
        <x:v>0</x:v>
      </x:c>
    </x:row>
    <x:row r="1421">
      <x:c r="A1421" s="187" t="str">
        <x:v>FORECAST_2026_08_V1</x:v>
      </x:c>
      <x:c r="B1421" s="187" t="str">
        <x:v>FORECAST</x:v>
      </x:c>
      <x:c r="C1421" s="187"/>
      <x:c r="D1421" s="217" t="n">
        <x:v>46357</x:v>
      </x:c>
      <x:c r="E1421" s="187" t="str">
        <x:v>R_GB_DE_B_ROAD</x:v>
      </x:c>
      <x:c r="F1421" s="187" t="str">
        <x:v>GB</x:v>
      </x:c>
      <x:c r="G1421" s="187" t="str">
        <x:v>DE_FC</x:v>
      </x:c>
      <x:c r="H1421" s="187" t="str">
        <x:v>CARRIER_B</x:v>
      </x:c>
      <x:c r="I1421" s="187" t="str">
        <x:v>ROAD</x:v>
      </x:c>
      <x:c r="J1421" s="187" t="str">
        <x:v>BASE_FREIGHT</x:v>
      </x:c>
      <x:c r="K1421" s="187" t="str">
        <x:v>GBP</x:v>
      </x:c>
      <x:c r="L1421" s="232" t="n">
        <x:v>16098.4061903808</x:v>
      </x:c>
      <x:c r="M1421" s="232" t="n">
        <x:v>9</x:v>
      </x:c>
      <x:c r="N1421" s="187" t="str">
        <x:v>144885.655713427200000000000</x:v>
      </x:c>
      <x:c r="O1421" s="235" t="n">
        <x:v>144885.6557</x:v>
      </x:c>
      <x:c r="P1421" s="235"/>
      <x:c r="Q1421" s="235"/>
      <x:c r="R1421" s="235" t="str">
        <x:v>INVOICE_OR_PLAN</x:v>
      </x:c>
      <x:c r="S1421" s="238" t="n">
        <x:f>'Model_Calc'!AF241</x:f>
        <x:v>144885.65571342717</x:v>
      </x:c>
      <x:c r="T1421" s="238" t="n">
        <x:f>ROUND(S1421-O1421,4)</x:f>
        <x:v>0</x:v>
      </x:c>
    </x:row>
    <x:row r="1422">
      <x:c r="A1422" s="187" t="str">
        <x:v>FORECAST_2026_08_V1</x:v>
      </x:c>
      <x:c r="B1422" s="187" t="str">
        <x:v>FORECAST</x:v>
      </x:c>
      <x:c r="C1422" s="187"/>
      <x:c r="D1422" s="217" t="n">
        <x:v>46357</x:v>
      </x:c>
      <x:c r="E1422" s="187" t="str">
        <x:v>R_GB_DE_B_ROAD</x:v>
      </x:c>
      <x:c r="F1422" s="187" t="str">
        <x:v>GB</x:v>
      </x:c>
      <x:c r="G1422" s="187" t="str">
        <x:v>DE_FC</x:v>
      </x:c>
      <x:c r="H1422" s="187" t="str">
        <x:v>CARRIER_B</x:v>
      </x:c>
      <x:c r="I1422" s="187" t="str">
        <x:v>ROAD</x:v>
      </x:c>
      <x:c r="J1422" s="187" t="str">
        <x:v>FUEL_SURCHARGE</x:v>
      </x:c>
      <x:c r="K1422" s="187" t="str">
        <x:v>GBP</x:v>
      </x:c>
      <x:c r="L1422" s="232" t="n">
        <x:v>1130.31362613312</x:v>
      </x:c>
      <x:c r="M1422" s="232" t="n">
        <x:v>9</x:v>
      </x:c>
      <x:c r="N1422" s="187" t="str">
        <x:v>10172.822635198080000000000</x:v>
      </x:c>
      <x:c r="O1422" s="235" t="n">
        <x:v>10172.8226</x:v>
      </x:c>
      <x:c r="P1422" s="235"/>
      <x:c r="Q1422" s="235"/>
      <x:c r="R1422" s="235" t="str">
        <x:v>INVOICE_OR_PLAN</x:v>
      </x:c>
      <x:c r="S1422" s="238" t="n">
        <x:f>'Model_Calc'!AG241</x:f>
        <x:v>10172.82263519808</x:v>
      </x:c>
      <x:c r="T1422" s="238" t="n">
        <x:f>ROUND(S1422-O1422,4)</x:f>
        <x:v>0</x:v>
      </x:c>
    </x:row>
    <x:row r="1423">
      <x:c r="A1423" s="187" t="str">
        <x:v>FORECAST_2026_08_V1</x:v>
      </x:c>
      <x:c r="B1423" s="187" t="str">
        <x:v>FORECAST</x:v>
      </x:c>
      <x:c r="C1423" s="187"/>
      <x:c r="D1423" s="217" t="n">
        <x:v>46357</x:v>
      </x:c>
      <x:c r="E1423" s="187" t="str">
        <x:v>R_GB_DE_B_ROAD</x:v>
      </x:c>
      <x:c r="F1423" s="187" t="str">
        <x:v>GB</x:v>
      </x:c>
      <x:c r="G1423" s="187" t="str">
        <x:v>DE_FC</x:v>
      </x:c>
      <x:c r="H1423" s="187" t="str">
        <x:v>CARRIER_B</x:v>
      </x:c>
      <x:c r="I1423" s="187" t="str">
        <x:v>ROAD</x:v>
      </x:c>
      <x:c r="J1423" s="187" t="str">
        <x:v>WAREHOUSE_OPERATION</x:v>
      </x:c>
      <x:c r="K1423" s="187" t="str">
        <x:v>EUR</x:v>
      </x:c>
      <x:c r="L1423" s="232" t="n">
        <x:v>3353.20128</x:v>
      </x:c>
      <x:c r="M1423" s="232" t="n">
        <x:v>7.86</x:v>
      </x:c>
      <x:c r="N1423" s="187" t="str">
        <x:v>26356.1620608000000</x:v>
      </x:c>
      <x:c r="O1423" s="235" t="n">
        <x:v>26356.1621</x:v>
      </x:c>
      <x:c r="P1423" s="235"/>
      <x:c r="Q1423" s="235"/>
      <x:c r="R1423" s="235" t="str">
        <x:v>INVOICE_OR_PLAN</x:v>
      </x:c>
      <x:c r="S1423" s="238" t="n">
        <x:f>'Model_Calc'!AL241</x:f>
        <x:v>26356.1620608</x:v>
      </x:c>
      <x:c r="T1423" s="238" t="n">
        <x:f>ROUND(S1423-O1423,4)</x:f>
        <x:v>0</x:v>
      </x:c>
    </x:row>
    <x:row r="1424">
      <x:c r="A1424" s="187" t="str">
        <x:v>FORECAST_2026_08_V1</x:v>
      </x:c>
      <x:c r="B1424" s="187" t="str">
        <x:v>FORECAST</x:v>
      </x:c>
      <x:c r="C1424" s="187"/>
      <x:c r="D1424" s="217" t="n">
        <x:v>46357</x:v>
      </x:c>
      <x:c r="E1424" s="187" t="str">
        <x:v>R_GB_DE_B_ROAD</x:v>
      </x:c>
      <x:c r="F1424" s="187" t="str">
        <x:v>GB</x:v>
      </x:c>
      <x:c r="G1424" s="187" t="str">
        <x:v>DE_FC</x:v>
      </x:c>
      <x:c r="H1424" s="187" t="str">
        <x:v>CARRIER_B</x:v>
      </x:c>
      <x:c r="I1424" s="187" t="str">
        <x:v>ROAD</x:v>
      </x:c>
      <x:c r="J1424" s="187" t="str">
        <x:v>PACKAGING</x:v>
      </x:c>
      <x:c r="K1424" s="187" t="str">
        <x:v>EUR</x:v>
      </x:c>
      <x:c r="L1424" s="232" t="n">
        <x:v>1396.4094144</x:v>
      </x:c>
      <x:c r="M1424" s="232" t="n">
        <x:v>7.86</x:v>
      </x:c>
      <x:c r="N1424" s="187" t="str">
        <x:v>10975.777997184000000</x:v>
      </x:c>
      <x:c r="O1424" s="235" t="n">
        <x:v>10975.778</x:v>
      </x:c>
      <x:c r="P1424" s="235"/>
      <x:c r="Q1424" s="235"/>
      <x:c r="R1424" s="235" t="str">
        <x:v>INVOICE_OR_PLAN</x:v>
      </x:c>
      <x:c r="S1424" s="238" t="n">
        <x:f>'Model_Calc'!AQ241</x:f>
        <x:v>10975.777997184</x:v>
      </x:c>
      <x:c r="T1424" s="238" t="n">
        <x:f>ROUND(S1424-O1424,4)</x:f>
        <x:v>0</x:v>
      </x:c>
    </x:row>
    <x:row r="1425">
      <x:c r="A1425" s="187" t="str">
        <x:v>FORECAST_2026_08_V1</x:v>
      </x:c>
      <x:c r="B1425" s="187" t="str">
        <x:v>FORECAST</x:v>
      </x:c>
      <x:c r="C1425" s="187"/>
      <x:c r="D1425" s="217" t="n">
        <x:v>46357</x:v>
      </x:c>
      <x:c r="E1425" s="187" t="str">
        <x:v>R_GB_DE_B_ROAD</x:v>
      </x:c>
      <x:c r="F1425" s="187" t="str">
        <x:v>GB</x:v>
      </x:c>
      <x:c r="G1425" s="187" t="str">
        <x:v>DE_FC</x:v>
      </x:c>
      <x:c r="H1425" s="187" t="str">
        <x:v>CARRIER_B</x:v>
      </x:c>
      <x:c r="I1425" s="187" t="str">
        <x:v>ROAD</x:v>
      </x:c>
      <x:c r="J1425" s="187" t="str">
        <x:v>RETURN_LOGISTICS</x:v>
      </x:c>
      <x:c r="K1425" s="187" t="str">
        <x:v>GBP</x:v>
      </x:c>
      <x:c r="L1425" s="232" t="n">
        <x:v>1227.612672</x:v>
      </x:c>
      <x:c r="M1425" s="232" t="n">
        <x:v>9</x:v>
      </x:c>
      <x:c r="N1425" s="187" t="str">
        <x:v>11048.5140480000000000</x:v>
      </x:c>
      <x:c r="O1425" s="235" t="n">
        <x:v>11048.514</x:v>
      </x:c>
      <x:c r="P1425" s="235"/>
      <x:c r="Q1425" s="235"/>
      <x:c r="R1425" s="235" t="str">
        <x:v>INVOICE_OR_PLAN</x:v>
      </x:c>
      <x:c r="S1425" s="238" t="n">
        <x:f>'Model_Calc'!AV241</x:f>
        <x:v>11048.514048</x:v>
      </x:c>
      <x:c r="T1425" s="238" t="n">
        <x:f>ROUND(S1425-O1425,4)</x:f>
        <x:v>0</x:v>
      </x:c>
    </x:row>
    <x:row r="1426">
      <x:c r="A1426" s="187" t="str">
        <x:v>FORECAST_2026_08_V1</x:v>
      </x:c>
      <x:c r="B1426" s="187" t="str">
        <x:v>FORECAST</x:v>
      </x:c>
      <x:c r="C1426" s="187"/>
      <x:c r="D1426" s="217" t="n">
        <x:v>46357</x:v>
      </x:c>
      <x:c r="E1426" s="187" t="str">
        <x:v>R_GB_DE_B_ROAD</x:v>
      </x:c>
      <x:c r="F1426" s="187" t="str">
        <x:v>GB</x:v>
      </x:c>
      <x:c r="G1426" s="187" t="str">
        <x:v>DE_FC</x:v>
      </x:c>
      <x:c r="H1426" s="187" t="str">
        <x:v>CARRIER_B</x:v>
      </x:c>
      <x:c r="I1426" s="187" t="str">
        <x:v>ROAD</x:v>
      </x:c>
      <x:c r="J1426" s="187" t="str">
        <x:v>BILLABLE_EXCEPTION</x:v>
      </x:c>
      <x:c r="K1426" s="187" t="str">
        <x:v>GBP</x:v>
      </x:c>
      <x:c r="L1426" s="232" t="n">
        <x:v>152.94007872</x:v>
      </x:c>
      <x:c r="M1426" s="232" t="n">
        <x:v>9</x:v>
      </x:c>
      <x:c r="N1426" s="187" t="str">
        <x:v>1376.460708480000000000</x:v>
      </x:c>
      <x:c r="O1426" s="235" t="n">
        <x:v>1376.4607</x:v>
      </x:c>
      <x:c r="P1426" s="235"/>
      <x:c r="Q1426" s="235"/>
      <x:c r="R1426" s="235" t="str">
        <x:v>INVOICE_OR_PLAN</x:v>
      </x:c>
      <x:c r="S1426" s="238" t="n">
        <x:f>'Model_Calc'!BA241</x:f>
        <x:v>1376.46070848</x:v>
      </x:c>
      <x:c r="T1426" s="238" t="n">
        <x:f>ROUND(S1426-O1426,4)</x:f>
        <x:v>0</x:v>
      </x:c>
    </x:row>
    <x:row r="1427">
      <x:c r="A1427" s="187" t="str">
        <x:v>FORECAST_2026_08_V1</x:v>
      </x:c>
      <x:c r="B1427" s="187" t="str">
        <x:v>FORECAST</x:v>
      </x:c>
      <x:c r="C1427" s="187"/>
      <x:c r="D1427" s="217" t="n">
        <x:v>46357</x:v>
      </x:c>
      <x:c r="E1427" s="187" t="str">
        <x:v>R_GB_DE_B_AIR</x:v>
      </x:c>
      <x:c r="F1427" s="187" t="str">
        <x:v>GB</x:v>
      </x:c>
      <x:c r="G1427" s="187" t="str">
        <x:v>DE_FC</x:v>
      </x:c>
      <x:c r="H1427" s="187" t="str">
        <x:v>CARRIER_B</x:v>
      </x:c>
      <x:c r="I1427" s="187" t="str">
        <x:v>AIR</x:v>
      </x:c>
      <x:c r="J1427" s="187" t="str">
        <x:v>BASE_FREIGHT</x:v>
      </x:c>
      <x:c r="K1427" s="187" t="str">
        <x:v>GBP</x:v>
      </x:c>
      <x:c r="L1427" s="232" t="n">
        <x:v>15777.98351356746</x:v>
      </x:c>
      <x:c r="M1427" s="232" t="n">
        <x:v>9</x:v>
      </x:c>
      <x:c r="N1427" s="187" t="str">
        <x:v>142001.85162210714501120000000</x:v>
      </x:c>
      <x:c r="O1427" s="235" t="n">
        <x:v>142001.8516</x:v>
      </x:c>
      <x:c r="P1427" s="235"/>
      <x:c r="Q1427" s="235"/>
      <x:c r="R1427" s="235" t="str">
        <x:v>INVOICE_OR_PLAN</x:v>
      </x:c>
      <x:c r="S1427" s="238" t="n">
        <x:f>'Model_Calc'!AF242</x:f>
        <x:v>142001.85162210715</x:v>
      </x:c>
      <x:c r="T1427" s="238" t="n">
        <x:f>ROUND(S1427-O1427,4)</x:f>
        <x:v>0</x:v>
      </x:c>
    </x:row>
    <x:row r="1428">
      <x:c r="A1428" s="187" t="str">
        <x:v>FORECAST_2026_08_V1</x:v>
      </x:c>
      <x:c r="B1428" s="187" t="str">
        <x:v>FORECAST</x:v>
      </x:c>
      <x:c r="C1428" s="187"/>
      <x:c r="D1428" s="217" t="n">
        <x:v>46357</x:v>
      </x:c>
      <x:c r="E1428" s="187" t="str">
        <x:v>R_GB_DE_B_AIR</x:v>
      </x:c>
      <x:c r="F1428" s="187" t="str">
        <x:v>GB</x:v>
      </x:c>
      <x:c r="G1428" s="187" t="str">
        <x:v>DE_FC</x:v>
      </x:c>
      <x:c r="H1428" s="187" t="str">
        <x:v>CARRIER_B</x:v>
      </x:c>
      <x:c r="I1428" s="187" t="str">
        <x:v>AIR</x:v>
      </x:c>
      <x:c r="J1428" s="187" t="str">
        <x:v>FUEL_SURCHARGE</x:v>
      </x:c>
      <x:c r="K1428" s="187" t="str">
        <x:v>GBP</x:v>
      </x:c>
      <x:c r="L1428" s="232" t="n">
        <x:v>1953.0934672104618</x:v>
      </x:c>
      <x:c r="M1428" s="232" t="n">
        <x:v>9</x:v>
      </x:c>
      <x:c r="N1428" s="187" t="str">
        <x:v>17577.8412048941550523564032000000000</x:v>
      </x:c>
      <x:c r="O1428" s="235" t="n">
        <x:v>17577.8412</x:v>
      </x:c>
      <x:c r="P1428" s="235"/>
      <x:c r="Q1428" s="235"/>
      <x:c r="R1428" s="235" t="str">
        <x:v>INVOICE_OR_PLAN</x:v>
      </x:c>
      <x:c r="S1428" s="238" t="n">
        <x:f>'Model_Calc'!AG242</x:f>
        <x:v>17577.841204894154</x:v>
      </x:c>
      <x:c r="T1428" s="238" t="n">
        <x:f>ROUND(S1428-O1428,4)</x:f>
        <x:v>0</x:v>
      </x:c>
    </x:row>
    <x:row r="1429">
      <x:c r="A1429" s="187" t="str">
        <x:v>FORECAST_2026_08_V1</x:v>
      </x:c>
      <x:c r="B1429" s="187" t="str">
        <x:v>FORECAST</x:v>
      </x:c>
      <x:c r="C1429" s="187"/>
      <x:c r="D1429" s="217" t="n">
        <x:v>46357</x:v>
      </x:c>
      <x:c r="E1429" s="187" t="str">
        <x:v>R_GB_DE_B_AIR</x:v>
      </x:c>
      <x:c r="F1429" s="187" t="str">
        <x:v>GB</x:v>
      </x:c>
      <x:c r="G1429" s="187" t="str">
        <x:v>DE_FC</x:v>
      </x:c>
      <x:c r="H1429" s="187" t="str">
        <x:v>CARRIER_B</x:v>
      </x:c>
      <x:c r="I1429" s="187" t="str">
        <x:v>AIR</x:v>
      </x:c>
      <x:c r="J1429" s="187" t="str">
        <x:v>WAREHOUSE_OPERATION</x:v>
      </x:c>
      <x:c r="K1429" s="187" t="str">
        <x:v>EUR</x:v>
      </x:c>
      <x:c r="L1429" s="232" t="n">
        <x:v>2548.4329728</x:v>
      </x:c>
      <x:c r="M1429" s="232" t="n">
        <x:v>7.86</x:v>
      </x:c>
      <x:c r="N1429" s="187" t="str">
        <x:v>20030.6831662080000</x:v>
      </x:c>
      <x:c r="O1429" s="235" t="n">
        <x:v>20030.6832</x:v>
      </x:c>
      <x:c r="P1429" s="235"/>
      <x:c r="Q1429" s="235"/>
      <x:c r="R1429" s="235" t="str">
        <x:v>INVOICE_OR_PLAN</x:v>
      </x:c>
      <x:c r="S1429" s="238" t="n">
        <x:f>'Model_Calc'!AL242</x:f>
        <x:v>20030.683166208004</x:v>
      </x:c>
      <x:c r="T1429" s="238" t="n">
        <x:f>ROUND(S1429-O1429,4)</x:f>
        <x:v>0</x:v>
      </x:c>
    </x:row>
    <x:row r="1430">
      <x:c r="A1430" s="187" t="str">
        <x:v>FORECAST_2026_08_V1</x:v>
      </x:c>
      <x:c r="B1430" s="187" t="str">
        <x:v>FORECAST</x:v>
      </x:c>
      <x:c r="C1430" s="187"/>
      <x:c r="D1430" s="217" t="n">
        <x:v>46357</x:v>
      </x:c>
      <x:c r="E1430" s="187" t="str">
        <x:v>R_GB_DE_B_AIR</x:v>
      </x:c>
      <x:c r="F1430" s="187" t="str">
        <x:v>GB</x:v>
      </x:c>
      <x:c r="G1430" s="187" t="str">
        <x:v>DE_FC</x:v>
      </x:c>
      <x:c r="H1430" s="187" t="str">
        <x:v>CARRIER_B</x:v>
      </x:c>
      <x:c r="I1430" s="187" t="str">
        <x:v>AIR</x:v>
      </x:c>
      <x:c r="J1430" s="187" t="str">
        <x:v>PACKAGING</x:v>
      </x:c>
      <x:c r="K1430" s="187" t="str">
        <x:v>EUR</x:v>
      </x:c>
      <x:c r="L1430" s="232" t="n">
        <x:v>1061.271154944</x:v>
      </x:c>
      <x:c r="M1430" s="232" t="n">
        <x:v>7.86</x:v>
      </x:c>
      <x:c r="N1430" s="187" t="str">
        <x:v>8341.591277859840000</x:v>
      </x:c>
      <x:c r="O1430" s="235" t="n">
        <x:v>8341.5913</x:v>
      </x:c>
      <x:c r="P1430" s="235"/>
      <x:c r="Q1430" s="235"/>
      <x:c r="R1430" s="235" t="str">
        <x:v>INVOICE_OR_PLAN</x:v>
      </x:c>
      <x:c r="S1430" s="238" t="n">
        <x:f>'Model_Calc'!AQ242</x:f>
        <x:v>8341.59127785984</x:v>
      </x:c>
      <x:c r="T1430" s="238" t="n">
        <x:f>ROUND(S1430-O1430,4)</x:f>
        <x:v>0</x:v>
      </x:c>
    </x:row>
    <x:row r="1431">
      <x:c r="A1431" s="187" t="str">
        <x:v>FORECAST_2026_08_V1</x:v>
      </x:c>
      <x:c r="B1431" s="187" t="str">
        <x:v>FORECAST</x:v>
      </x:c>
      <x:c r="C1431" s="187"/>
      <x:c r="D1431" s="217" t="n">
        <x:v>46357</x:v>
      </x:c>
      <x:c r="E1431" s="187" t="str">
        <x:v>R_GB_DE_B_AIR</x:v>
      </x:c>
      <x:c r="F1431" s="187" t="str">
        <x:v>GB</x:v>
      </x:c>
      <x:c r="G1431" s="187" t="str">
        <x:v>DE_FC</x:v>
      </x:c>
      <x:c r="H1431" s="187" t="str">
        <x:v>CARRIER_B</x:v>
      </x:c>
      <x:c r="I1431" s="187" t="str">
        <x:v>AIR</x:v>
      </x:c>
      <x:c r="J1431" s="187" t="str">
        <x:v>RETURN_LOGISTICS</x:v>
      </x:c>
      <x:c r="K1431" s="187" t="str">
        <x:v>GBP</x:v>
      </x:c>
      <x:c r="L1431" s="232" t="n">
        <x:v>932.98563072</x:v>
      </x:c>
      <x:c r="M1431" s="232" t="n">
        <x:v>9</x:v>
      </x:c>
      <x:c r="N1431" s="187" t="str">
        <x:v>8396.8706764800000000</x:v>
      </x:c>
      <x:c r="O1431" s="235" t="n">
        <x:v>8396.8707</x:v>
      </x:c>
      <x:c r="P1431" s="235"/>
      <x:c r="Q1431" s="235"/>
      <x:c r="R1431" s="235" t="str">
        <x:v>INVOICE_OR_PLAN</x:v>
      </x:c>
      <x:c r="S1431" s="238" t="n">
        <x:f>'Model_Calc'!AV242</x:f>
        <x:v>8396.870676479999</x:v>
      </x:c>
      <x:c r="T1431" s="238" t="n">
        <x:f>ROUND(S1431-O1431,4)</x:f>
        <x:v>0</x:v>
      </x:c>
    </x:row>
    <x:row r="1432">
      <x:c r="A1432" s="187" t="str">
        <x:v>FORECAST_2026_08_V1</x:v>
      </x:c>
      <x:c r="B1432" s="187" t="str">
        <x:v>FORECAST</x:v>
      </x:c>
      <x:c r="C1432" s="187"/>
      <x:c r="D1432" s="217" t="n">
        <x:v>46357</x:v>
      </x:c>
      <x:c r="E1432" s="187" t="str">
        <x:v>R_GB_DE_B_AIR</x:v>
      </x:c>
      <x:c r="F1432" s="187" t="str">
        <x:v>GB</x:v>
      </x:c>
      <x:c r="G1432" s="187" t="str">
        <x:v>DE_FC</x:v>
      </x:c>
      <x:c r="H1432" s="187" t="str">
        <x:v>CARRIER_B</x:v>
      </x:c>
      <x:c r="I1432" s="187" t="str">
        <x:v>AIR</x:v>
      </x:c>
      <x:c r="J1432" s="187" t="str">
        <x:v>BILLABLE_EXCEPTION</x:v>
      </x:c>
      <x:c r="K1432" s="187" t="str">
        <x:v>GBP</x:v>
      </x:c>
      <x:c r="L1432" s="232" t="n">
        <x:v>113.20225652736</x:v>
      </x:c>
      <x:c r="M1432" s="232" t="n">
        <x:v>9</x:v>
      </x:c>
      <x:c r="N1432" s="187" t="str">
        <x:v>1018.820308746240000000</x:v>
      </x:c>
      <x:c r="O1432" s="235" t="n">
        <x:v>1018.8203</x:v>
      </x:c>
      <x:c r="P1432" s="235"/>
      <x:c r="Q1432" s="235"/>
      <x:c r="R1432" s="235" t="str">
        <x:v>INVOICE_OR_PLAN</x:v>
      </x:c>
      <x:c r="S1432" s="238" t="n">
        <x:f>'Model_Calc'!BA242</x:f>
        <x:v>1018.8203087462399</x:v>
      </x:c>
      <x:c r="T1432" s="238" t="n">
        <x:f>ROUND(S1432-O1432,4)</x:f>
        <x:v>0</x:v>
      </x:c>
    </x:row>
    <x:row r="1433">
      <x:c r="A1433" s="187" t="str">
        <x:v>FORECAST_2026_08_V1</x:v>
      </x:c>
      <x:c r="B1433" s="187" t="str">
        <x:v>FORECAST</x:v>
      </x:c>
      <x:c r="C1433" s="187"/>
      <x:c r="D1433" s="217" t="n">
        <x:v>46357</x:v>
      </x:c>
      <x:c r="E1433" s="187" t="str">
        <x:v>R_GB_DE_C_AIR</x:v>
      </x:c>
      <x:c r="F1433" s="187" t="str">
        <x:v>GB</x:v>
      </x:c>
      <x:c r="G1433" s="187" t="str">
        <x:v>DE_FC</x:v>
      </x:c>
      <x:c r="H1433" s="187" t="str">
        <x:v>CARRIER_C</x:v>
      </x:c>
      <x:c r="I1433" s="187" t="str">
        <x:v>AIR</x:v>
      </x:c>
      <x:c r="J1433" s="187" t="str">
        <x:v>BASE_FREIGHT</x:v>
      </x:c>
      <x:c r="K1433" s="187" t="str">
        <x:v>GBP</x:v>
      </x:c>
      <x:c r="L1433" s="232" t="n">
        <x:v>8016.595259672863</x:v>
      </x:c>
      <x:c r="M1433" s="232" t="n">
        <x:v>9</x:v>
      </x:c>
      <x:c r="N1433" s="187" t="str">
        <x:v>72149.35733705576448000000000</x:v>
      </x:c>
      <x:c r="O1433" s="235" t="n">
        <x:v>72149.3573</x:v>
      </x:c>
      <x:c r="P1433" s="235"/>
      <x:c r="Q1433" s="235"/>
      <x:c r="R1433" s="235" t="str">
        <x:v>INVOICE_OR_PLAN</x:v>
      </x:c>
      <x:c r="S1433" s="238" t="n">
        <x:f>'Model_Calc'!AF243</x:f>
        <x:v>72149.35733705576</x:v>
      </x:c>
      <x:c r="T1433" s="238" t="n">
        <x:f>ROUND(S1433-O1433,4)</x:f>
        <x:v>0</x:v>
      </x:c>
    </x:row>
    <x:row r="1434">
      <x:c r="A1434" s="187" t="str">
        <x:v>FORECAST_2026_08_V1</x:v>
      </x:c>
      <x:c r="B1434" s="187" t="str">
        <x:v>FORECAST</x:v>
      </x:c>
      <x:c r="C1434" s="187"/>
      <x:c r="D1434" s="217" t="n">
        <x:v>46357</x:v>
      </x:c>
      <x:c r="E1434" s="187" t="str">
        <x:v>R_GB_DE_C_AIR</x:v>
      </x:c>
      <x:c r="F1434" s="187" t="str">
        <x:v>GB</x:v>
      </x:c>
      <x:c r="G1434" s="187" t="str">
        <x:v>DE_FC</x:v>
      </x:c>
      <x:c r="H1434" s="187" t="str">
        <x:v>CARRIER_C</x:v>
      </x:c>
      <x:c r="I1434" s="187" t="str">
        <x:v>AIR</x:v>
      </x:c>
      <x:c r="J1434" s="187" t="str">
        <x:v>FUEL_SURCHARGE</x:v>
      </x:c>
      <x:c r="K1434" s="187" t="str">
        <x:v>GBP</x:v>
      </x:c>
      <x:c r="L1434" s="232" t="n">
        <x:v>619.9500334147014</x:v>
      </x:c>
      <x:c r="M1434" s="232" t="n">
        <x:v>9</x:v>
      </x:c>
      <x:c r="N1434" s="187" t="str">
        <x:v>5579.55030073231245312000000</x:v>
      </x:c>
      <x:c r="O1434" s="235" t="n">
        <x:v>5579.5503</x:v>
      </x:c>
      <x:c r="P1434" s="235"/>
      <x:c r="Q1434" s="235"/>
      <x:c r="R1434" s="235" t="str">
        <x:v>INVOICE_OR_PLAN</x:v>
      </x:c>
      <x:c r="S1434" s="238" t="n">
        <x:f>'Model_Calc'!AG243</x:f>
        <x:v>5579.550300732312</x:v>
      </x:c>
      <x:c r="T1434" s="238" t="n">
        <x:f>ROUND(S1434-O1434,4)</x:f>
        <x:v>0</x:v>
      </x:c>
    </x:row>
    <x:row r="1435">
      <x:c r="A1435" s="187" t="str">
        <x:v>FORECAST_2026_08_V1</x:v>
      </x:c>
      <x:c r="B1435" s="187" t="str">
        <x:v>FORECAST</x:v>
      </x:c>
      <x:c r="C1435" s="187"/>
      <x:c r="D1435" s="217" t="n">
        <x:v>46357</x:v>
      </x:c>
      <x:c r="E1435" s="187" t="str">
        <x:v>R_GB_DE_C_AIR</x:v>
      </x:c>
      <x:c r="F1435" s="187" t="str">
        <x:v>GB</x:v>
      </x:c>
      <x:c r="G1435" s="187" t="str">
        <x:v>DE_FC</x:v>
      </x:c>
      <x:c r="H1435" s="187" t="str">
        <x:v>CARRIER_C</x:v>
      </x:c>
      <x:c r="I1435" s="187" t="str">
        <x:v>AIR</x:v>
      </x:c>
      <x:c r="J1435" s="187" t="str">
        <x:v>WAREHOUSE_OPERATION</x:v>
      </x:c>
      <x:c r="K1435" s="187" t="str">
        <x:v>EUR</x:v>
      </x:c>
      <x:c r="L1435" s="232" t="n">
        <x:v>1073.0244096</x:v>
      </x:c>
      <x:c r="M1435" s="232" t="n">
        <x:v>7.86</x:v>
      </x:c>
      <x:c r="N1435" s="187" t="str">
        <x:v>8433.9718594560000</x:v>
      </x:c>
      <x:c r="O1435" s="235" t="n">
        <x:v>8433.9719</x:v>
      </x:c>
      <x:c r="P1435" s="235"/>
      <x:c r="Q1435" s="235"/>
      <x:c r="R1435" s="235" t="str">
        <x:v>INVOICE_OR_PLAN</x:v>
      </x:c>
      <x:c r="S1435" s="238" t="n">
        <x:f>'Model_Calc'!AL243</x:f>
        <x:v>8433.971859456002</x:v>
      </x:c>
      <x:c r="T1435" s="238" t="n">
        <x:f>ROUND(S1435-O1435,4)</x:f>
        <x:v>0</x:v>
      </x:c>
    </x:row>
    <x:row r="1436">
      <x:c r="A1436" s="187" t="str">
        <x:v>FORECAST_2026_08_V1</x:v>
      </x:c>
      <x:c r="B1436" s="187" t="str">
        <x:v>FORECAST</x:v>
      </x:c>
      <x:c r="C1436" s="187"/>
      <x:c r="D1436" s="217" t="n">
        <x:v>46357</x:v>
      </x:c>
      <x:c r="E1436" s="187" t="str">
        <x:v>R_GB_DE_C_AIR</x:v>
      </x:c>
      <x:c r="F1436" s="187" t="str">
        <x:v>GB</x:v>
      </x:c>
      <x:c r="G1436" s="187" t="str">
        <x:v>DE_FC</x:v>
      </x:c>
      <x:c r="H1436" s="187" t="str">
        <x:v>CARRIER_C</x:v>
      </x:c>
      <x:c r="I1436" s="187" t="str">
        <x:v>AIR</x:v>
      </x:c>
      <x:c r="J1436" s="187" t="str">
        <x:v>PACKAGING</x:v>
      </x:c>
      <x:c r="K1436" s="187" t="str">
        <x:v>EUR</x:v>
      </x:c>
      <x:c r="L1436" s="232" t="n">
        <x:v>446.851012608</x:v>
      </x:c>
      <x:c r="M1436" s="232" t="n">
        <x:v>7.86</x:v>
      </x:c>
      <x:c r="N1436" s="187" t="str">
        <x:v>3512.248959098880000</x:v>
      </x:c>
      <x:c r="O1436" s="235" t="n">
        <x:v>3512.249</x:v>
      </x:c>
      <x:c r="P1436" s="235"/>
      <x:c r="Q1436" s="235"/>
      <x:c r="R1436" s="235" t="str">
        <x:v>INVOICE_OR_PLAN</x:v>
      </x:c>
      <x:c r="S1436" s="238" t="n">
        <x:f>'Model_Calc'!AQ243</x:f>
        <x:v>3512.24895909888</x:v>
      </x:c>
      <x:c r="T1436" s="238" t="n">
        <x:f>ROUND(S1436-O1436,4)</x:f>
        <x:v>0</x:v>
      </x:c>
    </x:row>
    <x:row r="1437">
      <x:c r="A1437" s="187" t="str">
        <x:v>FORECAST_2026_08_V1</x:v>
      </x:c>
      <x:c r="B1437" s="187" t="str">
        <x:v>FORECAST</x:v>
      </x:c>
      <x:c r="C1437" s="187"/>
      <x:c r="D1437" s="217" t="n">
        <x:v>46357</x:v>
      </x:c>
      <x:c r="E1437" s="187" t="str">
        <x:v>R_GB_DE_C_AIR</x:v>
      </x:c>
      <x:c r="F1437" s="187" t="str">
        <x:v>GB</x:v>
      </x:c>
      <x:c r="G1437" s="187" t="str">
        <x:v>DE_FC</x:v>
      </x:c>
      <x:c r="H1437" s="187" t="str">
        <x:v>CARRIER_C</x:v>
      </x:c>
      <x:c r="I1437" s="187" t="str">
        <x:v>AIR</x:v>
      </x:c>
      <x:c r="J1437" s="187" t="str">
        <x:v>RETURN_LOGISTICS</x:v>
      </x:c>
      <x:c r="K1437" s="187" t="str">
        <x:v>GBP</x:v>
      </x:c>
      <x:c r="L1437" s="232" t="n">
        <x:v>392.83605504</x:v>
      </x:c>
      <x:c r="M1437" s="232" t="n">
        <x:v>9</x:v>
      </x:c>
      <x:c r="N1437" s="187" t="str">
        <x:v>3535.5244953600000000</x:v>
      </x:c>
      <x:c r="O1437" s="235" t="n">
        <x:v>3535.5245</x:v>
      </x:c>
      <x:c r="P1437" s="235"/>
      <x:c r="Q1437" s="235"/>
      <x:c r="R1437" s="235" t="str">
        <x:v>INVOICE_OR_PLAN</x:v>
      </x:c>
      <x:c r="S1437" s="238" t="n">
        <x:f>'Model_Calc'!AV243</x:f>
        <x:v>3535.5244953599995</x:v>
      </x:c>
      <x:c r="T1437" s="238" t="n">
        <x:f>ROUND(S1437-O1437,4)</x:f>
        <x:v>0</x:v>
      </x:c>
    </x:row>
    <x:row r="1438">
      <x:c r="A1438" s="187" t="str">
        <x:v>FORECAST_2026_08_V1</x:v>
      </x:c>
      <x:c r="B1438" s="187" t="str">
        <x:v>FORECAST</x:v>
      </x:c>
      <x:c r="C1438" s="187"/>
      <x:c r="D1438" s="217" t="n">
        <x:v>46357</x:v>
      </x:c>
      <x:c r="E1438" s="187" t="str">
        <x:v>R_GB_DE_C_AIR</x:v>
      </x:c>
      <x:c r="F1438" s="187" t="str">
        <x:v>GB</x:v>
      </x:c>
      <x:c r="G1438" s="187" t="str">
        <x:v>DE_FC</x:v>
      </x:c>
      <x:c r="H1438" s="187" t="str">
        <x:v>CARRIER_C</x:v>
      </x:c>
      <x:c r="I1438" s="187" t="str">
        <x:v>AIR</x:v>
      </x:c>
      <x:c r="J1438" s="187" t="str">
        <x:v>BILLABLE_EXCEPTION</x:v>
      </x:c>
      <x:c r="K1438" s="187" t="str">
        <x:v>GBP</x:v>
      </x:c>
      <x:c r="L1438" s="232" t="n">
        <x:v>42.13166690304</x:v>
      </x:c>
      <x:c r="M1438" s="232" t="n">
        <x:v>9</x:v>
      </x:c>
      <x:c r="N1438" s="187" t="str">
        <x:v>379.185002127360000000</x:v>
      </x:c>
      <x:c r="O1438" s="235" t="n">
        <x:v>379.185</x:v>
      </x:c>
      <x:c r="P1438" s="235"/>
      <x:c r="Q1438" s="235"/>
      <x:c r="R1438" s="235" t="str">
        <x:v>INVOICE_OR_PLAN</x:v>
      </x:c>
      <x:c r="S1438" s="238" t="n">
        <x:f>'Model_Calc'!BA243</x:f>
        <x:v>379.18500212735995</x:v>
      </x:c>
      <x:c r="T1438" s="238" t="n">
        <x:f>ROUND(S1438-O1438,4)</x:f>
        <x:v>0</x:v>
      </x:c>
    </x:row>
    <x:row r="1439">
      <x:c r="A1439" s="187" t="str">
        <x:v>FORECAST_2026_08_V1</x:v>
      </x:c>
      <x:c r="B1439" s="187" t="str">
        <x:v>FORECAST</x:v>
      </x:c>
      <x:c r="C1439" s="187"/>
      <x:c r="D1439" s="217" t="n">
        <x:v>46357</x:v>
      </x:c>
      <x:c r="E1439" s="187" t="str">
        <x:v>R_GB_FR_B_AIR</x:v>
      </x:c>
      <x:c r="F1439" s="187" t="str">
        <x:v>GB</x:v>
      </x:c>
      <x:c r="G1439" s="187" t="str">
        <x:v>FR_FC</x:v>
      </x:c>
      <x:c r="H1439" s="187" t="str">
        <x:v>CARRIER_B</x:v>
      </x:c>
      <x:c r="I1439" s="187" t="str">
        <x:v>AIR</x:v>
      </x:c>
      <x:c r="J1439" s="187" t="str">
        <x:v>BASE_FREIGHT</x:v>
      </x:c>
      <x:c r="K1439" s="187" t="str">
        <x:v>EUR</x:v>
      </x:c>
      <x:c r="L1439" s="232" t="n">
        <x:v>3442.31877049632</x:v>
      </x:c>
      <x:c r="M1439" s="232" t="n">
        <x:v>7.86</x:v>
      </x:c>
      <x:c r="N1439" s="187" t="str">
        <x:v>27056.6255361010752000000</x:v>
      </x:c>
      <x:c r="O1439" s="235" t="n">
        <x:v>27056.6255</x:v>
      </x:c>
      <x:c r="P1439" s="235"/>
      <x:c r="Q1439" s="235"/>
      <x:c r="R1439" s="235" t="str">
        <x:v>INVOICE_OR_PLAN</x:v>
      </x:c>
      <x:c r="S1439" s="238" t="n">
        <x:f>'Model_Calc'!AF244</x:f>
        <x:v>27056.625536101074</x:v>
      </x:c>
      <x:c r="T1439" s="238" t="n">
        <x:f>ROUND(S1439-O1439,4)</x:f>
        <x:v>0</x:v>
      </x:c>
    </x:row>
    <x:row r="1440">
      <x:c r="A1440" s="187" t="str">
        <x:v>FORECAST_2026_08_V1</x:v>
      </x:c>
      <x:c r="B1440" s="187" t="str">
        <x:v>FORECAST</x:v>
      </x:c>
      <x:c r="C1440" s="187"/>
      <x:c r="D1440" s="217" t="n">
        <x:v>46357</x:v>
      </x:c>
      <x:c r="E1440" s="187" t="str">
        <x:v>R_GB_FR_B_AIR</x:v>
      </x:c>
      <x:c r="F1440" s="187" t="str">
        <x:v>GB</x:v>
      </x:c>
      <x:c r="G1440" s="187" t="str">
        <x:v>FR_FC</x:v>
      </x:c>
      <x:c r="H1440" s="187" t="str">
        <x:v>CARRIER_B</x:v>
      </x:c>
      <x:c r="I1440" s="187" t="str">
        <x:v>AIR</x:v>
      </x:c>
      <x:c r="J1440" s="187" t="str">
        <x:v>FUEL_SURCHARGE</x:v>
      </x:c>
      <x:c r="K1440" s="187" t="str">
        <x:v>EUR</x:v>
      </x:c>
      <x:c r="L1440" s="232" t="n">
        <x:v>374.0939923836876</x:v>
      </x:c>
      <x:c r="M1440" s="232" t="n">
        <x:v>7.86</x:v>
      </x:c>
      <x:c r="N1440" s="187" t="str">
        <x:v>2940.3787801357843473600000000</x:v>
      </x:c>
      <x:c r="O1440" s="235" t="n">
        <x:v>2940.3788</x:v>
      </x:c>
      <x:c r="P1440" s="235"/>
      <x:c r="Q1440" s="235"/>
      <x:c r="R1440" s="235" t="str">
        <x:v>INVOICE_OR_PLAN</x:v>
      </x:c>
      <x:c r="S1440" s="238" t="n">
        <x:f>'Model_Calc'!AG244</x:f>
        <x:v>2940.378780135784</x:v>
      </x:c>
      <x:c r="T1440" s="238" t="n">
        <x:f>ROUND(S1440-O1440,4)</x:f>
        <x:v>0</x:v>
      </x:c>
    </x:row>
    <x:row r="1441">
      <x:c r="A1441" s="187" t="str">
        <x:v>FORECAST_2026_08_V1</x:v>
      </x:c>
      <x:c r="B1441" s="187" t="str">
        <x:v>FORECAST</x:v>
      </x:c>
      <x:c r="C1441" s="187"/>
      <x:c r="D1441" s="217" t="n">
        <x:v>46357</x:v>
      </x:c>
      <x:c r="E1441" s="187" t="str">
        <x:v>R_GB_FR_B_AIR</x:v>
      </x:c>
      <x:c r="F1441" s="187" t="str">
        <x:v>GB</x:v>
      </x:c>
      <x:c r="G1441" s="187" t="str">
        <x:v>FR_FC</x:v>
      </x:c>
      <x:c r="H1441" s="187" t="str">
        <x:v>CARRIER_B</x:v>
      </x:c>
      <x:c r="I1441" s="187" t="str">
        <x:v>AIR</x:v>
      </x:c>
      <x:c r="J1441" s="187" t="str">
        <x:v>WAREHOUSE_OPERATION</x:v>
      </x:c>
      <x:c r="K1441" s="187" t="str">
        <x:v>EUR</x:v>
      </x:c>
      <x:c r="L1441" s="232" t="n">
        <x:v>497.2968</x:v>
      </x:c>
      <x:c r="M1441" s="232" t="n">
        <x:v>7.86</x:v>
      </x:c>
      <x:c r="N1441" s="187" t="str">
        <x:v>3908.75284800000</x:v>
      </x:c>
      <x:c r="O1441" s="235" t="n">
        <x:v>3908.7528</x:v>
      </x:c>
      <x:c r="P1441" s="235"/>
      <x:c r="Q1441" s="235"/>
      <x:c r="R1441" s="235" t="str">
        <x:v>INVOICE_OR_PLAN</x:v>
      </x:c>
      <x:c r="S1441" s="238" t="n">
        <x:f>'Model_Calc'!AL244</x:f>
        <x:v>3908.7528480000005</x:v>
      </x:c>
      <x:c r="T1441" s="238" t="n">
        <x:f>ROUND(S1441-O1441,4)</x:f>
        <x:v>0</x:v>
      </x:c>
    </x:row>
    <x:row r="1442">
      <x:c r="A1442" s="187" t="str">
        <x:v>FORECAST_2026_08_V1</x:v>
      </x:c>
      <x:c r="B1442" s="187" t="str">
        <x:v>FORECAST</x:v>
      </x:c>
      <x:c r="C1442" s="187"/>
      <x:c r="D1442" s="217" t="n">
        <x:v>46357</x:v>
      </x:c>
      <x:c r="E1442" s="187" t="str">
        <x:v>R_GB_FR_B_AIR</x:v>
      </x:c>
      <x:c r="F1442" s="187" t="str">
        <x:v>GB</x:v>
      </x:c>
      <x:c r="G1442" s="187" t="str">
        <x:v>FR_FC</x:v>
      </x:c>
      <x:c r="H1442" s="187" t="str">
        <x:v>CARRIER_B</x:v>
      </x:c>
      <x:c r="I1442" s="187" t="str">
        <x:v>AIR</x:v>
      </x:c>
      <x:c r="J1442" s="187" t="str">
        <x:v>PACKAGING</x:v>
      </x:c>
      <x:c r="K1442" s="187" t="str">
        <x:v>EUR</x:v>
      </x:c>
      <x:c r="L1442" s="232" t="n">
        <x:v>210.5696736</x:v>
      </x:c>
      <x:c r="M1442" s="232" t="n">
        <x:v>7.86</x:v>
      </x:c>
      <x:c r="N1442" s="187" t="str">
        <x:v>1655.0776344960000</x:v>
      </x:c>
      <x:c r="O1442" s="235" t="n">
        <x:v>1655.0776</x:v>
      </x:c>
      <x:c r="P1442" s="235"/>
      <x:c r="Q1442" s="235"/>
      <x:c r="R1442" s="235" t="str">
        <x:v>INVOICE_OR_PLAN</x:v>
      </x:c>
      <x:c r="S1442" s="238" t="n">
        <x:f>'Model_Calc'!AQ244</x:f>
        <x:v>1655.0776344959997</x:v>
      </x:c>
      <x:c r="T1442" s="238" t="n">
        <x:f>ROUND(S1442-O1442,4)</x:f>
        <x:v>0</x:v>
      </x:c>
    </x:row>
    <x:row r="1443">
      <x:c r="A1443" s="187" t="str">
        <x:v>FORECAST_2026_08_V1</x:v>
      </x:c>
      <x:c r="B1443" s="187" t="str">
        <x:v>FORECAST</x:v>
      </x:c>
      <x:c r="C1443" s="187"/>
      <x:c r="D1443" s="217" t="n">
        <x:v>46357</x:v>
      </x:c>
      <x:c r="E1443" s="187" t="str">
        <x:v>R_GB_FR_B_AIR</x:v>
      </x:c>
      <x:c r="F1443" s="187" t="str">
        <x:v>GB</x:v>
      </x:c>
      <x:c r="G1443" s="187" t="str">
        <x:v>FR_FC</x:v>
      </x:c>
      <x:c r="H1443" s="187" t="str">
        <x:v>CARRIER_B</x:v>
      </x:c>
      <x:c r="I1443" s="187" t="str">
        <x:v>AIR</x:v>
      </x:c>
      <x:c r="J1443" s="187" t="str">
        <x:v>RETURN_LOGISTICS</x:v>
      </x:c>
      <x:c r="K1443" s="187" t="str">
        <x:v>EUR</x:v>
      </x:c>
      <x:c r="L1443" s="232" t="n">
        <x:v>221.652288</x:v>
      </x:c>
      <x:c r="M1443" s="232" t="n">
        <x:v>7.86</x:v>
      </x:c>
      <x:c r="N1443" s="187" t="str">
        <x:v>1742.18698368000000</x:v>
      </x:c>
      <x:c r="O1443" s="235" t="n">
        <x:v>1742.187</x:v>
      </x:c>
      <x:c r="P1443" s="235"/>
      <x:c r="Q1443" s="235"/>
      <x:c r="R1443" s="235" t="str">
        <x:v>INVOICE_OR_PLAN</x:v>
      </x:c>
      <x:c r="S1443" s="238" t="n">
        <x:f>'Model_Calc'!AV244</x:f>
        <x:v>1742.18698368</x:v>
      </x:c>
      <x:c r="T1443" s="238" t="n">
        <x:f>ROUND(S1443-O1443,4)</x:f>
        <x:v>0</x:v>
      </x:c>
    </x:row>
    <x:row r="1444">
      <x:c r="A1444" s="187" t="str">
        <x:v>FORECAST_2026_08_V1</x:v>
      </x:c>
      <x:c r="B1444" s="187" t="str">
        <x:v>FORECAST</x:v>
      </x:c>
      <x:c r="C1444" s="187"/>
      <x:c r="D1444" s="217" t="n">
        <x:v>46357</x:v>
      </x:c>
      <x:c r="E1444" s="187" t="str">
        <x:v>R_GB_FR_B_AIR</x:v>
      </x:c>
      <x:c r="F1444" s="187" t="str">
        <x:v>GB</x:v>
      </x:c>
      <x:c r="G1444" s="187" t="str">
        <x:v>FR_FC</x:v>
      </x:c>
      <x:c r="H1444" s="187" t="str">
        <x:v>CARRIER_B</x:v>
      </x:c>
      <x:c r="I1444" s="187" t="str">
        <x:v>AIR</x:v>
      </x:c>
      <x:c r="J1444" s="187" t="str">
        <x:v>BILLABLE_EXCEPTION</x:v>
      </x:c>
      <x:c r="K1444" s="187" t="str">
        <x:v>EUR</x:v>
      </x:c>
      <x:c r="L1444" s="232" t="n">
        <x:v>21.721924224</x:v>
      </x:c>
      <x:c r="M1444" s="232" t="n">
        <x:v>7.86</x:v>
      </x:c>
      <x:c r="N1444" s="187" t="str">
        <x:v>170.7343244006400000</x:v>
      </x:c>
      <x:c r="O1444" s="235" t="n">
        <x:v>170.7343</x:v>
      </x:c>
      <x:c r="P1444" s="235"/>
      <x:c r="Q1444" s="235"/>
      <x:c r="R1444" s="235" t="str">
        <x:v>INVOICE_OR_PLAN</x:v>
      </x:c>
      <x:c r="S1444" s="238" t="n">
        <x:f>'Model_Calc'!BA244</x:f>
        <x:v>170.73432440064</x:v>
      </x:c>
      <x:c r="T1444" s="238" t="n">
        <x:f>ROUND(S1444-O1444,4)</x:f>
        <x:v>0</x:v>
      </x:c>
    </x:row>
    <x:row r="1445">
      <x:c r="A1445" s="187" t="str">
        <x:v>SCENARIO_BASE_2026_08</x:v>
      </x:c>
      <x:c r="B1445" s="187" t="str">
        <x:v>SCENARIO</x:v>
      </x:c>
      <x:c r="C1445" s="187" t="str">
        <x:v>BASE</x:v>
      </x:c>
      <x:c r="D1445" s="217" t="n">
        <x:v>46266</x:v>
      </x:c>
      <x:c r="E1445" s="187" t="str">
        <x:v>R_DE_DE_A_ROAD</x:v>
      </x:c>
      <x:c r="F1445" s="187" t="str">
        <x:v>DE</x:v>
      </x:c>
      <x:c r="G1445" s="187" t="str">
        <x:v>DE_FC</x:v>
      </x:c>
      <x:c r="H1445" s="187" t="str">
        <x:v>CARRIER_A</x:v>
      </x:c>
      <x:c r="I1445" s="187" t="str">
        <x:v>ROAD</x:v>
      </x:c>
      <x:c r="J1445" s="187" t="str">
        <x:v>BASE_FREIGHT</x:v>
      </x:c>
      <x:c r="K1445" s="187" t="str">
        <x:v>EUR</x:v>
      </x:c>
      <x:c r="L1445" s="232" t="n">
        <x:v>6720.488847072</x:v>
      </x:c>
      <x:c r="M1445" s="232" t="n">
        <x:v>7.92</x:v>
      </x:c>
      <x:c r="N1445" s="187" t="str">
        <x:v>53226.27166881024000000</x:v>
      </x:c>
      <x:c r="O1445" s="235" t="n">
        <x:v>53226.2717</x:v>
      </x:c>
      <x:c r="P1445" s="235"/>
      <x:c r="Q1445" s="235"/>
      <x:c r="R1445" s="235" t="str">
        <x:v>INVOICE_OR_PLAN</x:v>
      </x:c>
      <x:c r="S1445" s="238" t="n">
        <x:f>'Model_Calc'!AF245</x:f>
        <x:v>53226.271668810245</x:v>
      </x:c>
      <x:c r="T1445" s="238" t="n">
        <x:f>ROUND(S1445-O1445,4)</x:f>
        <x:v>0</x:v>
      </x:c>
    </x:row>
    <x:row r="1446">
      <x:c r="A1446" s="187" t="str">
        <x:v>SCENARIO_BASE_2026_08</x:v>
      </x:c>
      <x:c r="B1446" s="187" t="str">
        <x:v>SCENARIO</x:v>
      </x:c>
      <x:c r="C1446" s="187" t="str">
        <x:v>BASE</x:v>
      </x:c>
      <x:c r="D1446" s="217" t="n">
        <x:v>46266</x:v>
      </x:c>
      <x:c r="E1446" s="187" t="str">
        <x:v>R_DE_DE_A_ROAD</x:v>
      </x:c>
      <x:c r="F1446" s="187" t="str">
        <x:v>DE</x:v>
      </x:c>
      <x:c r="G1446" s="187" t="str">
        <x:v>DE_FC</x:v>
      </x:c>
      <x:c r="H1446" s="187" t="str">
        <x:v>CARRIER_A</x:v>
      </x:c>
      <x:c r="I1446" s="187" t="str">
        <x:v>ROAD</x:v>
      </x:c>
      <x:c r="J1446" s="187" t="str">
        <x:v>FUEL_SURCHARGE</x:v>
      </x:c>
      <x:c r="K1446" s="187" t="str">
        <x:v>EUR</x:v>
      </x:c>
      <x:c r="L1446" s="232" t="n">
        <x:v>660.7920658883544</x:v>
      </x:c>
      <x:c r="M1446" s="232" t="n">
        <x:v>7.92</x:v>
      </x:c>
      <x:c r="N1446" s="187" t="str">
        <x:v>5233.47316183576684800000000</x:v>
      </x:c>
      <x:c r="O1446" s="235" t="n">
        <x:v>5233.4732</x:v>
      </x:c>
      <x:c r="P1446" s="235"/>
      <x:c r="Q1446" s="235"/>
      <x:c r="R1446" s="235" t="str">
        <x:v>INVOICE_OR_PLAN</x:v>
      </x:c>
      <x:c r="S1446" s="238" t="n">
        <x:f>'Model_Calc'!AG245</x:f>
        <x:v>5233.473161835766</x:v>
      </x:c>
      <x:c r="T1446" s="238" t="n">
        <x:f>ROUND(S1446-O1446,4)</x:f>
        <x:v>0</x:v>
      </x:c>
    </x:row>
    <x:row r="1447">
      <x:c r="A1447" s="187" t="str">
        <x:v>SCENARIO_BASE_2026_08</x:v>
      </x:c>
      <x:c r="B1447" s="187" t="str">
        <x:v>SCENARIO</x:v>
      </x:c>
      <x:c r="C1447" s="187" t="str">
        <x:v>BASE</x:v>
      </x:c>
      <x:c r="D1447" s="217" t="n">
        <x:v>46266</x:v>
      </x:c>
      <x:c r="E1447" s="187" t="str">
        <x:v>R_DE_DE_A_ROAD</x:v>
      </x:c>
      <x:c r="F1447" s="187" t="str">
        <x:v>DE</x:v>
      </x:c>
      <x:c r="G1447" s="187" t="str">
        <x:v>DE_FC</x:v>
      </x:c>
      <x:c r="H1447" s="187" t="str">
        <x:v>CARRIER_A</x:v>
      </x:c>
      <x:c r="I1447" s="187" t="str">
        <x:v>ROAD</x:v>
      </x:c>
      <x:c r="J1447" s="187" t="str">
        <x:v>WAREHOUSE_OPERATION</x:v>
      </x:c>
      <x:c r="K1447" s="187" t="str">
        <x:v>EUR</x:v>
      </x:c>
      <x:c r="L1447" s="232" t="n">
        <x:v>4401.2525472</x:v>
      </x:c>
      <x:c r="M1447" s="232" t="n">
        <x:v>7.92</x:v>
      </x:c>
      <x:c r="N1447" s="187" t="str">
        <x:v>34857.9201738240000</x:v>
      </x:c>
      <x:c r="O1447" s="235" t="n">
        <x:v>34857.9202</x:v>
      </x:c>
      <x:c r="P1447" s="235"/>
      <x:c r="Q1447" s="235"/>
      <x:c r="R1447" s="235" t="str">
        <x:v>INVOICE_OR_PLAN</x:v>
      </x:c>
      <x:c r="S1447" s="238" t="n">
        <x:f>'Model_Calc'!AL245</x:f>
        <x:v>34857.920173824</x:v>
      </x:c>
      <x:c r="T1447" s="238" t="n">
        <x:f>ROUND(S1447-O1447,4)</x:f>
        <x:v>0</x:v>
      </x:c>
    </x:row>
    <x:row r="1448">
      <x:c r="A1448" s="187" t="str">
        <x:v>SCENARIO_BASE_2026_08</x:v>
      </x:c>
      <x:c r="B1448" s="187" t="str">
        <x:v>SCENARIO</x:v>
      </x:c>
      <x:c r="C1448" s="187" t="str">
        <x:v>BASE</x:v>
      </x:c>
      <x:c r="D1448" s="217" t="n">
        <x:v>46266</x:v>
      </x:c>
      <x:c r="E1448" s="187" t="str">
        <x:v>R_DE_DE_A_ROAD</x:v>
      </x:c>
      <x:c r="F1448" s="187" t="str">
        <x:v>DE</x:v>
      </x:c>
      <x:c r="G1448" s="187" t="str">
        <x:v>DE_FC</x:v>
      </x:c>
      <x:c r="H1448" s="187" t="str">
        <x:v>CARRIER_A</x:v>
      </x:c>
      <x:c r="I1448" s="187" t="str">
        <x:v>ROAD</x:v>
      </x:c>
      <x:c r="J1448" s="187" t="str">
        <x:v>PACKAGING</x:v>
      </x:c>
      <x:c r="K1448" s="187" t="str">
        <x:v>EUR</x:v>
      </x:c>
      <x:c r="L1448" s="232" t="n">
        <x:v>1644.87489264</x:v>
      </x:c>
      <x:c r="M1448" s="232" t="n">
        <x:v>7.92</x:v>
      </x:c>
      <x:c r="N1448" s="187" t="str">
        <x:v>13027.409149708800000</x:v>
      </x:c>
      <x:c r="O1448" s="235" t="n">
        <x:v>13027.4091</x:v>
      </x:c>
      <x:c r="P1448" s="235"/>
      <x:c r="Q1448" s="235"/>
      <x:c r="R1448" s="235" t="str">
        <x:v>INVOICE_OR_PLAN</x:v>
      </x:c>
      <x:c r="S1448" s="238" t="n">
        <x:f>'Model_Calc'!AQ245</x:f>
        <x:v>13027.4091497088</x:v>
      </x:c>
      <x:c r="T1448" s="238" t="n">
        <x:f>ROUND(S1448-O1448,4)</x:f>
        <x:v>0</x:v>
      </x:c>
    </x:row>
    <x:row r="1449">
      <x:c r="A1449" s="187" t="str">
        <x:v>SCENARIO_BASE_2026_08</x:v>
      </x:c>
      <x:c r="B1449" s="187" t="str">
        <x:v>SCENARIO</x:v>
      </x:c>
      <x:c r="C1449" s="187" t="str">
        <x:v>BASE</x:v>
      </x:c>
      <x:c r="D1449" s="217" t="n">
        <x:v>46266</x:v>
      </x:c>
      <x:c r="E1449" s="187" t="str">
        <x:v>R_DE_DE_A_ROAD</x:v>
      </x:c>
      <x:c r="F1449" s="187" t="str">
        <x:v>DE</x:v>
      </x:c>
      <x:c r="G1449" s="187" t="str">
        <x:v>DE_FC</x:v>
      </x:c>
      <x:c r="H1449" s="187" t="str">
        <x:v>CARRIER_A</x:v>
      </x:c>
      <x:c r="I1449" s="187" t="str">
        <x:v>ROAD</x:v>
      </x:c>
      <x:c r="J1449" s="187" t="str">
        <x:v>RETURN_LOGISTICS</x:v>
      </x:c>
      <x:c r="K1449" s="187" t="str">
        <x:v>EUR</x:v>
      </x:c>
      <x:c r="L1449" s="232" t="n">
        <x:v>596.7800064</x:v>
      </x:c>
      <x:c r="M1449" s="232" t="n">
        <x:v>7.92</x:v>
      </x:c>
      <x:c r="N1449" s="187" t="str">
        <x:v>4726.4976506880000000</x:v>
      </x:c>
      <x:c r="O1449" s="235" t="n">
        <x:v>4726.4977</x:v>
      </x:c>
      <x:c r="P1449" s="235"/>
      <x:c r="Q1449" s="235"/>
      <x:c r="R1449" s="235" t="str">
        <x:v>INVOICE_OR_PLAN</x:v>
      </x:c>
      <x:c r="S1449" s="238" t="n">
        <x:f>'Model_Calc'!AV245</x:f>
        <x:v>4726.497650687999</x:v>
      </x:c>
      <x:c r="T1449" s="238" t="n">
        <x:f>ROUND(S1449-O1449,4)</x:f>
        <x:v>0</x:v>
      </x:c>
    </x:row>
    <x:row r="1450">
      <x:c r="A1450" s="187" t="str">
        <x:v>SCENARIO_BASE_2026_08</x:v>
      </x:c>
      <x:c r="B1450" s="187" t="str">
        <x:v>SCENARIO</x:v>
      </x:c>
      <x:c r="C1450" s="187" t="str">
        <x:v>BASE</x:v>
      </x:c>
      <x:c r="D1450" s="217" t="n">
        <x:v>46266</x:v>
      </x:c>
      <x:c r="E1450" s="187" t="str">
        <x:v>R_DE_DE_A_ROAD</x:v>
      </x:c>
      <x:c r="F1450" s="187" t="str">
        <x:v>DE</x:v>
      </x:c>
      <x:c r="G1450" s="187" t="str">
        <x:v>DE_FC</x:v>
      </x:c>
      <x:c r="H1450" s="187" t="str">
        <x:v>CARRIER_A</x:v>
      </x:c>
      <x:c r="I1450" s="187" t="str">
        <x:v>ROAD</x:v>
      </x:c>
      <x:c r="J1450" s="187" t="str">
        <x:v>BILLABLE_EXCEPTION</x:v>
      </x:c>
      <x:c r="K1450" s="187" t="str">
        <x:v>EUR</x:v>
      </x:c>
      <x:c r="L1450" s="232" t="n">
        <x:v>144.1223715456</x:v>
      </x:c>
      <x:c r="M1450" s="232" t="n">
        <x:v>7.92</x:v>
      </x:c>
      <x:c r="N1450" s="187" t="str">
        <x:v>1141.449182641152000000</x:v>
      </x:c>
      <x:c r="O1450" s="235" t="n">
        <x:v>1141.4492</x:v>
      </x:c>
      <x:c r="P1450" s="235"/>
      <x:c r="Q1450" s="235"/>
      <x:c r="R1450" s="235" t="str">
        <x:v>INVOICE_OR_PLAN</x:v>
      </x:c>
      <x:c r="S1450" s="238" t="n">
        <x:f>'Model_Calc'!BA245</x:f>
        <x:v>1141.449182641152</x:v>
      </x:c>
      <x:c r="T1450" s="238" t="n">
        <x:f>ROUND(S1450-O1450,4)</x:f>
        <x:v>0</x:v>
      </x:c>
    </x:row>
    <x:row r="1451">
      <x:c r="A1451" s="187" t="str">
        <x:v>SCENARIO_BASE_2026_08</x:v>
      </x:c>
      <x:c r="B1451" s="187" t="str">
        <x:v>SCENARIO</x:v>
      </x:c>
      <x:c r="C1451" s="187" t="str">
        <x:v>BASE</x:v>
      </x:c>
      <x:c r="D1451" s="217" t="n">
        <x:v>46266</x:v>
      </x:c>
      <x:c r="E1451" s="187" t="str">
        <x:v>R_DE_DE_B_ROAD</x:v>
      </x:c>
      <x:c r="F1451" s="187" t="str">
        <x:v>DE</x:v>
      </x:c>
      <x:c r="G1451" s="187" t="str">
        <x:v>DE_FC</x:v>
      </x:c>
      <x:c r="H1451" s="187" t="str">
        <x:v>CARRIER_B</x:v>
      </x:c>
      <x:c r="I1451" s="187" t="str">
        <x:v>ROAD</x:v>
      </x:c>
      <x:c r="J1451" s="187" t="str">
        <x:v>BASE_FREIGHT</x:v>
      </x:c>
      <x:c r="K1451" s="187" t="str">
        <x:v>EUR</x:v>
      </x:c>
      <x:c r="L1451" s="232" t="n">
        <x:v>5744.0075616</x:v>
      </x:c>
      <x:c r="M1451" s="232" t="n">
        <x:v>7.92</x:v>
      </x:c>
      <x:c r="N1451" s="187" t="str">
        <x:v>45492.53988787200000000</x:v>
      </x:c>
      <x:c r="O1451" s="235" t="n">
        <x:v>45492.5399</x:v>
      </x:c>
      <x:c r="P1451" s="235"/>
      <x:c r="Q1451" s="235"/>
      <x:c r="R1451" s="235" t="str">
        <x:v>INVOICE_OR_PLAN</x:v>
      </x:c>
      <x:c r="S1451" s="238" t="n">
        <x:f>'Model_Calc'!AF246</x:f>
        <x:v>45492.539887872</x:v>
      </x:c>
      <x:c r="T1451" s="238" t="n">
        <x:f>ROUND(S1451-O1451,4)</x:f>
        <x:v>0</x:v>
      </x:c>
    </x:row>
    <x:row r="1452">
      <x:c r="A1452" s="187" t="str">
        <x:v>SCENARIO_BASE_2026_08</x:v>
      </x:c>
      <x:c r="B1452" s="187" t="str">
        <x:v>SCENARIO</x:v>
      </x:c>
      <x:c r="C1452" s="187" t="str">
        <x:v>BASE</x:v>
      </x:c>
      <x:c r="D1452" s="217" t="n">
        <x:v>46266</x:v>
      </x:c>
      <x:c r="E1452" s="187" t="str">
        <x:v>R_DE_DE_B_ROAD</x:v>
      </x:c>
      <x:c r="F1452" s="187" t="str">
        <x:v>DE</x:v>
      </x:c>
      <x:c r="G1452" s="187" t="str">
        <x:v>DE_FC</x:v>
      </x:c>
      <x:c r="H1452" s="187" t="str">
        <x:v>CARRIER_B</x:v>
      </x:c>
      <x:c r="I1452" s="187" t="str">
        <x:v>ROAD</x:v>
      </x:c>
      <x:c r="J1452" s="187" t="str">
        <x:v>FUEL_SURCHARGE</x:v>
      </x:c>
      <x:c r="K1452" s="187" t="str">
        <x:v>EUR</x:v>
      </x:c>
      <x:c r="L1452" s="232" t="n">
        <x:v>438.633304704</x:v>
      </x:c>
      <x:c r="M1452" s="232" t="n">
        <x:v>7.92</x:v>
      </x:c>
      <x:c r="N1452" s="187" t="str">
        <x:v>3473.97577325568000000</x:v>
      </x:c>
      <x:c r="O1452" s="235" t="n">
        <x:v>3473.9758</x:v>
      </x:c>
      <x:c r="P1452" s="235"/>
      <x:c r="Q1452" s="235"/>
      <x:c r="R1452" s="235" t="str">
        <x:v>INVOICE_OR_PLAN</x:v>
      </x:c>
      <x:c r="S1452" s="238" t="n">
        <x:f>'Model_Calc'!AG246</x:f>
        <x:v>3473.97577325568</x:v>
      </x:c>
      <x:c r="T1452" s="238" t="n">
        <x:f>ROUND(S1452-O1452,4)</x:f>
        <x:v>0</x:v>
      </x:c>
    </x:row>
    <x:row r="1453">
      <x:c r="A1453" s="187" t="str">
        <x:v>SCENARIO_BASE_2026_08</x:v>
      </x:c>
      <x:c r="B1453" s="187" t="str">
        <x:v>SCENARIO</x:v>
      </x:c>
      <x:c r="C1453" s="187" t="str">
        <x:v>BASE</x:v>
      </x:c>
      <x:c r="D1453" s="217" t="n">
        <x:v>46266</x:v>
      </x:c>
      <x:c r="E1453" s="187" t="str">
        <x:v>R_DE_DE_B_ROAD</x:v>
      </x:c>
      <x:c r="F1453" s="187" t="str">
        <x:v>DE</x:v>
      </x:c>
      <x:c r="G1453" s="187" t="str">
        <x:v>DE_FC</x:v>
      </x:c>
      <x:c r="H1453" s="187" t="str">
        <x:v>CARRIER_B</x:v>
      </x:c>
      <x:c r="I1453" s="187" t="str">
        <x:v>ROAD</x:v>
      </x:c>
      <x:c r="J1453" s="187" t="str">
        <x:v>WAREHOUSE_OPERATION</x:v>
      </x:c>
      <x:c r="K1453" s="187" t="str">
        <x:v>EUR</x:v>
      </x:c>
      <x:c r="L1453" s="232" t="n">
        <x:v>2934.1683648</x:v>
      </x:c>
      <x:c r="M1453" s="232" t="n">
        <x:v>7.92</x:v>
      </x:c>
      <x:c r="N1453" s="187" t="str">
        <x:v>23238.6134492160000</x:v>
      </x:c>
      <x:c r="O1453" s="235" t="n">
        <x:v>23238.6134</x:v>
      </x:c>
      <x:c r="P1453" s="235"/>
      <x:c r="Q1453" s="235"/>
      <x:c r="R1453" s="235" t="str">
        <x:v>INVOICE_OR_PLAN</x:v>
      </x:c>
      <x:c r="S1453" s="238" t="n">
        <x:f>'Model_Calc'!AL246</x:f>
        <x:v>23238.613449216</x:v>
      </x:c>
      <x:c r="T1453" s="238" t="n">
        <x:f>ROUND(S1453-O1453,4)</x:f>
        <x:v>0</x:v>
      </x:c>
    </x:row>
    <x:row r="1454">
      <x:c r="A1454" s="187" t="str">
        <x:v>SCENARIO_BASE_2026_08</x:v>
      </x:c>
      <x:c r="B1454" s="187" t="str">
        <x:v>SCENARIO</x:v>
      </x:c>
      <x:c r="C1454" s="187" t="str">
        <x:v>BASE</x:v>
      </x:c>
      <x:c r="D1454" s="217" t="n">
        <x:v>46266</x:v>
      </x:c>
      <x:c r="E1454" s="187" t="str">
        <x:v>R_DE_DE_B_ROAD</x:v>
      </x:c>
      <x:c r="F1454" s="187" t="str">
        <x:v>DE</x:v>
      </x:c>
      <x:c r="G1454" s="187" t="str">
        <x:v>DE_FC</x:v>
      </x:c>
      <x:c r="H1454" s="187" t="str">
        <x:v>CARRIER_B</x:v>
      </x:c>
      <x:c r="I1454" s="187" t="str">
        <x:v>ROAD</x:v>
      </x:c>
      <x:c r="J1454" s="187" t="str">
        <x:v>PACKAGING</x:v>
      </x:c>
      <x:c r="K1454" s="187" t="str">
        <x:v>EUR</x:v>
      </x:c>
      <x:c r="L1454" s="232" t="n">
        <x:v>1096.58326176</x:v>
      </x:c>
      <x:c r="M1454" s="232" t="n">
        <x:v>7.92</x:v>
      </x:c>
      <x:c r="N1454" s="187" t="str">
        <x:v>8684.939433139200000</x:v>
      </x:c>
      <x:c r="O1454" s="235" t="n">
        <x:v>8684.9394</x:v>
      </x:c>
      <x:c r="P1454" s="235"/>
      <x:c r="Q1454" s="235"/>
      <x:c r="R1454" s="235" t="str">
        <x:v>INVOICE_OR_PLAN</x:v>
      </x:c>
      <x:c r="S1454" s="238" t="n">
        <x:f>'Model_Calc'!AQ246</x:f>
        <x:v>8684.9394331392</x:v>
      </x:c>
      <x:c r="T1454" s="238" t="n">
        <x:f>ROUND(S1454-O1454,4)</x:f>
        <x:v>0</x:v>
      </x:c>
    </x:row>
    <x:row r="1455">
      <x:c r="A1455" s="187" t="str">
        <x:v>SCENARIO_BASE_2026_08</x:v>
      </x:c>
      <x:c r="B1455" s="187" t="str">
        <x:v>SCENARIO</x:v>
      </x:c>
      <x:c r="C1455" s="187" t="str">
        <x:v>BASE</x:v>
      </x:c>
      <x:c r="D1455" s="217" t="n">
        <x:v>46266</x:v>
      </x:c>
      <x:c r="E1455" s="187" t="str">
        <x:v>R_DE_DE_B_ROAD</x:v>
      </x:c>
      <x:c r="F1455" s="187" t="str">
        <x:v>DE</x:v>
      </x:c>
      <x:c r="G1455" s="187" t="str">
        <x:v>DE_FC</x:v>
      </x:c>
      <x:c r="H1455" s="187" t="str">
        <x:v>CARRIER_B</x:v>
      </x:c>
      <x:c r="I1455" s="187" t="str">
        <x:v>ROAD</x:v>
      </x:c>
      <x:c r="J1455" s="187" t="str">
        <x:v>RETURN_LOGISTICS</x:v>
      </x:c>
      <x:c r="K1455" s="187" t="str">
        <x:v>EUR</x:v>
      </x:c>
      <x:c r="L1455" s="232" t="n">
        <x:v>397.8533376</x:v>
      </x:c>
      <x:c r="M1455" s="232" t="n">
        <x:v>7.92</x:v>
      </x:c>
      <x:c r="N1455" s="187" t="str">
        <x:v>3150.9984337920000000</x:v>
      </x:c>
      <x:c r="O1455" s="235" t="n">
        <x:v>3150.9984</x:v>
      </x:c>
      <x:c r="P1455" s="235"/>
      <x:c r="Q1455" s="235"/>
      <x:c r="R1455" s="235" t="str">
        <x:v>INVOICE_OR_PLAN</x:v>
      </x:c>
      <x:c r="S1455" s="238" t="n">
        <x:f>'Model_Calc'!AV246</x:f>
        <x:v>3150.998433792</x:v>
      </x:c>
      <x:c r="T1455" s="238" t="n">
        <x:f>ROUND(S1455-O1455,4)</x:f>
        <x:v>0</x:v>
      </x:c>
    </x:row>
    <x:row r="1456">
      <x:c r="A1456" s="187" t="str">
        <x:v>SCENARIO_BASE_2026_08</x:v>
      </x:c>
      <x:c r="B1456" s="187" t="str">
        <x:v>SCENARIO</x:v>
      </x:c>
      <x:c r="C1456" s="187" t="str">
        <x:v>BASE</x:v>
      </x:c>
      <x:c r="D1456" s="217" t="n">
        <x:v>46266</x:v>
      </x:c>
      <x:c r="E1456" s="187" t="str">
        <x:v>R_DE_DE_B_ROAD</x:v>
      </x:c>
      <x:c r="F1456" s="187" t="str">
        <x:v>DE</x:v>
      </x:c>
      <x:c r="G1456" s="187" t="str">
        <x:v>DE_FC</x:v>
      </x:c>
      <x:c r="H1456" s="187" t="str">
        <x:v>CARRIER_B</x:v>
      </x:c>
      <x:c r="I1456" s="187" t="str">
        <x:v>ROAD</x:v>
      </x:c>
      <x:c r="J1456" s="187" t="str">
        <x:v>BILLABLE_EXCEPTION</x:v>
      </x:c>
      <x:c r="K1456" s="187" t="str">
        <x:v>EUR</x:v>
      </x:c>
      <x:c r="L1456" s="232" t="n">
        <x:v>78.0662845872</x:v>
      </x:c>
      <x:c r="M1456" s="232" t="n">
        <x:v>7.92</x:v>
      </x:c>
      <x:c r="N1456" s="187" t="str">
        <x:v>618.284973930624000000</x:v>
      </x:c>
      <x:c r="O1456" s="235" t="n">
        <x:v>618.285</x:v>
      </x:c>
      <x:c r="P1456" s="235"/>
      <x:c r="Q1456" s="235"/>
      <x:c r="R1456" s="235" t="str">
        <x:v>INVOICE_OR_PLAN</x:v>
      </x:c>
      <x:c r="S1456" s="238" t="n">
        <x:f>'Model_Calc'!BA246</x:f>
        <x:v>618.284973930624</x:v>
      </x:c>
      <x:c r="T1456" s="238" t="n">
        <x:f>ROUND(S1456-O1456,4)</x:f>
        <x:v>0</x:v>
      </x:c>
    </x:row>
    <x:row r="1457">
      <x:c r="A1457" s="187" t="str">
        <x:v>SCENARIO_BASE_2026_08</x:v>
      </x:c>
      <x:c r="B1457" s="187" t="str">
        <x:v>SCENARIO</x:v>
      </x:c>
      <x:c r="C1457" s="187" t="str">
        <x:v>BASE</x:v>
      </x:c>
      <x:c r="D1457" s="217" t="n">
        <x:v>46266</x:v>
      </x:c>
      <x:c r="E1457" s="187" t="str">
        <x:v>R_DE_FR_B_ROAD</x:v>
      </x:c>
      <x:c r="F1457" s="187" t="str">
        <x:v>DE</x:v>
      </x:c>
      <x:c r="G1457" s="187" t="str">
        <x:v>FR_FC</x:v>
      </x:c>
      <x:c r="H1457" s="187" t="str">
        <x:v>CARRIER_B</x:v>
      </x:c>
      <x:c r="I1457" s="187" t="str">
        <x:v>ROAD</x:v>
      </x:c>
      <x:c r="J1457" s="187" t="str">
        <x:v>BASE_FREIGHT</x:v>
      </x:c>
      <x:c r="K1457" s="187" t="str">
        <x:v>EUR</x:v>
      </x:c>
      <x:c r="L1457" s="232" t="n">
        <x:v>589.289494464</x:v>
      </x:c>
      <x:c r="M1457" s="232" t="n">
        <x:v>7.92</x:v>
      </x:c>
      <x:c r="N1457" s="187" t="str">
        <x:v>4667.172796154880000</x:v>
      </x:c>
      <x:c r="O1457" s="235" t="n">
        <x:v>4667.1728</x:v>
      </x:c>
      <x:c r="P1457" s="235"/>
      <x:c r="Q1457" s="235"/>
      <x:c r="R1457" s="235" t="str">
        <x:v>INVOICE_OR_PLAN</x:v>
      </x:c>
      <x:c r="S1457" s="238" t="n">
        <x:f>'Model_Calc'!AF247</x:f>
        <x:v>4667.1727961548795</x:v>
      </x:c>
      <x:c r="T1457" s="238" t="n">
        <x:f>ROUND(S1457-O1457,4)</x:f>
        <x:v>0</x:v>
      </x:c>
    </x:row>
    <x:row r="1458">
      <x:c r="A1458" s="187" t="str">
        <x:v>SCENARIO_BASE_2026_08</x:v>
      </x:c>
      <x:c r="B1458" s="187" t="str">
        <x:v>SCENARIO</x:v>
      </x:c>
      <x:c r="C1458" s="187" t="str">
        <x:v>BASE</x:v>
      </x:c>
      <x:c r="D1458" s="217" t="n">
        <x:v>46266</x:v>
      </x:c>
      <x:c r="E1458" s="187" t="str">
        <x:v>R_DE_FR_B_ROAD</x:v>
      </x:c>
      <x:c r="F1458" s="187" t="str">
        <x:v>DE</x:v>
      </x:c>
      <x:c r="G1458" s="187" t="str">
        <x:v>FR_FC</x:v>
      </x:c>
      <x:c r="H1458" s="187" t="str">
        <x:v>CARRIER_B</x:v>
      </x:c>
      <x:c r="I1458" s="187" t="str">
        <x:v>ROAD</x:v>
      </x:c>
      <x:c r="J1458" s="187" t="str">
        <x:v>FUEL_SURCHARGE</x:v>
      </x:c>
      <x:c r="K1458" s="187" t="str">
        <x:v>EUR</x:v>
      </x:c>
      <x:c r="L1458" s="232" t="n">
        <x:v>42.8574177792</x:v>
      </x:c>
      <x:c r="M1458" s="232" t="n">
        <x:v>7.92</x:v>
      </x:c>
      <x:c r="N1458" s="187" t="str">
        <x:v>339.430748811264000</x:v>
      </x:c>
      <x:c r="O1458" s="235" t="n">
        <x:v>339.4307</x:v>
      </x:c>
      <x:c r="P1458" s="235"/>
      <x:c r="Q1458" s="235"/>
      <x:c r="R1458" s="235" t="str">
        <x:v>INVOICE_OR_PLAN</x:v>
      </x:c>
      <x:c r="S1458" s="238" t="n">
        <x:f>'Model_Calc'!AG247</x:f>
        <x:v>339.430748811264</x:v>
      </x:c>
      <x:c r="T1458" s="238" t="n">
        <x:f>ROUND(S1458-O1458,4)</x:f>
        <x:v>0</x:v>
      </x:c>
    </x:row>
    <x:row r="1459">
      <x:c r="A1459" s="187" t="str">
        <x:v>SCENARIO_BASE_2026_08</x:v>
      </x:c>
      <x:c r="B1459" s="187" t="str">
        <x:v>SCENARIO</x:v>
      </x:c>
      <x:c r="C1459" s="187" t="str">
        <x:v>BASE</x:v>
      </x:c>
      <x:c r="D1459" s="217" t="n">
        <x:v>46266</x:v>
      </x:c>
      <x:c r="E1459" s="187" t="str">
        <x:v>R_DE_FR_B_ROAD</x:v>
      </x:c>
      <x:c r="F1459" s="187" t="str">
        <x:v>DE</x:v>
      </x:c>
      <x:c r="G1459" s="187" t="str">
        <x:v>FR_FC</x:v>
      </x:c>
      <x:c r="H1459" s="187" t="str">
        <x:v>CARRIER_B</x:v>
      </x:c>
      <x:c r="I1459" s="187" t="str">
        <x:v>ROAD</x:v>
      </x:c>
      <x:c r="J1459" s="187" t="str">
        <x:v>WAREHOUSE_OPERATION</x:v>
      </x:c>
      <x:c r="K1459" s="187" t="str">
        <x:v>EUR</x:v>
      </x:c>
      <x:c r="L1459" s="232" t="n">
        <x:v>201.87468</x:v>
      </x:c>
      <x:c r="M1459" s="232" t="n">
        <x:v>7.92</x:v>
      </x:c>
      <x:c r="N1459" s="187" t="str">
        <x:v>1598.84746560000</x:v>
      </x:c>
      <x:c r="O1459" s="235" t="n">
        <x:v>1598.8475</x:v>
      </x:c>
      <x:c r="P1459" s="235"/>
      <x:c r="Q1459" s="235"/>
      <x:c r="R1459" s="235" t="str">
        <x:v>INVOICE_OR_PLAN</x:v>
      </x:c>
      <x:c r="S1459" s="238" t="n">
        <x:f>'Model_Calc'!AL247</x:f>
        <x:v>1598.8474656</x:v>
      </x:c>
      <x:c r="T1459" s="238" t="n">
        <x:f>ROUND(S1459-O1459,4)</x:f>
        <x:v>0</x:v>
      </x:c>
    </x:row>
    <x:row r="1460">
      <x:c r="A1460" s="187" t="str">
        <x:v>SCENARIO_BASE_2026_08</x:v>
      </x:c>
      <x:c r="B1460" s="187" t="str">
        <x:v>SCENARIO</x:v>
      </x:c>
      <x:c r="C1460" s="187" t="str">
        <x:v>BASE</x:v>
      </x:c>
      <x:c r="D1460" s="217" t="n">
        <x:v>46266</x:v>
      </x:c>
      <x:c r="E1460" s="187" t="str">
        <x:v>R_DE_FR_B_ROAD</x:v>
      </x:c>
      <x:c r="F1460" s="187" t="str">
        <x:v>DE</x:v>
      </x:c>
      <x:c r="G1460" s="187" t="str">
        <x:v>FR_FC</x:v>
      </x:c>
      <x:c r="H1460" s="187" t="str">
        <x:v>CARRIER_B</x:v>
      </x:c>
      <x:c r="I1460" s="187" t="str">
        <x:v>ROAD</x:v>
      </x:c>
      <x:c r="J1460" s="187" t="str">
        <x:v>PACKAGING</x:v>
      </x:c>
      <x:c r="K1460" s="187" t="str">
        <x:v>EUR</x:v>
      </x:c>
      <x:c r="L1460" s="232" t="n">
        <x:v>78.90416064</x:v>
      </x:c>
      <x:c r="M1460" s="232" t="n">
        <x:v>7.92</x:v>
      </x:c>
      <x:c r="N1460" s="187" t="str">
        <x:v>624.9209522688000</x:v>
      </x:c>
      <x:c r="O1460" s="235" t="n">
        <x:v>624.921</x:v>
      </x:c>
      <x:c r="P1460" s="235"/>
      <x:c r="Q1460" s="235"/>
      <x:c r="R1460" s="235" t="str">
        <x:v>INVOICE_OR_PLAN</x:v>
      </x:c>
      <x:c r="S1460" s="238" t="n">
        <x:f>'Model_Calc'!AQ247</x:f>
        <x:v>624.9209522688</x:v>
      </x:c>
      <x:c r="T1460" s="238" t="n">
        <x:f>ROUND(S1460-O1460,4)</x:f>
        <x:v>0</x:v>
      </x:c>
    </x:row>
    <x:row r="1461">
      <x:c r="A1461" s="187" t="str">
        <x:v>SCENARIO_BASE_2026_08</x:v>
      </x:c>
      <x:c r="B1461" s="187" t="str">
        <x:v>SCENARIO</x:v>
      </x:c>
      <x:c r="C1461" s="187" t="str">
        <x:v>BASE</x:v>
      </x:c>
      <x:c r="D1461" s="217" t="n">
        <x:v>46266</x:v>
      </x:c>
      <x:c r="E1461" s="187" t="str">
        <x:v>R_DE_FR_B_ROAD</x:v>
      </x:c>
      <x:c r="F1461" s="187" t="str">
        <x:v>DE</x:v>
      </x:c>
      <x:c r="G1461" s="187" t="str">
        <x:v>FR_FC</x:v>
      </x:c>
      <x:c r="H1461" s="187" t="str">
        <x:v>CARRIER_B</x:v>
      </x:c>
      <x:c r="I1461" s="187" t="str">
        <x:v>ROAD</x:v>
      </x:c>
      <x:c r="J1461" s="187" t="str">
        <x:v>RETURN_LOGISTICS</x:v>
      </x:c>
      <x:c r="K1461" s="187" t="str">
        <x:v>EUR</x:v>
      </x:c>
      <x:c r="L1461" s="232" t="n">
        <x:v>36.529704</x:v>
      </x:c>
      <x:c r="M1461" s="232" t="n">
        <x:v>7.92</x:v>
      </x:c>
      <x:c r="N1461" s="187" t="str">
        <x:v>289.31525568000000</x:v>
      </x:c>
      <x:c r="O1461" s="235" t="n">
        <x:v>289.3153</x:v>
      </x:c>
      <x:c r="P1461" s="235"/>
      <x:c r="Q1461" s="235"/>
      <x:c r="R1461" s="235" t="str">
        <x:v>INVOICE_OR_PLAN</x:v>
      </x:c>
      <x:c r="S1461" s="238" t="n">
        <x:f>'Model_Calc'!AV247</x:f>
        <x:v>289.31525568</x:v>
      </x:c>
      <x:c r="T1461" s="238" t="n">
        <x:f>ROUND(S1461-O1461,4)</x:f>
        <x:v>0</x:v>
      </x:c>
    </x:row>
    <x:row r="1462">
      <x:c r="A1462" s="187" t="str">
        <x:v>SCENARIO_BASE_2026_08</x:v>
      </x:c>
      <x:c r="B1462" s="187" t="str">
        <x:v>SCENARIO</x:v>
      </x:c>
      <x:c r="C1462" s="187" t="str">
        <x:v>BASE</x:v>
      </x:c>
      <x:c r="D1462" s="217" t="n">
        <x:v>46266</x:v>
      </x:c>
      <x:c r="E1462" s="187" t="str">
        <x:v>R_DE_FR_B_ROAD</x:v>
      </x:c>
      <x:c r="F1462" s="187" t="str">
        <x:v>DE</x:v>
      </x:c>
      <x:c r="G1462" s="187" t="str">
        <x:v>FR_FC</x:v>
      </x:c>
      <x:c r="H1462" s="187" t="str">
        <x:v>CARRIER_B</x:v>
      </x:c>
      <x:c r="I1462" s="187" t="str">
        <x:v>ROAD</x:v>
      </x:c>
      <x:c r="J1462" s="187" t="str">
        <x:v>BILLABLE_EXCEPTION</x:v>
      </x:c>
      <x:c r="K1462" s="187" t="str">
        <x:v>EUR</x:v>
      </x:c>
      <x:c r="L1462" s="232" t="n">
        <x:v>6.6860894016</x:v>
      </x:c>
      <x:c r="M1462" s="232" t="n">
        <x:v>7.92</x:v>
      </x:c>
      <x:c r="N1462" s="187" t="str">
        <x:v>52.9538280606720000</x:v>
      </x:c>
      <x:c r="O1462" s="235" t="n">
        <x:v>52.9538</x:v>
      </x:c>
      <x:c r="P1462" s="235"/>
      <x:c r="Q1462" s="235"/>
      <x:c r="R1462" s="235" t="str">
        <x:v>INVOICE_OR_PLAN</x:v>
      </x:c>
      <x:c r="S1462" s="238" t="n">
        <x:f>'Model_Calc'!BA247</x:f>
        <x:v>52.953828060672</x:v>
      </x:c>
      <x:c r="T1462" s="238" t="n">
        <x:f>ROUND(S1462-O1462,4)</x:f>
        <x:v>0</x:v>
      </x:c>
    </x:row>
    <x:row r="1463">
      <x:c r="A1463" s="187" t="str">
        <x:v>SCENARIO_BASE_2026_08</x:v>
      </x:c>
      <x:c r="B1463" s="187" t="str">
        <x:v>SCENARIO</x:v>
      </x:c>
      <x:c r="C1463" s="187" t="str">
        <x:v>BASE</x:v>
      </x:c>
      <x:c r="D1463" s="217" t="n">
        <x:v>46266</x:v>
      </x:c>
      <x:c r="E1463" s="187" t="str">
        <x:v>R_FR_FR_A_ROAD</x:v>
      </x:c>
      <x:c r="F1463" s="187" t="str">
        <x:v>FR</x:v>
      </x:c>
      <x:c r="G1463" s="187" t="str">
        <x:v>FR_FC</x:v>
      </x:c>
      <x:c r="H1463" s="187" t="str">
        <x:v>CARRIER_A</x:v>
      </x:c>
      <x:c r="I1463" s="187" t="str">
        <x:v>ROAD</x:v>
      </x:c>
      <x:c r="J1463" s="187" t="str">
        <x:v>BASE_FREIGHT</x:v>
      </x:c>
      <x:c r="K1463" s="187" t="str">
        <x:v>EUR</x:v>
      </x:c>
      <x:c r="L1463" s="232" t="n">
        <x:v>3162.2547096</x:v>
      </x:c>
      <x:c r="M1463" s="232" t="n">
        <x:v>7.92</x:v>
      </x:c>
      <x:c r="N1463" s="187" t="str">
        <x:v>25045.057300032000000</x:v>
      </x:c>
      <x:c r="O1463" s="235" t="n">
        <x:v>25045.0573</x:v>
      </x:c>
      <x:c r="P1463" s="235"/>
      <x:c r="Q1463" s="235"/>
      <x:c r="R1463" s="235" t="str">
        <x:v>INVOICE_OR_PLAN</x:v>
      </x:c>
      <x:c r="S1463" s="238" t="n">
        <x:f>'Model_Calc'!AF248</x:f>
        <x:v>25045.057300032</x:v>
      </x:c>
      <x:c r="T1463" s="238" t="n">
        <x:f>ROUND(S1463-O1463,4)</x:f>
        <x:v>0</x:v>
      </x:c>
    </x:row>
    <x:row r="1464">
      <x:c r="A1464" s="187" t="str">
        <x:v>SCENARIO_BASE_2026_08</x:v>
      </x:c>
      <x:c r="B1464" s="187" t="str">
        <x:v>SCENARIO</x:v>
      </x:c>
      <x:c r="C1464" s="187" t="str">
        <x:v>BASE</x:v>
      </x:c>
      <x:c r="D1464" s="217" t="n">
        <x:v>46266</x:v>
      </x:c>
      <x:c r="E1464" s="187" t="str">
        <x:v>R_FR_FR_A_ROAD</x:v>
      </x:c>
      <x:c r="F1464" s="187" t="str">
        <x:v>FR</x:v>
      </x:c>
      <x:c r="G1464" s="187" t="str">
        <x:v>FR_FC</x:v>
      </x:c>
      <x:c r="H1464" s="187" t="str">
        <x:v>CARRIER_A</x:v>
      </x:c>
      <x:c r="I1464" s="187" t="str">
        <x:v>ROAD</x:v>
      </x:c>
      <x:c r="J1464" s="187" t="str">
        <x:v>FUEL_SURCHARGE</x:v>
      </x:c>
      <x:c r="K1464" s="187" t="str">
        <x:v>EUR</x:v>
      </x:c>
      <x:c r="L1464" s="232" t="n">
        <x:v>294.56402619924</x:v>
      </x:c>
      <x:c r="M1464" s="232" t="n">
        <x:v>7.92</x:v>
      </x:c>
      <x:c r="N1464" s="187" t="str">
        <x:v>2332.947087497980800000000</x:v>
      </x:c>
      <x:c r="O1464" s="235" t="n">
        <x:v>2332.9471</x:v>
      </x:c>
      <x:c r="P1464" s="235"/>
      <x:c r="Q1464" s="235"/>
      <x:c r="R1464" s="235" t="str">
        <x:v>INVOICE_OR_PLAN</x:v>
      </x:c>
      <x:c r="S1464" s="238" t="n">
        <x:f>'Model_Calc'!AG248</x:f>
        <x:v>2332.94708749798</x:v>
      </x:c>
      <x:c r="T1464" s="238" t="n">
        <x:f>ROUND(S1464-O1464,4)</x:f>
        <x:v>0</x:v>
      </x:c>
    </x:row>
    <x:row r="1465">
      <x:c r="A1465" s="187" t="str">
        <x:v>SCENARIO_BASE_2026_08</x:v>
      </x:c>
      <x:c r="B1465" s="187" t="str">
        <x:v>SCENARIO</x:v>
      </x:c>
      <x:c r="C1465" s="187" t="str">
        <x:v>BASE</x:v>
      </x:c>
      <x:c r="D1465" s="217" t="n">
        <x:v>46266</x:v>
      </x:c>
      <x:c r="E1465" s="187" t="str">
        <x:v>R_FR_FR_A_ROAD</x:v>
      </x:c>
      <x:c r="F1465" s="187" t="str">
        <x:v>FR</x:v>
      </x:c>
      <x:c r="G1465" s="187" t="str">
        <x:v>FR_FC</x:v>
      </x:c>
      <x:c r="H1465" s="187" t="str">
        <x:v>CARRIER_A</x:v>
      </x:c>
      <x:c r="I1465" s="187" t="str">
        <x:v>ROAD</x:v>
      </x:c>
      <x:c r="J1465" s="187" t="str">
        <x:v>WAREHOUSE_OPERATION</x:v>
      </x:c>
      <x:c r="K1465" s="187" t="str">
        <x:v>EUR</x:v>
      </x:c>
      <x:c r="L1465" s="232" t="n">
        <x:v>1962.6705</x:v>
      </x:c>
      <x:c r="M1465" s="232" t="n">
        <x:v>7.92</x:v>
      </x:c>
      <x:c r="N1465" s="187" t="str">
        <x:v>15544.35036000000</x:v>
      </x:c>
      <x:c r="O1465" s="235" t="n">
        <x:v>15544.3504</x:v>
      </x:c>
      <x:c r="P1465" s="235"/>
      <x:c r="Q1465" s="235"/>
      <x:c r="R1465" s="235" t="str">
        <x:v>INVOICE_OR_PLAN</x:v>
      </x:c>
      <x:c r="S1465" s="238" t="n">
        <x:f>'Model_Calc'!AL248</x:f>
        <x:v>15544.350359999999</x:v>
      </x:c>
      <x:c r="T1465" s="238" t="n">
        <x:f>ROUND(S1465-O1465,4)</x:f>
        <x:v>0</x:v>
      </x:c>
    </x:row>
    <x:row r="1466">
      <x:c r="A1466" s="187" t="str">
        <x:v>SCENARIO_BASE_2026_08</x:v>
      </x:c>
      <x:c r="B1466" s="187" t="str">
        <x:v>SCENARIO</x:v>
      </x:c>
      <x:c r="C1466" s="187" t="str">
        <x:v>BASE</x:v>
      </x:c>
      <x:c r="D1466" s="217" t="n">
        <x:v>46266</x:v>
      </x:c>
      <x:c r="E1466" s="187" t="str">
        <x:v>R_FR_FR_A_ROAD</x:v>
      </x:c>
      <x:c r="F1466" s="187" t="str">
        <x:v>FR</x:v>
      </x:c>
      <x:c r="G1466" s="187" t="str">
        <x:v>FR_FC</x:v>
      </x:c>
      <x:c r="H1466" s="187" t="str">
        <x:v>CARRIER_A</x:v>
      </x:c>
      <x:c r="I1466" s="187" t="str">
        <x:v>ROAD</x:v>
      </x:c>
      <x:c r="J1466" s="187" t="str">
        <x:v>PACKAGING</x:v>
      </x:c>
      <x:c r="K1466" s="187" t="str">
        <x:v>EUR</x:v>
      </x:c>
      <x:c r="L1466" s="232" t="n">
        <x:v>752.917788</x:v>
      </x:c>
      <x:c r="M1466" s="232" t="n">
        <x:v>7.92</x:v>
      </x:c>
      <x:c r="N1466" s="187" t="str">
        <x:v>5963.1088809600000</x:v>
      </x:c>
      <x:c r="O1466" s="235" t="n">
        <x:v>5963.1089</x:v>
      </x:c>
      <x:c r="P1466" s="235"/>
      <x:c r="Q1466" s="235"/>
      <x:c r="R1466" s="235" t="str">
        <x:v>INVOICE_OR_PLAN</x:v>
      </x:c>
      <x:c r="S1466" s="238" t="n">
        <x:f>'Model_Calc'!AQ248</x:f>
        <x:v>5963.10888096</x:v>
      </x:c>
      <x:c r="T1466" s="238" t="n">
        <x:f>ROUND(S1466-O1466,4)</x:f>
        <x:v>0</x:v>
      </x:c>
    </x:row>
    <x:row r="1467">
      <x:c r="A1467" s="187" t="str">
        <x:v>SCENARIO_BASE_2026_08</x:v>
      </x:c>
      <x:c r="B1467" s="187" t="str">
        <x:v>SCENARIO</x:v>
      </x:c>
      <x:c r="C1467" s="187" t="str">
        <x:v>BASE</x:v>
      </x:c>
      <x:c r="D1467" s="217" t="n">
        <x:v>46266</x:v>
      </x:c>
      <x:c r="E1467" s="187" t="str">
        <x:v>R_FR_FR_A_ROAD</x:v>
      </x:c>
      <x:c r="F1467" s="187" t="str">
        <x:v>FR</x:v>
      </x:c>
      <x:c r="G1467" s="187" t="str">
        <x:v>FR_FC</x:v>
      </x:c>
      <x:c r="H1467" s="187" t="str">
        <x:v>CARRIER_A</x:v>
      </x:c>
      <x:c r="I1467" s="187" t="str">
        <x:v>ROAD</x:v>
      </x:c>
      <x:c r="J1467" s="187" t="str">
        <x:v>RETURN_LOGISTICS</x:v>
      </x:c>
      <x:c r="K1467" s="187" t="str">
        <x:v>EUR</x:v>
      </x:c>
      <x:c r="L1467" s="232" t="n">
        <x:v>336.4578</x:v>
      </x:c>
      <x:c r="M1467" s="232" t="n">
        <x:v>7.92</x:v>
      </x:c>
      <x:c r="N1467" s="187" t="str">
        <x:v>2664.74577600000000</x:v>
      </x:c>
      <x:c r="O1467" s="235" t="n">
        <x:v>2664.7458</x:v>
      </x:c>
      <x:c r="P1467" s="235"/>
      <x:c r="Q1467" s="235"/>
      <x:c r="R1467" s="235" t="str">
        <x:v>INVOICE_OR_PLAN</x:v>
      </x:c>
      <x:c r="S1467" s="238" t="n">
        <x:f>'Model_Calc'!AV248</x:f>
        <x:v>2664.7457759999998</x:v>
      </x:c>
      <x:c r="T1467" s="238" t="n">
        <x:f>ROUND(S1467-O1467,4)</x:f>
        <x:v>0</x:v>
      </x:c>
    </x:row>
    <x:row r="1468">
      <x:c r="A1468" s="187" t="str">
        <x:v>SCENARIO_BASE_2026_08</x:v>
      </x:c>
      <x:c r="B1468" s="187" t="str">
        <x:v>SCENARIO</x:v>
      </x:c>
      <x:c r="C1468" s="187" t="str">
        <x:v>BASE</x:v>
      </x:c>
      <x:c r="D1468" s="217" t="n">
        <x:v>46266</x:v>
      </x:c>
      <x:c r="E1468" s="187" t="str">
        <x:v>R_FR_FR_A_ROAD</x:v>
      </x:c>
      <x:c r="F1468" s="187" t="str">
        <x:v>FR</x:v>
      </x:c>
      <x:c r="G1468" s="187" t="str">
        <x:v>FR_FC</x:v>
      </x:c>
      <x:c r="H1468" s="187" t="str">
        <x:v>CARRIER_A</x:v>
      </x:c>
      <x:c r="I1468" s="187" t="str">
        <x:v>ROAD</x:v>
      </x:c>
      <x:c r="J1468" s="187" t="str">
        <x:v>BILLABLE_EXCEPTION</x:v>
      </x:c>
      <x:c r="K1468" s="187" t="str">
        <x:v>EUR</x:v>
      </x:c>
      <x:c r="L1468" s="232" t="n">
        <x:v>77.47127766</x:v>
      </x:c>
      <x:c r="M1468" s="232" t="n">
        <x:v>7.92</x:v>
      </x:c>
      <x:c r="N1468" s="187" t="str">
        <x:v>613.5725190672000000</x:v>
      </x:c>
      <x:c r="O1468" s="235" t="n">
        <x:v>613.5725</x:v>
      </x:c>
      <x:c r="P1468" s="235"/>
      <x:c r="Q1468" s="235"/>
      <x:c r="R1468" s="235" t="str">
        <x:v>INVOICE_OR_PLAN</x:v>
      </x:c>
      <x:c r="S1468" s="238" t="n">
        <x:f>'Model_Calc'!BA248</x:f>
        <x:v>613.5725190672</x:v>
      </x:c>
      <x:c r="T1468" s="238" t="n">
        <x:f>ROUND(S1468-O1468,4)</x:f>
        <x:v>0</x:v>
      </x:c>
    </x:row>
    <x:row r="1469">
      <x:c r="A1469" s="187" t="str">
        <x:v>SCENARIO_BASE_2026_08</x:v>
      </x:c>
      <x:c r="B1469" s="187" t="str">
        <x:v>SCENARIO</x:v>
      </x:c>
      <x:c r="C1469" s="187" t="str">
        <x:v>BASE</x:v>
      </x:c>
      <x:c r="D1469" s="217" t="n">
        <x:v>46266</x:v>
      </x:c>
      <x:c r="E1469" s="187" t="str">
        <x:v>R_FR_FR_B_ROAD</x:v>
      </x:c>
      <x:c r="F1469" s="187" t="str">
        <x:v>FR</x:v>
      </x:c>
      <x:c r="G1469" s="187" t="str">
        <x:v>FR_FC</x:v>
      </x:c>
      <x:c r="H1469" s="187" t="str">
        <x:v>CARRIER_B</x:v>
      </x:c>
      <x:c r="I1469" s="187" t="str">
        <x:v>ROAD</x:v>
      </x:c>
      <x:c r="J1469" s="187" t="str">
        <x:v>BASE_FREIGHT</x:v>
      </x:c>
      <x:c r="K1469" s="187" t="str">
        <x:v>EUR</x:v>
      </x:c>
      <x:c r="L1469" s="232" t="n">
        <x:v>7558.0491636</x:v>
      </x:c>
      <x:c r="M1469" s="232" t="n">
        <x:v>7.92</x:v>
      </x:c>
      <x:c r="N1469" s="187" t="str">
        <x:v>59859.749375712000000</x:v>
      </x:c>
      <x:c r="O1469" s="235" t="n">
        <x:v>59859.7494</x:v>
      </x:c>
      <x:c r="P1469" s="235"/>
      <x:c r="Q1469" s="235"/>
      <x:c r="R1469" s="235" t="str">
        <x:v>INVOICE_OR_PLAN</x:v>
      </x:c>
      <x:c r="S1469" s="238" t="n">
        <x:f>'Model_Calc'!AF249</x:f>
        <x:v>59859.749375712</x:v>
      </x:c>
      <x:c r="T1469" s="238" t="n">
        <x:f>ROUND(S1469-O1469,4)</x:f>
        <x:v>0</x:v>
      </x:c>
    </x:row>
    <x:row r="1470">
      <x:c r="A1470" s="187" t="str">
        <x:v>SCENARIO_BASE_2026_08</x:v>
      </x:c>
      <x:c r="B1470" s="187" t="str">
        <x:v>SCENARIO</x:v>
      </x:c>
      <x:c r="C1470" s="187" t="str">
        <x:v>BASE</x:v>
      </x:c>
      <x:c r="D1470" s="217" t="n">
        <x:v>46266</x:v>
      </x:c>
      <x:c r="E1470" s="187" t="str">
        <x:v>R_FR_FR_B_ROAD</x:v>
      </x:c>
      <x:c r="F1470" s="187" t="str">
        <x:v>FR</x:v>
      </x:c>
      <x:c r="G1470" s="187" t="str">
        <x:v>FR_FC</x:v>
      </x:c>
      <x:c r="H1470" s="187" t="str">
        <x:v>CARRIER_B</x:v>
      </x:c>
      <x:c r="I1470" s="187" t="str">
        <x:v>ROAD</x:v>
      </x:c>
      <x:c r="J1470" s="187" t="str">
        <x:v>FUEL_SURCHARGE</x:v>
      </x:c>
      <x:c r="K1470" s="187" t="str">
        <x:v>EUR</x:v>
      </x:c>
      <x:c r="L1470" s="232" t="n">
        <x:v>581.3883972</x:v>
      </x:c>
      <x:c r="M1470" s="232" t="n">
        <x:v>7.92</x:v>
      </x:c>
      <x:c r="N1470" s="187" t="str">
        <x:v>4604.596105824000000</x:v>
      </x:c>
      <x:c r="O1470" s="235" t="n">
        <x:v>4604.5961</x:v>
      </x:c>
      <x:c r="P1470" s="235"/>
      <x:c r="Q1470" s="235"/>
      <x:c r="R1470" s="235" t="str">
        <x:v>INVOICE_OR_PLAN</x:v>
      </x:c>
      <x:c r="S1470" s="238" t="n">
        <x:f>'Model_Calc'!AG249</x:f>
        <x:v>4604.596105824001</x:v>
      </x:c>
      <x:c r="T1470" s="238" t="n">
        <x:f>ROUND(S1470-O1470,4)</x:f>
        <x:v>0</x:v>
      </x:c>
    </x:row>
    <x:row r="1471">
      <x:c r="A1471" s="187" t="str">
        <x:v>SCENARIO_BASE_2026_08</x:v>
      </x:c>
      <x:c r="B1471" s="187" t="str">
        <x:v>SCENARIO</x:v>
      </x:c>
      <x:c r="C1471" s="187" t="str">
        <x:v>BASE</x:v>
      </x:c>
      <x:c r="D1471" s="217" t="n">
        <x:v>46266</x:v>
      </x:c>
      <x:c r="E1471" s="187" t="str">
        <x:v>R_FR_FR_B_ROAD</x:v>
      </x:c>
      <x:c r="F1471" s="187" t="str">
        <x:v>FR</x:v>
      </x:c>
      <x:c r="G1471" s="187" t="str">
        <x:v>FR_FC</x:v>
      </x:c>
      <x:c r="H1471" s="187" t="str">
        <x:v>CARRIER_B</x:v>
      </x:c>
      <x:c r="I1471" s="187" t="str">
        <x:v>ROAD</x:v>
      </x:c>
      <x:c r="J1471" s="187" t="str">
        <x:v>WAREHOUSE_OPERATION</x:v>
      </x:c>
      <x:c r="K1471" s="187" t="str">
        <x:v>EUR</x:v>
      </x:c>
      <x:c r="L1471" s="232" t="n">
        <x:v>3644.9595</x:v>
      </x:c>
      <x:c r="M1471" s="232" t="n">
        <x:v>7.92</x:v>
      </x:c>
      <x:c r="N1471" s="187" t="str">
        <x:v>28868.07924000000</x:v>
      </x:c>
      <x:c r="O1471" s="235" t="n">
        <x:v>28868.0792</x:v>
      </x:c>
      <x:c r="P1471" s="235"/>
      <x:c r="Q1471" s="235"/>
      <x:c r="R1471" s="235" t="str">
        <x:v>INVOICE_OR_PLAN</x:v>
      </x:c>
      <x:c r="S1471" s="238" t="n">
        <x:f>'Model_Calc'!AL249</x:f>
        <x:v>28868.079240000003</x:v>
      </x:c>
      <x:c r="T1471" s="238" t="n">
        <x:f>ROUND(S1471-O1471,4)</x:f>
        <x:v>0</x:v>
      </x:c>
    </x:row>
    <x:row r="1472">
      <x:c r="A1472" s="187" t="str">
        <x:v>SCENARIO_BASE_2026_08</x:v>
      </x:c>
      <x:c r="B1472" s="187" t="str">
        <x:v>SCENARIO</x:v>
      </x:c>
      <x:c r="C1472" s="187" t="str">
        <x:v>BASE</x:v>
      </x:c>
      <x:c r="D1472" s="217" t="n">
        <x:v>46266</x:v>
      </x:c>
      <x:c r="E1472" s="187" t="str">
        <x:v>R_FR_FR_B_ROAD</x:v>
      </x:c>
      <x:c r="F1472" s="187" t="str">
        <x:v>FR</x:v>
      </x:c>
      <x:c r="G1472" s="187" t="str">
        <x:v>FR_FC</x:v>
      </x:c>
      <x:c r="H1472" s="187" t="str">
        <x:v>CARRIER_B</x:v>
      </x:c>
      <x:c r="I1472" s="187" t="str">
        <x:v>ROAD</x:v>
      </x:c>
      <x:c r="J1472" s="187" t="str">
        <x:v>PACKAGING</x:v>
      </x:c>
      <x:c r="K1472" s="187" t="str">
        <x:v>EUR</x:v>
      </x:c>
      <x:c r="L1472" s="232" t="n">
        <x:v>1398.275892</x:v>
      </x:c>
      <x:c r="M1472" s="232" t="n">
        <x:v>7.92</x:v>
      </x:c>
      <x:c r="N1472" s="187" t="str">
        <x:v>11074.3450646400000</x:v>
      </x:c>
      <x:c r="O1472" s="235" t="n">
        <x:v>11074.3451</x:v>
      </x:c>
      <x:c r="P1472" s="235"/>
      <x:c r="Q1472" s="235"/>
      <x:c r="R1472" s="235" t="str">
        <x:v>INVOICE_OR_PLAN</x:v>
      </x:c>
      <x:c r="S1472" s="238" t="n">
        <x:f>'Model_Calc'!AQ249</x:f>
        <x:v>11074.345064640002</x:v>
      </x:c>
      <x:c r="T1472" s="238" t="n">
        <x:f>ROUND(S1472-O1472,4)</x:f>
        <x:v>0</x:v>
      </x:c>
    </x:row>
    <x:row r="1473">
      <x:c r="A1473" s="187" t="str">
        <x:v>SCENARIO_BASE_2026_08</x:v>
      </x:c>
      <x:c r="B1473" s="187" t="str">
        <x:v>SCENARIO</x:v>
      </x:c>
      <x:c r="C1473" s="187" t="str">
        <x:v>BASE</x:v>
      </x:c>
      <x:c r="D1473" s="217" t="n">
        <x:v>46266</x:v>
      </x:c>
      <x:c r="E1473" s="187" t="str">
        <x:v>R_FR_FR_B_ROAD</x:v>
      </x:c>
      <x:c r="F1473" s="187" t="str">
        <x:v>FR</x:v>
      </x:c>
      <x:c r="G1473" s="187" t="str">
        <x:v>FR_FC</x:v>
      </x:c>
      <x:c r="H1473" s="187" t="str">
        <x:v>CARRIER_B</x:v>
      </x:c>
      <x:c r="I1473" s="187" t="str">
        <x:v>ROAD</x:v>
      </x:c>
      <x:c r="J1473" s="187" t="str">
        <x:v>RETURN_LOGISTICS</x:v>
      </x:c>
      <x:c r="K1473" s="187" t="str">
        <x:v>EUR</x:v>
      </x:c>
      <x:c r="L1473" s="232" t="n">
        <x:v>624.8502</x:v>
      </x:c>
      <x:c r="M1473" s="232" t="n">
        <x:v>7.92</x:v>
      </x:c>
      <x:c r="N1473" s="187" t="str">
        <x:v>4948.81358400000000</x:v>
      </x:c>
      <x:c r="O1473" s="235" t="n">
        <x:v>4948.8136</x:v>
      </x:c>
      <x:c r="P1473" s="235"/>
      <x:c r="Q1473" s="235"/>
      <x:c r="R1473" s="235" t="str">
        <x:v>INVOICE_OR_PLAN</x:v>
      </x:c>
      <x:c r="S1473" s="238" t="n">
        <x:f>'Model_Calc'!AV249</x:f>
        <x:v>4948.8135839999995</x:v>
      </x:c>
      <x:c r="T1473" s="238" t="n">
        <x:f>ROUND(S1473-O1473,4)</x:f>
        <x:v>0</x:v>
      </x:c>
    </x:row>
    <x:row r="1474">
      <x:c r="A1474" s="187" t="str">
        <x:v>SCENARIO_BASE_2026_08</x:v>
      </x:c>
      <x:c r="B1474" s="187" t="str">
        <x:v>SCENARIO</x:v>
      </x:c>
      <x:c r="C1474" s="187" t="str">
        <x:v>BASE</x:v>
      </x:c>
      <x:c r="D1474" s="217" t="n">
        <x:v>46266</x:v>
      </x:c>
      <x:c r="E1474" s="187" t="str">
        <x:v>R_FR_FR_B_ROAD</x:v>
      </x:c>
      <x:c r="F1474" s="187" t="str">
        <x:v>FR</x:v>
      </x:c>
      <x:c r="G1474" s="187" t="str">
        <x:v>FR_FC</x:v>
      </x:c>
      <x:c r="H1474" s="187" t="str">
        <x:v>CARRIER_B</x:v>
      </x:c>
      <x:c r="I1474" s="187" t="str">
        <x:v>ROAD</x:v>
      </x:c>
      <x:c r="J1474" s="187" t="str">
        <x:v>BILLABLE_EXCEPTION</x:v>
      </x:c>
      <x:c r="K1474" s="187" t="str">
        <x:v>EUR</x:v>
      </x:c>
      <x:c r="L1474" s="232" t="n">
        <x:v>118.48548348</x:v>
      </x:c>
      <x:c r="M1474" s="232" t="n">
        <x:v>7.92</x:v>
      </x:c>
      <x:c r="N1474" s="187" t="str">
        <x:v>938.4050291616000000</x:v>
      </x:c>
      <x:c r="O1474" s="235" t="n">
        <x:v>938.405</x:v>
      </x:c>
      <x:c r="P1474" s="235"/>
      <x:c r="Q1474" s="235"/>
      <x:c r="R1474" s="235" t="str">
        <x:v>INVOICE_OR_PLAN</x:v>
      </x:c>
      <x:c r="S1474" s="238" t="n">
        <x:f>'Model_Calc'!BA249</x:f>
        <x:v>938.4050291616</x:v>
      </x:c>
      <x:c r="T1474" s="238" t="n">
        <x:f>ROUND(S1474-O1474,4)</x:f>
        <x:v>0</x:v>
      </x:c>
    </x:row>
    <x:row r="1475">
      <x:c r="A1475" s="187" t="str">
        <x:v>SCENARIO_BASE_2026_08</x:v>
      </x:c>
      <x:c r="B1475" s="187" t="str">
        <x:v>SCENARIO</x:v>
      </x:c>
      <x:c r="C1475" s="187" t="str">
        <x:v>BASE</x:v>
      </x:c>
      <x:c r="D1475" s="217" t="n">
        <x:v>46266</x:v>
      </x:c>
      <x:c r="E1475" s="187" t="str">
        <x:v>R_GB_DE_A_ROAD</x:v>
      </x:c>
      <x:c r="F1475" s="187" t="str">
        <x:v>GB</x:v>
      </x:c>
      <x:c r="G1475" s="187" t="str">
        <x:v>DE_FC</x:v>
      </x:c>
      <x:c r="H1475" s="187" t="str">
        <x:v>CARRIER_A</x:v>
      </x:c>
      <x:c r="I1475" s="187" t="str">
        <x:v>ROAD</x:v>
      </x:c>
      <x:c r="J1475" s="187" t="str">
        <x:v>BASE_FREIGHT</x:v>
      </x:c>
      <x:c r="K1475" s="187" t="str">
        <x:v>GBP</x:v>
      </x:c>
      <x:c r="L1475" s="232" t="n">
        <x:v>8632.71687591936</x:v>
      </x:c>
      <x:c r="M1475" s="232" t="n">
        <x:v>9.15</x:v>
      </x:c>
      <x:c r="N1475" s="187" t="str">
        <x:v>78989.3594146621440000000</x:v>
      </x:c>
      <x:c r="O1475" s="235" t="n">
        <x:v>78989.3594</x:v>
      </x:c>
      <x:c r="P1475" s="235"/>
      <x:c r="Q1475" s="235"/>
      <x:c r="R1475" s="235" t="str">
        <x:v>INVOICE_OR_PLAN</x:v>
      </x:c>
      <x:c r="S1475" s="238" t="n">
        <x:f>'Model_Calc'!AF250</x:f>
        <x:v>78989.35941466213</x:v>
      </x:c>
      <x:c r="T1475" s="238" t="n">
        <x:f>ROUND(S1475-O1475,4)</x:f>
        <x:v>0</x:v>
      </x:c>
    </x:row>
    <x:row r="1476">
      <x:c r="A1476" s="187" t="str">
        <x:v>SCENARIO_BASE_2026_08</x:v>
      </x:c>
      <x:c r="B1476" s="187" t="str">
        <x:v>SCENARIO</x:v>
      </x:c>
      <x:c r="C1476" s="187" t="str">
        <x:v>BASE</x:v>
      </x:c>
      <x:c r="D1476" s="217" t="n">
        <x:v>46266</x:v>
      </x:c>
      <x:c r="E1476" s="187" t="str">
        <x:v>R_GB_DE_A_ROAD</x:v>
      </x:c>
      <x:c r="F1476" s="187" t="str">
        <x:v>GB</x:v>
      </x:c>
      <x:c r="G1476" s="187" t="str">
        <x:v>DE_FC</x:v>
      </x:c>
      <x:c r="H1476" s="187" t="str">
        <x:v>CARRIER_A</x:v>
      </x:c>
      <x:c r="I1476" s="187" t="str">
        <x:v>ROAD</x:v>
      </x:c>
      <x:c r="J1476" s="187" t="str">
        <x:v>FUEL_SURCHARGE</x:v>
      </x:c>
      <x:c r="K1476" s="187" t="str">
        <x:v>GBP</x:v>
      </x:c>
      <x:c r="L1476" s="232" t="n">
        <x:v>893.4861966576537</x:v>
      </x:c>
      <x:c r="M1476" s="232" t="n">
        <x:v>9.15</x:v>
      </x:c>
      <x:c r="N1476" s="187" t="str">
        <x:v>8175.3986994175319040000000000</x:v>
      </x:c>
      <x:c r="O1476" s="235" t="n">
        <x:v>8175.3987</x:v>
      </x:c>
      <x:c r="P1476" s="235"/>
      <x:c r="Q1476" s="235"/>
      <x:c r="R1476" s="235" t="str">
        <x:v>INVOICE_OR_PLAN</x:v>
      </x:c>
      <x:c r="S1476" s="238" t="n">
        <x:f>'Model_Calc'!AG250</x:f>
        <x:v>8175.398699417531</x:v>
      </x:c>
      <x:c r="T1476" s="238" t="n">
        <x:f>ROUND(S1476-O1476,4)</x:f>
        <x:v>0</x:v>
      </x:c>
    </x:row>
    <x:row r="1477">
      <x:c r="A1477" s="187" t="str">
        <x:v>SCENARIO_BASE_2026_08</x:v>
      </x:c>
      <x:c r="B1477" s="187" t="str">
        <x:v>SCENARIO</x:v>
      </x:c>
      <x:c r="C1477" s="187" t="str">
        <x:v>BASE</x:v>
      </x:c>
      <x:c r="D1477" s="217" t="n">
        <x:v>46266</x:v>
      </x:c>
      <x:c r="E1477" s="187" t="str">
        <x:v>R_GB_DE_A_ROAD</x:v>
      </x:c>
      <x:c r="F1477" s="187" t="str">
        <x:v>GB</x:v>
      </x:c>
      <x:c r="G1477" s="187" t="str">
        <x:v>DE_FC</x:v>
      </x:c>
      <x:c r="H1477" s="187" t="str">
        <x:v>CARRIER_A</x:v>
      </x:c>
      <x:c r="I1477" s="187" t="str">
        <x:v>ROAD</x:v>
      </x:c>
      <x:c r="J1477" s="187" t="str">
        <x:v>WAREHOUSE_OPERATION</x:v>
      </x:c>
      <x:c r="K1477" s="187" t="str">
        <x:v>EUR</x:v>
      </x:c>
      <x:c r="L1477" s="232" t="n">
        <x:v>2056.9427712</x:v>
      </x:c>
      <x:c r="M1477" s="232" t="n">
        <x:v>7.92</x:v>
      </x:c>
      <x:c r="N1477" s="187" t="str">
        <x:v>16290.9867479040000</x:v>
      </x:c>
      <x:c r="O1477" s="235" t="n">
        <x:v>16290.9867</x:v>
      </x:c>
      <x:c r="P1477" s="235"/>
      <x:c r="Q1477" s="235"/>
      <x:c r="R1477" s="235" t="str">
        <x:v>INVOICE_OR_PLAN</x:v>
      </x:c>
      <x:c r="S1477" s="238" t="n">
        <x:f>'Model_Calc'!AL250</x:f>
        <x:v>16290.986747904</x:v>
      </x:c>
      <x:c r="T1477" s="238" t="n">
        <x:f>ROUND(S1477-O1477,4)</x:f>
        <x:v>0</x:v>
      </x:c>
    </x:row>
    <x:row r="1478">
      <x:c r="A1478" s="187" t="str">
        <x:v>SCENARIO_BASE_2026_08</x:v>
      </x:c>
      <x:c r="B1478" s="187" t="str">
        <x:v>SCENARIO</x:v>
      </x:c>
      <x:c r="C1478" s="187" t="str">
        <x:v>BASE</x:v>
      </x:c>
      <x:c r="D1478" s="217" t="n">
        <x:v>46266</x:v>
      </x:c>
      <x:c r="E1478" s="187" t="str">
        <x:v>R_GB_DE_A_ROAD</x:v>
      </x:c>
      <x:c r="F1478" s="187" t="str">
        <x:v>GB</x:v>
      </x:c>
      <x:c r="G1478" s="187" t="str">
        <x:v>DE_FC</x:v>
      </x:c>
      <x:c r="H1478" s="187" t="str">
        <x:v>CARRIER_A</x:v>
      </x:c>
      <x:c r="I1478" s="187" t="str">
        <x:v>ROAD</x:v>
      </x:c>
      <x:c r="J1478" s="187" t="str">
        <x:v>PACKAGING</x:v>
      </x:c>
      <x:c r="K1478" s="187" t="str">
        <x:v>EUR</x:v>
      </x:c>
      <x:c r="L1478" s="232" t="n">
        <x:v>871.237285632</x:v>
      </x:c>
      <x:c r="M1478" s="232" t="n">
        <x:v>7.92</x:v>
      </x:c>
      <x:c r="N1478" s="187" t="str">
        <x:v>6900.199302205440000</x:v>
      </x:c>
      <x:c r="O1478" s="235" t="n">
        <x:v>6900.1993</x:v>
      </x:c>
      <x:c r="P1478" s="235"/>
      <x:c r="Q1478" s="235"/>
      <x:c r="R1478" s="235" t="str">
        <x:v>INVOICE_OR_PLAN</x:v>
      </x:c>
      <x:c r="S1478" s="238" t="n">
        <x:f>'Model_Calc'!AQ250</x:f>
        <x:v>6900.1993022054385</x:v>
      </x:c>
      <x:c r="T1478" s="238" t="n">
        <x:f>ROUND(S1478-O1478,4)</x:f>
        <x:v>0</x:v>
      </x:c>
    </x:row>
    <x:row r="1479">
      <x:c r="A1479" s="187" t="str">
        <x:v>SCENARIO_BASE_2026_08</x:v>
      </x:c>
      <x:c r="B1479" s="187" t="str">
        <x:v>SCENARIO</x:v>
      </x:c>
      <x:c r="C1479" s="187" t="str">
        <x:v>BASE</x:v>
      </x:c>
      <x:c r="D1479" s="217" t="n">
        <x:v>46266</x:v>
      </x:c>
      <x:c r="E1479" s="187" t="str">
        <x:v>R_GB_DE_A_ROAD</x:v>
      </x:c>
      <x:c r="F1479" s="187" t="str">
        <x:v>GB</x:v>
      </x:c>
      <x:c r="G1479" s="187" t="str">
        <x:v>DE_FC</x:v>
      </x:c>
      <x:c r="H1479" s="187" t="str">
        <x:v>CARRIER_A</x:v>
      </x:c>
      <x:c r="I1479" s="187" t="str">
        <x:v>ROAD</x:v>
      </x:c>
      <x:c r="J1479" s="187" t="str">
        <x:v>RETURN_LOGISTICS</x:v>
      </x:c>
      <x:c r="K1479" s="187" t="str">
        <x:v>GBP</x:v>
      </x:c>
      <x:c r="L1479" s="232" t="n">
        <x:v>794.88635904</x:v>
      </x:c>
      <x:c r="M1479" s="232" t="n">
        <x:v>9.15</x:v>
      </x:c>
      <x:c r="N1479" s="187" t="str">
        <x:v>7273.2101852160000000</x:v>
      </x:c>
      <x:c r="O1479" s="235" t="n">
        <x:v>7273.2102</x:v>
      </x:c>
      <x:c r="P1479" s="235"/>
      <x:c r="Q1479" s="235"/>
      <x:c r="R1479" s="235" t="str">
        <x:v>INVOICE_OR_PLAN</x:v>
      </x:c>
      <x:c r="S1479" s="238" t="n">
        <x:f>'Model_Calc'!AV250</x:f>
        <x:v>7273.210185216</x:v>
      </x:c>
      <x:c r="T1479" s="238" t="n">
        <x:f>ROUND(S1479-O1479,4)</x:f>
        <x:v>0</x:v>
      </x:c>
    </x:row>
    <x:row r="1480">
      <x:c r="A1480" s="187" t="str">
        <x:v>SCENARIO_BASE_2026_08</x:v>
      </x:c>
      <x:c r="B1480" s="187" t="str">
        <x:v>SCENARIO</x:v>
      </x:c>
      <x:c r="C1480" s="187" t="str">
        <x:v>BASE</x:v>
      </x:c>
      <x:c r="D1480" s="217" t="n">
        <x:v>46266</x:v>
      </x:c>
      <x:c r="E1480" s="187" t="str">
        <x:v>R_GB_DE_A_ROAD</x:v>
      </x:c>
      <x:c r="F1480" s="187" t="str">
        <x:v>GB</x:v>
      </x:c>
      <x:c r="G1480" s="187" t="str">
        <x:v>DE_FC</x:v>
      </x:c>
      <x:c r="H1480" s="187" t="str">
        <x:v>CARRIER_A</x:v>
      </x:c>
      <x:c r="I1480" s="187" t="str">
        <x:v>ROAD</x:v>
      </x:c>
      <x:c r="J1480" s="187" t="str">
        <x:v>BILLABLE_EXCEPTION</x:v>
      </x:c>
      <x:c r="K1480" s="187" t="str">
        <x:v>GBP</x:v>
      </x:c>
      <x:c r="L1480" s="232" t="n">
        <x:v>128.81865580416</x:v>
      </x:c>
      <x:c r="M1480" s="232" t="n">
        <x:v>9.15</x:v>
      </x:c>
      <x:c r="N1480" s="187" t="str">
        <x:v>1178.690700608064000000</x:v>
      </x:c>
      <x:c r="O1480" s="235" t="n">
        <x:v>1178.6907</x:v>
      </x:c>
      <x:c r="P1480" s="235"/>
      <x:c r="Q1480" s="235"/>
      <x:c r="R1480" s="235" t="str">
        <x:v>INVOICE_OR_PLAN</x:v>
      </x:c>
      <x:c r="S1480" s="238" t="n">
        <x:f>'Model_Calc'!BA250</x:f>
        <x:v>1178.690700608064</x:v>
      </x:c>
      <x:c r="T1480" s="238" t="n">
        <x:f>ROUND(S1480-O1480,4)</x:f>
        <x:v>0</x:v>
      </x:c>
    </x:row>
    <x:row r="1481">
      <x:c r="A1481" s="187" t="str">
        <x:v>SCENARIO_BASE_2026_08</x:v>
      </x:c>
      <x:c r="B1481" s="187" t="str">
        <x:v>SCENARIO</x:v>
      </x:c>
      <x:c r="C1481" s="187" t="str">
        <x:v>BASE</x:v>
      </x:c>
      <x:c r="D1481" s="217" t="n">
        <x:v>46266</x:v>
      </x:c>
      <x:c r="E1481" s="187" t="str">
        <x:v>R_GB_DE_B_ROAD</x:v>
      </x:c>
      <x:c r="F1481" s="187" t="str">
        <x:v>GB</x:v>
      </x:c>
      <x:c r="G1481" s="187" t="str">
        <x:v>DE_FC</x:v>
      </x:c>
      <x:c r="H1481" s="187" t="str">
        <x:v>CARRIER_B</x:v>
      </x:c>
      <x:c r="I1481" s="187" t="str">
        <x:v>ROAD</x:v>
      </x:c>
      <x:c r="J1481" s="187" t="str">
        <x:v>BASE_FREIGHT</x:v>
      </x:c>
      <x:c r="K1481" s="187" t="str">
        <x:v>GBP</x:v>
      </x:c>
      <x:c r="L1481" s="232" t="n">
        <x:v>5635.24573844736</x:v>
      </x:c>
      <x:c r="M1481" s="232" t="n">
        <x:v>9.15</x:v>
      </x:c>
      <x:c r="N1481" s="187" t="str">
        <x:v>51562.4985067933440000000</x:v>
      </x:c>
      <x:c r="O1481" s="235" t="n">
        <x:v>51562.4985</x:v>
      </x:c>
      <x:c r="P1481" s="235"/>
      <x:c r="Q1481" s="235"/>
      <x:c r="R1481" s="235" t="str">
        <x:v>INVOICE_OR_PLAN</x:v>
      </x:c>
      <x:c r="S1481" s="238" t="n">
        <x:f>'Model_Calc'!AF251</x:f>
        <x:v>51562.498506793345</x:v>
      </x:c>
      <x:c r="T1481" s="238" t="n">
        <x:f>ROUND(S1481-O1481,4)</x:f>
        <x:v>0</x:v>
      </x:c>
    </x:row>
    <x:row r="1482">
      <x:c r="A1482" s="187" t="str">
        <x:v>SCENARIO_BASE_2026_08</x:v>
      </x:c>
      <x:c r="B1482" s="187" t="str">
        <x:v>SCENARIO</x:v>
      </x:c>
      <x:c r="C1482" s="187" t="str">
        <x:v>BASE</x:v>
      </x:c>
      <x:c r="D1482" s="217" t="n">
        <x:v>46266</x:v>
      </x:c>
      <x:c r="E1482" s="187" t="str">
        <x:v>R_GB_DE_B_ROAD</x:v>
      </x:c>
      <x:c r="F1482" s="187" t="str">
        <x:v>GB</x:v>
      </x:c>
      <x:c r="G1482" s="187" t="str">
        <x:v>DE_FC</x:v>
      </x:c>
      <x:c r="H1482" s="187" t="str">
        <x:v>CARRIER_B</x:v>
      </x:c>
      <x:c r="I1482" s="187" t="str">
        <x:v>ROAD</x:v>
      </x:c>
      <x:c r="J1482" s="187" t="str">
        <x:v>FUEL_SURCHARGE</x:v>
      </x:c>
      <x:c r="K1482" s="187" t="str">
        <x:v>GBP</x:v>
      </x:c>
      <x:c r="L1482" s="232" t="n">
        <x:v>395.666190146304</x:v>
      </x:c>
      <x:c r="M1482" s="232" t="n">
        <x:v>9.15</x:v>
      </x:c>
      <x:c r="N1482" s="187" t="str">
        <x:v>3620.3456398386816000000</x:v>
      </x:c>
      <x:c r="O1482" s="235" t="n">
        <x:v>3620.3456</x:v>
      </x:c>
      <x:c r="P1482" s="235"/>
      <x:c r="Q1482" s="235"/>
      <x:c r="R1482" s="235" t="str">
        <x:v>INVOICE_OR_PLAN</x:v>
      </x:c>
      <x:c r="S1482" s="238" t="n">
        <x:f>'Model_Calc'!AG251</x:f>
        <x:v>3620.3456398386825</x:v>
      </x:c>
      <x:c r="T1482" s="238" t="n">
        <x:f>ROUND(S1482-O1482,4)</x:f>
        <x:v>0</x:v>
      </x:c>
    </x:row>
    <x:row r="1483">
      <x:c r="A1483" s="187" t="str">
        <x:v>SCENARIO_BASE_2026_08</x:v>
      </x:c>
      <x:c r="B1483" s="187" t="str">
        <x:v>SCENARIO</x:v>
      </x:c>
      <x:c r="C1483" s="187" t="str">
        <x:v>BASE</x:v>
      </x:c>
      <x:c r="D1483" s="217" t="n">
        <x:v>46266</x:v>
      </x:c>
      <x:c r="E1483" s="187" t="str">
        <x:v>R_GB_DE_B_ROAD</x:v>
      </x:c>
      <x:c r="F1483" s="187" t="str">
        <x:v>GB</x:v>
      </x:c>
      <x:c r="G1483" s="187" t="str">
        <x:v>DE_FC</x:v>
      </x:c>
      <x:c r="H1483" s="187" t="str">
        <x:v>CARRIER_B</x:v>
      </x:c>
      <x:c r="I1483" s="187" t="str">
        <x:v>ROAD</x:v>
      </x:c>
      <x:c r="J1483" s="187" t="str">
        <x:v>WAREHOUSE_OPERATION</x:v>
      </x:c>
      <x:c r="K1483" s="187" t="str">
        <x:v>EUR</x:v>
      </x:c>
      <x:c r="L1483" s="232" t="n">
        <x:v>1165.60090368</x:v>
      </x:c>
      <x:c r="M1483" s="232" t="n">
        <x:v>7.92</x:v>
      </x:c>
      <x:c r="N1483" s="187" t="str">
        <x:v>9231.5591571456000</x:v>
      </x:c>
      <x:c r="O1483" s="235" t="n">
        <x:v>9231.5592</x:v>
      </x:c>
      <x:c r="P1483" s="235"/>
      <x:c r="Q1483" s="235"/>
      <x:c r="R1483" s="235" t="str">
        <x:v>INVOICE_OR_PLAN</x:v>
      </x:c>
      <x:c r="S1483" s="238" t="n">
        <x:f>'Model_Calc'!AL251</x:f>
        <x:v>9231.5591571456</x:v>
      </x:c>
      <x:c r="T1483" s="238" t="n">
        <x:f>ROUND(S1483-O1483,4)</x:f>
        <x:v>0</x:v>
      </x:c>
    </x:row>
    <x:row r="1484">
      <x:c r="A1484" s="187" t="str">
        <x:v>SCENARIO_BASE_2026_08</x:v>
      </x:c>
      <x:c r="B1484" s="187" t="str">
        <x:v>SCENARIO</x:v>
      </x:c>
      <x:c r="C1484" s="187" t="str">
        <x:v>BASE</x:v>
      </x:c>
      <x:c r="D1484" s="217" t="n">
        <x:v>46266</x:v>
      </x:c>
      <x:c r="E1484" s="187" t="str">
        <x:v>R_GB_DE_B_ROAD</x:v>
      </x:c>
      <x:c r="F1484" s="187" t="str">
        <x:v>GB</x:v>
      </x:c>
      <x:c r="G1484" s="187" t="str">
        <x:v>DE_FC</x:v>
      </x:c>
      <x:c r="H1484" s="187" t="str">
        <x:v>CARRIER_B</x:v>
      </x:c>
      <x:c r="I1484" s="187" t="str">
        <x:v>ROAD</x:v>
      </x:c>
      <x:c r="J1484" s="187" t="str">
        <x:v>PACKAGING</x:v>
      </x:c>
      <x:c r="K1484" s="187" t="str">
        <x:v>EUR</x:v>
      </x:c>
      <x:c r="L1484" s="232" t="n">
        <x:v>493.7011285248</x:v>
      </x:c>
      <x:c r="M1484" s="232" t="n">
        <x:v>7.92</x:v>
      </x:c>
      <x:c r="N1484" s="187" t="str">
        <x:v>3910.112937916416000</x:v>
      </x:c>
      <x:c r="O1484" s="235" t="n">
        <x:v>3910.1129</x:v>
      </x:c>
      <x:c r="P1484" s="235"/>
      <x:c r="Q1484" s="235"/>
      <x:c r="R1484" s="235" t="str">
        <x:v>INVOICE_OR_PLAN</x:v>
      </x:c>
      <x:c r="S1484" s="238" t="n">
        <x:f>'Model_Calc'!AQ251</x:f>
        <x:v>3910.112937916416</x:v>
      </x:c>
      <x:c r="T1484" s="238" t="n">
        <x:f>ROUND(S1484-O1484,4)</x:f>
        <x:v>0</x:v>
      </x:c>
    </x:row>
    <x:row r="1485">
      <x:c r="A1485" s="187" t="str">
        <x:v>SCENARIO_BASE_2026_08</x:v>
      </x:c>
      <x:c r="B1485" s="187" t="str">
        <x:v>SCENARIO</x:v>
      </x:c>
      <x:c r="C1485" s="187" t="str">
        <x:v>BASE</x:v>
      </x:c>
      <x:c r="D1485" s="217" t="n">
        <x:v>46266</x:v>
      </x:c>
      <x:c r="E1485" s="187" t="str">
        <x:v>R_GB_DE_B_ROAD</x:v>
      </x:c>
      <x:c r="F1485" s="187" t="str">
        <x:v>GB</x:v>
      </x:c>
      <x:c r="G1485" s="187" t="str">
        <x:v>DE_FC</x:v>
      </x:c>
      <x:c r="H1485" s="187" t="str">
        <x:v>CARRIER_B</x:v>
      </x:c>
      <x:c r="I1485" s="187" t="str">
        <x:v>ROAD</x:v>
      </x:c>
      <x:c r="J1485" s="187" t="str">
        <x:v>RETURN_LOGISTICS</x:v>
      </x:c>
      <x:c r="K1485" s="187" t="str">
        <x:v>GBP</x:v>
      </x:c>
      <x:c r="L1485" s="232" t="n">
        <x:v>450.435603456</x:v>
      </x:c>
      <x:c r="M1485" s="232" t="n">
        <x:v>9.15</x:v>
      </x:c>
      <x:c r="N1485" s="187" t="str">
        <x:v>4121.4857716224000000</x:v>
      </x:c>
      <x:c r="O1485" s="235" t="n">
        <x:v>4121.4858</x:v>
      </x:c>
      <x:c r="P1485" s="235"/>
      <x:c r="Q1485" s="235"/>
      <x:c r="R1485" s="235" t="str">
        <x:v>INVOICE_OR_PLAN</x:v>
      </x:c>
      <x:c r="S1485" s="238" t="n">
        <x:f>'Model_Calc'!AV251</x:f>
        <x:v>4121.4857716224005</x:v>
      </x:c>
      <x:c r="T1485" s="238" t="n">
        <x:f>ROUND(S1485-O1485,4)</x:f>
        <x:v>0</x:v>
      </x:c>
    </x:row>
    <x:row r="1486">
      <x:c r="A1486" s="187" t="str">
        <x:v>SCENARIO_BASE_2026_08</x:v>
      </x:c>
      <x:c r="B1486" s="187" t="str">
        <x:v>SCENARIO</x:v>
      </x:c>
      <x:c r="C1486" s="187" t="str">
        <x:v>BASE</x:v>
      </x:c>
      <x:c r="D1486" s="217" t="n">
        <x:v>46266</x:v>
      </x:c>
      <x:c r="E1486" s="187" t="str">
        <x:v>R_GB_DE_B_ROAD</x:v>
      </x:c>
      <x:c r="F1486" s="187" t="str">
        <x:v>GB</x:v>
      </x:c>
      <x:c r="G1486" s="187" t="str">
        <x:v>DE_FC</x:v>
      </x:c>
      <x:c r="H1486" s="187" t="str">
        <x:v>CARRIER_B</x:v>
      </x:c>
      <x:c r="I1486" s="187" t="str">
        <x:v>ROAD</x:v>
      </x:c>
      <x:c r="J1486" s="187" t="str">
        <x:v>BILLABLE_EXCEPTION</x:v>
      </x:c>
      <x:c r="K1486" s="187" t="str">
        <x:v>GBP</x:v>
      </x:c>
      <x:c r="L1486" s="232" t="n">
        <x:v>54.07202836224</x:v>
      </x:c>
      <x:c r="M1486" s="232" t="n">
        <x:v>9.15</x:v>
      </x:c>
      <x:c r="N1486" s="187" t="str">
        <x:v>494.759059514496000000</x:v>
      </x:c>
      <x:c r="O1486" s="235" t="n">
        <x:v>494.7591</x:v>
      </x:c>
      <x:c r="P1486" s="235"/>
      <x:c r="Q1486" s="235"/>
      <x:c r="R1486" s="235" t="str">
        <x:v>INVOICE_OR_PLAN</x:v>
      </x:c>
      <x:c r="S1486" s="238" t="n">
        <x:f>'Model_Calc'!BA251</x:f>
        <x:v>494.7590595144961</x:v>
      </x:c>
      <x:c r="T1486" s="238" t="n">
        <x:f>ROUND(S1486-O1486,4)</x:f>
        <x:v>0</x:v>
      </x:c>
    </x:row>
    <x:row r="1487">
      <x:c r="A1487" s="187" t="str">
        <x:v>SCENARIO_BASE_2026_08</x:v>
      </x:c>
      <x:c r="B1487" s="187" t="str">
        <x:v>SCENARIO</x:v>
      </x:c>
      <x:c r="C1487" s="187" t="str">
        <x:v>BASE</x:v>
      </x:c>
      <x:c r="D1487" s="217" t="n">
        <x:v>46266</x:v>
      </x:c>
      <x:c r="E1487" s="187" t="str">
        <x:v>R_GB_DE_B_AIR</x:v>
      </x:c>
      <x:c r="F1487" s="187" t="str">
        <x:v>GB</x:v>
      </x:c>
      <x:c r="G1487" s="187" t="str">
        <x:v>DE_FC</x:v>
      </x:c>
      <x:c r="H1487" s="187" t="str">
        <x:v>CARRIER_B</x:v>
      </x:c>
      <x:c r="I1487" s="187" t="str">
        <x:v>AIR</x:v>
      </x:c>
      <x:c r="J1487" s="187" t="str">
        <x:v>BASE_FREIGHT</x:v>
      </x:c>
      <x:c r="K1487" s="187" t="str">
        <x:v>GBP</x:v>
      </x:c>
      <x:c r="L1487" s="232" t="n">
        <x:v>10687.0778004437</x:v>
      </x:c>
      <x:c r="M1487" s="232" t="n">
        <x:v>9.15</x:v>
      </x:c>
      <x:c r="N1487" s="187" t="str">
        <x:v>97786.761874059847680000000</x:v>
      </x:c>
      <x:c r="O1487" s="235" t="n">
        <x:v>97786.7619</x:v>
      </x:c>
      <x:c r="P1487" s="235"/>
      <x:c r="Q1487" s="235"/>
      <x:c r="R1487" s="235" t="str">
        <x:v>INVOICE_OR_PLAN</x:v>
      </x:c>
      <x:c r="S1487" s="238" t="n">
        <x:f>'Model_Calc'!AF252</x:f>
        <x:v>97786.76187405984</x:v>
      </x:c>
      <x:c r="T1487" s="238" t="n">
        <x:f>ROUND(S1487-O1487,4)</x:f>
        <x:v>0</x:v>
      </x:c>
    </x:row>
    <x:row r="1488">
      <x:c r="A1488" s="187" t="str">
        <x:v>SCENARIO_BASE_2026_08</x:v>
      </x:c>
      <x:c r="B1488" s="187" t="str">
        <x:v>SCENARIO</x:v>
      </x:c>
      <x:c r="C1488" s="187" t="str">
        <x:v>BASE</x:v>
      </x:c>
      <x:c r="D1488" s="217" t="n">
        <x:v>46266</x:v>
      </x:c>
      <x:c r="E1488" s="187" t="str">
        <x:v>R_GB_DE_B_AIR</x:v>
      </x:c>
      <x:c r="F1488" s="187" t="str">
        <x:v>GB</x:v>
      </x:c>
      <x:c r="G1488" s="187" t="str">
        <x:v>DE_FC</x:v>
      </x:c>
      <x:c r="H1488" s="187" t="str">
        <x:v>CARRIER_B</x:v>
      </x:c>
      <x:c r="I1488" s="187" t="str">
        <x:v>AIR</x:v>
      </x:c>
      <x:c r="J1488" s="187" t="str">
        <x:v>FUEL_SURCHARGE</x:v>
      </x:c>
      <x:c r="K1488" s="187" t="str">
        <x:v>GBP</x:v>
      </x:c>
      <x:c r="L1488" s="232" t="n">
        <x:v>1322.9106126057238</x:v>
      </x:c>
      <x:c r="M1488" s="232" t="n">
        <x:v>9.15</x:v>
      </x:c>
      <x:c r="N1488" s="187" t="str">
        <x:v>12104.63210534237230491648000000000</x:v>
      </x:c>
      <x:c r="O1488" s="235" t="n">
        <x:v>12104.6321</x:v>
      </x:c>
      <x:c r="P1488" s="235"/>
      <x:c r="Q1488" s="235"/>
      <x:c r="R1488" s="235" t="str">
        <x:v>INVOICE_OR_PLAN</x:v>
      </x:c>
      <x:c r="S1488" s="238" t="n">
        <x:f>'Model_Calc'!AG252</x:f>
        <x:v>12104.63210534237</x:v>
      </x:c>
      <x:c r="T1488" s="238" t="n">
        <x:f>ROUND(S1488-O1488,4)</x:f>
        <x:v>0</x:v>
      </x:c>
    </x:row>
    <x:row r="1489">
      <x:c r="A1489" s="187" t="str">
        <x:v>SCENARIO_BASE_2026_08</x:v>
      </x:c>
      <x:c r="B1489" s="187" t="str">
        <x:v>SCENARIO</x:v>
      </x:c>
      <x:c r="C1489" s="187" t="str">
        <x:v>BASE</x:v>
      </x:c>
      <x:c r="D1489" s="217" t="n">
        <x:v>46266</x:v>
      </x:c>
      <x:c r="E1489" s="187" t="str">
        <x:v>R_GB_DE_B_AIR</x:v>
      </x:c>
      <x:c r="F1489" s="187" t="str">
        <x:v>GB</x:v>
      </x:c>
      <x:c r="G1489" s="187" t="str">
        <x:v>DE_FC</x:v>
      </x:c>
      <x:c r="H1489" s="187" t="str">
        <x:v>CARRIER_B</x:v>
      </x:c>
      <x:c r="I1489" s="187" t="str">
        <x:v>AIR</x:v>
      </x:c>
      <x:c r="J1489" s="187" t="str">
        <x:v>WAREHOUSE_OPERATION</x:v>
      </x:c>
      <x:c r="K1489" s="187" t="str">
        <x:v>EUR</x:v>
      </x:c>
      <x:c r="L1489" s="232" t="n">
        <x:v>1714.118976</x:v>
      </x:c>
      <x:c r="M1489" s="232" t="n">
        <x:v>7.92</x:v>
      </x:c>
      <x:c r="N1489" s="187" t="str">
        <x:v>13575.8222899200000</x:v>
      </x:c>
      <x:c r="O1489" s="235" t="n">
        <x:v>13575.8223</x:v>
      </x:c>
      <x:c r="P1489" s="235"/>
      <x:c r="Q1489" s="235"/>
      <x:c r="R1489" s="235" t="str">
        <x:v>INVOICE_OR_PLAN</x:v>
      </x:c>
      <x:c r="S1489" s="238" t="n">
        <x:f>'Model_Calc'!AL252</x:f>
        <x:v>13575.82228992</x:v>
      </x:c>
      <x:c r="T1489" s="238" t="n">
        <x:f>ROUND(S1489-O1489,4)</x:f>
        <x:v>0</x:v>
      </x:c>
    </x:row>
    <x:row r="1490">
      <x:c r="A1490" s="187" t="str">
        <x:v>SCENARIO_BASE_2026_08</x:v>
      </x:c>
      <x:c r="B1490" s="187" t="str">
        <x:v>SCENARIO</x:v>
      </x:c>
      <x:c r="C1490" s="187" t="str">
        <x:v>BASE</x:v>
      </x:c>
      <x:c r="D1490" s="217" t="n">
        <x:v>46266</x:v>
      </x:c>
      <x:c r="E1490" s="187" t="str">
        <x:v>R_GB_DE_B_AIR</x:v>
      </x:c>
      <x:c r="F1490" s="187" t="str">
        <x:v>GB</x:v>
      </x:c>
      <x:c r="G1490" s="187" t="str">
        <x:v>DE_FC</x:v>
      </x:c>
      <x:c r="H1490" s="187" t="str">
        <x:v>CARRIER_B</x:v>
      </x:c>
      <x:c r="I1490" s="187" t="str">
        <x:v>AIR</x:v>
      </x:c>
      <x:c r="J1490" s="187" t="str">
        <x:v>PACKAGING</x:v>
      </x:c>
      <x:c r="K1490" s="187" t="str">
        <x:v>EUR</x:v>
      </x:c>
      <x:c r="L1490" s="232" t="n">
        <x:v>726.03107136</x:v>
      </x:c>
      <x:c r="M1490" s="232" t="n">
        <x:v>7.92</x:v>
      </x:c>
      <x:c r="N1490" s="187" t="str">
        <x:v>5750.166085171200000</x:v>
      </x:c>
      <x:c r="O1490" s="235" t="n">
        <x:v>5750.1661</x:v>
      </x:c>
      <x:c r="P1490" s="235"/>
      <x:c r="Q1490" s="235"/>
      <x:c r="R1490" s="235" t="str">
        <x:v>INVOICE_OR_PLAN</x:v>
      </x:c>
      <x:c r="S1490" s="238" t="n">
        <x:f>'Model_Calc'!AQ252</x:f>
        <x:v>5750.1660851711995</x:v>
      </x:c>
      <x:c r="T1490" s="238" t="n">
        <x:f>ROUND(S1490-O1490,4)</x:f>
        <x:v>0</x:v>
      </x:c>
    </x:row>
    <x:row r="1491">
      <x:c r="A1491" s="187" t="str">
        <x:v>SCENARIO_BASE_2026_08</x:v>
      </x:c>
      <x:c r="B1491" s="187" t="str">
        <x:v>SCENARIO</x:v>
      </x:c>
      <x:c r="C1491" s="187" t="str">
        <x:v>BASE</x:v>
      </x:c>
      <x:c r="D1491" s="217" t="n">
        <x:v>46266</x:v>
      </x:c>
      <x:c r="E1491" s="187" t="str">
        <x:v>R_GB_DE_B_AIR</x:v>
      </x:c>
      <x:c r="F1491" s="187" t="str">
        <x:v>GB</x:v>
      </x:c>
      <x:c r="G1491" s="187" t="str">
        <x:v>DE_FC</x:v>
      </x:c>
      <x:c r="H1491" s="187" t="str">
        <x:v>CARRIER_B</x:v>
      </x:c>
      <x:c r="I1491" s="187" t="str">
        <x:v>AIR</x:v>
      </x:c>
      <x:c r="J1491" s="187" t="str">
        <x:v>RETURN_LOGISTICS</x:v>
      </x:c>
      <x:c r="K1491" s="187" t="str">
        <x:v>GBP</x:v>
      </x:c>
      <x:c r="L1491" s="232" t="n">
        <x:v>662.4052992</x:v>
      </x:c>
      <x:c r="M1491" s="232" t="n">
        <x:v>9.15</x:v>
      </x:c>
      <x:c r="N1491" s="187" t="str">
        <x:v>6061.0084876800000000</x:v>
      </x:c>
      <x:c r="O1491" s="235" t="n">
        <x:v>6061.0085</x:v>
      </x:c>
      <x:c r="P1491" s="235"/>
      <x:c r="Q1491" s="235"/>
      <x:c r="R1491" s="235" t="str">
        <x:v>INVOICE_OR_PLAN</x:v>
      </x:c>
      <x:c r="S1491" s="238" t="n">
        <x:f>'Model_Calc'!AV252</x:f>
        <x:v>6061.00848768</x:v>
      </x:c>
      <x:c r="T1491" s="238" t="n">
        <x:f>ROUND(S1491-O1491,4)</x:f>
        <x:v>0</x:v>
      </x:c>
    </x:row>
    <x:row r="1492">
      <x:c r="A1492" s="187" t="str">
        <x:v>SCENARIO_BASE_2026_08</x:v>
      </x:c>
      <x:c r="B1492" s="187" t="str">
        <x:v>SCENARIO</x:v>
      </x:c>
      <x:c r="C1492" s="187" t="str">
        <x:v>BASE</x:v>
      </x:c>
      <x:c r="D1492" s="217" t="n">
        <x:v>46266</x:v>
      </x:c>
      <x:c r="E1492" s="187" t="str">
        <x:v>R_GB_DE_B_AIR</x:v>
      </x:c>
      <x:c r="F1492" s="187" t="str">
        <x:v>GB</x:v>
      </x:c>
      <x:c r="G1492" s="187" t="str">
        <x:v>DE_FC</x:v>
      </x:c>
      <x:c r="H1492" s="187" t="str">
        <x:v>CARRIER_B</x:v>
      </x:c>
      <x:c r="I1492" s="187" t="str">
        <x:v>AIR</x:v>
      </x:c>
      <x:c r="J1492" s="187" t="str">
        <x:v>BILLABLE_EXCEPTION</x:v>
      </x:c>
      <x:c r="K1492" s="187" t="str">
        <x:v>GBP</x:v>
      </x:c>
      <x:c r="L1492" s="232" t="n">
        <x:v>77.4433142784</x:v>
      </x:c>
      <x:c r="M1492" s="232" t="n">
        <x:v>9.15</x:v>
      </x:c>
      <x:c r="N1492" s="187" t="str">
        <x:v>708.606325647360000000</x:v>
      </x:c>
      <x:c r="O1492" s="235" t="n">
        <x:v>708.6063</x:v>
      </x:c>
      <x:c r="P1492" s="235"/>
      <x:c r="Q1492" s="235"/>
      <x:c r="R1492" s="235" t="str">
        <x:v>INVOICE_OR_PLAN</x:v>
      </x:c>
      <x:c r="S1492" s="238" t="n">
        <x:f>'Model_Calc'!BA252</x:f>
        <x:v>708.6063256473601</x:v>
      </x:c>
      <x:c r="T1492" s="238" t="n">
        <x:f>ROUND(S1492-O1492,4)</x:f>
        <x:v>0</x:v>
      </x:c>
    </x:row>
    <x:row r="1493">
      <x:c r="A1493" s="187" t="str">
        <x:v>SCENARIO_BASE_2026_08</x:v>
      </x:c>
      <x:c r="B1493" s="187" t="str">
        <x:v>SCENARIO</x:v>
      </x:c>
      <x:c r="C1493" s="187" t="str">
        <x:v>BASE</x:v>
      </x:c>
      <x:c r="D1493" s="217" t="n">
        <x:v>46266</x:v>
      </x:c>
      <x:c r="E1493" s="187" t="str">
        <x:v>R_GB_DE_C_AIR</x:v>
      </x:c>
      <x:c r="F1493" s="187" t="str">
        <x:v>GB</x:v>
      </x:c>
      <x:c r="G1493" s="187" t="str">
        <x:v>DE_FC</x:v>
      </x:c>
      <x:c r="H1493" s="187" t="str">
        <x:v>CARRIER_C</x:v>
      </x:c>
      <x:c r="I1493" s="187" t="str">
        <x:v>AIR</x:v>
      </x:c>
      <x:c r="J1493" s="187" t="str">
        <x:v>BASE_FREIGHT</x:v>
      </x:c>
      <x:c r="K1493" s="187" t="str">
        <x:v>GBP</x:v>
      </x:c>
      <x:c r="L1493" s="232" t="n">
        <x:v>14443.720216121548</x:v>
      </x:c>
      <x:c r="M1493" s="232" t="n">
        <x:v>9.15</x:v>
      </x:c>
      <x:c r="N1493" s="187" t="str">
        <x:v>132160.039977512171520000000</x:v>
      </x:c>
      <x:c r="O1493" s="235" t="n">
        <x:v>132160.04</x:v>
      </x:c>
      <x:c r="P1493" s="235"/>
      <x:c r="Q1493" s="235"/>
      <x:c r="R1493" s="235" t="str">
        <x:v>INVOICE_OR_PLAN</x:v>
      </x:c>
      <x:c r="S1493" s="238" t="n">
        <x:f>'Model_Calc'!AF253</x:f>
        <x:v>132160.03997751215</x:v>
      </x:c>
      <x:c r="T1493" s="238" t="n">
        <x:f>ROUND(S1493-O1493,4)</x:f>
        <x:v>0</x:v>
      </x:c>
    </x:row>
    <x:row r="1494">
      <x:c r="A1494" s="187" t="str">
        <x:v>SCENARIO_BASE_2026_08</x:v>
      </x:c>
      <x:c r="B1494" s="187" t="str">
        <x:v>SCENARIO</x:v>
      </x:c>
      <x:c r="C1494" s="187" t="str">
        <x:v>BASE</x:v>
      </x:c>
      <x:c r="D1494" s="217" t="n">
        <x:v>46266</x:v>
      </x:c>
      <x:c r="E1494" s="187" t="str">
        <x:v>R_GB_DE_C_AIR</x:v>
      </x:c>
      <x:c r="F1494" s="187" t="str">
        <x:v>GB</x:v>
      </x:c>
      <x:c r="G1494" s="187" t="str">
        <x:v>DE_FC</x:v>
      </x:c>
      <x:c r="H1494" s="187" t="str">
        <x:v>CARRIER_C</x:v>
      </x:c>
      <x:c r="I1494" s="187" t="str">
        <x:v>AIR</x:v>
      </x:c>
      <x:c r="J1494" s="187" t="str">
        <x:v>FUEL_SURCHARGE</x:v>
      </x:c>
      <x:c r="K1494" s="187" t="str">
        <x:v>GBP</x:v>
      </x:c>
      <x:c r="L1494" s="232" t="n">
        <x:v>1116.9810300467332</x:v>
      </x:c>
      <x:c r="M1494" s="232" t="n">
        <x:v>9.15</x:v>
      </x:c>
      <x:c r="N1494" s="187" t="str">
        <x:v>10220.376424927607930880000</x:v>
      </x:c>
      <x:c r="O1494" s="235" t="n">
        <x:v>10220.3764</x:v>
      </x:c>
      <x:c r="P1494" s="235"/>
      <x:c r="Q1494" s="235"/>
      <x:c r="R1494" s="235" t="str">
        <x:v>INVOICE_OR_PLAN</x:v>
      </x:c>
      <x:c r="S1494" s="238" t="n">
        <x:f>'Model_Calc'!AG253</x:f>
        <x:v>10220.376424927608</x:v>
      </x:c>
      <x:c r="T1494" s="238" t="n">
        <x:f>ROUND(S1494-O1494,4)</x:f>
        <x:v>0</x:v>
      </x:c>
    </x:row>
    <x:row r="1495">
      <x:c r="A1495" s="187" t="str">
        <x:v>SCENARIO_BASE_2026_08</x:v>
      </x:c>
      <x:c r="B1495" s="187" t="str">
        <x:v>SCENARIO</x:v>
      </x:c>
      <x:c r="C1495" s="187" t="str">
        <x:v>BASE</x:v>
      </x:c>
      <x:c r="D1495" s="217" t="n">
        <x:v>46266</x:v>
      </x:c>
      <x:c r="E1495" s="187" t="str">
        <x:v>R_GB_DE_C_AIR</x:v>
      </x:c>
      <x:c r="F1495" s="187" t="str">
        <x:v>GB</x:v>
      </x:c>
      <x:c r="G1495" s="187" t="str">
        <x:v>DE_FC</x:v>
      </x:c>
      <x:c r="H1495" s="187" t="str">
        <x:v>CARRIER_C</x:v>
      </x:c>
      <x:c r="I1495" s="187" t="str">
        <x:v>AIR</x:v>
      </x:c>
      <x:c r="J1495" s="187" t="str">
        <x:v>WAREHOUSE_OPERATION</x:v>
      </x:c>
      <x:c r="K1495" s="187" t="str">
        <x:v>EUR</x:v>
      </x:c>
      <x:c r="L1495" s="232" t="n">
        <x:v>1919.81325312</x:v>
      </x:c>
      <x:c r="M1495" s="232" t="n">
        <x:v>7.92</x:v>
      </x:c>
      <x:c r="N1495" s="187" t="str">
        <x:v>15204.9209647104000</x:v>
      </x:c>
      <x:c r="O1495" s="235" t="n">
        <x:v>15204.921</x:v>
      </x:c>
      <x:c r="P1495" s="235"/>
      <x:c r="Q1495" s="235"/>
      <x:c r="R1495" s="235" t="str">
        <x:v>INVOICE_OR_PLAN</x:v>
      </x:c>
      <x:c r="S1495" s="238" t="n">
        <x:f>'Model_Calc'!AL253</x:f>
        <x:v>15204.920964710403</x:v>
      </x:c>
      <x:c r="T1495" s="238" t="n">
        <x:f>ROUND(S1495-O1495,4)</x:f>
        <x:v>0</x:v>
      </x:c>
    </x:row>
    <x:row r="1496">
      <x:c r="A1496" s="187" t="str">
        <x:v>SCENARIO_BASE_2026_08</x:v>
      </x:c>
      <x:c r="B1496" s="187" t="str">
        <x:v>SCENARIO</x:v>
      </x:c>
      <x:c r="C1496" s="187" t="str">
        <x:v>BASE</x:v>
      </x:c>
      <x:c r="D1496" s="217" t="n">
        <x:v>46266</x:v>
      </x:c>
      <x:c r="E1496" s="187" t="str">
        <x:v>R_GB_DE_C_AIR</x:v>
      </x:c>
      <x:c r="F1496" s="187" t="str">
        <x:v>GB</x:v>
      </x:c>
      <x:c r="G1496" s="187" t="str">
        <x:v>DE_FC</x:v>
      </x:c>
      <x:c r="H1496" s="187" t="str">
        <x:v>CARRIER_C</x:v>
      </x:c>
      <x:c r="I1496" s="187" t="str">
        <x:v>AIR</x:v>
      </x:c>
      <x:c r="J1496" s="187" t="str">
        <x:v>PACKAGING</x:v>
      </x:c>
      <x:c r="K1496" s="187" t="str">
        <x:v>EUR</x:v>
      </x:c>
      <x:c r="L1496" s="232" t="n">
        <x:v>813.1547999232</x:v>
      </x:c>
      <x:c r="M1496" s="232" t="n">
        <x:v>7.92</x:v>
      </x:c>
      <x:c r="N1496" s="187" t="str">
        <x:v>6440.186015391744000</x:v>
      </x:c>
      <x:c r="O1496" s="235" t="n">
        <x:v>6440.186</x:v>
      </x:c>
      <x:c r="P1496" s="235"/>
      <x:c r="Q1496" s="235"/>
      <x:c r="R1496" s="235" t="str">
        <x:v>INVOICE_OR_PLAN</x:v>
      </x:c>
      <x:c r="S1496" s="238" t="n">
        <x:f>'Model_Calc'!AQ253</x:f>
        <x:v>6440.186015391744</x:v>
      </x:c>
      <x:c r="T1496" s="238" t="n">
        <x:f>ROUND(S1496-O1496,4)</x:f>
        <x:v>0</x:v>
      </x:c>
    </x:row>
    <x:row r="1497">
      <x:c r="A1497" s="187" t="str">
        <x:v>SCENARIO_BASE_2026_08</x:v>
      </x:c>
      <x:c r="B1497" s="187" t="str">
        <x:v>SCENARIO</x:v>
      </x:c>
      <x:c r="C1497" s="187" t="str">
        <x:v>BASE</x:v>
      </x:c>
      <x:c r="D1497" s="217" t="n">
        <x:v>46266</x:v>
      </x:c>
      <x:c r="E1497" s="187" t="str">
        <x:v>R_GB_DE_C_AIR</x:v>
      </x:c>
      <x:c r="F1497" s="187" t="str">
        <x:v>GB</x:v>
      </x:c>
      <x:c r="G1497" s="187" t="str">
        <x:v>DE_FC</x:v>
      </x:c>
      <x:c r="H1497" s="187" t="str">
        <x:v>CARRIER_C</x:v>
      </x:c>
      <x:c r="I1497" s="187" t="str">
        <x:v>AIR</x:v>
      </x:c>
      <x:c r="J1497" s="187" t="str">
        <x:v>RETURN_LOGISTICS</x:v>
      </x:c>
      <x:c r="K1497" s="187" t="str">
        <x:v>GBP</x:v>
      </x:c>
      <x:c r="L1497" s="232" t="n">
        <x:v>741.893935104</x:v>
      </x:c>
      <x:c r="M1497" s="232" t="n">
        <x:v>9.15</x:v>
      </x:c>
      <x:c r="N1497" s="187" t="str">
        <x:v>6788.3295062016000000</x:v>
      </x:c>
      <x:c r="O1497" s="235" t="n">
        <x:v>6788.3295</x:v>
      </x:c>
      <x:c r="P1497" s="235"/>
      <x:c r="Q1497" s="235"/>
      <x:c r="R1497" s="235" t="str">
        <x:v>INVOICE_OR_PLAN</x:v>
      </x:c>
      <x:c r="S1497" s="238" t="n">
        <x:f>'Model_Calc'!AV253</x:f>
        <x:v>6788.3295062016</x:v>
      </x:c>
      <x:c r="T1497" s="238" t="n">
        <x:f>ROUND(S1497-O1497,4)</x:f>
        <x:v>0</x:v>
      </x:c>
    </x:row>
    <x:row r="1498">
      <x:c r="A1498" s="187" t="str">
        <x:v>SCENARIO_BASE_2026_08</x:v>
      </x:c>
      <x:c r="B1498" s="187" t="str">
        <x:v>SCENARIO</x:v>
      </x:c>
      <x:c r="C1498" s="187" t="str">
        <x:v>BASE</x:v>
      </x:c>
      <x:c r="D1498" s="217" t="n">
        <x:v>46266</x:v>
      </x:c>
      <x:c r="E1498" s="187" t="str">
        <x:v>R_GB_DE_C_AIR</x:v>
      </x:c>
      <x:c r="F1498" s="187" t="str">
        <x:v>GB</x:v>
      </x:c>
      <x:c r="G1498" s="187" t="str">
        <x:v>DE_FC</x:v>
      </x:c>
      <x:c r="H1498" s="187" t="str">
        <x:v>CARRIER_C</x:v>
      </x:c>
      <x:c r="I1498" s="187" t="str">
        <x:v>AIR</x:v>
      </x:c>
      <x:c r="J1498" s="187" t="str">
        <x:v>BILLABLE_EXCEPTION</x:v>
      </x:c>
      <x:c r="K1498" s="187" t="str">
        <x:v>GBP</x:v>
      </x:c>
      <x:c r="L1498" s="232" t="n">
        <x:v>76.668881135616</x:v>
      </x:c>
      <x:c r="M1498" s="232" t="n">
        <x:v>9.15</x:v>
      </x:c>
      <x:c r="N1498" s="187" t="str">
        <x:v>701.520262390886400000</x:v>
      </x:c>
      <x:c r="O1498" s="235" t="n">
        <x:v>701.5203</x:v>
      </x:c>
      <x:c r="P1498" s="235"/>
      <x:c r="Q1498" s="235"/>
      <x:c r="R1498" s="235" t="str">
        <x:v>INVOICE_OR_PLAN</x:v>
      </x:c>
      <x:c r="S1498" s="238" t="n">
        <x:f>'Model_Calc'!BA253</x:f>
        <x:v>701.5202623908864</x:v>
      </x:c>
      <x:c r="T1498" s="238" t="n">
        <x:f>ROUND(S1498-O1498,4)</x:f>
        <x:v>0</x:v>
      </x:c>
    </x:row>
    <x:row r="1499">
      <x:c r="A1499" s="187" t="str">
        <x:v>SCENARIO_BASE_2026_08</x:v>
      </x:c>
      <x:c r="B1499" s="187" t="str">
        <x:v>SCENARIO</x:v>
      </x:c>
      <x:c r="C1499" s="187" t="str">
        <x:v>BASE</x:v>
      </x:c>
      <x:c r="D1499" s="217" t="n">
        <x:v>46266</x:v>
      </x:c>
      <x:c r="E1499" s="187" t="str">
        <x:v>R_GB_FR_B_AIR</x:v>
      </x:c>
      <x:c r="F1499" s="187" t="str">
        <x:v>GB</x:v>
      </x:c>
      <x:c r="G1499" s="187" t="str">
        <x:v>FR_FC</x:v>
      </x:c>
      <x:c r="H1499" s="187" t="str">
        <x:v>CARRIER_B</x:v>
      </x:c>
      <x:c r="I1499" s="187" t="str">
        <x:v>AIR</x:v>
      </x:c>
      <x:c r="J1499" s="187" t="str">
        <x:v>BASE_FREIGHT</x:v>
      </x:c>
      <x:c r="K1499" s="187" t="str">
        <x:v>EUR</x:v>
      </x:c>
      <x:c r="L1499" s="232" t="n">
        <x:v>1742.2523168544</x:v>
      </x:c>
      <x:c r="M1499" s="232" t="n">
        <x:v>7.92</x:v>
      </x:c>
      <x:c r="N1499" s="187" t="str">
        <x:v>13798.63834948684800000</x:v>
      </x:c>
      <x:c r="O1499" s="235" t="n">
        <x:v>13798.6383</x:v>
      </x:c>
      <x:c r="P1499" s="235"/>
      <x:c r="Q1499" s="235"/>
      <x:c r="R1499" s="235" t="str">
        <x:v>INVOICE_OR_PLAN</x:v>
      </x:c>
      <x:c r="S1499" s="238" t="n">
        <x:f>'Model_Calc'!AF254</x:f>
        <x:v>13798.638349486848</x:v>
      </x:c>
      <x:c r="T1499" s="238" t="n">
        <x:f>ROUND(S1499-O1499,4)</x:f>
        <x:v>0</x:v>
      </x:c>
    </x:row>
    <x:row r="1500">
      <x:c r="A1500" s="187" t="str">
        <x:v>SCENARIO_BASE_2026_08</x:v>
      </x:c>
      <x:c r="B1500" s="187" t="str">
        <x:v>SCENARIO</x:v>
      </x:c>
      <x:c r="C1500" s="187" t="str">
        <x:v>BASE</x:v>
      </x:c>
      <x:c r="D1500" s="217" t="n">
        <x:v>46266</x:v>
      </x:c>
      <x:c r="E1500" s="187" t="str">
        <x:v>R_GB_FR_B_AIR</x:v>
      </x:c>
      <x:c r="F1500" s="187" t="str">
        <x:v>GB</x:v>
      </x:c>
      <x:c r="G1500" s="187" t="str">
        <x:v>FR_FC</x:v>
      </x:c>
      <x:c r="H1500" s="187" t="str">
        <x:v>CARRIER_B</x:v>
      </x:c>
      <x:c r="I1500" s="187" t="str">
        <x:v>AIR</x:v>
      </x:c>
      <x:c r="J1500" s="187" t="str">
        <x:v>FUEL_SURCHARGE</x:v>
      </x:c>
      <x:c r="K1500" s="187" t="str">
        <x:v>EUR</x:v>
      </x:c>
      <x:c r="L1500" s="232" t="n">
        <x:v>189.33927053415192</x:v>
      </x:c>
      <x:c r="M1500" s="232" t="n">
        <x:v>7.92</x:v>
      </x:c>
      <x:c r="N1500" s="187" t="str">
        <x:v>1499.56702263048320640000000</x:v>
      </x:c>
      <x:c r="O1500" s="235" t="n">
        <x:v>1499.567</x:v>
      </x:c>
      <x:c r="P1500" s="235"/>
      <x:c r="Q1500" s="235"/>
      <x:c r="R1500" s="235" t="str">
        <x:v>INVOICE_OR_PLAN</x:v>
      </x:c>
      <x:c r="S1500" s="238" t="n">
        <x:f>'Model_Calc'!AG254</x:f>
        <x:v>1499.5670226304833</x:v>
      </x:c>
      <x:c r="T1500" s="238" t="n">
        <x:f>ROUND(S1500-O1500,4)</x:f>
        <x:v>0</x:v>
      </x:c>
    </x:row>
    <x:row r="1501">
      <x:c r="A1501" s="187" t="str">
        <x:v>SCENARIO_BASE_2026_08</x:v>
      </x:c>
      <x:c r="B1501" s="187" t="str">
        <x:v>SCENARIO</x:v>
      </x:c>
      <x:c r="C1501" s="187" t="str">
        <x:v>BASE</x:v>
      </x:c>
      <x:c r="D1501" s="217" t="n">
        <x:v>46266</x:v>
      </x:c>
      <x:c r="E1501" s="187" t="str">
        <x:v>R_GB_FR_B_AIR</x:v>
      </x:c>
      <x:c r="F1501" s="187" t="str">
        <x:v>GB</x:v>
      </x:c>
      <x:c r="G1501" s="187" t="str">
        <x:v>FR_FC</x:v>
      </x:c>
      <x:c r="H1501" s="187" t="str">
        <x:v>CARRIER_B</x:v>
      </x:c>
      <x:c r="I1501" s="187" t="str">
        <x:v>AIR</x:v>
      </x:c>
      <x:c r="J1501" s="187" t="str">
        <x:v>WAREHOUSE_OPERATION</x:v>
      </x:c>
      <x:c r="K1501" s="187" t="str">
        <x:v>EUR</x:v>
      </x:c>
      <x:c r="L1501" s="232" t="n">
        <x:v>254.21256</x:v>
      </x:c>
      <x:c r="M1501" s="232" t="n">
        <x:v>7.92</x:v>
      </x:c>
      <x:c r="N1501" s="187" t="str">
        <x:v>2013.36347520000</x:v>
      </x:c>
      <x:c r="O1501" s="235" t="n">
        <x:v>2013.3635</x:v>
      </x:c>
      <x:c r="P1501" s="235"/>
      <x:c r="Q1501" s="235"/>
      <x:c r="R1501" s="235" t="str">
        <x:v>INVOICE_OR_PLAN</x:v>
      </x:c>
      <x:c r="S1501" s="238" t="n">
        <x:f>'Model_Calc'!AL254</x:f>
        <x:v>2013.3634752000005</x:v>
      </x:c>
      <x:c r="T1501" s="238" t="n">
        <x:f>ROUND(S1501-O1501,4)</x:f>
        <x:v>0</x:v>
      </x:c>
    </x:row>
    <x:row r="1502">
      <x:c r="A1502" s="187" t="str">
        <x:v>SCENARIO_BASE_2026_08</x:v>
      </x:c>
      <x:c r="B1502" s="187" t="str">
        <x:v>SCENARIO</x:v>
      </x:c>
      <x:c r="C1502" s="187" t="str">
        <x:v>BASE</x:v>
      </x:c>
      <x:c r="D1502" s="217" t="n">
        <x:v>46266</x:v>
      </x:c>
      <x:c r="E1502" s="187" t="str">
        <x:v>R_GB_FR_B_AIR</x:v>
      </x:c>
      <x:c r="F1502" s="187" t="str">
        <x:v>GB</x:v>
      </x:c>
      <x:c r="G1502" s="187" t="str">
        <x:v>FR_FC</x:v>
      </x:c>
      <x:c r="H1502" s="187" t="str">
        <x:v>CARRIER_B</x:v>
      </x:c>
      <x:c r="I1502" s="187" t="str">
        <x:v>AIR</x:v>
      </x:c>
      <x:c r="J1502" s="187" t="str">
        <x:v>PACKAGING</x:v>
      </x:c>
      <x:c r="K1502" s="187" t="str">
        <x:v>EUR</x:v>
      </x:c>
      <x:c r="L1502" s="232" t="n">
        <x:v>107.64086112</x:v>
      </x:c>
      <x:c r="M1502" s="232" t="n">
        <x:v>7.92</x:v>
      </x:c>
      <x:c r="N1502" s="187" t="str">
        <x:v>852.5156200704000</x:v>
      </x:c>
      <x:c r="O1502" s="235" t="n">
        <x:v>852.5156</x:v>
      </x:c>
      <x:c r="P1502" s="235"/>
      <x:c r="Q1502" s="235"/>
      <x:c r="R1502" s="235" t="str">
        <x:v>INVOICE_OR_PLAN</x:v>
      </x:c>
      <x:c r="S1502" s="238" t="n">
        <x:f>'Model_Calc'!AQ254</x:f>
        <x:v>852.5156200704</x:v>
      </x:c>
      <x:c r="T1502" s="238" t="n">
        <x:f>ROUND(S1502-O1502,4)</x:f>
        <x:v>0</x:v>
      </x:c>
    </x:row>
    <x:row r="1503">
      <x:c r="A1503" s="187" t="str">
        <x:v>SCENARIO_BASE_2026_08</x:v>
      </x:c>
      <x:c r="B1503" s="187" t="str">
        <x:v>SCENARIO</x:v>
      </x:c>
      <x:c r="C1503" s="187" t="str">
        <x:v>BASE</x:v>
      </x:c>
      <x:c r="D1503" s="217" t="n">
        <x:v>46266</x:v>
      </x:c>
      <x:c r="E1503" s="187" t="str">
        <x:v>R_GB_FR_B_AIR</x:v>
      </x:c>
      <x:c r="F1503" s="187" t="str">
        <x:v>GB</x:v>
      </x:c>
      <x:c r="G1503" s="187" t="str">
        <x:v>FR_FC</x:v>
      </x:c>
      <x:c r="H1503" s="187" t="str">
        <x:v>CARRIER_B</x:v>
      </x:c>
      <x:c r="I1503" s="187" t="str">
        <x:v>AIR</x:v>
      </x:c>
      <x:c r="J1503" s="187" t="str">
        <x:v>RETURN_LOGISTICS</x:v>
      </x:c>
      <x:c r="K1503" s="187" t="str">
        <x:v>EUR</x:v>
      </x:c>
      <x:c r="L1503" s="232" t="n">
        <x:v>119.6009568</x:v>
      </x:c>
      <x:c r="M1503" s="232" t="n">
        <x:v>7.92</x:v>
      </x:c>
      <x:c r="N1503" s="187" t="str">
        <x:v>947.23957785600000</x:v>
      </x:c>
      <x:c r="O1503" s="235" t="n">
        <x:v>947.2396</x:v>
      </x:c>
      <x:c r="P1503" s="235"/>
      <x:c r="Q1503" s="235"/>
      <x:c r="R1503" s="235" t="str">
        <x:v>INVOICE_OR_PLAN</x:v>
      </x:c>
      <x:c r="S1503" s="238" t="n">
        <x:f>'Model_Calc'!AV254</x:f>
        <x:v>947.2395778559999</x:v>
      </x:c>
      <x:c r="T1503" s="238" t="n">
        <x:f>ROUND(S1503-O1503,4)</x:f>
        <x:v>0</x:v>
      </x:c>
    </x:row>
    <x:row r="1504">
      <x:c r="A1504" s="187" t="str">
        <x:v>SCENARIO_BASE_2026_08</x:v>
      </x:c>
      <x:c r="B1504" s="187" t="str">
        <x:v>SCENARIO</x:v>
      </x:c>
      <x:c r="C1504" s="187" t="str">
        <x:v>BASE</x:v>
      </x:c>
      <x:c r="D1504" s="217" t="n">
        <x:v>46266</x:v>
      </x:c>
      <x:c r="E1504" s="187" t="str">
        <x:v>R_GB_FR_B_AIR</x:v>
      </x:c>
      <x:c r="F1504" s="187" t="str">
        <x:v>GB</x:v>
      </x:c>
      <x:c r="G1504" s="187" t="str">
        <x:v>FR_FC</x:v>
      </x:c>
      <x:c r="H1504" s="187" t="str">
        <x:v>CARRIER_B</x:v>
      </x:c>
      <x:c r="I1504" s="187" t="str">
        <x:v>AIR</x:v>
      </x:c>
      <x:c r="J1504" s="187" t="str">
        <x:v>BILLABLE_EXCEPTION</x:v>
      </x:c>
      <x:c r="K1504" s="187" t="str">
        <x:v>EUR</x:v>
      </x:c>
      <x:c r="L1504" s="232" t="n">
        <x:v>11.1040046208</x:v>
      </x:c>
      <x:c r="M1504" s="232" t="n">
        <x:v>7.92</x:v>
      </x:c>
      <x:c r="N1504" s="187" t="str">
        <x:v>87.9437165967360000</x:v>
      </x:c>
      <x:c r="O1504" s="235" t="n">
        <x:v>87.9437</x:v>
      </x:c>
      <x:c r="P1504" s="235"/>
      <x:c r="Q1504" s="235"/>
      <x:c r="R1504" s="235" t="str">
        <x:v>INVOICE_OR_PLAN</x:v>
      </x:c>
      <x:c r="S1504" s="238" t="n">
        <x:f>'Model_Calc'!BA254</x:f>
        <x:v>87.94371659673601</x:v>
      </x:c>
      <x:c r="T1504" s="238" t="n">
        <x:f>ROUND(S1504-O1504,4)</x:f>
        <x:v>0</x:v>
      </x:c>
    </x:row>
    <x:row r="1505">
      <x:c r="A1505" s="187" t="str">
        <x:v>SCENARIO_BASE_2026_08</x:v>
      </x:c>
      <x:c r="B1505" s="187" t="str">
        <x:v>SCENARIO</x:v>
      </x:c>
      <x:c r="C1505" s="187" t="str">
        <x:v>BASE</x:v>
      </x:c>
      <x:c r="D1505" s="217" t="n">
        <x:v>46296</x:v>
      </x:c>
      <x:c r="E1505" s="187" t="str">
        <x:v>R_DE_DE_A_ROAD</x:v>
      </x:c>
      <x:c r="F1505" s="187" t="str">
        <x:v>DE</x:v>
      </x:c>
      <x:c r="G1505" s="187" t="str">
        <x:v>DE_FC</x:v>
      </x:c>
      <x:c r="H1505" s="187" t="str">
        <x:v>CARRIER_A</x:v>
      </x:c>
      <x:c r="I1505" s="187" t="str">
        <x:v>ROAD</x:v>
      </x:c>
      <x:c r="J1505" s="187" t="str">
        <x:v>BASE_FREIGHT</x:v>
      </x:c>
      <x:c r="K1505" s="187" t="str">
        <x:v>EUR</x:v>
      </x:c>
      <x:c r="L1505" s="232" t="n">
        <x:v>7267.8309862158</x:v>
      </x:c>
      <x:c r="M1505" s="232" t="n">
        <x:v>7.9</x:v>
      </x:c>
      <x:c r="N1505" s="187" t="str">
        <x:v>57415.8647911048200000000</x:v>
      </x:c>
      <x:c r="O1505" s="235" t="n">
        <x:v>57415.8648</x:v>
      </x:c>
      <x:c r="P1505" s="235"/>
      <x:c r="Q1505" s="235"/>
      <x:c r="R1505" s="235" t="str">
        <x:v>INVOICE_OR_PLAN</x:v>
      </x:c>
      <x:c r="S1505" s="238" t="n">
        <x:f>'Model_Calc'!AF255</x:f>
        <x:v>57415.86479110482</x:v>
      </x:c>
      <x:c r="T1505" s="238" t="n">
        <x:f>ROUND(S1505-O1505,4)</x:f>
        <x:v>0</x:v>
      </x:c>
    </x:row>
    <x:row r="1506">
      <x:c r="A1506" s="187" t="str">
        <x:v>SCENARIO_BASE_2026_08</x:v>
      </x:c>
      <x:c r="B1506" s="187" t="str">
        <x:v>SCENARIO</x:v>
      </x:c>
      <x:c r="C1506" s="187" t="str">
        <x:v>BASE</x:v>
      </x:c>
      <x:c r="D1506" s="217" t="n">
        <x:v>46296</x:v>
      </x:c>
      <x:c r="E1506" s="187" t="str">
        <x:v>R_DE_DE_A_ROAD</x:v>
      </x:c>
      <x:c r="F1506" s="187" t="str">
        <x:v>DE</x:v>
      </x:c>
      <x:c r="G1506" s="187" t="str">
        <x:v>DE_FC</x:v>
      </x:c>
      <x:c r="H1506" s="187" t="str">
        <x:v>CARRIER_A</x:v>
      </x:c>
      <x:c r="I1506" s="187" t="str">
        <x:v>ROAD</x:v>
      </x:c>
      <x:c r="J1506" s="187" t="str">
        <x:v>FUEL_SURCHARGE</x:v>
      </x:c>
      <x:c r="K1506" s="187" t="str">
        <x:v>EUR</x:v>
      </x:c>
      <x:c r="L1506" s="232" t="n">
        <x:v>714.6094817196686</x:v>
      </x:c>
      <x:c r="M1506" s="232" t="n">
        <x:v>7.9</x:v>
      </x:c>
      <x:c r="N1506" s="187" t="str">
        <x:v>5645.4149055853814265000000000</x:v>
      </x:c>
      <x:c r="O1506" s="235" t="n">
        <x:v>5645.4149</x:v>
      </x:c>
      <x:c r="P1506" s="235"/>
      <x:c r="Q1506" s="235"/>
      <x:c r="R1506" s="235" t="str">
        <x:v>INVOICE_OR_PLAN</x:v>
      </x:c>
      <x:c r="S1506" s="238" t="n">
        <x:f>'Model_Calc'!AG255</x:f>
        <x:v>5645.414905585381</x:v>
      </x:c>
      <x:c r="T1506" s="238" t="n">
        <x:f>ROUND(S1506-O1506,4)</x:f>
        <x:v>0</x:v>
      </x:c>
    </x:row>
    <x:row r="1507">
      <x:c r="A1507" s="187" t="str">
        <x:v>SCENARIO_BASE_2026_08</x:v>
      </x:c>
      <x:c r="B1507" s="187" t="str">
        <x:v>SCENARIO</x:v>
      </x:c>
      <x:c r="C1507" s="187" t="str">
        <x:v>BASE</x:v>
      </x:c>
      <x:c r="D1507" s="217" t="n">
        <x:v>46296</x:v>
      </x:c>
      <x:c r="E1507" s="187" t="str">
        <x:v>R_DE_DE_A_ROAD</x:v>
      </x:c>
      <x:c r="F1507" s="187" t="str">
        <x:v>DE</x:v>
      </x:c>
      <x:c r="G1507" s="187" t="str">
        <x:v>DE_FC</x:v>
      </x:c>
      <x:c r="H1507" s="187" t="str">
        <x:v>CARRIER_A</x:v>
      </x:c>
      <x:c r="I1507" s="187" t="str">
        <x:v>ROAD</x:v>
      </x:c>
      <x:c r="J1507" s="187" t="str">
        <x:v>WAREHOUSE_OPERATION</x:v>
      </x:c>
      <x:c r="K1507" s="187" t="str">
        <x:v>EUR</x:v>
      </x:c>
      <x:c r="L1507" s="232" t="n">
        <x:v>4712.581458</x:v>
      </x:c>
      <x:c r="M1507" s="232" t="n">
        <x:v>7.9</x:v>
      </x:c>
      <x:c r="N1507" s="187" t="str">
        <x:v>37229.3935182000000</x:v>
      </x:c>
      <x:c r="O1507" s="235" t="n">
        <x:v>37229.3935</x:v>
      </x:c>
      <x:c r="P1507" s="235"/>
      <x:c r="Q1507" s="235"/>
      <x:c r="R1507" s="235" t="str">
        <x:v>INVOICE_OR_PLAN</x:v>
      </x:c>
      <x:c r="S1507" s="238" t="n">
        <x:f>'Model_Calc'!AL255</x:f>
        <x:v>37229.3935182</x:v>
      </x:c>
      <x:c r="T1507" s="238" t="n">
        <x:f>ROUND(S1507-O1507,4)</x:f>
        <x:v>0</x:v>
      </x:c>
    </x:row>
    <x:row r="1508">
      <x:c r="A1508" s="187" t="str">
        <x:v>SCENARIO_BASE_2026_08</x:v>
      </x:c>
      <x:c r="B1508" s="187" t="str">
        <x:v>SCENARIO</x:v>
      </x:c>
      <x:c r="C1508" s="187" t="str">
        <x:v>BASE</x:v>
      </x:c>
      <x:c r="D1508" s="217" t="n">
        <x:v>46296</x:v>
      </x:c>
      <x:c r="E1508" s="187" t="str">
        <x:v>R_DE_DE_A_ROAD</x:v>
      </x:c>
      <x:c r="F1508" s="187" t="str">
        <x:v>DE</x:v>
      </x:c>
      <x:c r="G1508" s="187" t="str">
        <x:v>DE_FC</x:v>
      </x:c>
      <x:c r="H1508" s="187" t="str">
        <x:v>CARRIER_A</x:v>
      </x:c>
      <x:c r="I1508" s="187" t="str">
        <x:v>ROAD</x:v>
      </x:c>
      <x:c r="J1508" s="187" t="str">
        <x:v>PACKAGING</x:v>
      </x:c>
      <x:c r="K1508" s="187" t="str">
        <x:v>EUR</x:v>
      </x:c>
      <x:c r="L1508" s="232" t="n">
        <x:v>1761.2274771</x:v>
      </x:c>
      <x:c r="M1508" s="232" t="n">
        <x:v>7.9</x:v>
      </x:c>
      <x:c r="N1508" s="187" t="str">
        <x:v>13913.697069090000000</x:v>
      </x:c>
      <x:c r="O1508" s="235" t="n">
        <x:v>13913.6971</x:v>
      </x:c>
      <x:c r="P1508" s="235"/>
      <x:c r="Q1508" s="235"/>
      <x:c r="R1508" s="235" t="str">
        <x:v>INVOICE_OR_PLAN</x:v>
      </x:c>
      <x:c r="S1508" s="238" t="n">
        <x:f>'Model_Calc'!AQ255</x:f>
        <x:v>13913.697069089998</x:v>
      </x:c>
      <x:c r="T1508" s="238" t="n">
        <x:f>ROUND(S1508-O1508,4)</x:f>
        <x:v>0</x:v>
      </x:c>
    </x:row>
    <x:row r="1509">
      <x:c r="A1509" s="187" t="str">
        <x:v>SCENARIO_BASE_2026_08</x:v>
      </x:c>
      <x:c r="B1509" s="187" t="str">
        <x:v>SCENARIO</x:v>
      </x:c>
      <x:c r="C1509" s="187" t="str">
        <x:v>BASE</x:v>
      </x:c>
      <x:c r="D1509" s="217" t="n">
        <x:v>46296</x:v>
      </x:c>
      <x:c r="E1509" s="187" t="str">
        <x:v>R_DE_DE_A_ROAD</x:v>
      </x:c>
      <x:c r="F1509" s="187" t="str">
        <x:v>DE</x:v>
      </x:c>
      <x:c r="G1509" s="187" t="str">
        <x:v>DE_FC</x:v>
      </x:c>
      <x:c r="H1509" s="187" t="str">
        <x:v>CARRIER_A</x:v>
      </x:c>
      <x:c r="I1509" s="187" t="str">
        <x:v>ROAD</x:v>
      </x:c>
      <x:c r="J1509" s="187" t="str">
        <x:v>RETURN_LOGISTICS</x:v>
      </x:c>
      <x:c r="K1509" s="187" t="str">
        <x:v>EUR</x:v>
      </x:c>
      <x:c r="L1509" s="232" t="n">
        <x:v>638.994096</x:v>
      </x:c>
      <x:c r="M1509" s="232" t="n">
        <x:v>7.9</x:v>
      </x:c>
      <x:c r="N1509" s="187" t="str">
        <x:v>5048.0533584000000000</x:v>
      </x:c>
      <x:c r="O1509" s="235" t="n">
        <x:v>5048.0534</x:v>
      </x:c>
      <x:c r="P1509" s="235"/>
      <x:c r="Q1509" s="235"/>
      <x:c r="R1509" s="235" t="str">
        <x:v>INVOICE_OR_PLAN</x:v>
      </x:c>
      <x:c r="S1509" s="238" t="n">
        <x:f>'Model_Calc'!AV255</x:f>
        <x:v>5048.0533583999995</x:v>
      </x:c>
      <x:c r="T1509" s="238" t="n">
        <x:f>ROUND(S1509-O1509,4)</x:f>
        <x:v>0</x:v>
      </x:c>
    </x:row>
    <x:row r="1510">
      <x:c r="A1510" s="187" t="str">
        <x:v>SCENARIO_BASE_2026_08</x:v>
      </x:c>
      <x:c r="B1510" s="187" t="str">
        <x:v>SCENARIO</x:v>
      </x:c>
      <x:c r="C1510" s="187" t="str">
        <x:v>BASE</x:v>
      </x:c>
      <x:c r="D1510" s="217" t="n">
        <x:v>46296</x:v>
      </x:c>
      <x:c r="E1510" s="187" t="str">
        <x:v>R_DE_DE_A_ROAD</x:v>
      </x:c>
      <x:c r="F1510" s="187" t="str">
        <x:v>DE</x:v>
      </x:c>
      <x:c r="G1510" s="187" t="str">
        <x:v>DE_FC</x:v>
      </x:c>
      <x:c r="H1510" s="187" t="str">
        <x:v>CARRIER_A</x:v>
      </x:c>
      <x:c r="I1510" s="187" t="str">
        <x:v>ROAD</x:v>
      </x:c>
      <x:c r="J1510" s="187" t="str">
        <x:v>BILLABLE_EXCEPTION</x:v>
      </x:c>
      <x:c r="K1510" s="187" t="str">
        <x:v>EUR</x:v>
      </x:c>
      <x:c r="L1510" s="232" t="n">
        <x:v>154.317074184</x:v>
      </x:c>
      <x:c r="M1510" s="232" t="n">
        <x:v>7.9</x:v>
      </x:c>
      <x:c r="N1510" s="187" t="str">
        <x:v>1219.104886053600000000</x:v>
      </x:c>
      <x:c r="O1510" s="235" t="n">
        <x:v>1219.1049</x:v>
      </x:c>
      <x:c r="P1510" s="235"/>
      <x:c r="Q1510" s="235"/>
      <x:c r="R1510" s="235" t="str">
        <x:v>INVOICE_OR_PLAN</x:v>
      </x:c>
      <x:c r="S1510" s="238" t="n">
        <x:f>'Model_Calc'!BA255</x:f>
        <x:v>1219.1048860535998</x:v>
      </x:c>
      <x:c r="T1510" s="238" t="n">
        <x:f>ROUND(S1510-O1510,4)</x:f>
        <x:v>0</x:v>
      </x:c>
    </x:row>
    <x:row r="1511">
      <x:c r="A1511" s="187" t="str">
        <x:v>SCENARIO_BASE_2026_08</x:v>
      </x:c>
      <x:c r="B1511" s="187" t="str">
        <x:v>SCENARIO</x:v>
      </x:c>
      <x:c r="C1511" s="187" t="str">
        <x:v>BASE</x:v>
      </x:c>
      <x:c r="D1511" s="217" t="n">
        <x:v>46296</x:v>
      </x:c>
      <x:c r="E1511" s="187" t="str">
        <x:v>R_DE_DE_B_ROAD</x:v>
      </x:c>
      <x:c r="F1511" s="187" t="str">
        <x:v>DE</x:v>
      </x:c>
      <x:c r="G1511" s="187" t="str">
        <x:v>DE_FC</x:v>
      </x:c>
      <x:c r="H1511" s="187" t="str">
        <x:v>CARRIER_B</x:v>
      </x:c>
      <x:c r="I1511" s="187" t="str">
        <x:v>ROAD</x:v>
      </x:c>
      <x:c r="J1511" s="187" t="str">
        <x:v>BASE_FREIGHT</x:v>
      </x:c>
      <x:c r="K1511" s="187" t="str">
        <x:v>EUR</x:v>
      </x:c>
      <x:c r="L1511" s="232" t="n">
        <x:v>6211.82135574</x:v>
      </x:c>
      <x:c r="M1511" s="232" t="n">
        <x:v>7.9</x:v>
      </x:c>
      <x:c r="N1511" s="187" t="str">
        <x:v>49073.3887103460000000000</x:v>
      </x:c>
      <x:c r="O1511" s="235" t="n">
        <x:v>49073.3887</x:v>
      </x:c>
      <x:c r="P1511" s="235"/>
      <x:c r="Q1511" s="235"/>
      <x:c r="R1511" s="235" t="str">
        <x:v>INVOICE_OR_PLAN</x:v>
      </x:c>
      <x:c r="S1511" s="238" t="n">
        <x:f>'Model_Calc'!AF256</x:f>
        <x:v>49073.38871034602</x:v>
      </x:c>
      <x:c r="T1511" s="238" t="n">
        <x:f>ROUND(S1511-O1511,4)</x:f>
        <x:v>0</x:v>
      </x:c>
    </x:row>
    <x:row r="1512">
      <x:c r="A1512" s="187" t="str">
        <x:v>SCENARIO_BASE_2026_08</x:v>
      </x:c>
      <x:c r="B1512" s="187" t="str">
        <x:v>SCENARIO</x:v>
      </x:c>
      <x:c r="C1512" s="187" t="str">
        <x:v>BASE</x:v>
      </x:c>
      <x:c r="D1512" s="217" t="n">
        <x:v>46296</x:v>
      </x:c>
      <x:c r="E1512" s="187" t="str">
        <x:v>R_DE_DE_B_ROAD</x:v>
      </x:c>
      <x:c r="F1512" s="187" t="str">
        <x:v>DE</x:v>
      </x:c>
      <x:c r="G1512" s="187" t="str">
        <x:v>DE_FC</x:v>
      </x:c>
      <x:c r="H1512" s="187" t="str">
        <x:v>CARRIER_B</x:v>
      </x:c>
      <x:c r="I1512" s="187" t="str">
        <x:v>ROAD</x:v>
      </x:c>
      <x:c r="J1512" s="187" t="str">
        <x:v>FUEL_SURCHARGE</x:v>
      </x:c>
      <x:c r="K1512" s="187" t="str">
        <x:v>EUR</x:v>
      </x:c>
      <x:c r="L1512" s="232" t="n">
        <x:v>474.3572671656</x:v>
      </x:c>
      <x:c r="M1512" s="232" t="n">
        <x:v>7.9</x:v>
      </x:c>
      <x:c r="N1512" s="187" t="str">
        <x:v>3747.4224106082400000000</x:v>
      </x:c>
      <x:c r="O1512" s="235" t="n">
        <x:v>3747.4224</x:v>
      </x:c>
      <x:c r="P1512" s="235"/>
      <x:c r="Q1512" s="235"/>
      <x:c r="R1512" s="235" t="str">
        <x:v>INVOICE_OR_PLAN</x:v>
      </x:c>
      <x:c r="S1512" s="238" t="n">
        <x:f>'Model_Calc'!AG256</x:f>
        <x:v>3747.4224106082415</x:v>
      </x:c>
      <x:c r="T1512" s="238" t="n">
        <x:f>ROUND(S1512-O1512,4)</x:f>
        <x:v>0</x:v>
      </x:c>
    </x:row>
    <x:row r="1513">
      <x:c r="A1513" s="187" t="str">
        <x:v>SCENARIO_BASE_2026_08</x:v>
      </x:c>
      <x:c r="B1513" s="187" t="str">
        <x:v>SCENARIO</x:v>
      </x:c>
      <x:c r="C1513" s="187" t="str">
        <x:v>BASE</x:v>
      </x:c>
      <x:c r="D1513" s="217" t="n">
        <x:v>46296</x:v>
      </x:c>
      <x:c r="E1513" s="187" t="str">
        <x:v>R_DE_DE_B_ROAD</x:v>
      </x:c>
      <x:c r="F1513" s="187" t="str">
        <x:v>DE</x:v>
      </x:c>
      <x:c r="G1513" s="187" t="str">
        <x:v>DE_FC</x:v>
      </x:c>
      <x:c r="H1513" s="187" t="str">
        <x:v>CARRIER_B</x:v>
      </x:c>
      <x:c r="I1513" s="187" t="str">
        <x:v>ROAD</x:v>
      </x:c>
      <x:c r="J1513" s="187" t="str">
        <x:v>WAREHOUSE_OPERATION</x:v>
      </x:c>
      <x:c r="K1513" s="187" t="str">
        <x:v>EUR</x:v>
      </x:c>
      <x:c r="L1513" s="232" t="n">
        <x:v>3141.720972</x:v>
      </x:c>
      <x:c r="M1513" s="232" t="n">
        <x:v>7.9</x:v>
      </x:c>
      <x:c r="N1513" s="187" t="str">
        <x:v>24819.5956788000000</x:v>
      </x:c>
      <x:c r="O1513" s="235" t="n">
        <x:v>24819.5957</x:v>
      </x:c>
      <x:c r="P1513" s="235"/>
      <x:c r="Q1513" s="235"/>
      <x:c r="R1513" s="235" t="str">
        <x:v>INVOICE_OR_PLAN</x:v>
      </x:c>
      <x:c r="S1513" s="238" t="n">
        <x:f>'Model_Calc'!AL256</x:f>
        <x:v>24819.595678800004</x:v>
      </x:c>
      <x:c r="T1513" s="238" t="n">
        <x:f>ROUND(S1513-O1513,4)</x:f>
        <x:v>0</x:v>
      </x:c>
    </x:row>
    <x:row r="1514">
      <x:c r="A1514" s="187" t="str">
        <x:v>SCENARIO_BASE_2026_08</x:v>
      </x:c>
      <x:c r="B1514" s="187" t="str">
        <x:v>SCENARIO</x:v>
      </x:c>
      <x:c r="C1514" s="187" t="str">
        <x:v>BASE</x:v>
      </x:c>
      <x:c r="D1514" s="217" t="n">
        <x:v>46296</x:v>
      </x:c>
      <x:c r="E1514" s="187" t="str">
        <x:v>R_DE_DE_B_ROAD</x:v>
      </x:c>
      <x:c r="F1514" s="187" t="str">
        <x:v>DE</x:v>
      </x:c>
      <x:c r="G1514" s="187" t="str">
        <x:v>DE_FC</x:v>
      </x:c>
      <x:c r="H1514" s="187" t="str">
        <x:v>CARRIER_B</x:v>
      </x:c>
      <x:c r="I1514" s="187" t="str">
        <x:v>ROAD</x:v>
      </x:c>
      <x:c r="J1514" s="187" t="str">
        <x:v>PACKAGING</x:v>
      </x:c>
      <x:c r="K1514" s="187" t="str">
        <x:v>EUR</x:v>
      </x:c>
      <x:c r="L1514" s="232" t="n">
        <x:v>1174.1516514</x:v>
      </x:c>
      <x:c r="M1514" s="232" t="n">
        <x:v>7.9</x:v>
      </x:c>
      <x:c r="N1514" s="187" t="str">
        <x:v>9275.798046060000000</x:v>
      </x:c>
      <x:c r="O1514" s="235" t="n">
        <x:v>9275.798</x:v>
      </x:c>
      <x:c r="P1514" s="235"/>
      <x:c r="Q1514" s="235"/>
      <x:c r="R1514" s="235" t="str">
        <x:v>INVOICE_OR_PLAN</x:v>
      </x:c>
      <x:c r="S1514" s="238" t="n">
        <x:f>'Model_Calc'!AQ256</x:f>
        <x:v>9275.798046060003</x:v>
      </x:c>
      <x:c r="T1514" s="238" t="n">
        <x:f>ROUND(S1514-O1514,4)</x:f>
        <x:v>0</x:v>
      </x:c>
    </x:row>
    <x:row r="1515">
      <x:c r="A1515" s="187" t="str">
        <x:v>SCENARIO_BASE_2026_08</x:v>
      </x:c>
      <x:c r="B1515" s="187" t="str">
        <x:v>SCENARIO</x:v>
      </x:c>
      <x:c r="C1515" s="187" t="str">
        <x:v>BASE</x:v>
      </x:c>
      <x:c r="D1515" s="217" t="n">
        <x:v>46296</x:v>
      </x:c>
      <x:c r="E1515" s="187" t="str">
        <x:v>R_DE_DE_B_ROAD</x:v>
      </x:c>
      <x:c r="F1515" s="187" t="str">
        <x:v>DE</x:v>
      </x:c>
      <x:c r="G1515" s="187" t="str">
        <x:v>DE_FC</x:v>
      </x:c>
      <x:c r="H1515" s="187" t="str">
        <x:v>CARRIER_B</x:v>
      </x:c>
      <x:c r="I1515" s="187" t="str">
        <x:v>ROAD</x:v>
      </x:c>
      <x:c r="J1515" s="187" t="str">
        <x:v>RETURN_LOGISTICS</x:v>
      </x:c>
      <x:c r="K1515" s="187" t="str">
        <x:v>EUR</x:v>
      </x:c>
      <x:c r="L1515" s="232" t="n">
        <x:v>425.996064</x:v>
      </x:c>
      <x:c r="M1515" s="232" t="n">
        <x:v>7.9</x:v>
      </x:c>
      <x:c r="N1515" s="187" t="str">
        <x:v>3365.3689056000000000</x:v>
      </x:c>
      <x:c r="O1515" s="235" t="n">
        <x:v>3365.3689</x:v>
      </x:c>
      <x:c r="P1515" s="235"/>
      <x:c r="Q1515" s="235"/>
      <x:c r="R1515" s="235" t="str">
        <x:v>INVOICE_OR_PLAN</x:v>
      </x:c>
      <x:c r="S1515" s="238" t="n">
        <x:f>'Model_Calc'!AV256</x:f>
        <x:v>3365.3689056000007</x:v>
      </x:c>
      <x:c r="T1515" s="238" t="n">
        <x:f>ROUND(S1515-O1515,4)</x:f>
        <x:v>0</x:v>
      </x:c>
    </x:row>
    <x:row r="1516">
      <x:c r="A1516" s="187" t="str">
        <x:v>SCENARIO_BASE_2026_08</x:v>
      </x:c>
      <x:c r="B1516" s="187" t="str">
        <x:v>SCENARIO</x:v>
      </x:c>
      <x:c r="C1516" s="187" t="str">
        <x:v>BASE</x:v>
      </x:c>
      <x:c r="D1516" s="217" t="n">
        <x:v>46296</x:v>
      </x:c>
      <x:c r="E1516" s="187" t="str">
        <x:v>R_DE_DE_B_ROAD</x:v>
      </x:c>
      <x:c r="F1516" s="187" t="str">
        <x:v>DE</x:v>
      </x:c>
      <x:c r="G1516" s="187" t="str">
        <x:v>DE_FC</x:v>
      </x:c>
      <x:c r="H1516" s="187" t="str">
        <x:v>CARRIER_B</x:v>
      </x:c>
      <x:c r="I1516" s="187" t="str">
        <x:v>ROAD</x:v>
      </x:c>
      <x:c r="J1516" s="187" t="str">
        <x:v>BILLABLE_EXCEPTION</x:v>
      </x:c>
      <x:c r="K1516" s="187" t="str">
        <x:v>EUR</x:v>
      </x:c>
      <x:c r="L1516" s="232" t="n">
        <x:v>83.588415183</x:v>
      </x:c>
      <x:c r="M1516" s="232" t="n">
        <x:v>7.9</x:v>
      </x:c>
      <x:c r="N1516" s="187" t="str">
        <x:v>660.348479945700000000</x:v>
      </x:c>
      <x:c r="O1516" s="235" t="n">
        <x:v>660.3485</x:v>
      </x:c>
      <x:c r="P1516" s="235"/>
      <x:c r="Q1516" s="235"/>
      <x:c r="R1516" s="235" t="str">
        <x:v>INVOICE_OR_PLAN</x:v>
      </x:c>
      <x:c r="S1516" s="238" t="n">
        <x:f>'Model_Calc'!BA256</x:f>
        <x:v>660.3484799457002</x:v>
      </x:c>
      <x:c r="T1516" s="238" t="n">
        <x:f>ROUND(S1516-O1516,4)</x:f>
        <x:v>0</x:v>
      </x:c>
    </x:row>
    <x:row r="1517">
      <x:c r="A1517" s="187" t="str">
        <x:v>SCENARIO_BASE_2026_08</x:v>
      </x:c>
      <x:c r="B1517" s="187" t="str">
        <x:v>SCENARIO</x:v>
      </x:c>
      <x:c r="C1517" s="187" t="str">
        <x:v>BASE</x:v>
      </x:c>
      <x:c r="D1517" s="217" t="n">
        <x:v>46296</x:v>
      </x:c>
      <x:c r="E1517" s="187" t="str">
        <x:v>R_DE_FR_B_ROAD</x:v>
      </x:c>
      <x:c r="F1517" s="187" t="str">
        <x:v>DE</x:v>
      </x:c>
      <x:c r="G1517" s="187" t="str">
        <x:v>FR_FC</x:v>
      </x:c>
      <x:c r="H1517" s="187" t="str">
        <x:v>CARRIER_B</x:v>
      </x:c>
      <x:c r="I1517" s="187" t="str">
        <x:v>ROAD</x:v>
      </x:c>
      <x:c r="J1517" s="187" t="str">
        <x:v>BASE_FREIGHT</x:v>
      </x:c>
      <x:c r="K1517" s="187" t="str">
        <x:v>EUR</x:v>
      </x:c>
      <x:c r="L1517" s="232" t="n">
        <x:v>637.2834692796</x:v>
      </x:c>
      <x:c r="M1517" s="232" t="n">
        <x:v>7.9</x:v>
      </x:c>
      <x:c r="N1517" s="187" t="str">
        <x:v>5034.53940730884000000</x:v>
      </x:c>
      <x:c r="O1517" s="235" t="n">
        <x:v>5034.5394</x:v>
      </x:c>
      <x:c r="P1517" s="235"/>
      <x:c r="Q1517" s="235"/>
      <x:c r="R1517" s="235" t="str">
        <x:v>INVOICE_OR_PLAN</x:v>
      </x:c>
      <x:c r="S1517" s="238" t="n">
        <x:f>'Model_Calc'!AF257</x:f>
        <x:v>5034.539407308841</x:v>
      </x:c>
      <x:c r="T1517" s="238" t="n">
        <x:f>ROUND(S1517-O1517,4)</x:f>
        <x:v>0</x:v>
      </x:c>
    </x:row>
    <x:row r="1518">
      <x:c r="A1518" s="187" t="str">
        <x:v>SCENARIO_BASE_2026_08</x:v>
      </x:c>
      <x:c r="B1518" s="187" t="str">
        <x:v>SCENARIO</x:v>
      </x:c>
      <x:c r="C1518" s="187" t="str">
        <x:v>BASE</x:v>
      </x:c>
      <x:c r="D1518" s="217" t="n">
        <x:v>46296</x:v>
      </x:c>
      <x:c r="E1518" s="187" t="str">
        <x:v>R_DE_FR_B_ROAD</x:v>
      </x:c>
      <x:c r="F1518" s="187" t="str">
        <x:v>DE</x:v>
      </x:c>
      <x:c r="G1518" s="187" t="str">
        <x:v>FR_FC</x:v>
      </x:c>
      <x:c r="H1518" s="187" t="str">
        <x:v>CARRIER_B</x:v>
      </x:c>
      <x:c r="I1518" s="187" t="str">
        <x:v>ROAD</x:v>
      </x:c>
      <x:c r="J1518" s="187" t="str">
        <x:v>FUEL_SURCHARGE</x:v>
      </x:c>
      <x:c r="K1518" s="187" t="str">
        <x:v>EUR</x:v>
      </x:c>
      <x:c r="L1518" s="232" t="n">
        <x:v>46.34788867488</x:v>
      </x:c>
      <x:c r="M1518" s="232" t="n">
        <x:v>7.9</x:v>
      </x:c>
      <x:c r="N1518" s="187" t="str">
        <x:v>366.14832053155200000</x:v>
      </x:c>
      <x:c r="O1518" s="235" t="n">
        <x:v>366.1483</x:v>
      </x:c>
      <x:c r="P1518" s="235"/>
      <x:c r="Q1518" s="235"/>
      <x:c r="R1518" s="235" t="str">
        <x:v>INVOICE_OR_PLAN</x:v>
      </x:c>
      <x:c r="S1518" s="238" t="n">
        <x:f>'Model_Calc'!AG257</x:f>
        <x:v>366.1483205315521</x:v>
      </x:c>
      <x:c r="T1518" s="238" t="n">
        <x:f>ROUND(S1518-O1518,4)</x:f>
        <x:v>0</x:v>
      </x:c>
    </x:row>
    <x:row r="1519">
      <x:c r="A1519" s="187" t="str">
        <x:v>SCENARIO_BASE_2026_08</x:v>
      </x:c>
      <x:c r="B1519" s="187" t="str">
        <x:v>SCENARIO</x:v>
      </x:c>
      <x:c r="C1519" s="187" t="str">
        <x:v>BASE</x:v>
      </x:c>
      <x:c r="D1519" s="217" t="n">
        <x:v>46296</x:v>
      </x:c>
      <x:c r="E1519" s="187" t="str">
        <x:v>R_DE_FR_B_ROAD</x:v>
      </x:c>
      <x:c r="F1519" s="187" t="str">
        <x:v>DE</x:v>
      </x:c>
      <x:c r="G1519" s="187" t="str">
        <x:v>FR_FC</x:v>
      </x:c>
      <x:c r="H1519" s="187" t="str">
        <x:v>CARRIER_B</x:v>
      </x:c>
      <x:c r="I1519" s="187" t="str">
        <x:v>ROAD</x:v>
      </x:c>
      <x:c r="J1519" s="187" t="str">
        <x:v>WAREHOUSE_OPERATION</x:v>
      </x:c>
      <x:c r="K1519" s="187" t="str">
        <x:v>EUR</x:v>
      </x:c>
      <x:c r="L1519" s="232" t="n">
        <x:v>216.154575</x:v>
      </x:c>
      <x:c r="M1519" s="232" t="n">
        <x:v>7.9</x:v>
      </x:c>
      <x:c r="N1519" s="187" t="str">
        <x:v>1707.62114250000</x:v>
      </x:c>
      <x:c r="O1519" s="235" t="n">
        <x:v>1707.6211</x:v>
      </x:c>
      <x:c r="P1519" s="235"/>
      <x:c r="Q1519" s="235"/>
      <x:c r="R1519" s="235" t="str">
        <x:v>INVOICE_OR_PLAN</x:v>
      </x:c>
      <x:c r="S1519" s="238" t="n">
        <x:f>'Model_Calc'!AL257</x:f>
        <x:v>1707.6211425000006</x:v>
      </x:c>
      <x:c r="T1519" s="238" t="n">
        <x:f>ROUND(S1519-O1519,4)</x:f>
        <x:v>0</x:v>
      </x:c>
    </x:row>
    <x:row r="1520">
      <x:c r="A1520" s="187" t="str">
        <x:v>SCENARIO_BASE_2026_08</x:v>
      </x:c>
      <x:c r="B1520" s="187" t="str">
        <x:v>SCENARIO</x:v>
      </x:c>
      <x:c r="C1520" s="187" t="str">
        <x:v>BASE</x:v>
      </x:c>
      <x:c r="D1520" s="217" t="n">
        <x:v>46296</x:v>
      </x:c>
      <x:c r="E1520" s="187" t="str">
        <x:v>R_DE_FR_B_ROAD</x:v>
      </x:c>
      <x:c r="F1520" s="187" t="str">
        <x:v>DE</x:v>
      </x:c>
      <x:c r="G1520" s="187" t="str">
        <x:v>FR_FC</x:v>
      </x:c>
      <x:c r="H1520" s="187" t="str">
        <x:v>CARRIER_B</x:v>
      </x:c>
      <x:c r="I1520" s="187" t="str">
        <x:v>ROAD</x:v>
      </x:c>
      <x:c r="J1520" s="187" t="str">
        <x:v>PACKAGING</x:v>
      </x:c>
      <x:c r="K1520" s="187" t="str">
        <x:v>EUR</x:v>
      </x:c>
      <x:c r="L1520" s="232" t="n">
        <x:v>84.4855596</x:v>
      </x:c>
      <x:c r="M1520" s="232" t="n">
        <x:v>7.9</x:v>
      </x:c>
      <x:c r="N1520" s="187" t="str">
        <x:v>667.4359208400000</x:v>
      </x:c>
      <x:c r="O1520" s="235" t="n">
        <x:v>667.4359</x:v>
      </x:c>
      <x:c r="P1520" s="235"/>
      <x:c r="Q1520" s="235"/>
      <x:c r="R1520" s="235" t="str">
        <x:v>INVOICE_OR_PLAN</x:v>
      </x:c>
      <x:c r="S1520" s="238" t="n">
        <x:f>'Model_Calc'!AQ257</x:f>
        <x:v>667.4359208400001</x:v>
      </x:c>
      <x:c r="T1520" s="238" t="n">
        <x:f>ROUND(S1520-O1520,4)</x:f>
        <x:v>0</x:v>
      </x:c>
    </x:row>
    <x:row r="1521">
      <x:c r="A1521" s="187" t="str">
        <x:v>SCENARIO_BASE_2026_08</x:v>
      </x:c>
      <x:c r="B1521" s="187" t="str">
        <x:v>SCENARIO</x:v>
      </x:c>
      <x:c r="C1521" s="187" t="str">
        <x:v>BASE</x:v>
      </x:c>
      <x:c r="D1521" s="217" t="n">
        <x:v>46296</x:v>
      </x:c>
      <x:c r="E1521" s="187" t="str">
        <x:v>R_DE_FR_B_ROAD</x:v>
      </x:c>
      <x:c r="F1521" s="187" t="str">
        <x:v>DE</x:v>
      </x:c>
      <x:c r="G1521" s="187" t="str">
        <x:v>FR_FC</x:v>
      </x:c>
      <x:c r="H1521" s="187" t="str">
        <x:v>CARRIER_B</x:v>
      </x:c>
      <x:c r="I1521" s="187" t="str">
        <x:v>ROAD</x:v>
      </x:c>
      <x:c r="J1521" s="187" t="str">
        <x:v>RETURN_LOGISTICS</x:v>
      </x:c>
      <x:c r="K1521" s="187" t="str">
        <x:v>EUR</x:v>
      </x:c>
      <x:c r="L1521" s="232" t="n">
        <x:v>39.113685</x:v>
      </x:c>
      <x:c r="M1521" s="232" t="n">
        <x:v>7.9</x:v>
      </x:c>
      <x:c r="N1521" s="187" t="str">
        <x:v>308.99811150000000</x:v>
      </x:c>
      <x:c r="O1521" s="235" t="n">
        <x:v>308.9981</x:v>
      </x:c>
      <x:c r="P1521" s="235"/>
      <x:c r="Q1521" s="235"/>
      <x:c r="R1521" s="235" t="str">
        <x:v>INVOICE_OR_PLAN</x:v>
      </x:c>
      <x:c r="S1521" s="238" t="n">
        <x:f>'Model_Calc'!AV257</x:f>
        <x:v>308.99811150000005</x:v>
      </x:c>
      <x:c r="T1521" s="238" t="n">
        <x:f>ROUND(S1521-O1521,4)</x:f>
        <x:v>0</x:v>
      </x:c>
    </x:row>
    <x:row r="1522">
      <x:c r="A1522" s="187" t="str">
        <x:v>SCENARIO_BASE_2026_08</x:v>
      </x:c>
      <x:c r="B1522" s="187" t="str">
        <x:v>SCENARIO</x:v>
      </x:c>
      <x:c r="C1522" s="187" t="str">
        <x:v>BASE</x:v>
      </x:c>
      <x:c r="D1522" s="217" t="n">
        <x:v>46296</x:v>
      </x:c>
      <x:c r="E1522" s="187" t="str">
        <x:v>R_DE_FR_B_ROAD</x:v>
      </x:c>
      <x:c r="F1522" s="187" t="str">
        <x:v>DE</x:v>
      </x:c>
      <x:c r="G1522" s="187" t="str">
        <x:v>FR_FC</x:v>
      </x:c>
      <x:c r="H1522" s="187" t="str">
        <x:v>CARRIER_B</x:v>
      </x:c>
      <x:c r="I1522" s="187" t="str">
        <x:v>ROAD</x:v>
      </x:c>
      <x:c r="J1522" s="187" t="str">
        <x:v>BILLABLE_EXCEPTION</x:v>
      </x:c>
      <x:c r="K1522" s="187" t="str">
        <x:v>EUR</x:v>
      </x:c>
      <x:c r="L1522" s="232" t="n">
        <x:v>7.159039524</x:v>
      </x:c>
      <x:c r="M1522" s="232" t="n">
        <x:v>7.9</x:v>
      </x:c>
      <x:c r="N1522" s="187" t="str">
        <x:v>56.5564122396000000</x:v>
      </x:c>
      <x:c r="O1522" s="235" t="n">
        <x:v>56.5564</x:v>
      </x:c>
      <x:c r="P1522" s="235"/>
      <x:c r="Q1522" s="235"/>
      <x:c r="R1522" s="235" t="str">
        <x:v>INVOICE_OR_PLAN</x:v>
      </x:c>
      <x:c r="S1522" s="238" t="n">
        <x:f>'Model_Calc'!BA257</x:f>
        <x:v>56.556412239600014</x:v>
      </x:c>
      <x:c r="T1522" s="238" t="n">
        <x:f>ROUND(S1522-O1522,4)</x:f>
        <x:v>0</x:v>
      </x:c>
    </x:row>
    <x:row r="1523">
      <x:c r="A1523" s="187" t="str">
        <x:v>SCENARIO_BASE_2026_08</x:v>
      </x:c>
      <x:c r="B1523" s="187" t="str">
        <x:v>SCENARIO</x:v>
      </x:c>
      <x:c r="C1523" s="187" t="str">
        <x:v>BASE</x:v>
      </x:c>
      <x:c r="D1523" s="217" t="n">
        <x:v>46296</x:v>
      </x:c>
      <x:c r="E1523" s="187" t="str">
        <x:v>R_FR_FR_A_ROAD</x:v>
      </x:c>
      <x:c r="F1523" s="187" t="str">
        <x:v>FR</x:v>
      </x:c>
      <x:c r="G1523" s="187" t="str">
        <x:v>FR_FC</x:v>
      </x:c>
      <x:c r="H1523" s="187" t="str">
        <x:v>CARRIER_A</x:v>
      </x:c>
      <x:c r="I1523" s="187" t="str">
        <x:v>ROAD</x:v>
      </x:c>
      <x:c r="J1523" s="187" t="str">
        <x:v>BASE_FREIGHT</x:v>
      </x:c>
      <x:c r="K1523" s="187" t="str">
        <x:v>EUR</x:v>
      </x:c>
      <x:c r="L1523" s="232" t="n">
        <x:v>3620.96549451</x:v>
      </x:c>
      <x:c r="M1523" s="232" t="n">
        <x:v>7.9</x:v>
      </x:c>
      <x:c r="N1523" s="187" t="str">
        <x:v>28605.62740662900000000</x:v>
      </x:c>
      <x:c r="O1523" s="235" t="n">
        <x:v>28605.6274</x:v>
      </x:c>
      <x:c r="P1523" s="235"/>
      <x:c r="Q1523" s="235"/>
      <x:c r="R1523" s="235" t="str">
        <x:v>INVOICE_OR_PLAN</x:v>
      </x:c>
      <x:c r="S1523" s="238" t="n">
        <x:f>'Model_Calc'!AF258</x:f>
        <x:v>28605.627406629</x:v>
      </x:c>
      <x:c r="T1523" s="238" t="n">
        <x:f>ROUND(S1523-O1523,4)</x:f>
        <x:v>0</x:v>
      </x:c>
    </x:row>
    <x:row r="1524">
      <x:c r="A1524" s="187" t="str">
        <x:v>SCENARIO_BASE_2026_08</x:v>
      </x:c>
      <x:c r="B1524" s="187" t="str">
        <x:v>SCENARIO</x:v>
      </x:c>
      <x:c r="C1524" s="187" t="str">
        <x:v>BASE</x:v>
      </x:c>
      <x:c r="D1524" s="217" t="n">
        <x:v>46296</x:v>
      </x:c>
      <x:c r="E1524" s="187" t="str">
        <x:v>R_FR_FR_A_ROAD</x:v>
      </x:c>
      <x:c r="F1524" s="187" t="str">
        <x:v>FR</x:v>
      </x:c>
      <x:c r="G1524" s="187" t="str">
        <x:v>FR_FC</x:v>
      </x:c>
      <x:c r="H1524" s="187" t="str">
        <x:v>CARRIER_A</x:v>
      </x:c>
      <x:c r="I1524" s="187" t="str">
        <x:v>ROAD</x:v>
      </x:c>
      <x:c r="J1524" s="187" t="str">
        <x:v>FUEL_SURCHARGE</x:v>
      </x:c>
      <x:c r="K1524" s="187" t="str">
        <x:v>EUR</x:v>
      </x:c>
      <x:c r="L1524" s="232" t="n">
        <x:v>337.2929358136065</x:v>
      </x:c>
      <x:c r="M1524" s="232" t="n">
        <x:v>7.9</x:v>
      </x:c>
      <x:c r="N1524" s="187" t="str">
        <x:v>2664.61419292749135000000000</x:v>
      </x:c>
      <x:c r="O1524" s="235" t="n">
        <x:v>2664.6142</x:v>
      </x:c>
      <x:c r="P1524" s="235"/>
      <x:c r="Q1524" s="235"/>
      <x:c r="R1524" s="235" t="str">
        <x:v>INVOICE_OR_PLAN</x:v>
      </x:c>
      <x:c r="S1524" s="238" t="n">
        <x:f>'Model_Calc'!AG258</x:f>
        <x:v>2664.614192927491</x:v>
      </x:c>
      <x:c r="T1524" s="238" t="n">
        <x:f>ROUND(S1524-O1524,4)</x:f>
        <x:v>0</x:v>
      </x:c>
    </x:row>
    <x:row r="1525">
      <x:c r="A1525" s="187" t="str">
        <x:v>SCENARIO_BASE_2026_08</x:v>
      </x:c>
      <x:c r="B1525" s="187" t="str">
        <x:v>SCENARIO</x:v>
      </x:c>
      <x:c r="C1525" s="187" t="str">
        <x:v>BASE</x:v>
      </x:c>
      <x:c r="D1525" s="217" t="n">
        <x:v>46296</x:v>
      </x:c>
      <x:c r="E1525" s="187" t="str">
        <x:v>R_FR_FR_A_ROAD</x:v>
      </x:c>
      <x:c r="F1525" s="187" t="str">
        <x:v>FR</x:v>
      </x:c>
      <x:c r="G1525" s="187" t="str">
        <x:v>FR_FC</x:v>
      </x:c>
      <x:c r="H1525" s="187" t="str">
        <x:v>CARRIER_A</x:v>
      </x:c>
      <x:c r="I1525" s="187" t="str">
        <x:v>ROAD</x:v>
      </x:c>
      <x:c r="J1525" s="187" t="str">
        <x:v>WAREHOUSE_OPERATION</x:v>
      </x:c>
      <x:c r="K1525" s="187" t="str">
        <x:v>EUR</x:v>
      </x:c>
      <x:c r="L1525" s="232" t="n">
        <x:v>2225.120625</x:v>
      </x:c>
      <x:c r="M1525" s="232" t="n">
        <x:v>7.9</x:v>
      </x:c>
      <x:c r="N1525" s="187" t="str">
        <x:v>17578.45293750000</x:v>
      </x:c>
      <x:c r="O1525" s="235" t="n">
        <x:v>17578.4529</x:v>
      </x:c>
      <x:c r="P1525" s="235"/>
      <x:c r="Q1525" s="235"/>
      <x:c r="R1525" s="235" t="str">
        <x:v>INVOICE_OR_PLAN</x:v>
      </x:c>
      <x:c r="S1525" s="238" t="n">
        <x:f>'Model_Calc'!AL258</x:f>
        <x:v>17578.452937500002</x:v>
      </x:c>
      <x:c r="T1525" s="238" t="n">
        <x:f>ROUND(S1525-O1525,4)</x:f>
        <x:v>0</x:v>
      </x:c>
    </x:row>
    <x:row r="1526">
      <x:c r="A1526" s="187" t="str">
        <x:v>SCENARIO_BASE_2026_08</x:v>
      </x:c>
      <x:c r="B1526" s="187" t="str">
        <x:v>SCENARIO</x:v>
      </x:c>
      <x:c r="C1526" s="187" t="str">
        <x:v>BASE</x:v>
      </x:c>
      <x:c r="D1526" s="217" t="n">
        <x:v>46296</x:v>
      </x:c>
      <x:c r="E1526" s="187" t="str">
        <x:v>R_FR_FR_A_ROAD</x:v>
      </x:c>
      <x:c r="F1526" s="187" t="str">
        <x:v>FR</x:v>
      </x:c>
      <x:c r="G1526" s="187" t="str">
        <x:v>FR_FC</x:v>
      </x:c>
      <x:c r="H1526" s="187" t="str">
        <x:v>CARRIER_A</x:v>
      </x:c>
      <x:c r="I1526" s="187" t="str">
        <x:v>ROAD</x:v>
      </x:c>
      <x:c r="J1526" s="187" t="str">
        <x:v>PACKAGING</x:v>
      </x:c>
      <x:c r="K1526" s="187" t="str">
        <x:v>EUR</x:v>
      </x:c>
      <x:c r="L1526" s="232" t="n">
        <x:v>853.598655</x:v>
      </x:c>
      <x:c r="M1526" s="232" t="n">
        <x:v>7.9</x:v>
      </x:c>
      <x:c r="N1526" s="187" t="str">
        <x:v>6743.4293745000000</x:v>
      </x:c>
      <x:c r="O1526" s="235" t="n">
        <x:v>6743.4294</x:v>
      </x:c>
      <x:c r="P1526" s="235"/>
      <x:c r="Q1526" s="235"/>
      <x:c r="R1526" s="235" t="str">
        <x:v>INVOICE_OR_PLAN</x:v>
      </x:c>
      <x:c r="S1526" s="238" t="n">
        <x:f>'Model_Calc'!AQ258</x:f>
        <x:v>6743.4293744999995</x:v>
      </x:c>
      <x:c r="T1526" s="238" t="n">
        <x:f>ROUND(S1526-O1526,4)</x:f>
        <x:v>0</x:v>
      </x:c>
    </x:row>
    <x:row r="1527">
      <x:c r="A1527" s="187" t="str">
        <x:v>SCENARIO_BASE_2026_08</x:v>
      </x:c>
      <x:c r="B1527" s="187" t="str">
        <x:v>SCENARIO</x:v>
      </x:c>
      <x:c r="C1527" s="187" t="str">
        <x:v>BASE</x:v>
      </x:c>
      <x:c r="D1527" s="217" t="n">
        <x:v>46296</x:v>
      </x:c>
      <x:c r="E1527" s="187" t="str">
        <x:v>R_FR_FR_A_ROAD</x:v>
      </x:c>
      <x:c r="F1527" s="187" t="str">
        <x:v>FR</x:v>
      </x:c>
      <x:c r="G1527" s="187" t="str">
        <x:v>FR_FC</x:v>
      </x:c>
      <x:c r="H1527" s="187" t="str">
        <x:v>CARRIER_A</x:v>
      </x:c>
      <x:c r="I1527" s="187" t="str">
        <x:v>ROAD</x:v>
      </x:c>
      <x:c r="J1527" s="187" t="str">
        <x:v>RETURN_LOGISTICS</x:v>
      </x:c>
      <x:c r="K1527" s="187" t="str">
        <x:v>EUR</x:v>
      </x:c>
      <x:c r="L1527" s="232" t="n">
        <x:v>381.44925</x:v>
      </x:c>
      <x:c r="M1527" s="232" t="n">
        <x:v>7.9</x:v>
      </x:c>
      <x:c r="N1527" s="187" t="str">
        <x:v>3013.44907500000000</x:v>
      </x:c>
      <x:c r="O1527" s="235" t="n">
        <x:v>3013.4491</x:v>
      </x:c>
      <x:c r="P1527" s="235"/>
      <x:c r="Q1527" s="235"/>
      <x:c r="R1527" s="235" t="str">
        <x:v>INVOICE_OR_PLAN</x:v>
      </x:c>
      <x:c r="S1527" s="238" t="n">
        <x:f>'Model_Calc'!AV258</x:f>
        <x:v>3013.4490749999995</x:v>
      </x:c>
      <x:c r="T1527" s="238" t="n">
        <x:f>ROUND(S1527-O1527,4)</x:f>
        <x:v>0</x:v>
      </x:c>
    </x:row>
    <x:row r="1528">
      <x:c r="A1528" s="187" t="str">
        <x:v>SCENARIO_BASE_2026_08</x:v>
      </x:c>
      <x:c r="B1528" s="187" t="str">
        <x:v>SCENARIO</x:v>
      </x:c>
      <x:c r="C1528" s="187" t="str">
        <x:v>BASE</x:v>
      </x:c>
      <x:c r="D1528" s="217" t="n">
        <x:v>46296</x:v>
      </x:c>
      <x:c r="E1528" s="187" t="str">
        <x:v>R_FR_FR_A_ROAD</x:v>
      </x:c>
      <x:c r="F1528" s="187" t="str">
        <x:v>FR</x:v>
      </x:c>
      <x:c r="G1528" s="187" t="str">
        <x:v>FR_FC</x:v>
      </x:c>
      <x:c r="H1528" s="187" t="str">
        <x:v>CARRIER_A</x:v>
      </x:c>
      <x:c r="I1528" s="187" t="str">
        <x:v>ROAD</x:v>
      </x:c>
      <x:c r="J1528" s="187" t="str">
        <x:v>BILLABLE_EXCEPTION</x:v>
      </x:c>
      <x:c r="K1528" s="187" t="str">
        <x:v>EUR</x:v>
      </x:c>
      <x:c r="L1528" s="232" t="n">
        <x:v>87.830808975</x:v>
      </x:c>
      <x:c r="M1528" s="232" t="n">
        <x:v>7.9</x:v>
      </x:c>
      <x:c r="N1528" s="187" t="str">
        <x:v>693.8633909025000000</x:v>
      </x:c>
      <x:c r="O1528" s="235" t="n">
        <x:v>693.8634</x:v>
      </x:c>
      <x:c r="P1528" s="235"/>
      <x:c r="Q1528" s="235"/>
      <x:c r="R1528" s="235" t="str">
        <x:v>INVOICE_OR_PLAN</x:v>
      </x:c>
      <x:c r="S1528" s="238" t="n">
        <x:f>'Model_Calc'!BA258</x:f>
        <x:v>693.8633909025</x:v>
      </x:c>
      <x:c r="T1528" s="238" t="n">
        <x:f>ROUND(S1528-O1528,4)</x:f>
        <x:v>0</x:v>
      </x:c>
    </x:row>
    <x:row r="1529">
      <x:c r="A1529" s="187" t="str">
        <x:v>SCENARIO_BASE_2026_08</x:v>
      </x:c>
      <x:c r="B1529" s="187" t="str">
        <x:v>SCENARIO</x:v>
      </x:c>
      <x:c r="C1529" s="187" t="str">
        <x:v>BASE</x:v>
      </x:c>
      <x:c r="D1529" s="217" t="n">
        <x:v>46296</x:v>
      </x:c>
      <x:c r="E1529" s="187" t="str">
        <x:v>R_FR_FR_B_ROAD</x:v>
      </x:c>
      <x:c r="F1529" s="187" t="str">
        <x:v>FR</x:v>
      </x:c>
      <x:c r="G1529" s="187" t="str">
        <x:v>FR_FC</x:v>
      </x:c>
      <x:c r="H1529" s="187" t="str">
        <x:v>CARRIER_B</x:v>
      </x:c>
      <x:c r="I1529" s="187" t="str">
        <x:v>ROAD</x:v>
      </x:c>
      <x:c r="J1529" s="187" t="str">
        <x:v>BASE_FREIGHT</x:v>
      </x:c>
      <x:c r="K1529" s="187" t="str">
        <x:v>EUR</x:v>
      </x:c>
      <x:c r="L1529" s="232" t="n">
        <x:v>8654.405713785</x:v>
      </x:c>
      <x:c r="M1529" s="232" t="n">
        <x:v>7.9</x:v>
      </x:c>
      <x:c r="N1529" s="187" t="str">
        <x:v>68369.80513890150000000</x:v>
      </x:c>
      <x:c r="O1529" s="235" t="n">
        <x:v>68369.8051</x:v>
      </x:c>
      <x:c r="P1529" s="235"/>
      <x:c r="Q1529" s="235"/>
      <x:c r="R1529" s="235" t="str">
        <x:v>INVOICE_OR_PLAN</x:v>
      </x:c>
      <x:c r="S1529" s="238" t="n">
        <x:f>'Model_Calc'!AF259</x:f>
        <x:v>68369.8051389015</x:v>
      </x:c>
      <x:c r="T1529" s="238" t="n">
        <x:f>ROUND(S1529-O1529,4)</x:f>
        <x:v>0</x:v>
      </x:c>
    </x:row>
    <x:row r="1530">
      <x:c r="A1530" s="187" t="str">
        <x:v>SCENARIO_BASE_2026_08</x:v>
      </x:c>
      <x:c r="B1530" s="187" t="str">
        <x:v>SCENARIO</x:v>
      </x:c>
      <x:c r="C1530" s="187" t="str">
        <x:v>BASE</x:v>
      </x:c>
      <x:c r="D1530" s="217" t="n">
        <x:v>46296</x:v>
      </x:c>
      <x:c r="E1530" s="187" t="str">
        <x:v>R_FR_FR_B_ROAD</x:v>
      </x:c>
      <x:c r="F1530" s="187" t="str">
        <x:v>FR</x:v>
      </x:c>
      <x:c r="G1530" s="187" t="str">
        <x:v>FR_FC</x:v>
      </x:c>
      <x:c r="H1530" s="187" t="str">
        <x:v>CARRIER_B</x:v>
      </x:c>
      <x:c r="I1530" s="187" t="str">
        <x:v>ROAD</x:v>
      </x:c>
      <x:c r="J1530" s="187" t="str">
        <x:v>FUEL_SURCHARGE</x:v>
      </x:c>
      <x:c r="K1530" s="187" t="str">
        <x:v>EUR</x:v>
      </x:c>
      <x:c r="L1530" s="232" t="n">
        <x:v>665.723516445</x:v>
      </x:c>
      <x:c r="M1530" s="232" t="n">
        <x:v>7.9</x:v>
      </x:c>
      <x:c r="N1530" s="187" t="str">
        <x:v>5259.21577991550000000</x:v>
      </x:c>
      <x:c r="O1530" s="235" t="n">
        <x:v>5259.2158</x:v>
      </x:c>
      <x:c r="P1530" s="235"/>
      <x:c r="Q1530" s="235"/>
      <x:c r="R1530" s="235" t="str">
        <x:v>INVOICE_OR_PLAN</x:v>
      </x:c>
      <x:c r="S1530" s="238" t="n">
        <x:f>'Model_Calc'!AG259</x:f>
        <x:v>5259.2157799155</x:v>
      </x:c>
      <x:c r="T1530" s="238" t="n">
        <x:f>ROUND(S1530-O1530,4)</x:f>
        <x:v>0</x:v>
      </x:c>
    </x:row>
    <x:row r="1531">
      <x:c r="A1531" s="187" t="str">
        <x:v>SCENARIO_BASE_2026_08</x:v>
      </x:c>
      <x:c r="B1531" s="187" t="str">
        <x:v>SCENARIO</x:v>
      </x:c>
      <x:c r="C1531" s="187" t="str">
        <x:v>BASE</x:v>
      </x:c>
      <x:c r="D1531" s="217" t="n">
        <x:v>46296</x:v>
      </x:c>
      <x:c r="E1531" s="187" t="str">
        <x:v>R_FR_FR_B_ROAD</x:v>
      </x:c>
      <x:c r="F1531" s="187" t="str">
        <x:v>FR</x:v>
      </x:c>
      <x:c r="G1531" s="187" t="str">
        <x:v>FR_FC</x:v>
      </x:c>
      <x:c r="H1531" s="187" t="str">
        <x:v>CARRIER_B</x:v>
      </x:c>
      <x:c r="I1531" s="187" t="str">
        <x:v>ROAD</x:v>
      </x:c>
      <x:c r="J1531" s="187" t="str">
        <x:v>WAREHOUSE_OPERATION</x:v>
      </x:c>
      <x:c r="K1531" s="187" t="str">
        <x:v>EUR</x:v>
      </x:c>
      <x:c r="L1531" s="232" t="n">
        <x:v>4132.366875</x:v>
      </x:c>
      <x:c r="M1531" s="232" t="n">
        <x:v>7.9</x:v>
      </x:c>
      <x:c r="N1531" s="187" t="str">
        <x:v>32645.69831250000</x:v>
      </x:c>
      <x:c r="O1531" s="235" t="n">
        <x:v>32645.6983</x:v>
      </x:c>
      <x:c r="P1531" s="235"/>
      <x:c r="Q1531" s="235"/>
      <x:c r="R1531" s="235" t="str">
        <x:v>INVOICE_OR_PLAN</x:v>
      </x:c>
      <x:c r="S1531" s="238" t="n">
        <x:f>'Model_Calc'!AL259</x:f>
        <x:v>32645.698312500008</x:v>
      </x:c>
      <x:c r="T1531" s="238" t="n">
        <x:f>ROUND(S1531-O1531,4)</x:f>
        <x:v>0</x:v>
      </x:c>
    </x:row>
    <x:row r="1532">
      <x:c r="A1532" s="187" t="str">
        <x:v>SCENARIO_BASE_2026_08</x:v>
      </x:c>
      <x:c r="B1532" s="187" t="str">
        <x:v>SCENARIO</x:v>
      </x:c>
      <x:c r="C1532" s="187" t="str">
        <x:v>BASE</x:v>
      </x:c>
      <x:c r="D1532" s="217" t="n">
        <x:v>46296</x:v>
      </x:c>
      <x:c r="E1532" s="187" t="str">
        <x:v>R_FR_FR_B_ROAD</x:v>
      </x:c>
      <x:c r="F1532" s="187" t="str">
        <x:v>FR</x:v>
      </x:c>
      <x:c r="G1532" s="187" t="str">
        <x:v>FR_FC</x:v>
      </x:c>
      <x:c r="H1532" s="187" t="str">
        <x:v>CARRIER_B</x:v>
      </x:c>
      <x:c r="I1532" s="187" t="str">
        <x:v>ROAD</x:v>
      </x:c>
      <x:c r="J1532" s="187" t="str">
        <x:v>PACKAGING</x:v>
      </x:c>
      <x:c r="K1532" s="187" t="str">
        <x:v>EUR</x:v>
      </x:c>
      <x:c r="L1532" s="232" t="n">
        <x:v>1585.254645</x:v>
      </x:c>
      <x:c r="M1532" s="232" t="n">
        <x:v>7.9</x:v>
      </x:c>
      <x:c r="N1532" s="187" t="str">
        <x:v>12523.5116955000000</x:v>
      </x:c>
      <x:c r="O1532" s="235" t="n">
        <x:v>12523.5117</x:v>
      </x:c>
      <x:c r="P1532" s="235"/>
      <x:c r="Q1532" s="235"/>
      <x:c r="R1532" s="235" t="str">
        <x:v>INVOICE_OR_PLAN</x:v>
      </x:c>
      <x:c r="S1532" s="238" t="n">
        <x:f>'Model_Calc'!AQ259</x:f>
        <x:v>12523.511695500001</x:v>
      </x:c>
      <x:c r="T1532" s="238" t="n">
        <x:f>ROUND(S1532-O1532,4)</x:f>
        <x:v>0</x:v>
      </x:c>
    </x:row>
    <x:row r="1533">
      <x:c r="A1533" s="187" t="str">
        <x:v>SCENARIO_BASE_2026_08</x:v>
      </x:c>
      <x:c r="B1533" s="187" t="str">
        <x:v>SCENARIO</x:v>
      </x:c>
      <x:c r="C1533" s="187" t="str">
        <x:v>BASE</x:v>
      </x:c>
      <x:c r="D1533" s="217" t="n">
        <x:v>46296</x:v>
      </x:c>
      <x:c r="E1533" s="187" t="str">
        <x:v>R_FR_FR_B_ROAD</x:v>
      </x:c>
      <x:c r="F1533" s="187" t="str">
        <x:v>FR</x:v>
      </x:c>
      <x:c r="G1533" s="187" t="str">
        <x:v>FR_FC</x:v>
      </x:c>
      <x:c r="H1533" s="187" t="str">
        <x:v>CARRIER_B</x:v>
      </x:c>
      <x:c r="I1533" s="187" t="str">
        <x:v>ROAD</x:v>
      </x:c>
      <x:c r="J1533" s="187" t="str">
        <x:v>RETURN_LOGISTICS</x:v>
      </x:c>
      <x:c r="K1533" s="187" t="str">
        <x:v>EUR</x:v>
      </x:c>
      <x:c r="L1533" s="232" t="n">
        <x:v>708.40575</x:v>
      </x:c>
      <x:c r="M1533" s="232" t="n">
        <x:v>7.9</x:v>
      </x:c>
      <x:c r="N1533" s="187" t="str">
        <x:v>5596.40542500000000</x:v>
      </x:c>
      <x:c r="O1533" s="235" t="n">
        <x:v>5596.4054</x:v>
      </x:c>
      <x:c r="P1533" s="235"/>
      <x:c r="Q1533" s="235"/>
      <x:c r="R1533" s="235" t="str">
        <x:v>INVOICE_OR_PLAN</x:v>
      </x:c>
      <x:c r="S1533" s="238" t="n">
        <x:f>'Model_Calc'!AV259</x:f>
        <x:v>5596.405425</x:v>
      </x:c>
      <x:c r="T1533" s="238" t="n">
        <x:f>ROUND(S1533-O1533,4)</x:f>
        <x:v>0</x:v>
      </x:c>
    </x:row>
    <x:row r="1534">
      <x:c r="A1534" s="187" t="str">
        <x:v>SCENARIO_BASE_2026_08</x:v>
      </x:c>
      <x:c r="B1534" s="187" t="str">
        <x:v>SCENARIO</x:v>
      </x:c>
      <x:c r="C1534" s="187" t="str">
        <x:v>BASE</x:v>
      </x:c>
      <x:c r="D1534" s="217" t="n">
        <x:v>46296</x:v>
      </x:c>
      <x:c r="E1534" s="187" t="str">
        <x:v>R_FR_FR_B_ROAD</x:v>
      </x:c>
      <x:c r="F1534" s="187" t="str">
        <x:v>FR</x:v>
      </x:c>
      <x:c r="G1534" s="187" t="str">
        <x:v>FR_FC</x:v>
      </x:c>
      <x:c r="H1534" s="187" t="str">
        <x:v>CARRIER_B</x:v>
      </x:c>
      <x:c r="I1534" s="187" t="str">
        <x:v>ROAD</x:v>
      </x:c>
      <x:c r="J1534" s="187" t="str">
        <x:v>BILLABLE_EXCEPTION</x:v>
      </x:c>
      <x:c r="K1534" s="187" t="str">
        <x:v>EUR</x:v>
      </x:c>
      <x:c r="L1534" s="232" t="n">
        <x:v>134.32947255</x:v>
      </x:c>
      <x:c r="M1534" s="232" t="n">
        <x:v>7.9</x:v>
      </x:c>
      <x:c r="N1534" s="187" t="str">
        <x:v>1061.2028331450000000</x:v>
      </x:c>
      <x:c r="O1534" s="235" t="n">
        <x:v>1061.2028</x:v>
      </x:c>
      <x:c r="P1534" s="235"/>
      <x:c r="Q1534" s="235"/>
      <x:c r="R1534" s="235" t="str">
        <x:v>INVOICE_OR_PLAN</x:v>
      </x:c>
      <x:c r="S1534" s="238" t="n">
        <x:f>'Model_Calc'!BA259</x:f>
        <x:v>1061.202833145</x:v>
      </x:c>
      <x:c r="T1534" s="238" t="n">
        <x:f>ROUND(S1534-O1534,4)</x:f>
        <x:v>0</x:v>
      </x:c>
    </x:row>
    <x:row r="1535">
      <x:c r="A1535" s="187" t="str">
        <x:v>SCENARIO_BASE_2026_08</x:v>
      </x:c>
      <x:c r="B1535" s="187" t="str">
        <x:v>SCENARIO</x:v>
      </x:c>
      <x:c r="C1535" s="187" t="str">
        <x:v>BASE</x:v>
      </x:c>
      <x:c r="D1535" s="217" t="n">
        <x:v>46296</x:v>
      </x:c>
      <x:c r="E1535" s="187" t="str">
        <x:v>R_GB_DE_A_ROAD</x:v>
      </x:c>
      <x:c r="F1535" s="187" t="str">
        <x:v>GB</x:v>
      </x:c>
      <x:c r="G1535" s="187" t="str">
        <x:v>DE_FC</x:v>
      </x:c>
      <x:c r="H1535" s="187" t="str">
        <x:v>CARRIER_A</x:v>
      </x:c>
      <x:c r="I1535" s="187" t="str">
        <x:v>ROAD</x:v>
      </x:c>
      <x:c r="J1535" s="187" t="str">
        <x:v>BASE_FREIGHT</x:v>
      </x:c>
      <x:c r="K1535" s="187" t="str">
        <x:v>GBP</x:v>
      </x:c>
      <x:c r="L1535" s="232" t="n">
        <x:v>12348.629658329703</x:v>
      </x:c>
      <x:c r="M1535" s="232" t="n">
        <x:v>9.1</x:v>
      </x:c>
      <x:c r="N1535" s="187" t="str">
        <x:v>112372.529890800291840000000</x:v>
      </x:c>
      <x:c r="O1535" s="235" t="n">
        <x:v>112372.5299</x:v>
      </x:c>
      <x:c r="P1535" s="235"/>
      <x:c r="Q1535" s="235"/>
      <x:c r="R1535" s="235" t="str">
        <x:v>INVOICE_OR_PLAN</x:v>
      </x:c>
      <x:c r="S1535" s="238" t="n">
        <x:f>'Model_Calc'!AF260</x:f>
        <x:v>112372.52989080026</x:v>
      </x:c>
      <x:c r="T1535" s="238" t="n">
        <x:f>ROUND(S1535-O1535,4)</x:f>
        <x:v>0</x:v>
      </x:c>
    </x:row>
    <x:row r="1536">
      <x:c r="A1536" s="187" t="str">
        <x:v>SCENARIO_BASE_2026_08</x:v>
      </x:c>
      <x:c r="B1536" s="187" t="str">
        <x:v>SCENARIO</x:v>
      </x:c>
      <x:c r="C1536" s="187" t="str">
        <x:v>BASE</x:v>
      </x:c>
      <x:c r="D1536" s="217" t="n">
        <x:v>46296</x:v>
      </x:c>
      <x:c r="E1536" s="187" t="str">
        <x:v>R_GB_DE_A_ROAD</x:v>
      </x:c>
      <x:c r="F1536" s="187" t="str">
        <x:v>GB</x:v>
      </x:c>
      <x:c r="G1536" s="187" t="str">
        <x:v>DE_FC</x:v>
      </x:c>
      <x:c r="H1536" s="187" t="str">
        <x:v>CARRIER_A</x:v>
      </x:c>
      <x:c r="I1536" s="187" t="str">
        <x:v>ROAD</x:v>
      </x:c>
      <x:c r="J1536" s="187" t="str">
        <x:v>FUEL_SURCHARGE</x:v>
      </x:c>
      <x:c r="K1536" s="187" t="str">
        <x:v>GBP</x:v>
      </x:c>
      <x:c r="L1536" s="232" t="n">
        <x:v>1278.0831696371242</x:v>
      </x:c>
      <x:c r="M1536" s="232" t="n">
        <x:v>9.1</x:v>
      </x:c>
      <x:c r="N1536" s="187" t="str">
        <x:v>11630.556843697830205440000000000</x:v>
      </x:c>
      <x:c r="O1536" s="235" t="n">
        <x:v>11630.5568</x:v>
      </x:c>
      <x:c r="P1536" s="235"/>
      <x:c r="Q1536" s="235"/>
      <x:c r="R1536" s="235" t="str">
        <x:v>INVOICE_OR_PLAN</x:v>
      </x:c>
      <x:c r="S1536" s="238" t="n">
        <x:f>'Model_Calc'!AG260</x:f>
        <x:v>11630.556843697826</x:v>
      </x:c>
      <x:c r="T1536" s="238" t="n">
        <x:f>ROUND(S1536-O1536,4)</x:f>
        <x:v>0</x:v>
      </x:c>
    </x:row>
    <x:row r="1537">
      <x:c r="A1537" s="187" t="str">
        <x:v>SCENARIO_BASE_2026_08</x:v>
      </x:c>
      <x:c r="B1537" s="187" t="str">
        <x:v>SCENARIO</x:v>
      </x:c>
      <x:c r="C1537" s="187" t="str">
        <x:v>BASE</x:v>
      </x:c>
      <x:c r="D1537" s="217" t="n">
        <x:v>46296</x:v>
      </x:c>
      <x:c r="E1537" s="187" t="str">
        <x:v>R_GB_DE_A_ROAD</x:v>
      </x:c>
      <x:c r="F1537" s="187" t="str">
        <x:v>GB</x:v>
      </x:c>
      <x:c r="G1537" s="187" t="str">
        <x:v>DE_FC</x:v>
      </x:c>
      <x:c r="H1537" s="187" t="str">
        <x:v>CARRIER_A</x:v>
      </x:c>
      <x:c r="I1537" s="187" t="str">
        <x:v>ROAD</x:v>
      </x:c>
      <x:c r="J1537" s="187" t="str">
        <x:v>WAREHOUSE_OPERATION</x:v>
      </x:c>
      <x:c r="K1537" s="187" t="str">
        <x:v>EUR</x:v>
      </x:c>
      <x:c r="L1537" s="232" t="n">
        <x:v>2963.0105856</x:v>
      </x:c>
      <x:c r="M1537" s="232" t="n">
        <x:v>7.9</x:v>
      </x:c>
      <x:c r="N1537" s="187" t="str">
        <x:v>23407.7836262400000</x:v>
      </x:c>
      <x:c r="O1537" s="235" t="n">
        <x:v>23407.7836</x:v>
      </x:c>
      <x:c r="P1537" s="235"/>
      <x:c r="Q1537" s="235"/>
      <x:c r="R1537" s="235" t="str">
        <x:v>INVOICE_OR_PLAN</x:v>
      </x:c>
      <x:c r="S1537" s="238" t="n">
        <x:f>'Model_Calc'!AL260</x:f>
        <x:v>23407.783626239998</x:v>
      </x:c>
      <x:c r="T1537" s="238" t="n">
        <x:f>ROUND(S1537-O1537,4)</x:f>
        <x:v>0</x:v>
      </x:c>
    </x:row>
    <x:row r="1538">
      <x:c r="A1538" s="187" t="str">
        <x:v>SCENARIO_BASE_2026_08</x:v>
      </x:c>
      <x:c r="B1538" s="187" t="str">
        <x:v>SCENARIO</x:v>
      </x:c>
      <x:c r="C1538" s="187" t="str">
        <x:v>BASE</x:v>
      </x:c>
      <x:c r="D1538" s="217" t="n">
        <x:v>46296</x:v>
      </x:c>
      <x:c r="E1538" s="187" t="str">
        <x:v>R_GB_DE_A_ROAD</x:v>
      </x:c>
      <x:c r="F1538" s="187" t="str">
        <x:v>GB</x:v>
      </x:c>
      <x:c r="G1538" s="187" t="str">
        <x:v>DE_FC</x:v>
      </x:c>
      <x:c r="H1538" s="187" t="str">
        <x:v>CARRIER_A</x:v>
      </x:c>
      <x:c r="I1538" s="187" t="str">
        <x:v>ROAD</x:v>
      </x:c>
      <x:c r="J1538" s="187" t="str">
        <x:v>PACKAGING</x:v>
      </x:c>
      <x:c r="K1538" s="187" t="str">
        <x:v>EUR</x:v>
      </x:c>
      <x:c r="L1538" s="232" t="n">
        <x:v>1233.918137088</x:v>
      </x:c>
      <x:c r="M1538" s="232" t="n">
        <x:v>7.9</x:v>
      </x:c>
      <x:c r="N1538" s="187" t="str">
        <x:v>9747.953282995200000</x:v>
      </x:c>
      <x:c r="O1538" s="235" t="n">
        <x:v>9747.9533</x:v>
      </x:c>
      <x:c r="P1538" s="235"/>
      <x:c r="Q1538" s="235"/>
      <x:c r="R1538" s="235" t="str">
        <x:v>INVOICE_OR_PLAN</x:v>
      </x:c>
      <x:c r="S1538" s="238" t="n">
        <x:f>'Model_Calc'!AQ260</x:f>
        <x:v>9747.953282995197</x:v>
      </x:c>
      <x:c r="T1538" s="238" t="n">
        <x:f>ROUND(S1538-O1538,4)</x:f>
        <x:v>0</x:v>
      </x:c>
    </x:row>
    <x:row r="1539">
      <x:c r="A1539" s="187" t="str">
        <x:v>SCENARIO_BASE_2026_08</x:v>
      </x:c>
      <x:c r="B1539" s="187" t="str">
        <x:v>SCENARIO</x:v>
      </x:c>
      <x:c r="C1539" s="187" t="str">
        <x:v>BASE</x:v>
      </x:c>
      <x:c r="D1539" s="217" t="n">
        <x:v>46296</x:v>
      </x:c>
      <x:c r="E1539" s="187" t="str">
        <x:v>R_GB_DE_A_ROAD</x:v>
      </x:c>
      <x:c r="F1539" s="187" t="str">
        <x:v>GB</x:v>
      </x:c>
      <x:c r="G1539" s="187" t="str">
        <x:v>DE_FC</x:v>
      </x:c>
      <x:c r="H1539" s="187" t="str">
        <x:v>CARRIER_A</x:v>
      </x:c>
      <x:c r="I1539" s="187" t="str">
        <x:v>ROAD</x:v>
      </x:c>
      <x:c r="J1539" s="187" t="str">
        <x:v>RETURN_LOGISTICS</x:v>
      </x:c>
      <x:c r="K1539" s="187" t="str">
        <x:v>GBP</x:v>
      </x:c>
      <x:c r="L1539" s="232" t="n">
        <x:v>1084.76319744</x:v>
      </x:c>
      <x:c r="M1539" s="232" t="n">
        <x:v>9.1</x:v>
      </x:c>
      <x:c r="N1539" s="187" t="str">
        <x:v>9871.3450967040000000</x:v>
      </x:c>
      <x:c r="O1539" s="235" t="n">
        <x:v>9871.3451</x:v>
      </x:c>
      <x:c r="P1539" s="235"/>
      <x:c r="Q1539" s="235"/>
      <x:c r="R1539" s="235" t="str">
        <x:v>INVOICE_OR_PLAN</x:v>
      </x:c>
      <x:c r="S1539" s="238" t="n">
        <x:f>'Model_Calc'!AV260</x:f>
        <x:v>9871.345096703999</x:v>
      </x:c>
      <x:c r="T1539" s="238" t="n">
        <x:f>ROUND(S1539-O1539,4)</x:f>
        <x:v>0</x:v>
      </x:c>
    </x:row>
    <x:row r="1540">
      <x:c r="A1540" s="187" t="str">
        <x:v>SCENARIO_BASE_2026_08</x:v>
      </x:c>
      <x:c r="B1540" s="187" t="str">
        <x:v>SCENARIO</x:v>
      </x:c>
      <x:c r="C1540" s="187" t="str">
        <x:v>BASE</x:v>
      </x:c>
      <x:c r="D1540" s="217" t="n">
        <x:v>46296</x:v>
      </x:c>
      <x:c r="E1540" s="187" t="str">
        <x:v>R_GB_DE_A_ROAD</x:v>
      </x:c>
      <x:c r="F1540" s="187" t="str">
        <x:v>GB</x:v>
      </x:c>
      <x:c r="G1540" s="187" t="str">
        <x:v>DE_FC</x:v>
      </x:c>
      <x:c r="H1540" s="187" t="str">
        <x:v>CARRIER_A</x:v>
      </x:c>
      <x:c r="I1540" s="187" t="str">
        <x:v>ROAD</x:v>
      </x:c>
      <x:c r="J1540" s="187" t="str">
        <x:v>BILLABLE_EXCEPTION</x:v>
      </x:c>
      <x:c r="K1540" s="187" t="str">
        <x:v>GBP</x:v>
      </x:c>
      <x:c r="L1540" s="232" t="n">
        <x:v>182.44361026944</x:v>
      </x:c>
      <x:c r="M1540" s="232" t="n">
        <x:v>9.1</x:v>
      </x:c>
      <x:c r="N1540" s="187" t="str">
        <x:v>1660.236853451904000000</x:v>
      </x:c>
      <x:c r="O1540" s="235" t="n">
        <x:v>1660.2369</x:v>
      </x:c>
      <x:c r="P1540" s="235"/>
      <x:c r="Q1540" s="235"/>
      <x:c r="R1540" s="235" t="str">
        <x:v>INVOICE_OR_PLAN</x:v>
      </x:c>
      <x:c r="S1540" s="238" t="n">
        <x:f>'Model_Calc'!BA260</x:f>
        <x:v>1660.2368534519035</x:v>
      </x:c>
      <x:c r="T1540" s="238" t="n">
        <x:f>ROUND(S1540-O1540,4)</x:f>
        <x:v>0</x:v>
      </x:c>
    </x:row>
    <x:row r="1541">
      <x:c r="A1541" s="187" t="str">
        <x:v>SCENARIO_BASE_2026_08</x:v>
      </x:c>
      <x:c r="B1541" s="187" t="str">
        <x:v>SCENARIO</x:v>
      </x:c>
      <x:c r="C1541" s="187" t="str">
        <x:v>BASE</x:v>
      </x:c>
      <x:c r="D1541" s="217" t="n">
        <x:v>46296</x:v>
      </x:c>
      <x:c r="E1541" s="187" t="str">
        <x:v>R_GB_DE_B_ROAD</x:v>
      </x:c>
      <x:c r="F1541" s="187" t="str">
        <x:v>GB</x:v>
      </x:c>
      <x:c r="G1541" s="187" t="str">
        <x:v>DE_FC</x:v>
      </x:c>
      <x:c r="H1541" s="187" t="str">
        <x:v>CARRIER_B</x:v>
      </x:c>
      <x:c r="I1541" s="187" t="str">
        <x:v>ROAD</x:v>
      </x:c>
      <x:c r="J1541" s="187" t="str">
        <x:v>BASE_FREIGHT</x:v>
      </x:c>
      <x:c r="K1541" s="187" t="str">
        <x:v>GBP</x:v>
      </x:c>
      <x:c r="L1541" s="232" t="n">
        <x:v>7902.85394800512</x:v>
      </x:c>
      <x:c r="M1541" s="232" t="n">
        <x:v>9.1</x:v>
      </x:c>
      <x:c r="N1541" s="187" t="str">
        <x:v>71915.970926846592000000000</x:v>
      </x:c>
      <x:c r="O1541" s="235" t="n">
        <x:v>71915.9709</x:v>
      </x:c>
      <x:c r="P1541" s="235"/>
      <x:c r="Q1541" s="235"/>
      <x:c r="R1541" s="235" t="str">
        <x:v>INVOICE_OR_PLAN</x:v>
      </x:c>
      <x:c r="S1541" s="238" t="n">
        <x:f>'Model_Calc'!AF261</x:f>
        <x:v>71915.97092684658</x:v>
      </x:c>
      <x:c r="T1541" s="238" t="n">
        <x:f>ROUND(S1541-O1541,4)</x:f>
        <x:v>0</x:v>
      </x:c>
    </x:row>
    <x:row r="1542">
      <x:c r="A1542" s="187" t="str">
        <x:v>SCENARIO_BASE_2026_08</x:v>
      </x:c>
      <x:c r="B1542" s="187" t="str">
        <x:v>SCENARIO</x:v>
      </x:c>
      <x:c r="C1542" s="187" t="str">
        <x:v>BASE</x:v>
      </x:c>
      <x:c r="D1542" s="217" t="n">
        <x:v>46296</x:v>
      </x:c>
      <x:c r="E1542" s="187" t="str">
        <x:v>R_GB_DE_B_ROAD</x:v>
      </x:c>
      <x:c r="F1542" s="187" t="str">
        <x:v>GB</x:v>
      </x:c>
      <x:c r="G1542" s="187" t="str">
        <x:v>DE_FC</x:v>
      </x:c>
      <x:c r="H1542" s="187" t="str">
        <x:v>CARRIER_B</x:v>
      </x:c>
      <x:c r="I1542" s="187" t="str">
        <x:v>ROAD</x:v>
      </x:c>
      <x:c r="J1542" s="187" t="str">
        <x:v>FUEL_SURCHARGE</x:v>
      </x:c>
      <x:c r="K1542" s="187" t="str">
        <x:v>GBP</x:v>
      </x:c>
      <x:c r="L1542" s="232" t="n">
        <x:v>554.881234647168</x:v>
      </x:c>
      <x:c r="M1542" s="232" t="n">
        <x:v>9.1</x:v>
      </x:c>
      <x:c r="N1542" s="187" t="str">
        <x:v>5049.419235289228800000000</x:v>
      </x:c>
      <x:c r="O1542" s="235" t="n">
        <x:v>5049.4192</x:v>
      </x:c>
      <x:c r="P1542" s="235"/>
      <x:c r="Q1542" s="235"/>
      <x:c r="R1542" s="235" t="str">
        <x:v>INVOICE_OR_PLAN</x:v>
      </x:c>
      <x:c r="S1542" s="238" t="n">
        <x:f>'Model_Calc'!AG261</x:f>
        <x:v>5049.419235289228</x:v>
      </x:c>
      <x:c r="T1542" s="238" t="n">
        <x:f>ROUND(S1542-O1542,4)</x:f>
        <x:v>0</x:v>
      </x:c>
    </x:row>
    <x:row r="1543">
      <x:c r="A1543" s="187" t="str">
        <x:v>SCENARIO_BASE_2026_08</x:v>
      </x:c>
      <x:c r="B1543" s="187" t="str">
        <x:v>SCENARIO</x:v>
      </x:c>
      <x:c r="C1543" s="187" t="str">
        <x:v>BASE</x:v>
      </x:c>
      <x:c r="D1543" s="217" t="n">
        <x:v>46296</x:v>
      </x:c>
      <x:c r="E1543" s="187" t="str">
        <x:v>R_GB_DE_B_ROAD</x:v>
      </x:c>
      <x:c r="F1543" s="187" t="str">
        <x:v>GB</x:v>
      </x:c>
      <x:c r="G1543" s="187" t="str">
        <x:v>DE_FC</x:v>
      </x:c>
      <x:c r="H1543" s="187" t="str">
        <x:v>CARRIER_B</x:v>
      </x:c>
      <x:c r="I1543" s="187" t="str">
        <x:v>ROAD</x:v>
      </x:c>
      <x:c r="J1543" s="187" t="str">
        <x:v>WAREHOUSE_OPERATION</x:v>
      </x:c>
      <x:c r="K1543" s="187" t="str">
        <x:v>EUR</x:v>
      </x:c>
      <x:c r="L1543" s="232" t="n">
        <x:v>1646.116992</x:v>
      </x:c>
      <x:c r="M1543" s="232" t="n">
        <x:v>7.9</x:v>
      </x:c>
      <x:c r="N1543" s="187" t="str">
        <x:v>13004.3242368000000</x:v>
      </x:c>
      <x:c r="O1543" s="235" t="n">
        <x:v>13004.3242</x:v>
      </x:c>
      <x:c r="P1543" s="235"/>
      <x:c r="Q1543" s="235"/>
      <x:c r="R1543" s="235" t="str">
        <x:v>INVOICE_OR_PLAN</x:v>
      </x:c>
      <x:c r="S1543" s="238" t="n">
        <x:f>'Model_Calc'!AL261</x:f>
        <x:v>13004.324236800003</x:v>
      </x:c>
      <x:c r="T1543" s="238" t="n">
        <x:f>ROUND(S1543-O1543,4)</x:f>
        <x:v>0</x:v>
      </x:c>
    </x:row>
    <x:row r="1544">
      <x:c r="A1544" s="187" t="str">
        <x:v>SCENARIO_BASE_2026_08</x:v>
      </x:c>
      <x:c r="B1544" s="187" t="str">
        <x:v>SCENARIO</x:v>
      </x:c>
      <x:c r="C1544" s="187" t="str">
        <x:v>BASE</x:v>
      </x:c>
      <x:c r="D1544" s="217" t="n">
        <x:v>46296</x:v>
      </x:c>
      <x:c r="E1544" s="187" t="str">
        <x:v>R_GB_DE_B_ROAD</x:v>
      </x:c>
      <x:c r="F1544" s="187" t="str">
        <x:v>GB</x:v>
      </x:c>
      <x:c r="G1544" s="187" t="str">
        <x:v>DE_FC</x:v>
      </x:c>
      <x:c r="H1544" s="187" t="str">
        <x:v>CARRIER_B</x:v>
      </x:c>
      <x:c r="I1544" s="187" t="str">
        <x:v>ROAD</x:v>
      </x:c>
      <x:c r="J1544" s="187" t="str">
        <x:v>PACKAGING</x:v>
      </x:c>
      <x:c r="K1544" s="187" t="str">
        <x:v>EUR</x:v>
      </x:c>
      <x:c r="L1544" s="232" t="n">
        <x:v>685.51007616</x:v>
      </x:c>
      <x:c r="M1544" s="232" t="n">
        <x:v>7.9</x:v>
      </x:c>
      <x:c r="N1544" s="187" t="str">
        <x:v>5415.529601664000000</x:v>
      </x:c>
      <x:c r="O1544" s="235" t="n">
        <x:v>5415.5296</x:v>
      </x:c>
      <x:c r="P1544" s="235"/>
      <x:c r="Q1544" s="235"/>
      <x:c r="R1544" s="235" t="str">
        <x:v>INVOICE_OR_PLAN</x:v>
      </x:c>
      <x:c r="S1544" s="238" t="n">
        <x:f>'Model_Calc'!AQ261</x:f>
        <x:v>5415.5296016639995</x:v>
      </x:c>
      <x:c r="T1544" s="238" t="n">
        <x:f>ROUND(S1544-O1544,4)</x:f>
        <x:v>0</x:v>
      </x:c>
    </x:row>
    <x:row r="1545">
      <x:c r="A1545" s="187" t="str">
        <x:v>SCENARIO_BASE_2026_08</x:v>
      </x:c>
      <x:c r="B1545" s="187" t="str">
        <x:v>SCENARIO</x:v>
      </x:c>
      <x:c r="C1545" s="187" t="str">
        <x:v>BASE</x:v>
      </x:c>
      <x:c r="D1545" s="217" t="n">
        <x:v>46296</x:v>
      </x:c>
      <x:c r="E1545" s="187" t="str">
        <x:v>R_GB_DE_B_ROAD</x:v>
      </x:c>
      <x:c r="F1545" s="187" t="str">
        <x:v>GB</x:v>
      </x:c>
      <x:c r="G1545" s="187" t="str">
        <x:v>DE_FC</x:v>
      </x:c>
      <x:c r="H1545" s="187" t="str">
        <x:v>CARRIER_B</x:v>
      </x:c>
      <x:c r="I1545" s="187" t="str">
        <x:v>ROAD</x:v>
      </x:c>
      <x:c r="J1545" s="187" t="str">
        <x:v>RETURN_LOGISTICS</x:v>
      </x:c>
      <x:c r="K1545" s="187" t="str">
        <x:v>GBP</x:v>
      </x:c>
      <x:c r="L1545" s="232" t="n">
        <x:v>602.6462208</x:v>
      </x:c>
      <x:c r="M1545" s="232" t="n">
        <x:v>9.1</x:v>
      </x:c>
      <x:c r="N1545" s="187" t="str">
        <x:v>5484.0806092800000000</x:v>
      </x:c>
      <x:c r="O1545" s="235" t="n">
        <x:v>5484.0806</x:v>
      </x:c>
      <x:c r="P1545" s="235"/>
      <x:c r="Q1545" s="235"/>
      <x:c r="R1545" s="235" t="str">
        <x:v>INVOICE_OR_PLAN</x:v>
      </x:c>
      <x:c r="S1545" s="238" t="n">
        <x:f>'Model_Calc'!AV261</x:f>
        <x:v>5484.08060928</x:v>
      </x:c>
      <x:c r="T1545" s="238" t="n">
        <x:f>ROUND(S1545-O1545,4)</x:f>
        <x:v>0</x:v>
      </x:c>
    </x:row>
    <x:row r="1546">
      <x:c r="A1546" s="187" t="str">
        <x:v>SCENARIO_BASE_2026_08</x:v>
      </x:c>
      <x:c r="B1546" s="187" t="str">
        <x:v>SCENARIO</x:v>
      </x:c>
      <x:c r="C1546" s="187" t="str">
        <x:v>BASE</x:v>
      </x:c>
      <x:c r="D1546" s="217" t="n">
        <x:v>46296</x:v>
      </x:c>
      <x:c r="E1546" s="187" t="str">
        <x:v>R_GB_DE_B_ROAD</x:v>
      </x:c>
      <x:c r="F1546" s="187" t="str">
        <x:v>GB</x:v>
      </x:c>
      <x:c r="G1546" s="187" t="str">
        <x:v>DE_FC</x:v>
      </x:c>
      <x:c r="H1546" s="187" t="str">
        <x:v>CARRIER_B</x:v>
      </x:c>
      <x:c r="I1546" s="187" t="str">
        <x:v>ROAD</x:v>
      </x:c>
      <x:c r="J1546" s="187" t="str">
        <x:v>BILLABLE_EXCEPTION</x:v>
      </x:c>
      <x:c r="K1546" s="187" t="str">
        <x:v>GBP</x:v>
      </x:c>
      <x:c r="L1546" s="232" t="n">
        <x:v>75.079675008</x:v>
      </x:c>
      <x:c r="M1546" s="232" t="n">
        <x:v>9.1</x:v>
      </x:c>
      <x:c r="N1546" s="187" t="str">
        <x:v>683.225042572800000000</x:v>
      </x:c>
      <x:c r="O1546" s="235" t="n">
        <x:v>683.225</x:v>
      </x:c>
      <x:c r="P1546" s="235"/>
      <x:c r="Q1546" s="235"/>
      <x:c r="R1546" s="235" t="str">
        <x:v>INVOICE_OR_PLAN</x:v>
      </x:c>
      <x:c r="S1546" s="238" t="n">
        <x:f>'Model_Calc'!BA261</x:f>
        <x:v>683.2250425728</x:v>
      </x:c>
      <x:c r="T1546" s="238" t="n">
        <x:f>ROUND(S1546-O1546,4)</x:f>
        <x:v>0</x:v>
      </x:c>
    </x:row>
    <x:row r="1547">
      <x:c r="A1547" s="187" t="str">
        <x:v>SCENARIO_BASE_2026_08</x:v>
      </x:c>
      <x:c r="B1547" s="187" t="str">
        <x:v>SCENARIO</x:v>
      </x:c>
      <x:c r="C1547" s="187" t="str">
        <x:v>BASE</x:v>
      </x:c>
      <x:c r="D1547" s="217" t="n">
        <x:v>46296</x:v>
      </x:c>
      <x:c r="E1547" s="187" t="str">
        <x:v>R_GB_DE_B_AIR</x:v>
      </x:c>
      <x:c r="F1547" s="187" t="str">
        <x:v>GB</x:v>
      </x:c>
      <x:c r="G1547" s="187" t="str">
        <x:v>DE_FC</x:v>
      </x:c>
      <x:c r="H1547" s="187" t="str">
        <x:v>CARRIER_B</x:v>
      </x:c>
      <x:c r="I1547" s="187" t="str">
        <x:v>AIR</x:v>
      </x:c>
      <x:c r="J1547" s="187" t="str">
        <x:v>BASE_FREIGHT</x:v>
      </x:c>
      <x:c r="K1547" s="187" t="str">
        <x:v>GBP</x:v>
      </x:c>
      <x:c r="L1547" s="232" t="n">
        <x:v>12229.824541616883</x:v>
      </x:c>
      <x:c r="M1547" s="232" t="n">
        <x:v>9.1</x:v>
      </x:c>
      <x:c r="N1547" s="187" t="str">
        <x:v>111291.40332871363805184000000</x:v>
      </x:c>
      <x:c r="O1547" s="235" t="n">
        <x:v>111291.4033</x:v>
      </x:c>
      <x:c r="P1547" s="235"/>
      <x:c r="Q1547" s="235"/>
      <x:c r="R1547" s="235" t="str">
        <x:v>INVOICE_OR_PLAN</x:v>
      </x:c>
      <x:c r="S1547" s="238" t="n">
        <x:f>'Model_Calc'!AF262</x:f>
        <x:v>111291.40332871363</x:v>
      </x:c>
      <x:c r="T1547" s="238" t="n">
        <x:f>ROUND(S1547-O1547,4)</x:f>
        <x:v>0</x:v>
      </x:c>
    </x:row>
    <x:row r="1548">
      <x:c r="A1548" s="187" t="str">
        <x:v>SCENARIO_BASE_2026_08</x:v>
      </x:c>
      <x:c r="B1548" s="187" t="str">
        <x:v>SCENARIO</x:v>
      </x:c>
      <x:c r="C1548" s="187" t="str">
        <x:v>BASE</x:v>
      </x:c>
      <x:c r="D1548" s="217" t="n">
        <x:v>46296</x:v>
      </x:c>
      <x:c r="E1548" s="187" t="str">
        <x:v>R_GB_DE_B_AIR</x:v>
      </x:c>
      <x:c r="F1548" s="187" t="str">
        <x:v>GB</x:v>
      </x:c>
      <x:c r="G1548" s="187" t="str">
        <x:v>DE_FC</x:v>
      </x:c>
      <x:c r="H1548" s="187" t="str">
        <x:v>CARRIER_B</x:v>
      </x:c>
      <x:c r="I1548" s="187" t="str">
        <x:v>AIR</x:v>
      </x:c>
      <x:c r="J1548" s="187" t="str">
        <x:v>FUEL_SURCHARGE</x:v>
      </x:c>
      <x:c r="K1548" s="187" t="str">
        <x:v>GBP</x:v>
      </x:c>
      <x:c r="L1548" s="232" t="n">
        <x:v>1513.8810607085875</x:v>
      </x:c>
      <x:c r="M1548" s="232" t="n">
        <x:v>9.1</x:v>
      </x:c>
      <x:c r="N1548" s="187" t="str">
        <x:v>13776.3176524481463998850662400000000</x:v>
      </x:c>
      <x:c r="O1548" s="235" t="n">
        <x:v>13776.3177</x:v>
      </x:c>
      <x:c r="P1548" s="235"/>
      <x:c r="Q1548" s="235"/>
      <x:c r="R1548" s="235" t="str">
        <x:v>INVOICE_OR_PLAN</x:v>
      </x:c>
      <x:c r="S1548" s="238" t="n">
        <x:f>'Model_Calc'!AG262</x:f>
        <x:v>13776.317652448146</x:v>
      </x:c>
      <x:c r="T1548" s="238" t="n">
        <x:f>ROUND(S1548-O1548,4)</x:f>
        <x:v>0</x:v>
      </x:c>
    </x:row>
    <x:row r="1549">
      <x:c r="A1549" s="187" t="str">
        <x:v>SCENARIO_BASE_2026_08</x:v>
      </x:c>
      <x:c r="B1549" s="187" t="str">
        <x:v>SCENARIO</x:v>
      </x:c>
      <x:c r="C1549" s="187" t="str">
        <x:v>BASE</x:v>
      </x:c>
      <x:c r="D1549" s="217" t="n">
        <x:v>46296</x:v>
      </x:c>
      <x:c r="E1549" s="187" t="str">
        <x:v>R_GB_DE_B_AIR</x:v>
      </x:c>
      <x:c r="F1549" s="187" t="str">
        <x:v>GB</x:v>
      </x:c>
      <x:c r="G1549" s="187" t="str">
        <x:v>DE_FC</x:v>
      </x:c>
      <x:c r="H1549" s="187" t="str">
        <x:v>CARRIER_B</x:v>
      </x:c>
      <x:c r="I1549" s="187" t="str">
        <x:v>AIR</x:v>
      </x:c>
      <x:c r="J1549" s="187" t="str">
        <x:v>WAREHOUSE_OPERATION</x:v>
      </x:c>
      <x:c r="K1549" s="187" t="str">
        <x:v>EUR</x:v>
      </x:c>
      <x:c r="L1549" s="232" t="n">
        <x:v>1975.3403904</x:v>
      </x:c>
      <x:c r="M1549" s="232" t="n">
        <x:v>7.9</x:v>
      </x:c>
      <x:c r="N1549" s="187" t="str">
        <x:v>15605.1890841600000</x:v>
      </x:c>
      <x:c r="O1549" s="235" t="n">
        <x:v>15605.1891</x:v>
      </x:c>
      <x:c r="P1549" s="235"/>
      <x:c r="Q1549" s="235"/>
      <x:c r="R1549" s="235" t="str">
        <x:v>INVOICE_OR_PLAN</x:v>
      </x:c>
      <x:c r="S1549" s="238" t="n">
        <x:f>'Model_Calc'!AL262</x:f>
        <x:v>15605.18908416</x:v>
      </x:c>
      <x:c r="T1549" s="238" t="n">
        <x:f>ROUND(S1549-O1549,4)</x:f>
        <x:v>0</x:v>
      </x:c>
    </x:row>
    <x:row r="1550">
      <x:c r="A1550" s="187" t="str">
        <x:v>SCENARIO_BASE_2026_08</x:v>
      </x:c>
      <x:c r="B1550" s="187" t="str">
        <x:v>SCENARIO</x:v>
      </x:c>
      <x:c r="C1550" s="187" t="str">
        <x:v>BASE</x:v>
      </x:c>
      <x:c r="D1550" s="217" t="n">
        <x:v>46296</x:v>
      </x:c>
      <x:c r="E1550" s="187" t="str">
        <x:v>R_GB_DE_B_AIR</x:v>
      </x:c>
      <x:c r="F1550" s="187" t="str">
        <x:v>GB</x:v>
      </x:c>
      <x:c r="G1550" s="187" t="str">
        <x:v>DE_FC</x:v>
      </x:c>
      <x:c r="H1550" s="187" t="str">
        <x:v>CARRIER_B</x:v>
      </x:c>
      <x:c r="I1550" s="187" t="str">
        <x:v>AIR</x:v>
      </x:c>
      <x:c r="J1550" s="187" t="str">
        <x:v>PACKAGING</x:v>
      </x:c>
      <x:c r="K1550" s="187" t="str">
        <x:v>EUR</x:v>
      </x:c>
      <x:c r="L1550" s="232" t="n">
        <x:v>822.612091392</x:v>
      </x:c>
      <x:c r="M1550" s="232" t="n">
        <x:v>7.9</x:v>
      </x:c>
      <x:c r="N1550" s="187" t="str">
        <x:v>6498.635521996800000</x:v>
      </x:c>
      <x:c r="O1550" s="235" t="n">
        <x:v>6498.6355</x:v>
      </x:c>
      <x:c r="P1550" s="235"/>
      <x:c r="Q1550" s="235"/>
      <x:c r="R1550" s="235" t="str">
        <x:v>INVOICE_OR_PLAN</x:v>
      </x:c>
      <x:c r="S1550" s="238" t="n">
        <x:f>'Model_Calc'!AQ262</x:f>
        <x:v>6498.635521996799</x:v>
      </x:c>
      <x:c r="T1550" s="238" t="n">
        <x:f>ROUND(S1550-O1550,4)</x:f>
        <x:v>0</x:v>
      </x:c>
    </x:row>
    <x:row r="1551">
      <x:c r="A1551" s="187" t="str">
        <x:v>SCENARIO_BASE_2026_08</x:v>
      </x:c>
      <x:c r="B1551" s="187" t="str">
        <x:v>SCENARIO</x:v>
      </x:c>
      <x:c r="C1551" s="187" t="str">
        <x:v>BASE</x:v>
      </x:c>
      <x:c r="D1551" s="217" t="n">
        <x:v>46296</x:v>
      </x:c>
      <x:c r="E1551" s="187" t="str">
        <x:v>R_GB_DE_B_AIR</x:v>
      </x:c>
      <x:c r="F1551" s="187" t="str">
        <x:v>GB</x:v>
      </x:c>
      <x:c r="G1551" s="187" t="str">
        <x:v>DE_FC</x:v>
      </x:c>
      <x:c r="H1551" s="187" t="str">
        <x:v>CARRIER_B</x:v>
      </x:c>
      <x:c r="I1551" s="187" t="str">
        <x:v>AIR</x:v>
      </x:c>
      <x:c r="J1551" s="187" t="str">
        <x:v>RETURN_LOGISTICS</x:v>
      </x:c>
      <x:c r="K1551" s="187" t="str">
        <x:v>GBP</x:v>
      </x:c>
      <x:c r="L1551" s="232" t="n">
        <x:v>723.17546496</x:v>
      </x:c>
      <x:c r="M1551" s="232" t="n">
        <x:v>9.1</x:v>
      </x:c>
      <x:c r="N1551" s="187" t="str">
        <x:v>6580.8967311360000000</x:v>
      </x:c>
      <x:c r="O1551" s="235" t="n">
        <x:v>6580.8967</x:v>
      </x:c>
      <x:c r="P1551" s="235"/>
      <x:c r="Q1551" s="235"/>
      <x:c r="R1551" s="235" t="str">
        <x:v>INVOICE_OR_PLAN</x:v>
      </x:c>
      <x:c r="S1551" s="238" t="n">
        <x:f>'Model_Calc'!AV262</x:f>
        <x:v>6580.896731135998</x:v>
      </x:c>
      <x:c r="T1551" s="238" t="n">
        <x:f>ROUND(S1551-O1551,4)</x:f>
        <x:v>0</x:v>
      </x:c>
    </x:row>
    <x:row r="1552">
      <x:c r="A1552" s="187" t="str">
        <x:v>SCENARIO_BASE_2026_08</x:v>
      </x:c>
      <x:c r="B1552" s="187" t="str">
        <x:v>SCENARIO</x:v>
      </x:c>
      <x:c r="C1552" s="187" t="str">
        <x:v>BASE</x:v>
      </x:c>
      <x:c r="D1552" s="217" t="n">
        <x:v>46296</x:v>
      </x:c>
      <x:c r="E1552" s="187" t="str">
        <x:v>R_GB_DE_B_AIR</x:v>
      </x:c>
      <x:c r="F1552" s="187" t="str">
        <x:v>GB</x:v>
      </x:c>
      <x:c r="G1552" s="187" t="str">
        <x:v>DE_FC</x:v>
      </x:c>
      <x:c r="H1552" s="187" t="str">
        <x:v>CARRIER_B</x:v>
      </x:c>
      <x:c r="I1552" s="187" t="str">
        <x:v>AIR</x:v>
      </x:c>
      <x:c r="J1552" s="187" t="str">
        <x:v>BILLABLE_EXCEPTION</x:v>
      </x:c>
      <x:c r="K1552" s="187" t="str">
        <x:v>GBP</x:v>
      </x:c>
      <x:c r="L1552" s="232" t="n">
        <x:v>87.74528974848</x:v>
      </x:c>
      <x:c r="M1552" s="232" t="n">
        <x:v>9.1</x:v>
      </x:c>
      <x:c r="N1552" s="187" t="str">
        <x:v>798.482136711168000000</x:v>
      </x:c>
      <x:c r="O1552" s="235" t="n">
        <x:v>798.4821</x:v>
      </x:c>
      <x:c r="P1552" s="235"/>
      <x:c r="Q1552" s="235"/>
      <x:c r="R1552" s="235" t="str">
        <x:v>INVOICE_OR_PLAN</x:v>
      </x:c>
      <x:c r="S1552" s="238" t="n">
        <x:f>'Model_Calc'!BA262</x:f>
        <x:v>798.4821367111679</x:v>
      </x:c>
      <x:c r="T1552" s="238" t="n">
        <x:f>ROUND(S1552-O1552,4)</x:f>
        <x:v>0</x:v>
      </x:c>
    </x:row>
    <x:row r="1553">
      <x:c r="A1553" s="187" t="str">
        <x:v>SCENARIO_BASE_2026_08</x:v>
      </x:c>
      <x:c r="B1553" s="187" t="str">
        <x:v>SCENARIO</x:v>
      </x:c>
      <x:c r="C1553" s="187" t="str">
        <x:v>BASE</x:v>
      </x:c>
      <x:c r="D1553" s="217" t="n">
        <x:v>46296</x:v>
      </x:c>
      <x:c r="E1553" s="187" t="str">
        <x:v>R_GB_DE_C_AIR</x:v>
      </x:c>
      <x:c r="F1553" s="187" t="str">
        <x:v>GB</x:v>
      </x:c>
      <x:c r="G1553" s="187" t="str">
        <x:v>DE_FC</x:v>
      </x:c>
      <x:c r="H1553" s="187" t="str">
        <x:v>CARRIER_C</x:v>
      </x:c>
      <x:c r="I1553" s="187" t="str">
        <x:v>AIR</x:v>
      </x:c>
      <x:c r="J1553" s="187" t="str">
        <x:v>BASE_FREIGHT</x:v>
      </x:c>
      <x:c r="K1553" s="187" t="str">
        <x:v>GBP</x:v>
      </x:c>
      <x:c r="L1553" s="232" t="n">
        <x:v>12298.185909725415</x:v>
      </x:c>
      <x:c r="M1553" s="232" t="n">
        <x:v>9.1</x:v>
      </x:c>
      <x:c r="N1553" s="187" t="str">
        <x:v>111913.49177850127104000000000</x:v>
      </x:c>
      <x:c r="O1553" s="235" t="n">
        <x:v>111913.4918</x:v>
      </x:c>
      <x:c r="P1553" s="235"/>
      <x:c r="Q1553" s="235"/>
      <x:c r="R1553" s="235" t="str">
        <x:v>INVOICE_OR_PLAN</x:v>
      </x:c>
      <x:c r="S1553" s="238" t="n">
        <x:f>'Model_Calc'!AF263</x:f>
        <x:v>111913.49177850125</x:v>
      </x:c>
      <x:c r="T1553" s="238" t="n">
        <x:f>ROUND(S1553-O1553,4)</x:f>
        <x:v>0</x:v>
      </x:c>
    </x:row>
    <x:row r="1554">
      <x:c r="A1554" s="187" t="str">
        <x:v>SCENARIO_BASE_2026_08</x:v>
      </x:c>
      <x:c r="B1554" s="187" t="str">
        <x:v>SCENARIO</x:v>
      </x:c>
      <x:c r="C1554" s="187" t="str">
        <x:v>BASE</x:v>
      </x:c>
      <x:c r="D1554" s="217" t="n">
        <x:v>46296</x:v>
      </x:c>
      <x:c r="E1554" s="187" t="str">
        <x:v>R_GB_DE_C_AIR</x:v>
      </x:c>
      <x:c r="F1554" s="187" t="str">
        <x:v>GB</x:v>
      </x:c>
      <x:c r="G1554" s="187" t="str">
        <x:v>DE_FC</x:v>
      </x:c>
      <x:c r="H1554" s="187" t="str">
        <x:v>CARRIER_C</x:v>
      </x:c>
      <x:c r="I1554" s="187" t="str">
        <x:v>AIR</x:v>
      </x:c>
      <x:c r="J1554" s="187" t="str">
        <x:v>FUEL_SURCHARGE</x:v>
      </x:c>
      <x:c r="K1554" s="187" t="str">
        <x:v>GBP</x:v>
      </x:c>
      <x:c r="L1554" s="232" t="n">
        <x:v>951.0597103520987</x:v>
      </x:c>
      <x:c r="M1554" s="232" t="n">
        <x:v>9.1</x:v>
      </x:c>
      <x:c r="N1554" s="187" t="str">
        <x:v>8654.64336420409829376000000</x:v>
      </x:c>
      <x:c r="O1554" s="235" t="n">
        <x:v>8654.6434</x:v>
      </x:c>
      <x:c r="P1554" s="235"/>
      <x:c r="Q1554" s="235"/>
      <x:c r="R1554" s="235" t="str">
        <x:v>INVOICE_OR_PLAN</x:v>
      </x:c>
      <x:c r="S1554" s="238" t="n">
        <x:f>'Model_Calc'!AG263</x:f>
        <x:v>8654.643364204097</x:v>
      </x:c>
      <x:c r="T1554" s="238" t="n">
        <x:f>ROUND(S1554-O1554,4)</x:f>
        <x:v>0</x:v>
      </x:c>
    </x:row>
    <x:row r="1555">
      <x:c r="A1555" s="187" t="str">
        <x:v>SCENARIO_BASE_2026_08</x:v>
      </x:c>
      <x:c r="B1555" s="187" t="str">
        <x:v>SCENARIO</x:v>
      </x:c>
      <x:c r="C1555" s="187" t="str">
        <x:v>BASE</x:v>
      </x:c>
      <x:c r="D1555" s="217" t="n">
        <x:v>46296</x:v>
      </x:c>
      <x:c r="E1555" s="187" t="str">
        <x:v>R_GB_DE_C_AIR</x:v>
      </x:c>
      <x:c r="F1555" s="187" t="str">
        <x:v>GB</x:v>
      </x:c>
      <x:c r="G1555" s="187" t="str">
        <x:v>DE_FC</x:v>
      </x:c>
      <x:c r="H1555" s="187" t="str">
        <x:v>CARRIER_C</x:v>
      </x:c>
      <x:c r="I1555" s="187" t="str">
        <x:v>AIR</x:v>
      </x:c>
      <x:c r="J1555" s="187" t="str">
        <x:v>WAREHOUSE_OPERATION</x:v>
      </x:c>
      <x:c r="K1555" s="187" t="str">
        <x:v>EUR</x:v>
      </x:c>
      <x:c r="L1555" s="232" t="n">
        <x:v>1646.116992</x:v>
      </x:c>
      <x:c r="M1555" s="232" t="n">
        <x:v>7.9</x:v>
      </x:c>
      <x:c r="N1555" s="187" t="str">
        <x:v>13004.3242368000000</x:v>
      </x:c>
      <x:c r="O1555" s="235" t="n">
        <x:v>13004.3242</x:v>
      </x:c>
      <x:c r="P1555" s="235"/>
      <x:c r="Q1555" s="235"/>
      <x:c r="R1555" s="235" t="str">
        <x:v>INVOICE_OR_PLAN</x:v>
      </x:c>
      <x:c r="S1555" s="238" t="n">
        <x:f>'Model_Calc'!AL263</x:f>
        <x:v>13004.324236800003</x:v>
      </x:c>
      <x:c r="T1555" s="238" t="n">
        <x:f>ROUND(S1555-O1555,4)</x:f>
        <x:v>0</x:v>
      </x:c>
    </x:row>
    <x:row r="1556">
      <x:c r="A1556" s="187" t="str">
        <x:v>SCENARIO_BASE_2026_08</x:v>
      </x:c>
      <x:c r="B1556" s="187" t="str">
        <x:v>SCENARIO</x:v>
      </x:c>
      <x:c r="C1556" s="187" t="str">
        <x:v>BASE</x:v>
      </x:c>
      <x:c r="D1556" s="217" t="n">
        <x:v>46296</x:v>
      </x:c>
      <x:c r="E1556" s="187" t="str">
        <x:v>R_GB_DE_C_AIR</x:v>
      </x:c>
      <x:c r="F1556" s="187" t="str">
        <x:v>GB</x:v>
      </x:c>
      <x:c r="G1556" s="187" t="str">
        <x:v>DE_FC</x:v>
      </x:c>
      <x:c r="H1556" s="187" t="str">
        <x:v>CARRIER_C</x:v>
      </x:c>
      <x:c r="I1556" s="187" t="str">
        <x:v>AIR</x:v>
      </x:c>
      <x:c r="J1556" s="187" t="str">
        <x:v>PACKAGING</x:v>
      </x:c>
      <x:c r="K1556" s="187" t="str">
        <x:v>EUR</x:v>
      </x:c>
      <x:c r="L1556" s="232" t="n">
        <x:v>685.51007616</x:v>
      </x:c>
      <x:c r="M1556" s="232" t="n">
        <x:v>7.9</x:v>
      </x:c>
      <x:c r="N1556" s="187" t="str">
        <x:v>5415.529601664000000</x:v>
      </x:c>
      <x:c r="O1556" s="235" t="n">
        <x:v>5415.5296</x:v>
      </x:c>
      <x:c r="P1556" s="235"/>
      <x:c r="Q1556" s="235"/>
      <x:c r="R1556" s="235" t="str">
        <x:v>INVOICE_OR_PLAN</x:v>
      </x:c>
      <x:c r="S1556" s="238" t="n">
        <x:f>'Model_Calc'!AQ263</x:f>
        <x:v>5415.5296016639995</x:v>
      </x:c>
      <x:c r="T1556" s="238" t="n">
        <x:f>ROUND(S1556-O1556,4)</x:f>
        <x:v>0</x:v>
      </x:c>
    </x:row>
    <x:row r="1557">
      <x:c r="A1557" s="187" t="str">
        <x:v>SCENARIO_BASE_2026_08</x:v>
      </x:c>
      <x:c r="B1557" s="187" t="str">
        <x:v>SCENARIO</x:v>
      </x:c>
      <x:c r="C1557" s="187" t="str">
        <x:v>BASE</x:v>
      </x:c>
      <x:c r="D1557" s="217" t="n">
        <x:v>46296</x:v>
      </x:c>
      <x:c r="E1557" s="187" t="str">
        <x:v>R_GB_DE_C_AIR</x:v>
      </x:c>
      <x:c r="F1557" s="187" t="str">
        <x:v>GB</x:v>
      </x:c>
      <x:c r="G1557" s="187" t="str">
        <x:v>DE_FC</x:v>
      </x:c>
      <x:c r="H1557" s="187" t="str">
        <x:v>CARRIER_C</x:v>
      </x:c>
      <x:c r="I1557" s="187" t="str">
        <x:v>AIR</x:v>
      </x:c>
      <x:c r="J1557" s="187" t="str">
        <x:v>RETURN_LOGISTICS</x:v>
      </x:c>
      <x:c r="K1557" s="187" t="str">
        <x:v>GBP</x:v>
      </x:c>
      <x:c r="L1557" s="232" t="n">
        <x:v>602.6462208</x:v>
      </x:c>
      <x:c r="M1557" s="232" t="n">
        <x:v>9.1</x:v>
      </x:c>
      <x:c r="N1557" s="187" t="str">
        <x:v>5484.0806092800000000</x:v>
      </x:c>
      <x:c r="O1557" s="235" t="n">
        <x:v>5484.0806</x:v>
      </x:c>
      <x:c r="P1557" s="235"/>
      <x:c r="Q1557" s="235"/>
      <x:c r="R1557" s="235" t="str">
        <x:v>INVOICE_OR_PLAN</x:v>
      </x:c>
      <x:c r="S1557" s="238" t="n">
        <x:f>'Model_Calc'!AV263</x:f>
        <x:v>5484.08060928</x:v>
      </x:c>
      <x:c r="T1557" s="238" t="n">
        <x:f>ROUND(S1557-O1557,4)</x:f>
        <x:v>0</x:v>
      </x:c>
    </x:row>
    <x:row r="1558">
      <x:c r="A1558" s="187" t="str">
        <x:v>SCENARIO_BASE_2026_08</x:v>
      </x:c>
      <x:c r="B1558" s="187" t="str">
        <x:v>SCENARIO</x:v>
      </x:c>
      <x:c r="C1558" s="187" t="str">
        <x:v>BASE</x:v>
      </x:c>
      <x:c r="D1558" s="217" t="n">
        <x:v>46296</x:v>
      </x:c>
      <x:c r="E1558" s="187" t="str">
        <x:v>R_GB_DE_C_AIR</x:v>
      </x:c>
      <x:c r="F1558" s="187" t="str">
        <x:v>GB</x:v>
      </x:c>
      <x:c r="G1558" s="187" t="str">
        <x:v>DE_FC</x:v>
      </x:c>
      <x:c r="H1558" s="187" t="str">
        <x:v>CARRIER_C</x:v>
      </x:c>
      <x:c r="I1558" s="187" t="str">
        <x:v>AIR</x:v>
      </x:c>
      <x:c r="J1558" s="187" t="str">
        <x:v>BILLABLE_EXCEPTION</x:v>
      </x:c>
      <x:c r="K1558" s="187" t="str">
        <x:v>GBP</x:v>
      </x:c>
      <x:c r="L1558" s="232" t="n">
        <x:v>64.6338071808</x:v>
      </x:c>
      <x:c r="M1558" s="232" t="n">
        <x:v>9.1</x:v>
      </x:c>
      <x:c r="N1558" s="187" t="str">
        <x:v>588.167645345280000000</x:v>
      </x:c>
      <x:c r="O1558" s="235" t="n">
        <x:v>588.1676</x:v>
      </x:c>
      <x:c r="P1558" s="235"/>
      <x:c r="Q1558" s="235"/>
      <x:c r="R1558" s="235" t="str">
        <x:v>INVOICE_OR_PLAN</x:v>
      </x:c>
      <x:c r="S1558" s="238" t="n">
        <x:f>'Model_Calc'!BA263</x:f>
        <x:v>588.16764534528</x:v>
      </x:c>
      <x:c r="T1558" s="238" t="n">
        <x:f>ROUND(S1558-O1558,4)</x:f>
        <x:v>0</x:v>
      </x:c>
    </x:row>
    <x:row r="1559">
      <x:c r="A1559" s="187" t="str">
        <x:v>SCENARIO_BASE_2026_08</x:v>
      </x:c>
      <x:c r="B1559" s="187" t="str">
        <x:v>SCENARIO</x:v>
      </x:c>
      <x:c r="C1559" s="187" t="str">
        <x:v>BASE</x:v>
      </x:c>
      <x:c r="D1559" s="217" t="n">
        <x:v>46296</x:v>
      </x:c>
      <x:c r="E1559" s="187" t="str">
        <x:v>R_GB_FR_B_AIR</x:v>
      </x:c>
      <x:c r="F1559" s="187" t="str">
        <x:v>GB</x:v>
      </x:c>
      <x:c r="G1559" s="187" t="str">
        <x:v>FR_FC</x:v>
      </x:c>
      <x:c r="H1559" s="187" t="str">
        <x:v>CARRIER_B</x:v>
      </x:c>
      <x:c r="I1559" s="187" t="str">
        <x:v>AIR</x:v>
      </x:c>
      <x:c r="J1559" s="187" t="str">
        <x:v>BASE_FREIGHT</x:v>
      </x:c>
      <x:c r="K1559" s="187" t="str">
        <x:v>EUR</x:v>
      </x:c>
      <x:c r="L1559" s="232" t="n">
        <x:v>2112.33197280456</x:v>
      </x:c>
      <x:c r="M1559" s="232" t="n">
        <x:v>7.9</x:v>
      </x:c>
      <x:c r="N1559" s="187" t="str">
        <x:v>16687.4225851560240000000</x:v>
      </x:c>
      <x:c r="O1559" s="235" t="n">
        <x:v>16687.4226</x:v>
      </x:c>
      <x:c r="P1559" s="235"/>
      <x:c r="Q1559" s="235"/>
      <x:c r="R1559" s="235" t="str">
        <x:v>INVOICE_OR_PLAN</x:v>
      </x:c>
      <x:c r="S1559" s="238" t="n">
        <x:f>'Model_Calc'!AF264</x:f>
        <x:v>16687.422585156022</x:v>
      </x:c>
      <x:c r="T1559" s="238" t="n">
        <x:f>ROUND(S1559-O1559,4)</x:f>
        <x:v>0</x:v>
      </x:c>
    </x:row>
    <x:row r="1560">
      <x:c r="A1560" s="187" t="str">
        <x:v>SCENARIO_BASE_2026_08</x:v>
      </x:c>
      <x:c r="B1560" s="187" t="str">
        <x:v>SCENARIO</x:v>
      </x:c>
      <x:c r="C1560" s="187" t="str">
        <x:v>BASE</x:v>
      </x:c>
      <x:c r="D1560" s="217" t="n">
        <x:v>46296</x:v>
      </x:c>
      <x:c r="E1560" s="187" t="str">
        <x:v>R_GB_FR_B_AIR</x:v>
      </x:c>
      <x:c r="F1560" s="187" t="str">
        <x:v>GB</x:v>
      </x:c>
      <x:c r="G1560" s="187" t="str">
        <x:v>FR_FC</x:v>
      </x:c>
      <x:c r="H1560" s="187" t="str">
        <x:v>CARRIER_B</x:v>
      </x:c>
      <x:c r="I1560" s="187" t="str">
        <x:v>AIR</x:v>
      </x:c>
      <x:c r="J1560" s="187" t="str">
        <x:v>FUEL_SURCHARGE</x:v>
      </x:c>
      <x:c r="K1560" s="187" t="str">
        <x:v>EUR</x:v>
      </x:c>
      <x:c r="L1560" s="232" t="n">
        <x:v>229.55767714453555</x:v>
      </x:c>
      <x:c r="M1560" s="232" t="n">
        <x:v>7.9</x:v>
      </x:c>
      <x:c r="N1560" s="187" t="str">
        <x:v>1813.5056494418309082000000000</x:v>
      </x:c>
      <x:c r="O1560" s="235" t="n">
        <x:v>1813.5056</x:v>
      </x:c>
      <x:c r="P1560" s="235"/>
      <x:c r="Q1560" s="235"/>
      <x:c r="R1560" s="235" t="str">
        <x:v>INVOICE_OR_PLAN</x:v>
      </x:c>
      <x:c r="S1560" s="238" t="n">
        <x:f>'Model_Calc'!AG264</x:f>
        <x:v>1813.5056494418309</x:v>
      </x:c>
      <x:c r="T1560" s="238" t="n">
        <x:f>ROUND(S1560-O1560,4)</x:f>
        <x:v>0</x:v>
      </x:c>
    </x:row>
    <x:row r="1561">
      <x:c r="A1561" s="187" t="str">
        <x:v>SCENARIO_BASE_2026_08</x:v>
      </x:c>
      <x:c r="B1561" s="187" t="str">
        <x:v>SCENARIO</x:v>
      </x:c>
      <x:c r="C1561" s="187" t="str">
        <x:v>BASE</x:v>
      </x:c>
      <x:c r="D1561" s="217" t="n">
        <x:v>46296</x:v>
      </x:c>
      <x:c r="E1561" s="187" t="str">
        <x:v>R_GB_FR_B_AIR</x:v>
      </x:c>
      <x:c r="F1561" s="187" t="str">
        <x:v>GB</x:v>
      </x:c>
      <x:c r="G1561" s="187" t="str">
        <x:v>FR_FC</x:v>
      </x:c>
      <x:c r="H1561" s="187" t="str">
        <x:v>CARRIER_B</x:v>
      </x:c>
      <x:c r="I1561" s="187" t="str">
        <x:v>AIR</x:v>
      </x:c>
      <x:c r="J1561" s="187" t="str">
        <x:v>WAREHOUSE_OPERATION</x:v>
      </x:c>
      <x:c r="K1561" s="187" t="str">
        <x:v>EUR</x:v>
      </x:c>
      <x:c r="L1561" s="232" t="n">
        <x:v>305.1594</x:v>
      </x:c>
      <x:c r="M1561" s="232" t="n">
        <x:v>7.9</x:v>
      </x:c>
      <x:c r="N1561" s="187" t="str">
        <x:v>2410.75926000000</x:v>
      </x:c>
      <x:c r="O1561" s="235" t="n">
        <x:v>2410.7593</x:v>
      </x:c>
      <x:c r="P1561" s="235"/>
      <x:c r="Q1561" s="235"/>
      <x:c r="R1561" s="235" t="str">
        <x:v>INVOICE_OR_PLAN</x:v>
      </x:c>
      <x:c r="S1561" s="238" t="n">
        <x:f>'Model_Calc'!AL264</x:f>
        <x:v>2410.7592600000007</x:v>
      </x:c>
      <x:c r="T1561" s="238" t="n">
        <x:f>ROUND(S1561-O1561,4)</x:f>
        <x:v>0</x:v>
      </x:c>
    </x:row>
    <x:row r="1562">
      <x:c r="A1562" s="187" t="str">
        <x:v>SCENARIO_BASE_2026_08</x:v>
      </x:c>
      <x:c r="B1562" s="187" t="str">
        <x:v>SCENARIO</x:v>
      </x:c>
      <x:c r="C1562" s="187" t="str">
        <x:v>BASE</x:v>
      </x:c>
      <x:c r="D1562" s="217" t="n">
        <x:v>46296</x:v>
      </x:c>
      <x:c r="E1562" s="187" t="str">
        <x:v>R_GB_FR_B_AIR</x:v>
      </x:c>
      <x:c r="F1562" s="187" t="str">
        <x:v>GB</x:v>
      </x:c>
      <x:c r="G1562" s="187" t="str">
        <x:v>FR_FC</x:v>
      </x:c>
      <x:c r="H1562" s="187" t="str">
        <x:v>CARRIER_B</x:v>
      </x:c>
      <x:c r="I1562" s="187" t="str">
        <x:v>AIR</x:v>
      </x:c>
      <x:c r="J1562" s="187" t="str">
        <x:v>PACKAGING</x:v>
      </x:c>
      <x:c r="K1562" s="187" t="str">
        <x:v>EUR</x:v>
      </x:c>
      <x:c r="L1562" s="232" t="n">
        <x:v>129.2132088</x:v>
      </x:c>
      <x:c r="M1562" s="232" t="n">
        <x:v>7.9</x:v>
      </x:c>
      <x:c r="N1562" s="187" t="str">
        <x:v>1020.7843495200000</x:v>
      </x:c>
      <x:c r="O1562" s="235" t="n">
        <x:v>1020.7843</x:v>
      </x:c>
      <x:c r="P1562" s="235"/>
      <x:c r="Q1562" s="235"/>
      <x:c r="R1562" s="235" t="str">
        <x:v>INVOICE_OR_PLAN</x:v>
      </x:c>
      <x:c r="S1562" s="238" t="n">
        <x:f>'Model_Calc'!AQ264</x:f>
        <x:v>1020.78434952</x:v>
      </x:c>
      <x:c r="T1562" s="238" t="n">
        <x:f>ROUND(S1562-O1562,4)</x:f>
        <x:v>0</x:v>
      </x:c>
    </x:row>
    <x:row r="1563">
      <x:c r="A1563" s="187" t="str">
        <x:v>SCENARIO_BASE_2026_08</x:v>
      </x:c>
      <x:c r="B1563" s="187" t="str">
        <x:v>SCENARIO</x:v>
      </x:c>
      <x:c r="C1563" s="187" t="str">
        <x:v>BASE</x:v>
      </x:c>
      <x:c r="D1563" s="217" t="n">
        <x:v>46296</x:v>
      </x:c>
      <x:c r="E1563" s="187" t="str">
        <x:v>R_GB_FR_B_AIR</x:v>
      </x:c>
      <x:c r="F1563" s="187" t="str">
        <x:v>GB</x:v>
      </x:c>
      <x:c r="G1563" s="187" t="str">
        <x:v>FR_FC</x:v>
      </x:c>
      <x:c r="H1563" s="187" t="str">
        <x:v>CARRIER_B</x:v>
      </x:c>
      <x:c r="I1563" s="187" t="str">
        <x:v>AIR</x:v>
      </x:c>
      <x:c r="J1563" s="187" t="str">
        <x:v>RETURN_LOGISTICS</x:v>
      </x:c>
      <x:c r="K1563" s="187" t="str">
        <x:v>EUR</x:v>
      </x:c>
      <x:c r="L1563" s="232" t="n">
        <x:v>136.013904</x:v>
      </x:c>
      <x:c r="M1563" s="232" t="n">
        <x:v>7.9</x:v>
      </x:c>
      <x:c r="N1563" s="187" t="str">
        <x:v>1074.50984160000000</x:v>
      </x:c>
      <x:c r="O1563" s="235" t="n">
        <x:v>1074.5098</x:v>
      </x:c>
      <x:c r="P1563" s="235"/>
      <x:c r="Q1563" s="235"/>
      <x:c r="R1563" s="235" t="str">
        <x:v>INVOICE_OR_PLAN</x:v>
      </x:c>
      <x:c r="S1563" s="238" t="n">
        <x:f>'Model_Calc'!AV264</x:f>
        <x:v>1074.5098416</x:v>
      </x:c>
      <x:c r="T1563" s="238" t="n">
        <x:f>ROUND(S1563-O1563,4)</x:f>
        <x:v>0</x:v>
      </x:c>
    </x:row>
    <x:row r="1564">
      <x:c r="A1564" s="187" t="str">
        <x:v>SCENARIO_BASE_2026_08</x:v>
      </x:c>
      <x:c r="B1564" s="187" t="str">
        <x:v>SCENARIO</x:v>
      </x:c>
      <x:c r="C1564" s="187" t="str">
        <x:v>BASE</x:v>
      </x:c>
      <x:c r="D1564" s="217" t="n">
        <x:v>46296</x:v>
      </x:c>
      <x:c r="E1564" s="187" t="str">
        <x:v>R_GB_FR_B_AIR</x:v>
      </x:c>
      <x:c r="F1564" s="187" t="str">
        <x:v>GB</x:v>
      </x:c>
      <x:c r="G1564" s="187" t="str">
        <x:v>FR_FC</x:v>
      </x:c>
      <x:c r="H1564" s="187" t="str">
        <x:v>CARRIER_B</x:v>
      </x:c>
      <x:c r="I1564" s="187" t="str">
        <x:v>AIR</x:v>
      </x:c>
      <x:c r="J1564" s="187" t="str">
        <x:v>BILLABLE_EXCEPTION</x:v>
      </x:c>
      <x:c r="K1564" s="187" t="str">
        <x:v>EUR</x:v>
      </x:c>
      <x:c r="L1564" s="232" t="n">
        <x:v>13.329362592</x:v>
      </x:c>
      <x:c r="M1564" s="232" t="n">
        <x:v>7.9</x:v>
      </x:c>
      <x:c r="N1564" s="187" t="str">
        <x:v>105.3019644768000000</x:v>
      </x:c>
      <x:c r="O1564" s="235" t="n">
        <x:v>105.302</x:v>
      </x:c>
      <x:c r="P1564" s="235"/>
      <x:c r="Q1564" s="235"/>
      <x:c r="R1564" s="235" t="str">
        <x:v>INVOICE_OR_PLAN</x:v>
      </x:c>
      <x:c r="S1564" s="238" t="n">
        <x:f>'Model_Calc'!BA264</x:f>
        <x:v>105.30196447680002</x:v>
      </x:c>
      <x:c r="T1564" s="238" t="n">
        <x:f>ROUND(S1564-O1564,4)</x:f>
        <x:v>0</x:v>
      </x:c>
    </x:row>
    <x:row r="1565">
      <x:c r="A1565" s="187" t="str">
        <x:v>SCENARIO_BASE_2026_08</x:v>
      </x:c>
      <x:c r="B1565" s="187" t="str">
        <x:v>SCENARIO</x:v>
      </x:c>
      <x:c r="C1565" s="187" t="str">
        <x:v>BASE</x:v>
      </x:c>
      <x:c r="D1565" s="217" t="n">
        <x:v>46327</x:v>
      </x:c>
      <x:c r="E1565" s="187" t="str">
        <x:v>R_DE_DE_A_ROAD</x:v>
      </x:c>
      <x:c r="F1565" s="187" t="str">
        <x:v>DE</x:v>
      </x:c>
      <x:c r="G1565" s="187" t="str">
        <x:v>DE_FC</x:v>
      </x:c>
      <x:c r="H1565" s="187" t="str">
        <x:v>CARRIER_A</x:v>
      </x:c>
      <x:c r="I1565" s="187" t="str">
        <x:v>ROAD</x:v>
      </x:c>
      <x:c r="J1565" s="187" t="str">
        <x:v>BASE_FREIGHT</x:v>
      </x:c>
      <x:c r="K1565" s="187" t="str">
        <x:v>EUR</x:v>
      </x:c>
      <x:c r="L1565" s="232" t="n">
        <x:v>8699.47310808576</x:v>
      </x:c>
      <x:c r="M1565" s="232" t="n">
        <x:v>7.88</x:v>
      </x:c>
      <x:c r="N1565" s="187" t="str">
        <x:v>68551.8480917157888000000</x:v>
      </x:c>
      <x:c r="O1565" s="235" t="n">
        <x:v>68551.8481</x:v>
      </x:c>
      <x:c r="P1565" s="235"/>
      <x:c r="Q1565" s="235"/>
      <x:c r="R1565" s="235" t="str">
        <x:v>INVOICE_OR_PLAN</x:v>
      </x:c>
      <x:c r="S1565" s="238" t="n">
        <x:f>'Model_Calc'!AF265</x:f>
        <x:v>68551.84809171577</x:v>
      </x:c>
      <x:c r="T1565" s="238" t="n">
        <x:f>ROUND(S1565-O1565,4)</x:f>
        <x:v>0</x:v>
      </x:c>
    </x:row>
    <x:row r="1566">
      <x:c r="A1566" s="187" t="str">
        <x:v>SCENARIO_BASE_2026_08</x:v>
      </x:c>
      <x:c r="B1566" s="187" t="str">
        <x:v>SCENARIO</x:v>
      </x:c>
      <x:c r="C1566" s="187" t="str">
        <x:v>BASE</x:v>
      </x:c>
      <x:c r="D1566" s="217" t="n">
        <x:v>46327</x:v>
      </x:c>
      <x:c r="E1566" s="187" t="str">
        <x:v>R_DE_DE_A_ROAD</x:v>
      </x:c>
      <x:c r="F1566" s="187" t="str">
        <x:v>DE</x:v>
      </x:c>
      <x:c r="G1566" s="187" t="str">
        <x:v>DE_FC</x:v>
      </x:c>
      <x:c r="H1566" s="187" t="str">
        <x:v>CARRIER_A</x:v>
      </x:c>
      <x:c r="I1566" s="187" t="str">
        <x:v>ROAD</x:v>
      </x:c>
      <x:c r="J1566" s="187" t="str">
        <x:v>FUEL_SURCHARGE</x:v>
      </x:c>
      <x:c r="K1566" s="187" t="str">
        <x:v>EUR</x:v>
      </x:c>
      <x:c r="L1566" s="232" t="n">
        <x:v>855.3756933525324</x:v>
      </x:c>
      <x:c r="M1566" s="232" t="n">
        <x:v>7.88</x:v>
      </x:c>
      <x:c r="N1566" s="187" t="str">
        <x:v>6740.3604636179549337600000000</x:v>
      </x:c>
      <x:c r="O1566" s="235" t="n">
        <x:v>6740.3605</x:v>
      </x:c>
      <x:c r="P1566" s="235"/>
      <x:c r="Q1566" s="235"/>
      <x:c r="R1566" s="235" t="str">
        <x:v>INVOICE_OR_PLAN</x:v>
      </x:c>
      <x:c r="S1566" s="238" t="n">
        <x:f>'Model_Calc'!AG265</x:f>
        <x:v>6740.360463617953</x:v>
      </x:c>
      <x:c r="T1566" s="238" t="n">
        <x:f>ROUND(S1566-O1566,4)</x:f>
        <x:v>0</x:v>
      </x:c>
    </x:row>
    <x:row r="1567">
      <x:c r="A1567" s="187" t="str">
        <x:v>SCENARIO_BASE_2026_08</x:v>
      </x:c>
      <x:c r="B1567" s="187" t="str">
        <x:v>SCENARIO</x:v>
      </x:c>
      <x:c r="C1567" s="187" t="str">
        <x:v>BASE</x:v>
      </x:c>
      <x:c r="D1567" s="217" t="n">
        <x:v>46327</x:v>
      </x:c>
      <x:c r="E1567" s="187" t="str">
        <x:v>R_DE_DE_A_ROAD</x:v>
      </x:c>
      <x:c r="F1567" s="187" t="str">
        <x:v>DE</x:v>
      </x:c>
      <x:c r="G1567" s="187" t="str">
        <x:v>DE_FC</x:v>
      </x:c>
      <x:c r="H1567" s="187" t="str">
        <x:v>CARRIER_A</x:v>
      </x:c>
      <x:c r="I1567" s="187" t="str">
        <x:v>ROAD</x:v>
      </x:c>
      <x:c r="J1567" s="187" t="str">
        <x:v>WAREHOUSE_OPERATION</x:v>
      </x:c>
      <x:c r="K1567" s="187" t="str">
        <x:v>EUR</x:v>
      </x:c>
      <x:c r="L1567" s="232" t="n">
        <x:v>5640.8818176</x:v>
      </x:c>
      <x:c r="M1567" s="232" t="n">
        <x:v>7.88</x:v>
      </x:c>
      <x:c r="N1567" s="187" t="str">
        <x:v>44450.1487226880000</x:v>
      </x:c>
      <x:c r="O1567" s="235" t="n">
        <x:v>44450.1487</x:v>
      </x:c>
      <x:c r="P1567" s="235"/>
      <x:c r="Q1567" s="235"/>
      <x:c r="R1567" s="235" t="str">
        <x:v>INVOICE_OR_PLAN</x:v>
      </x:c>
      <x:c r="S1567" s="238" t="n">
        <x:f>'Model_Calc'!AL265</x:f>
        <x:v>44450.148722688</x:v>
      </x:c>
      <x:c r="T1567" s="238" t="n">
        <x:f>ROUND(S1567-O1567,4)</x:f>
        <x:v>0</x:v>
      </x:c>
    </x:row>
    <x:row r="1568">
      <x:c r="A1568" s="187" t="str">
        <x:v>SCENARIO_BASE_2026_08</x:v>
      </x:c>
      <x:c r="B1568" s="187" t="str">
        <x:v>SCENARIO</x:v>
      </x:c>
      <x:c r="C1568" s="187" t="str">
        <x:v>BASE</x:v>
      </x:c>
      <x:c r="D1568" s="217" t="n">
        <x:v>46327</x:v>
      </x:c>
      <x:c r="E1568" s="187" t="str">
        <x:v>R_DE_DE_A_ROAD</x:v>
      </x:c>
      <x:c r="F1568" s="187" t="str">
        <x:v>DE</x:v>
      </x:c>
      <x:c r="G1568" s="187" t="str">
        <x:v>DE_FC</x:v>
      </x:c>
      <x:c r="H1568" s="187" t="str">
        <x:v>CARRIER_A</x:v>
      </x:c>
      <x:c r="I1568" s="187" t="str">
        <x:v>ROAD</x:v>
      </x:c>
      <x:c r="J1568" s="187" t="str">
        <x:v>PACKAGING</x:v>
      </x:c>
      <x:c r="K1568" s="187" t="str">
        <x:v>EUR</x:v>
      </x:c>
      <x:c r="L1568" s="232" t="n">
        <x:v>2108.16006912</x:v>
      </x:c>
      <x:c r="M1568" s="232" t="n">
        <x:v>7.88</x:v>
      </x:c>
      <x:c r="N1568" s="187" t="str">
        <x:v>16612.301344665600000</x:v>
      </x:c>
      <x:c r="O1568" s="235" t="n">
        <x:v>16612.3013</x:v>
      </x:c>
      <x:c r="P1568" s="235"/>
      <x:c r="Q1568" s="235"/>
      <x:c r="R1568" s="235" t="str">
        <x:v>INVOICE_OR_PLAN</x:v>
      </x:c>
      <x:c r="S1568" s="238" t="n">
        <x:f>'Model_Calc'!AQ265</x:f>
        <x:v>16612.301344665597</x:v>
      </x:c>
      <x:c r="T1568" s="238" t="n">
        <x:f>ROUND(S1568-O1568,4)</x:f>
        <x:v>0</x:v>
      </x:c>
    </x:row>
    <x:row r="1569">
      <x:c r="A1569" s="187" t="str">
        <x:v>SCENARIO_BASE_2026_08</x:v>
      </x:c>
      <x:c r="B1569" s="187" t="str">
        <x:v>SCENARIO</x:v>
      </x:c>
      <x:c r="C1569" s="187" t="str">
        <x:v>BASE</x:v>
      </x:c>
      <x:c r="D1569" s="217" t="n">
        <x:v>46327</x:v>
      </x:c>
      <x:c r="E1569" s="187" t="str">
        <x:v>R_DE_DE_A_ROAD</x:v>
      </x:c>
      <x:c r="F1569" s="187" t="str">
        <x:v>DE</x:v>
      </x:c>
      <x:c r="G1569" s="187" t="str">
        <x:v>DE_FC</x:v>
      </x:c>
      <x:c r="H1569" s="187" t="str">
        <x:v>CARRIER_A</x:v>
      </x:c>
      <x:c r="I1569" s="187" t="str">
        <x:v>ROAD</x:v>
      </x:c>
      <x:c r="J1569" s="187" t="str">
        <x:v>RETURN_LOGISTICS</x:v>
      </x:c>
      <x:c r="K1569" s="187" t="str">
        <x:v>EUR</x:v>
      </x:c>
      <x:c r="L1569" s="232" t="n">
        <x:v>764.8653312</x:v>
      </x:c>
      <x:c r="M1569" s="232" t="n">
        <x:v>7.88</x:v>
      </x:c>
      <x:c r="N1569" s="187" t="str">
        <x:v>6027.1388098560000000</x:v>
      </x:c>
      <x:c r="O1569" s="235" t="n">
        <x:v>6027.1388</x:v>
      </x:c>
      <x:c r="P1569" s="235"/>
      <x:c r="Q1569" s="235"/>
      <x:c r="R1569" s="235" t="str">
        <x:v>INVOICE_OR_PLAN</x:v>
      </x:c>
      <x:c r="S1569" s="238" t="n">
        <x:f>'Model_Calc'!AV265</x:f>
        <x:v>6027.138809855999</x:v>
      </x:c>
      <x:c r="T1569" s="238" t="n">
        <x:f>ROUND(S1569-O1569,4)</x:f>
        <x:v>0</x:v>
      </x:c>
    </x:row>
    <x:row r="1570">
      <x:c r="A1570" s="187" t="str">
        <x:v>SCENARIO_BASE_2026_08</x:v>
      </x:c>
      <x:c r="B1570" s="187" t="str">
        <x:v>SCENARIO</x:v>
      </x:c>
      <x:c r="C1570" s="187" t="str">
        <x:v>BASE</x:v>
      </x:c>
      <x:c r="D1570" s="217" t="n">
        <x:v>46327</x:v>
      </x:c>
      <x:c r="E1570" s="187" t="str">
        <x:v>R_DE_DE_A_ROAD</x:v>
      </x:c>
      <x:c r="F1570" s="187" t="str">
        <x:v>DE</x:v>
      </x:c>
      <x:c r="G1570" s="187" t="str">
        <x:v>DE_FC</x:v>
      </x:c>
      <x:c r="H1570" s="187" t="str">
        <x:v>CARRIER_A</x:v>
      </x:c>
      <x:c r="I1570" s="187" t="str">
        <x:v>ROAD</x:v>
      </x:c>
      <x:c r="J1570" s="187" t="str">
        <x:v>BILLABLE_EXCEPTION</x:v>
      </x:c>
      <x:c r="K1570" s="187" t="str">
        <x:v>EUR</x:v>
      </x:c>
      <x:c r="L1570" s="232" t="n">
        <x:v>184.7149774848</x:v>
      </x:c>
      <x:c r="M1570" s="232" t="n">
        <x:v>7.88</x:v>
      </x:c>
      <x:c r="N1570" s="187" t="str">
        <x:v>1455.554022580224000000</x:v>
      </x:c>
      <x:c r="O1570" s="235" t="n">
        <x:v>1455.554</x:v>
      </x:c>
      <x:c r="P1570" s="235"/>
      <x:c r="Q1570" s="235"/>
      <x:c r="R1570" s="235" t="str">
        <x:v>INVOICE_OR_PLAN</x:v>
      </x:c>
      <x:c r="S1570" s="238" t="n">
        <x:f>'Model_Calc'!BA265</x:f>
        <x:v>1455.5540225802238</x:v>
      </x:c>
      <x:c r="T1570" s="238" t="n">
        <x:f>ROUND(S1570-O1570,4)</x:f>
        <x:v>0</x:v>
      </x:c>
    </x:row>
    <x:row r="1571">
      <x:c r="A1571" s="187" t="str">
        <x:v>SCENARIO_BASE_2026_08</x:v>
      </x:c>
      <x:c r="B1571" s="187" t="str">
        <x:v>SCENARIO</x:v>
      </x:c>
      <x:c r="C1571" s="187" t="str">
        <x:v>BASE</x:v>
      </x:c>
      <x:c r="D1571" s="217" t="n">
        <x:v>46327</x:v>
      </x:c>
      <x:c r="E1571" s="187" t="str">
        <x:v>R_DE_DE_B_ROAD</x:v>
      </x:c>
      <x:c r="F1571" s="187" t="str">
        <x:v>DE</x:v>
      </x:c>
      <x:c r="G1571" s="187" t="str">
        <x:v>DE_FC</x:v>
      </x:c>
      <x:c r="H1571" s="187" t="str">
        <x:v>CARRIER_B</x:v>
      </x:c>
      <x:c r="I1571" s="187" t="str">
        <x:v>ROAD</x:v>
      </x:c>
      <x:c r="J1571" s="187" t="str">
        <x:v>BASE_FREIGHT</x:v>
      </x:c>
      <x:c r="K1571" s="187" t="str">
        <x:v>EUR</x:v>
      </x:c>
      <x:c r="L1571" s="232" t="n">
        <x:v>7435.447100928</x:v>
      </x:c>
      <x:c r="M1571" s="232" t="n">
        <x:v>7.88</x:v>
      </x:c>
      <x:c r="N1571" s="187" t="str">
        <x:v>58591.3231553126400000000</x:v>
      </x:c>
      <x:c r="O1571" s="235" t="n">
        <x:v>58591.3232</x:v>
      </x:c>
      <x:c r="P1571" s="235"/>
      <x:c r="Q1571" s="235"/>
      <x:c r="R1571" s="235" t="str">
        <x:v>INVOICE_OR_PLAN</x:v>
      </x:c>
      <x:c r="S1571" s="238" t="n">
        <x:f>'Model_Calc'!AF266</x:f>
        <x:v>58591.323155312646</x:v>
      </x:c>
      <x:c r="T1571" s="238" t="n">
        <x:f>ROUND(S1571-O1571,4)</x:f>
        <x:v>0</x:v>
      </x:c>
    </x:row>
    <x:row r="1572">
      <x:c r="A1572" s="187" t="str">
        <x:v>SCENARIO_BASE_2026_08</x:v>
      </x:c>
      <x:c r="B1572" s="187" t="str">
        <x:v>SCENARIO</x:v>
      </x:c>
      <x:c r="C1572" s="187" t="str">
        <x:v>BASE</x:v>
      </x:c>
      <x:c r="D1572" s="217" t="n">
        <x:v>46327</x:v>
      </x:c>
      <x:c r="E1572" s="187" t="str">
        <x:v>R_DE_DE_B_ROAD</x:v>
      </x:c>
      <x:c r="F1572" s="187" t="str">
        <x:v>DE</x:v>
      </x:c>
      <x:c r="G1572" s="187" t="str">
        <x:v>DE_FC</x:v>
      </x:c>
      <x:c r="H1572" s="187" t="str">
        <x:v>CARRIER_B</x:v>
      </x:c>
      <x:c r="I1572" s="187" t="str">
        <x:v>ROAD</x:v>
      </x:c>
      <x:c r="J1572" s="187" t="str">
        <x:v>FUEL_SURCHARGE</x:v>
      </x:c>
      <x:c r="K1572" s="187" t="str">
        <x:v>EUR</x:v>
      </x:c>
      <x:c r="L1572" s="232" t="n">
        <x:v>567.79777861632</x:v>
      </x:c>
      <x:c r="M1572" s="232" t="n">
        <x:v>7.88</x:v>
      </x:c>
      <x:c r="N1572" s="187" t="str">
        <x:v>4474.2464954966016000000</x:v>
      </x:c>
      <x:c r="O1572" s="235" t="n">
        <x:v>4474.2465</x:v>
      </x:c>
      <x:c r="P1572" s="235"/>
      <x:c r="Q1572" s="235"/>
      <x:c r="R1572" s="235" t="str">
        <x:v>INVOICE_OR_PLAN</x:v>
      </x:c>
      <x:c r="S1572" s="238" t="n">
        <x:f>'Model_Calc'!AG266</x:f>
        <x:v>4474.246495496603</x:v>
      </x:c>
      <x:c r="T1572" s="238" t="n">
        <x:f>ROUND(S1572-O1572,4)</x:f>
        <x:v>0</x:v>
      </x:c>
    </x:row>
    <x:row r="1573">
      <x:c r="A1573" s="187" t="str">
        <x:v>SCENARIO_BASE_2026_08</x:v>
      </x:c>
      <x:c r="B1573" s="187" t="str">
        <x:v>SCENARIO</x:v>
      </x:c>
      <x:c r="C1573" s="187" t="str">
        <x:v>BASE</x:v>
      </x:c>
      <x:c r="D1573" s="217" t="n">
        <x:v>46327</x:v>
      </x:c>
      <x:c r="E1573" s="187" t="str">
        <x:v>R_DE_DE_B_ROAD</x:v>
      </x:c>
      <x:c r="F1573" s="187" t="str">
        <x:v>DE</x:v>
      </x:c>
      <x:c r="G1573" s="187" t="str">
        <x:v>DE_FC</x:v>
      </x:c>
      <x:c r="H1573" s="187" t="str">
        <x:v>CARRIER_B</x:v>
      </x:c>
      <x:c r="I1573" s="187" t="str">
        <x:v>ROAD</x:v>
      </x:c>
      <x:c r="J1573" s="187" t="str">
        <x:v>WAREHOUSE_OPERATION</x:v>
      </x:c>
      <x:c r="K1573" s="187" t="str">
        <x:v>EUR</x:v>
      </x:c>
      <x:c r="L1573" s="232" t="n">
        <x:v>3760.5878784</x:v>
      </x:c>
      <x:c r="M1573" s="232" t="n">
        <x:v>7.88</x:v>
      </x:c>
      <x:c r="N1573" s="187" t="str">
        <x:v>29633.4324817920000</x:v>
      </x:c>
      <x:c r="O1573" s="235" t="n">
        <x:v>29633.4325</x:v>
      </x:c>
      <x:c r="P1573" s="235"/>
      <x:c r="Q1573" s="235"/>
      <x:c r="R1573" s="235" t="str">
        <x:v>INVOICE_OR_PLAN</x:v>
      </x:c>
      <x:c r="S1573" s="238" t="n">
        <x:f>'Model_Calc'!AL266</x:f>
        <x:v>29633.432481792002</x:v>
      </x:c>
      <x:c r="T1573" s="238" t="n">
        <x:f>ROUND(S1573-O1573,4)</x:f>
        <x:v>0</x:v>
      </x:c>
    </x:row>
    <x:row r="1574">
      <x:c r="A1574" s="187" t="str">
        <x:v>SCENARIO_BASE_2026_08</x:v>
      </x:c>
      <x:c r="B1574" s="187" t="str">
        <x:v>SCENARIO</x:v>
      </x:c>
      <x:c r="C1574" s="187" t="str">
        <x:v>BASE</x:v>
      </x:c>
      <x:c r="D1574" s="217" t="n">
        <x:v>46327</x:v>
      </x:c>
      <x:c r="E1574" s="187" t="str">
        <x:v>R_DE_DE_B_ROAD</x:v>
      </x:c>
      <x:c r="F1574" s="187" t="str">
        <x:v>DE</x:v>
      </x:c>
      <x:c r="G1574" s="187" t="str">
        <x:v>DE_FC</x:v>
      </x:c>
      <x:c r="H1574" s="187" t="str">
        <x:v>CARRIER_B</x:v>
      </x:c>
      <x:c r="I1574" s="187" t="str">
        <x:v>ROAD</x:v>
      </x:c>
      <x:c r="J1574" s="187" t="str">
        <x:v>PACKAGING</x:v>
      </x:c>
      <x:c r="K1574" s="187" t="str">
        <x:v>EUR</x:v>
      </x:c>
      <x:c r="L1574" s="232" t="n">
        <x:v>1405.44004608</x:v>
      </x:c>
      <x:c r="M1574" s="232" t="n">
        <x:v>7.88</x:v>
      </x:c>
      <x:c r="N1574" s="187" t="str">
        <x:v>11074.867563110400000</x:v>
      </x:c>
      <x:c r="O1574" s="235" t="n">
        <x:v>11074.8676</x:v>
      </x:c>
      <x:c r="P1574" s="235"/>
      <x:c r="Q1574" s="235"/>
      <x:c r="R1574" s="235" t="str">
        <x:v>INVOICE_OR_PLAN</x:v>
      </x:c>
      <x:c r="S1574" s="238" t="n">
        <x:f>'Model_Calc'!AQ266</x:f>
        <x:v>11074.8675631104</x:v>
      </x:c>
      <x:c r="T1574" s="238" t="n">
        <x:f>ROUND(S1574-O1574,4)</x:f>
        <x:v>0</x:v>
      </x:c>
    </x:row>
    <x:row r="1575">
      <x:c r="A1575" s="187" t="str">
        <x:v>SCENARIO_BASE_2026_08</x:v>
      </x:c>
      <x:c r="B1575" s="187" t="str">
        <x:v>SCENARIO</x:v>
      </x:c>
      <x:c r="C1575" s="187" t="str">
        <x:v>BASE</x:v>
      </x:c>
      <x:c r="D1575" s="217" t="n">
        <x:v>46327</x:v>
      </x:c>
      <x:c r="E1575" s="187" t="str">
        <x:v>R_DE_DE_B_ROAD</x:v>
      </x:c>
      <x:c r="F1575" s="187" t="str">
        <x:v>DE</x:v>
      </x:c>
      <x:c r="G1575" s="187" t="str">
        <x:v>DE_FC</x:v>
      </x:c>
      <x:c r="H1575" s="187" t="str">
        <x:v>CARRIER_B</x:v>
      </x:c>
      <x:c r="I1575" s="187" t="str">
        <x:v>ROAD</x:v>
      </x:c>
      <x:c r="J1575" s="187" t="str">
        <x:v>RETURN_LOGISTICS</x:v>
      </x:c>
      <x:c r="K1575" s="187" t="str">
        <x:v>EUR</x:v>
      </x:c>
      <x:c r="L1575" s="232" t="n">
        <x:v>509.9102208</x:v>
      </x:c>
      <x:c r="M1575" s="232" t="n">
        <x:v>7.88</x:v>
      </x:c>
      <x:c r="N1575" s="187" t="str">
        <x:v>4018.0925399040000000</x:v>
      </x:c>
      <x:c r="O1575" s="235" t="n">
        <x:v>4018.0925</x:v>
      </x:c>
      <x:c r="P1575" s="235"/>
      <x:c r="Q1575" s="235"/>
      <x:c r="R1575" s="235" t="str">
        <x:v>INVOICE_OR_PLAN</x:v>
      </x:c>
      <x:c r="S1575" s="238" t="n">
        <x:f>'Model_Calc'!AV266</x:f>
        <x:v>4018.0925399039998</x:v>
      </x:c>
      <x:c r="T1575" s="238" t="n">
        <x:f>ROUND(S1575-O1575,4)</x:f>
        <x:v>0</x:v>
      </x:c>
    </x:row>
    <x:row r="1576">
      <x:c r="A1576" s="187" t="str">
        <x:v>SCENARIO_BASE_2026_08</x:v>
      </x:c>
      <x:c r="B1576" s="187" t="str">
        <x:v>SCENARIO</x:v>
      </x:c>
      <x:c r="C1576" s="187" t="str">
        <x:v>BASE</x:v>
      </x:c>
      <x:c r="D1576" s="217" t="n">
        <x:v>46327</x:v>
      </x:c>
      <x:c r="E1576" s="187" t="str">
        <x:v>R_DE_DE_B_ROAD</x:v>
      </x:c>
      <x:c r="F1576" s="187" t="str">
        <x:v>DE</x:v>
      </x:c>
      <x:c r="G1576" s="187" t="str">
        <x:v>DE_FC</x:v>
      </x:c>
      <x:c r="H1576" s="187" t="str">
        <x:v>CARRIER_B</x:v>
      </x:c>
      <x:c r="I1576" s="187" t="str">
        <x:v>ROAD</x:v>
      </x:c>
      <x:c r="J1576" s="187" t="str">
        <x:v>BILLABLE_EXCEPTION</x:v>
      </x:c>
      <x:c r="K1576" s="187" t="str">
        <x:v>EUR</x:v>
      </x:c>
      <x:c r="L1576" s="232" t="n">
        <x:v>100.0539461376</x:v>
      </x:c>
      <x:c r="M1576" s="232" t="n">
        <x:v>7.88</x:v>
      </x:c>
      <x:c r="N1576" s="187" t="str">
        <x:v>788.425095564288000000</x:v>
      </x:c>
      <x:c r="O1576" s="235" t="n">
        <x:v>788.4251</x:v>
      </x:c>
      <x:c r="P1576" s="235"/>
      <x:c r="Q1576" s="235"/>
      <x:c r="R1576" s="235" t="str">
        <x:v>INVOICE_OR_PLAN</x:v>
      </x:c>
      <x:c r="S1576" s="238" t="n">
        <x:f>'Model_Calc'!BA266</x:f>
        <x:v>788.4250955642881</x:v>
      </x:c>
      <x:c r="T1576" s="238" t="n">
        <x:f>ROUND(S1576-O1576,4)</x:f>
        <x:v>0</x:v>
      </x:c>
    </x:row>
    <x:row r="1577">
      <x:c r="A1577" s="187" t="str">
        <x:v>SCENARIO_BASE_2026_08</x:v>
      </x:c>
      <x:c r="B1577" s="187" t="str">
        <x:v>SCENARIO</x:v>
      </x:c>
      <x:c r="C1577" s="187" t="str">
        <x:v>BASE</x:v>
      </x:c>
      <x:c r="D1577" s="217" t="n">
        <x:v>46327</x:v>
      </x:c>
      <x:c r="E1577" s="187" t="str">
        <x:v>R_DE_FR_B_ROAD</x:v>
      </x:c>
      <x:c r="F1577" s="187" t="str">
        <x:v>DE</x:v>
      </x:c>
      <x:c r="G1577" s="187" t="str">
        <x:v>FR_FC</x:v>
      </x:c>
      <x:c r="H1577" s="187" t="str">
        <x:v>CARRIER_B</x:v>
      </x:c>
      <x:c r="I1577" s="187" t="str">
        <x:v>ROAD</x:v>
      </x:c>
      <x:c r="J1577" s="187" t="str">
        <x:v>BASE_FREIGHT</x:v>
      </x:c>
      <x:c r="K1577" s="187" t="str">
        <x:v>EUR</x:v>
      </x:c>
      <x:c r="L1577" s="232" t="n">
        <x:v>762.81773939712</x:v>
      </x:c>
      <x:c r="M1577" s="232" t="n">
        <x:v>7.88</x:v>
      </x:c>
      <x:c r="N1577" s="187" t="str">
        <x:v>6011.00378644930560000</x:v>
      </x:c>
      <x:c r="O1577" s="235" t="n">
        <x:v>6011.0038</x:v>
      </x:c>
      <x:c r="P1577" s="235"/>
      <x:c r="Q1577" s="235"/>
      <x:c r="R1577" s="235" t="str">
        <x:v>INVOICE_OR_PLAN</x:v>
      </x:c>
      <x:c r="S1577" s="238" t="n">
        <x:f>'Model_Calc'!AF267</x:f>
        <x:v>6011.003786449306</x:v>
      </x:c>
      <x:c r="T1577" s="238" t="n">
        <x:f>ROUND(S1577-O1577,4)</x:f>
        <x:v>0</x:v>
      </x:c>
    </x:row>
    <x:row r="1578">
      <x:c r="A1578" s="187" t="str">
        <x:v>SCENARIO_BASE_2026_08</x:v>
      </x:c>
      <x:c r="B1578" s="187" t="str">
        <x:v>SCENARIO</x:v>
      </x:c>
      <x:c r="C1578" s="187" t="str">
        <x:v>BASE</x:v>
      </x:c>
      <x:c r="D1578" s="217" t="n">
        <x:v>46327</x:v>
      </x:c>
      <x:c r="E1578" s="187" t="str">
        <x:v>R_DE_FR_B_ROAD</x:v>
      </x:c>
      <x:c r="F1578" s="187" t="str">
        <x:v>DE</x:v>
      </x:c>
      <x:c r="G1578" s="187" t="str">
        <x:v>FR_FC</x:v>
      </x:c>
      <x:c r="H1578" s="187" t="str">
        <x:v>CARRIER_B</x:v>
      </x:c>
      <x:c r="I1578" s="187" t="str">
        <x:v>ROAD</x:v>
      </x:c>
      <x:c r="J1578" s="187" t="str">
        <x:v>FUEL_SURCHARGE</x:v>
      </x:c>
      <x:c r="K1578" s="187" t="str">
        <x:v>EUR</x:v>
      </x:c>
      <x:c r="L1578" s="232" t="n">
        <x:v>55.477653774336</x:v>
      </x:c>
      <x:c r="M1578" s="232" t="n">
        <x:v>7.88</x:v>
      </x:c>
      <x:c r="N1578" s="187" t="str">
        <x:v>437.16391174176768000</x:v>
      </x:c>
      <x:c r="O1578" s="235" t="n">
        <x:v>437.1639</x:v>
      </x:c>
      <x:c r="P1578" s="235"/>
      <x:c r="Q1578" s="235"/>
      <x:c r="R1578" s="235" t="str">
        <x:v>INVOICE_OR_PLAN</x:v>
      </x:c>
      <x:c r="S1578" s="238" t="n">
        <x:f>'Model_Calc'!AG267</x:f>
        <x:v>437.1639117417677</x:v>
      </x:c>
      <x:c r="T1578" s="238" t="n">
        <x:f>ROUND(S1578-O1578,4)</x:f>
        <x:v>0</x:v>
      </x:c>
    </x:row>
    <x:row r="1579">
      <x:c r="A1579" s="187" t="str">
        <x:v>SCENARIO_BASE_2026_08</x:v>
      </x:c>
      <x:c r="B1579" s="187" t="str">
        <x:v>SCENARIO</x:v>
      </x:c>
      <x:c r="C1579" s="187" t="str">
        <x:v>BASE</x:v>
      </x:c>
      <x:c r="D1579" s="217" t="n">
        <x:v>46327</x:v>
      </x:c>
      <x:c r="E1579" s="187" t="str">
        <x:v>R_DE_FR_B_ROAD</x:v>
      </x:c>
      <x:c r="F1579" s="187" t="str">
        <x:v>DE</x:v>
      </x:c>
      <x:c r="G1579" s="187" t="str">
        <x:v>FR_FC</x:v>
      </x:c>
      <x:c r="H1579" s="187" t="str">
        <x:v>CARRIER_B</x:v>
      </x:c>
      <x:c r="I1579" s="187" t="str">
        <x:v>ROAD</x:v>
      </x:c>
      <x:c r="J1579" s="187" t="str">
        <x:v>WAREHOUSE_OPERATION</x:v>
      </x:c>
      <x:c r="K1579" s="187" t="str">
        <x:v>EUR</x:v>
      </x:c>
      <x:c r="L1579" s="232" t="n">
        <x:v>258.73344</x:v>
      </x:c>
      <x:c r="M1579" s="232" t="n">
        <x:v>7.88</x:v>
      </x:c>
      <x:c r="N1579" s="187" t="str">
        <x:v>2038.81950720000</x:v>
      </x:c>
      <x:c r="O1579" s="235" t="n">
        <x:v>2038.8195</x:v>
      </x:c>
      <x:c r="P1579" s="235"/>
      <x:c r="Q1579" s="235"/>
      <x:c r="R1579" s="235" t="str">
        <x:v>INVOICE_OR_PLAN</x:v>
      </x:c>
      <x:c r="S1579" s="238" t="n">
        <x:f>'Model_Calc'!AL267</x:f>
        <x:v>2038.8195072000003</x:v>
      </x:c>
      <x:c r="T1579" s="238" t="n">
        <x:f>ROUND(S1579-O1579,4)</x:f>
        <x:v>0</x:v>
      </x:c>
    </x:row>
    <x:row r="1580">
      <x:c r="A1580" s="187" t="str">
        <x:v>SCENARIO_BASE_2026_08</x:v>
      </x:c>
      <x:c r="B1580" s="187" t="str">
        <x:v>SCENARIO</x:v>
      </x:c>
      <x:c r="C1580" s="187" t="str">
        <x:v>BASE</x:v>
      </x:c>
      <x:c r="D1580" s="217" t="n">
        <x:v>46327</x:v>
      </x:c>
      <x:c r="E1580" s="187" t="str">
        <x:v>R_DE_FR_B_ROAD</x:v>
      </x:c>
      <x:c r="F1580" s="187" t="str">
        <x:v>DE</x:v>
      </x:c>
      <x:c r="G1580" s="187" t="str">
        <x:v>FR_FC</x:v>
      </x:c>
      <x:c r="H1580" s="187" t="str">
        <x:v>CARRIER_B</x:v>
      </x:c>
      <x:c r="I1580" s="187" t="str">
        <x:v>ROAD</x:v>
      </x:c>
      <x:c r="J1580" s="187" t="str">
        <x:v>PACKAGING</x:v>
      </x:c>
      <x:c r="K1580" s="187" t="str">
        <x:v>EUR</x:v>
      </x:c>
      <x:c r="L1580" s="232" t="n">
        <x:v>101.12781312</x:v>
      </x:c>
      <x:c r="M1580" s="232" t="n">
        <x:v>7.88</x:v>
      </x:c>
      <x:c r="N1580" s="187" t="str">
        <x:v>796.8871673856000</x:v>
      </x:c>
      <x:c r="O1580" s="235" t="n">
        <x:v>796.8872</x:v>
      </x:c>
      <x:c r="P1580" s="235"/>
      <x:c r="Q1580" s="235"/>
      <x:c r="R1580" s="235" t="str">
        <x:v>INVOICE_OR_PLAN</x:v>
      </x:c>
      <x:c r="S1580" s="238" t="n">
        <x:f>'Model_Calc'!AQ267</x:f>
        <x:v>796.8871673855999</x:v>
      </x:c>
      <x:c r="T1580" s="238" t="n">
        <x:f>ROUND(S1580-O1580,4)</x:f>
        <x:v>0</x:v>
      </x:c>
    </x:row>
    <x:row r="1581">
      <x:c r="A1581" s="187" t="str">
        <x:v>SCENARIO_BASE_2026_08</x:v>
      </x:c>
      <x:c r="B1581" s="187" t="str">
        <x:v>SCENARIO</x:v>
      </x:c>
      <x:c r="C1581" s="187" t="str">
        <x:v>BASE</x:v>
      </x:c>
      <x:c r="D1581" s="217" t="n">
        <x:v>46327</x:v>
      </x:c>
      <x:c r="E1581" s="187" t="str">
        <x:v>R_DE_FR_B_ROAD</x:v>
      </x:c>
      <x:c r="F1581" s="187" t="str">
        <x:v>DE</x:v>
      </x:c>
      <x:c r="G1581" s="187" t="str">
        <x:v>FR_FC</x:v>
      </x:c>
      <x:c r="H1581" s="187" t="str">
        <x:v>CARRIER_B</x:v>
      </x:c>
      <x:c r="I1581" s="187" t="str">
        <x:v>ROAD</x:v>
      </x:c>
      <x:c r="J1581" s="187" t="str">
        <x:v>RETURN_LOGISTICS</x:v>
      </x:c>
      <x:c r="K1581" s="187" t="str">
        <x:v>EUR</x:v>
      </x:c>
      <x:c r="L1581" s="232" t="n">
        <x:v>46.818432</x:v>
      </x:c>
      <x:c r="M1581" s="232" t="n">
        <x:v>7.88</x:v>
      </x:c>
      <x:c r="N1581" s="187" t="str">
        <x:v>368.92924416000000</x:v>
      </x:c>
      <x:c r="O1581" s="235" t="n">
        <x:v>368.9292</x:v>
      </x:c>
      <x:c r="P1581" s="235"/>
      <x:c r="Q1581" s="235"/>
      <x:c r="R1581" s="235" t="str">
        <x:v>INVOICE_OR_PLAN</x:v>
      </x:c>
      <x:c r="S1581" s="238" t="n">
        <x:f>'Model_Calc'!AV267</x:f>
        <x:v>368.92924415999994</x:v>
      </x:c>
      <x:c r="T1581" s="238" t="n">
        <x:f>ROUND(S1581-O1581,4)</x:f>
        <x:v>0</x:v>
      </x:c>
    </x:row>
    <x:row r="1582">
      <x:c r="A1582" s="187" t="str">
        <x:v>SCENARIO_BASE_2026_08</x:v>
      </x:c>
      <x:c r="B1582" s="187" t="str">
        <x:v>SCENARIO</x:v>
      </x:c>
      <x:c r="C1582" s="187" t="str">
        <x:v>BASE</x:v>
      </x:c>
      <x:c r="D1582" s="217" t="n">
        <x:v>46327</x:v>
      </x:c>
      <x:c r="E1582" s="187" t="str">
        <x:v>R_DE_FR_B_ROAD</x:v>
      </x:c>
      <x:c r="F1582" s="187" t="str">
        <x:v>DE</x:v>
      </x:c>
      <x:c r="G1582" s="187" t="str">
        <x:v>FR_FC</x:v>
      </x:c>
      <x:c r="H1582" s="187" t="str">
        <x:v>CARRIER_B</x:v>
      </x:c>
      <x:c r="I1582" s="187" t="str">
        <x:v>ROAD</x:v>
      </x:c>
      <x:c r="J1582" s="187" t="str">
        <x:v>BILLABLE_EXCEPTION</x:v>
      </x:c>
      <x:c r="K1582" s="187" t="str">
        <x:v>EUR</x:v>
      </x:c>
      <x:c r="L1582" s="232" t="n">
        <x:v>8.5692515328</x:v>
      </x:c>
      <x:c r="M1582" s="232" t="n">
        <x:v>7.88</x:v>
      </x:c>
      <x:c r="N1582" s="187" t="str">
        <x:v>67.5257020784640000</x:v>
      </x:c>
      <x:c r="O1582" s="235" t="n">
        <x:v>67.5257</x:v>
      </x:c>
      <x:c r="P1582" s="235"/>
      <x:c r="Q1582" s="235"/>
      <x:c r="R1582" s="235" t="str">
        <x:v>INVOICE_OR_PLAN</x:v>
      </x:c>
      <x:c r="S1582" s="238" t="n">
        <x:f>'Model_Calc'!BA267</x:f>
        <x:v>67.52570207846401</x:v>
      </x:c>
      <x:c r="T1582" s="238" t="n">
        <x:f>ROUND(S1582-O1582,4)</x:f>
        <x:v>0</x:v>
      </x:c>
    </x:row>
    <x:row r="1583">
      <x:c r="A1583" s="187" t="str">
        <x:v>SCENARIO_BASE_2026_08</x:v>
      </x:c>
      <x:c r="B1583" s="187" t="str">
        <x:v>SCENARIO</x:v>
      </x:c>
      <x:c r="C1583" s="187" t="str">
        <x:v>BASE</x:v>
      </x:c>
      <x:c r="D1583" s="217" t="n">
        <x:v>46327</x:v>
      </x:c>
      <x:c r="E1583" s="187" t="str">
        <x:v>R_FR_FR_A_ROAD</x:v>
      </x:c>
      <x:c r="F1583" s="187" t="str">
        <x:v>FR</x:v>
      </x:c>
      <x:c r="G1583" s="187" t="str">
        <x:v>FR_FC</x:v>
      </x:c>
      <x:c r="H1583" s="187" t="str">
        <x:v>CARRIER_A</x:v>
      </x:c>
      <x:c r="I1583" s="187" t="str">
        <x:v>ROAD</x:v>
      </x:c>
      <x:c r="J1583" s="187" t="str">
        <x:v>BASE_FREIGHT</x:v>
      </x:c>
      <x:c r="K1583" s="187" t="str">
        <x:v>EUR</x:v>
      </x:c>
      <x:c r="L1583" s="232" t="n">
        <x:v>4451.6211686352</x:v>
      </x:c>
      <x:c r="M1583" s="232" t="n">
        <x:v>7.88</x:v>
      </x:c>
      <x:c r="N1583" s="187" t="str">
        <x:v>35078.77480884537600000</x:v>
      </x:c>
      <x:c r="O1583" s="235" t="n">
        <x:v>35078.7748</x:v>
      </x:c>
      <x:c r="P1583" s="235"/>
      <x:c r="Q1583" s="235"/>
      <x:c r="R1583" s="235" t="str">
        <x:v>INVOICE_OR_PLAN</x:v>
      </x:c>
      <x:c r="S1583" s="238" t="n">
        <x:f>'Model_Calc'!AF268</x:f>
        <x:v>35078.774808845366</x:v>
      </x:c>
      <x:c r="T1583" s="238" t="n">
        <x:f>ROUND(S1583-O1583,4)</x:f>
        <x:v>0</x:v>
      </x:c>
    </x:row>
    <x:row r="1584">
      <x:c r="A1584" s="187" t="str">
        <x:v>SCENARIO_BASE_2026_08</x:v>
      </x:c>
      <x:c r="B1584" s="187" t="str">
        <x:v>SCENARIO</x:v>
      </x:c>
      <x:c r="C1584" s="187" t="str">
        <x:v>BASE</x:v>
      </x:c>
      <x:c r="D1584" s="217" t="n">
        <x:v>46327</x:v>
      </x:c>
      <x:c r="E1584" s="187" t="str">
        <x:v>R_FR_FR_A_ROAD</x:v>
      </x:c>
      <x:c r="F1584" s="187" t="str">
        <x:v>FR</x:v>
      </x:c>
      <x:c r="G1584" s="187" t="str">
        <x:v>FR_FC</x:v>
      </x:c>
      <x:c r="H1584" s="187" t="str">
        <x:v>CARRIER_A</x:v>
      </x:c>
      <x:c r="I1584" s="187" t="str">
        <x:v>ROAD</x:v>
      </x:c>
      <x:c r="J1584" s="187" t="str">
        <x:v>FUEL_SURCHARGE</x:v>
      </x:c>
      <x:c r="K1584" s="187" t="str">
        <x:v>EUR</x:v>
      </x:c>
      <x:c r="L1584" s="232" t="n">
        <x:v>414.6685118583689</x:v>
      </x:c>
      <x:c r="M1584" s="232" t="n">
        <x:v>7.88</x:v>
      </x:c>
      <x:c r="N1584" s="187" t="str">
        <x:v>3267.58787344394677440000000</x:v>
      </x:c>
      <x:c r="O1584" s="235" t="n">
        <x:v>3267.5879</x:v>
      </x:c>
      <x:c r="P1584" s="235"/>
      <x:c r="Q1584" s="235"/>
      <x:c r="R1584" s="235" t="str">
        <x:v>INVOICE_OR_PLAN</x:v>
      </x:c>
      <x:c r="S1584" s="238" t="n">
        <x:f>'Model_Calc'!AG268</x:f>
        <x:v>3267.587873443946</x:v>
      </x:c>
      <x:c r="T1584" s="238" t="n">
        <x:f>ROUND(S1584-O1584,4)</x:f>
        <x:v>0</x:v>
      </x:c>
    </x:row>
    <x:row r="1585">
      <x:c r="A1585" s="187" t="str">
        <x:v>SCENARIO_BASE_2026_08</x:v>
      </x:c>
      <x:c r="B1585" s="187" t="str">
        <x:v>SCENARIO</x:v>
      </x:c>
      <x:c r="C1585" s="187" t="str">
        <x:v>BASE</x:v>
      </x:c>
      <x:c r="D1585" s="217" t="n">
        <x:v>46327</x:v>
      </x:c>
      <x:c r="E1585" s="187" t="str">
        <x:v>R_FR_FR_A_ROAD</x:v>
      </x:c>
      <x:c r="F1585" s="187" t="str">
        <x:v>FR</x:v>
      </x:c>
      <x:c r="G1585" s="187" t="str">
        <x:v>FR_FC</x:v>
      </x:c>
      <x:c r="H1585" s="187" t="str">
        <x:v>CARRIER_A</x:v>
      </x:c>
      <x:c r="I1585" s="187" t="str">
        <x:v>ROAD</x:v>
      </x:c>
      <x:c r="J1585" s="187" t="str">
        <x:v>WAREHOUSE_OPERATION</x:v>
      </x:c>
      <x:c r="K1585" s="187" t="str">
        <x:v>EUR</x:v>
      </x:c>
      <x:c r="L1585" s="232" t="n">
        <x:v>2735.5671</x:v>
      </x:c>
      <x:c r="M1585" s="232" t="n">
        <x:v>7.88</x:v>
      </x:c>
      <x:c r="N1585" s="187" t="str">
        <x:v>21556.26874800000</x:v>
      </x:c>
      <x:c r="O1585" s="235" t="n">
        <x:v>21556.2687</x:v>
      </x:c>
      <x:c r="P1585" s="235"/>
      <x:c r="Q1585" s="235"/>
      <x:c r="R1585" s="235" t="str">
        <x:v>INVOICE_OR_PLAN</x:v>
      </x:c>
      <x:c r="S1585" s="238" t="n">
        <x:f>'Model_Calc'!AL268</x:f>
        <x:v>21556.268748</x:v>
      </x:c>
      <x:c r="T1585" s="238" t="n">
        <x:f>ROUND(S1585-O1585,4)</x:f>
        <x:v>0</x:v>
      </x:c>
    </x:row>
    <x:row r="1586">
      <x:c r="A1586" s="187" t="str">
        <x:v>SCENARIO_BASE_2026_08</x:v>
      </x:c>
      <x:c r="B1586" s="187" t="str">
        <x:v>SCENARIO</x:v>
      </x:c>
      <x:c r="C1586" s="187" t="str">
        <x:v>BASE</x:v>
      </x:c>
      <x:c r="D1586" s="217" t="n">
        <x:v>46327</x:v>
      </x:c>
      <x:c r="E1586" s="187" t="str">
        <x:v>R_FR_FR_A_ROAD</x:v>
      </x:c>
      <x:c r="F1586" s="187" t="str">
        <x:v>FR</x:v>
      </x:c>
      <x:c r="G1586" s="187" t="str">
        <x:v>FR_FC</x:v>
      </x:c>
      <x:c r="H1586" s="187" t="str">
        <x:v>CARRIER_A</x:v>
      </x:c>
      <x:c r="I1586" s="187" t="str">
        <x:v>ROAD</x:v>
      </x:c>
      <x:c r="J1586" s="187" t="str">
        <x:v>PACKAGING</x:v>
      </x:c>
      <x:c r="K1586" s="187" t="str">
        <x:v>EUR</x:v>
      </x:c>
      <x:c r="L1586" s="232" t="n">
        <x:v>1049.4156456</x:v>
      </x:c>
      <x:c r="M1586" s="232" t="n">
        <x:v>7.88</x:v>
      </x:c>
      <x:c r="N1586" s="187" t="str">
        <x:v>8269.3952873280000</x:v>
      </x:c>
      <x:c r="O1586" s="235" t="n">
        <x:v>8269.3953</x:v>
      </x:c>
      <x:c r="P1586" s="235"/>
      <x:c r="Q1586" s="235"/>
      <x:c r="R1586" s="235" t="str">
        <x:v>INVOICE_OR_PLAN</x:v>
      </x:c>
      <x:c r="S1586" s="238" t="n">
        <x:f>'Model_Calc'!AQ268</x:f>
        <x:v>8269.395287327998</x:v>
      </x:c>
      <x:c r="T1586" s="238" t="n">
        <x:f>ROUND(S1586-O1586,4)</x:f>
        <x:v>0</x:v>
      </x:c>
    </x:row>
    <x:row r="1587">
      <x:c r="A1587" s="187" t="str">
        <x:v>SCENARIO_BASE_2026_08</x:v>
      </x:c>
      <x:c r="B1587" s="187" t="str">
        <x:v>SCENARIO</x:v>
      </x:c>
      <x:c r="C1587" s="187" t="str">
        <x:v>BASE</x:v>
      </x:c>
      <x:c r="D1587" s="217" t="n">
        <x:v>46327</x:v>
      </x:c>
      <x:c r="E1587" s="187" t="str">
        <x:v>R_FR_FR_A_ROAD</x:v>
      </x:c>
      <x:c r="F1587" s="187" t="str">
        <x:v>FR</x:v>
      </x:c>
      <x:c r="G1587" s="187" t="str">
        <x:v>FR_FC</x:v>
      </x:c>
      <x:c r="H1587" s="187" t="str">
        <x:v>CARRIER_A</x:v>
      </x:c>
      <x:c r="I1587" s="187" t="str">
        <x:v>ROAD</x:v>
      </x:c>
      <x:c r="J1587" s="187" t="str">
        <x:v>RETURN_LOGISTICS</x:v>
      </x:c>
      <x:c r="K1587" s="187" t="str">
        <x:v>EUR</x:v>
      </x:c>
      <x:c r="L1587" s="232" t="n">
        <x:v>468.95436</x:v>
      </x:c>
      <x:c r="M1587" s="232" t="n">
        <x:v>7.88</x:v>
      </x:c>
      <x:c r="N1587" s="187" t="str">
        <x:v>3695.36035680000000</x:v>
      </x:c>
      <x:c r="O1587" s="235" t="n">
        <x:v>3695.3604</x:v>
      </x:c>
      <x:c r="P1587" s="235"/>
      <x:c r="Q1587" s="235"/>
      <x:c r="R1587" s="235" t="str">
        <x:v>INVOICE_OR_PLAN</x:v>
      </x:c>
      <x:c r="S1587" s="238" t="n">
        <x:f>'Model_Calc'!AV268</x:f>
        <x:v>3695.3603567999985</x:v>
      </x:c>
      <x:c r="T1587" s="238" t="n">
        <x:f>ROUND(S1587-O1587,4)</x:f>
        <x:v>0</x:v>
      </x:c>
    </x:row>
    <x:row r="1588">
      <x:c r="A1588" s="187" t="str">
        <x:v>SCENARIO_BASE_2026_08</x:v>
      </x:c>
      <x:c r="B1588" s="187" t="str">
        <x:v>SCENARIO</x:v>
      </x:c>
      <x:c r="C1588" s="187" t="str">
        <x:v>BASE</x:v>
      </x:c>
      <x:c r="D1588" s="217" t="n">
        <x:v>46327</x:v>
      </x:c>
      <x:c r="E1588" s="187" t="str">
        <x:v>R_FR_FR_A_ROAD</x:v>
      </x:c>
      <x:c r="F1588" s="187" t="str">
        <x:v>FR</x:v>
      </x:c>
      <x:c r="G1588" s="187" t="str">
        <x:v>FR_FC</x:v>
      </x:c>
      <x:c r="H1588" s="187" t="str">
        <x:v>CARRIER_A</x:v>
      </x:c>
      <x:c r="I1588" s="187" t="str">
        <x:v>ROAD</x:v>
      </x:c>
      <x:c r="J1588" s="187" t="str">
        <x:v>BILLABLE_EXCEPTION</x:v>
      </x:c>
      <x:c r="K1588" s="187" t="str">
        <x:v>EUR</x:v>
      </x:c>
      <x:c r="L1588" s="232" t="n">
        <x:v>107.979346692</x:v>
      </x:c>
      <x:c r="M1588" s="232" t="n">
        <x:v>7.88</x:v>
      </x:c>
      <x:c r="N1588" s="187" t="str">
        <x:v>850.8772519329600000</x:v>
      </x:c>
      <x:c r="O1588" s="235" t="n">
        <x:v>850.8773</x:v>
      </x:c>
      <x:c r="P1588" s="235"/>
      <x:c r="Q1588" s="235"/>
      <x:c r="R1588" s="235" t="str">
        <x:v>INVOICE_OR_PLAN</x:v>
      </x:c>
      <x:c r="S1588" s="238" t="n">
        <x:f>'Model_Calc'!BA268</x:f>
        <x:v>850.8772519329598</x:v>
      </x:c>
      <x:c r="T1588" s="238" t="n">
        <x:f>ROUND(S1588-O1588,4)</x:f>
        <x:v>0</x:v>
      </x:c>
    </x:row>
    <x:row r="1589">
      <x:c r="A1589" s="187" t="str">
        <x:v>SCENARIO_BASE_2026_08</x:v>
      </x:c>
      <x:c r="B1589" s="187" t="str">
        <x:v>SCENARIO</x:v>
      </x:c>
      <x:c r="C1589" s="187" t="str">
        <x:v>BASE</x:v>
      </x:c>
      <x:c r="D1589" s="217" t="n">
        <x:v>46327</x:v>
      </x:c>
      <x:c r="E1589" s="187" t="str">
        <x:v>R_FR_FR_B_ROAD</x:v>
      </x:c>
      <x:c r="F1589" s="187" t="str">
        <x:v>FR</x:v>
      </x:c>
      <x:c r="G1589" s="187" t="str">
        <x:v>FR_FC</x:v>
      </x:c>
      <x:c r="H1589" s="187" t="str">
        <x:v>CARRIER_B</x:v>
      </x:c>
      <x:c r="I1589" s="187" t="str">
        <x:v>ROAD</x:v>
      </x:c>
      <x:c r="J1589" s="187" t="str">
        <x:v>BASE_FREIGHT</x:v>
      </x:c>
      <x:c r="K1589" s="187" t="str">
        <x:v>EUR</x:v>
      </x:c>
      <x:c r="L1589" s="232" t="n">
        <x:v>10639.7411783832</x:v>
      </x:c>
      <x:c r="M1589" s="232" t="n">
        <x:v>7.88</x:v>
      </x:c>
      <x:c r="N1589" s="187" t="str">
        <x:v>83841.16048565961600000</x:v>
      </x:c>
      <x:c r="O1589" s="235" t="n">
        <x:v>83841.1605</x:v>
      </x:c>
      <x:c r="P1589" s="235"/>
      <x:c r="Q1589" s="235"/>
      <x:c r="R1589" s="235" t="str">
        <x:v>INVOICE_OR_PLAN</x:v>
      </x:c>
      <x:c r="S1589" s="238" t="n">
        <x:f>'Model_Calc'!AF269</x:f>
        <x:v>83841.16048565961</x:v>
      </x:c>
      <x:c r="T1589" s="238" t="n">
        <x:f>ROUND(S1589-O1589,4)</x:f>
        <x:v>0</x:v>
      </x:c>
    </x:row>
    <x:row r="1590">
      <x:c r="A1590" s="187" t="str">
        <x:v>SCENARIO_BASE_2026_08</x:v>
      </x:c>
      <x:c r="B1590" s="187" t="str">
        <x:v>SCENARIO</x:v>
      </x:c>
      <x:c r="C1590" s="187" t="str">
        <x:v>BASE</x:v>
      </x:c>
      <x:c r="D1590" s="217" t="n">
        <x:v>46327</x:v>
      </x:c>
      <x:c r="E1590" s="187" t="str">
        <x:v>R_FR_FR_B_ROAD</x:v>
      </x:c>
      <x:c r="F1590" s="187" t="str">
        <x:v>FR</x:v>
      </x:c>
      <x:c r="G1590" s="187" t="str">
        <x:v>FR_FC</x:v>
      </x:c>
      <x:c r="H1590" s="187" t="str">
        <x:v>CARRIER_B</x:v>
      </x:c>
      <x:c r="I1590" s="187" t="str">
        <x:v>ROAD</x:v>
      </x:c>
      <x:c r="J1590" s="187" t="str">
        <x:v>FUEL_SURCHARGE</x:v>
      </x:c>
      <x:c r="K1590" s="187" t="str">
        <x:v>EUR</x:v>
      </x:c>
      <x:c r="L1590" s="232" t="n">
        <x:v>818.4416291064</x:v>
      </x:c>
      <x:c r="M1590" s="232" t="n">
        <x:v>7.88</x:v>
      </x:c>
      <x:c r="N1590" s="187" t="str">
        <x:v>6449.32003735843200000</x:v>
      </x:c>
      <x:c r="O1590" s="235" t="n">
        <x:v>6449.32</x:v>
      </x:c>
      <x:c r="P1590" s="235"/>
      <x:c r="Q1590" s="235"/>
      <x:c r="R1590" s="235" t="str">
        <x:v>INVOICE_OR_PLAN</x:v>
      </x:c>
      <x:c r="S1590" s="238" t="n">
        <x:f>'Model_Calc'!AG269</x:f>
        <x:v>6449.320037358432</x:v>
      </x:c>
      <x:c r="T1590" s="238" t="n">
        <x:f>ROUND(S1590-O1590,4)</x:f>
        <x:v>0</x:v>
      </x:c>
    </x:row>
    <x:row r="1591">
      <x:c r="A1591" s="187" t="str">
        <x:v>SCENARIO_BASE_2026_08</x:v>
      </x:c>
      <x:c r="B1591" s="187" t="str">
        <x:v>SCENARIO</x:v>
      </x:c>
      <x:c r="C1591" s="187" t="str">
        <x:v>BASE</x:v>
      </x:c>
      <x:c r="D1591" s="217" t="n">
        <x:v>46327</x:v>
      </x:c>
      <x:c r="E1591" s="187" t="str">
        <x:v>R_FR_FR_B_ROAD</x:v>
      </x:c>
      <x:c r="F1591" s="187" t="str">
        <x:v>FR</x:v>
      </x:c>
      <x:c r="G1591" s="187" t="str">
        <x:v>FR_FC</x:v>
      </x:c>
      <x:c r="H1591" s="187" t="str">
        <x:v>CARRIER_B</x:v>
      </x:c>
      <x:c r="I1591" s="187" t="str">
        <x:v>ROAD</x:v>
      </x:c>
      <x:c r="J1591" s="187" t="str">
        <x:v>WAREHOUSE_OPERATION</x:v>
      </x:c>
      <x:c r="K1591" s="187" t="str">
        <x:v>EUR</x:v>
      </x:c>
      <x:c r="L1591" s="232" t="n">
        <x:v>5080.3389</x:v>
      </x:c>
      <x:c r="M1591" s="232" t="n">
        <x:v>7.88</x:v>
      </x:c>
      <x:c r="N1591" s="187" t="str">
        <x:v>40033.07053200000</x:v>
      </x:c>
      <x:c r="O1591" s="235" t="n">
        <x:v>40033.0705</x:v>
      </x:c>
      <x:c r="P1591" s="235"/>
      <x:c r="Q1591" s="235"/>
      <x:c r="R1591" s="235" t="str">
        <x:v>INVOICE_OR_PLAN</x:v>
      </x:c>
      <x:c r="S1591" s="238" t="n">
        <x:f>'Model_Calc'!AL269</x:f>
        <x:v>40033.070532</x:v>
      </x:c>
      <x:c r="T1591" s="238" t="n">
        <x:f>ROUND(S1591-O1591,4)</x:f>
        <x:v>0</x:v>
      </x:c>
    </x:row>
    <x:row r="1592">
      <x:c r="A1592" s="187" t="str">
        <x:v>SCENARIO_BASE_2026_08</x:v>
      </x:c>
      <x:c r="B1592" s="187" t="str">
        <x:v>SCENARIO</x:v>
      </x:c>
      <x:c r="C1592" s="187" t="str">
        <x:v>BASE</x:v>
      </x:c>
      <x:c r="D1592" s="217" t="n">
        <x:v>46327</x:v>
      </x:c>
      <x:c r="E1592" s="187" t="str">
        <x:v>R_FR_FR_B_ROAD</x:v>
      </x:c>
      <x:c r="F1592" s="187" t="str">
        <x:v>FR</x:v>
      </x:c>
      <x:c r="G1592" s="187" t="str">
        <x:v>FR_FC</x:v>
      </x:c>
      <x:c r="H1592" s="187" t="str">
        <x:v>CARRIER_B</x:v>
      </x:c>
      <x:c r="I1592" s="187" t="str">
        <x:v>ROAD</x:v>
      </x:c>
      <x:c r="J1592" s="187" t="str">
        <x:v>PACKAGING</x:v>
      </x:c>
      <x:c r="K1592" s="187" t="str">
        <x:v>EUR</x:v>
      </x:c>
      <x:c r="L1592" s="232" t="n">
        <x:v>1948.9147704</x:v>
      </x:c>
      <x:c r="M1592" s="232" t="n">
        <x:v>7.88</x:v>
      </x:c>
      <x:c r="N1592" s="187" t="str">
        <x:v>15357.4483907520000</x:v>
      </x:c>
      <x:c r="O1592" s="235" t="n">
        <x:v>15357.4484</x:v>
      </x:c>
      <x:c r="P1592" s="235"/>
      <x:c r="Q1592" s="235"/>
      <x:c r="R1592" s="235" t="str">
        <x:v>INVOICE_OR_PLAN</x:v>
      </x:c>
      <x:c r="S1592" s="238" t="n">
        <x:f>'Model_Calc'!AQ269</x:f>
        <x:v>15357.448390751997</x:v>
      </x:c>
      <x:c r="T1592" s="238" t="n">
        <x:f>ROUND(S1592-O1592,4)</x:f>
        <x:v>0</x:v>
      </x:c>
    </x:row>
    <x:row r="1593">
      <x:c r="A1593" s="187" t="str">
        <x:v>SCENARIO_BASE_2026_08</x:v>
      </x:c>
      <x:c r="B1593" s="187" t="str">
        <x:v>SCENARIO</x:v>
      </x:c>
      <x:c r="C1593" s="187" t="str">
        <x:v>BASE</x:v>
      </x:c>
      <x:c r="D1593" s="217" t="n">
        <x:v>46327</x:v>
      </x:c>
      <x:c r="E1593" s="187" t="str">
        <x:v>R_FR_FR_B_ROAD</x:v>
      </x:c>
      <x:c r="F1593" s="187" t="str">
        <x:v>FR</x:v>
      </x:c>
      <x:c r="G1593" s="187" t="str">
        <x:v>FR_FC</x:v>
      </x:c>
      <x:c r="H1593" s="187" t="str">
        <x:v>CARRIER_B</x:v>
      </x:c>
      <x:c r="I1593" s="187" t="str">
        <x:v>ROAD</x:v>
      </x:c>
      <x:c r="J1593" s="187" t="str">
        <x:v>RETURN_LOGISTICS</x:v>
      </x:c>
      <x:c r="K1593" s="187" t="str">
        <x:v>EUR</x:v>
      </x:c>
      <x:c r="L1593" s="232" t="n">
        <x:v>870.91524</x:v>
      </x:c>
      <x:c r="M1593" s="232" t="n">
        <x:v>7.88</x:v>
      </x:c>
      <x:c r="N1593" s="187" t="str">
        <x:v>6862.81209120000000</x:v>
      </x:c>
      <x:c r="O1593" s="235" t="n">
        <x:v>6862.8121</x:v>
      </x:c>
      <x:c r="P1593" s="235"/>
      <x:c r="Q1593" s="235"/>
      <x:c r="R1593" s="235" t="str">
        <x:v>INVOICE_OR_PLAN</x:v>
      </x:c>
      <x:c r="S1593" s="238" t="n">
        <x:f>'Model_Calc'!AV269</x:f>
        <x:v>6862.812091199999</x:v>
      </x:c>
      <x:c r="T1593" s="238" t="n">
        <x:f>ROUND(S1593-O1593,4)</x:f>
        <x:v>0</x:v>
      </x:c>
    </x:row>
    <x:row r="1594">
      <x:c r="A1594" s="187" t="str">
        <x:v>SCENARIO_BASE_2026_08</x:v>
      </x:c>
      <x:c r="B1594" s="187" t="str">
        <x:v>SCENARIO</x:v>
      </x:c>
      <x:c r="C1594" s="187" t="str">
        <x:v>BASE</x:v>
      </x:c>
      <x:c r="D1594" s="217" t="n">
        <x:v>46327</x:v>
      </x:c>
      <x:c r="E1594" s="187" t="str">
        <x:v>R_FR_FR_B_ROAD</x:v>
      </x:c>
      <x:c r="F1594" s="187" t="str">
        <x:v>FR</x:v>
      </x:c>
      <x:c r="G1594" s="187" t="str">
        <x:v>FR_FC</x:v>
      </x:c>
      <x:c r="H1594" s="187" t="str">
        <x:v>CARRIER_B</x:v>
      </x:c>
      <x:c r="I1594" s="187" t="str">
        <x:v>ROAD</x:v>
      </x:c>
      <x:c r="J1594" s="187" t="str">
        <x:v>BILLABLE_EXCEPTION</x:v>
      </x:c>
      <x:c r="K1594" s="187" t="str">
        <x:v>EUR</x:v>
      </x:c>
      <x:c r="L1594" s="232" t="n">
        <x:v>165.144883176</x:v>
      </x:c>
      <x:c r="M1594" s="232" t="n">
        <x:v>7.88</x:v>
      </x:c>
      <x:c r="N1594" s="187" t="str">
        <x:v>1301.3416794268800000</x:v>
      </x:c>
      <x:c r="O1594" s="235" t="n">
        <x:v>1301.3417</x:v>
      </x:c>
      <x:c r="P1594" s="235"/>
      <x:c r="Q1594" s="235"/>
      <x:c r="R1594" s="235" t="str">
        <x:v>INVOICE_OR_PLAN</x:v>
      </x:c>
      <x:c r="S1594" s="238" t="n">
        <x:f>'Model_Calc'!BA269</x:f>
        <x:v>1301.34167942688</x:v>
      </x:c>
      <x:c r="T1594" s="238" t="n">
        <x:f>ROUND(S1594-O1594,4)</x:f>
        <x:v>0</x:v>
      </x:c>
    </x:row>
    <x:row r="1595">
      <x:c r="A1595" s="187" t="str">
        <x:v>SCENARIO_BASE_2026_08</x:v>
      </x:c>
      <x:c r="B1595" s="187" t="str">
        <x:v>SCENARIO</x:v>
      </x:c>
      <x:c r="C1595" s="187" t="str">
        <x:v>BASE</x:v>
      </x:c>
      <x:c r="D1595" s="217" t="n">
        <x:v>46327</x:v>
      </x:c>
      <x:c r="E1595" s="187" t="str">
        <x:v>R_GB_DE_A_ROAD</x:v>
      </x:c>
      <x:c r="F1595" s="187" t="str">
        <x:v>GB</x:v>
      </x:c>
      <x:c r="G1595" s="187" t="str">
        <x:v>DE_FC</x:v>
      </x:c>
      <x:c r="H1595" s="187" t="str">
        <x:v>CARRIER_A</x:v>
      </x:c>
      <x:c r="I1595" s="187" t="str">
        <x:v>ROAD</x:v>
      </x:c>
      <x:c r="J1595" s="187" t="str">
        <x:v>BASE_FREIGHT</x:v>
      </x:c>
      <x:c r="K1595" s="187" t="str">
        <x:v>GBP</x:v>
      </x:c>
      <x:c r="L1595" s="232" t="n">
        <x:v>19849.278784129965</x:v>
      </x:c>
      <x:c r="M1595" s="232" t="n">
        <x:v>9.05</x:v>
      </x:c>
      <x:c r="N1595" s="187" t="str">
        <x:v>179635.972996376193024000000</x:v>
      </x:c>
      <x:c r="O1595" s="235" t="n">
        <x:v>179635.973</x:v>
      </x:c>
      <x:c r="P1595" s="235"/>
      <x:c r="Q1595" s="235"/>
      <x:c r="R1595" s="235" t="str">
        <x:v>INVOICE_OR_PLAN</x:v>
      </x:c>
      <x:c r="S1595" s="238" t="n">
        <x:f>'Model_Calc'!AF270</x:f>
        <x:v>179635.97299637616</x:v>
      </x:c>
      <x:c r="T1595" s="238" t="n">
        <x:f>ROUND(S1595-O1595,4)</x:f>
        <x:v>0</x:v>
      </x:c>
    </x:row>
    <x:row r="1596">
      <x:c r="A1596" s="187" t="str">
        <x:v>SCENARIO_BASE_2026_08</x:v>
      </x:c>
      <x:c r="B1596" s="187" t="str">
        <x:v>SCENARIO</x:v>
      </x:c>
      <x:c r="C1596" s="187" t="str">
        <x:v>BASE</x:v>
      </x:c>
      <x:c r="D1596" s="217" t="n">
        <x:v>46327</x:v>
      </x:c>
      <x:c r="E1596" s="187" t="str">
        <x:v>R_GB_DE_A_ROAD</x:v>
      </x:c>
      <x:c r="F1596" s="187" t="str">
        <x:v>GB</x:v>
      </x:c>
      <x:c r="G1596" s="187" t="str">
        <x:v>DE_FC</x:v>
      </x:c>
      <x:c r="H1596" s="187" t="str">
        <x:v>CARRIER_A</x:v>
      </x:c>
      <x:c r="I1596" s="187" t="str">
        <x:v>ROAD</x:v>
      </x:c>
      <x:c r="J1596" s="187" t="str">
        <x:v>FUEL_SURCHARGE</x:v>
      </x:c>
      <x:c r="K1596" s="187" t="str">
        <x:v>GBP</x:v>
      </x:c>
      <x:c r="L1596" s="232" t="n">
        <x:v>2054.4003541574516</x:v>
      </x:c>
      <x:c r="M1596" s="232" t="n">
        <x:v>9.05</x:v>
      </x:c>
      <x:c r="N1596" s="187" t="str">
        <x:v>18592.323205124935977984000000000</x:v>
      </x:c>
      <x:c r="O1596" s="235" t="n">
        <x:v>18592.3232</x:v>
      </x:c>
      <x:c r="P1596" s="235"/>
      <x:c r="Q1596" s="235"/>
      <x:c r="R1596" s="235" t="str">
        <x:v>INVOICE_OR_PLAN</x:v>
      </x:c>
      <x:c r="S1596" s="238" t="n">
        <x:f>'Model_Calc'!AG270</x:f>
        <x:v>18592.32320512493</x:v>
      </x:c>
      <x:c r="T1596" s="238" t="n">
        <x:f>ROUND(S1596-O1596,4)</x:f>
        <x:v>0</x:v>
      </x:c>
    </x:row>
    <x:row r="1597">
      <x:c r="A1597" s="187" t="str">
        <x:v>SCENARIO_BASE_2026_08</x:v>
      </x:c>
      <x:c r="B1597" s="187" t="str">
        <x:v>SCENARIO</x:v>
      </x:c>
      <x:c r="C1597" s="187" t="str">
        <x:v>BASE</x:v>
      </x:c>
      <x:c r="D1597" s="217" t="n">
        <x:v>46327</x:v>
      </x:c>
      <x:c r="E1597" s="187" t="str">
        <x:v>R_GB_DE_A_ROAD</x:v>
      </x:c>
      <x:c r="F1597" s="187" t="str">
        <x:v>GB</x:v>
      </x:c>
      <x:c r="G1597" s="187" t="str">
        <x:v>DE_FC</x:v>
      </x:c>
      <x:c r="H1597" s="187" t="str">
        <x:v>CARRIER_A</x:v>
      </x:c>
      <x:c r="I1597" s="187" t="str">
        <x:v>ROAD</x:v>
      </x:c>
      <x:c r="J1597" s="187" t="str">
        <x:v>WAREHOUSE_OPERATION</x:v>
      </x:c>
      <x:c r="K1597" s="187" t="str">
        <x:v>EUR</x:v>
      </x:c>
      <x:c r="L1597" s="232" t="n">
        <x:v>4762.76516352</x:v>
      </x:c>
      <x:c r="M1597" s="232" t="n">
        <x:v>7.88</x:v>
      </x:c>
      <x:c r="N1597" s="187" t="str">
        <x:v>37530.5894885376000</x:v>
      </x:c>
      <x:c r="O1597" s="235" t="n">
        <x:v>37530.5895</x:v>
      </x:c>
      <x:c r="P1597" s="235"/>
      <x:c r="Q1597" s="235"/>
      <x:c r="R1597" s="235" t="str">
        <x:v>INVOICE_OR_PLAN</x:v>
      </x:c>
      <x:c r="S1597" s="238" t="n">
        <x:f>'Model_Calc'!AL270</x:f>
        <x:v>37530.58948853759</x:v>
      </x:c>
      <x:c r="T1597" s="238" t="n">
        <x:f>ROUND(S1597-O1597,4)</x:f>
        <x:v>0</x:v>
      </x:c>
    </x:row>
    <x:row r="1598">
      <x:c r="A1598" s="187" t="str">
        <x:v>SCENARIO_BASE_2026_08</x:v>
      </x:c>
      <x:c r="B1598" s="187" t="str">
        <x:v>SCENARIO</x:v>
      </x:c>
      <x:c r="C1598" s="187" t="str">
        <x:v>BASE</x:v>
      </x:c>
      <x:c r="D1598" s="217" t="n">
        <x:v>46327</x:v>
      </x:c>
      <x:c r="E1598" s="187" t="str">
        <x:v>R_GB_DE_A_ROAD</x:v>
      </x:c>
      <x:c r="F1598" s="187" t="str">
        <x:v>GB</x:v>
      </x:c>
      <x:c r="G1598" s="187" t="str">
        <x:v>DE_FC</x:v>
      </x:c>
      <x:c r="H1598" s="187" t="str">
        <x:v>CARRIER_A</x:v>
      </x:c>
      <x:c r="I1598" s="187" t="str">
        <x:v>ROAD</x:v>
      </x:c>
      <x:c r="J1598" s="187" t="str">
        <x:v>PACKAGING</x:v>
      </x:c>
      <x:c r="K1598" s="187" t="str">
        <x:v>EUR</x:v>
      </x:c>
      <x:c r="L1598" s="232" t="n">
        <x:v>1983.4091536896</x:v>
      </x:c>
      <x:c r="M1598" s="232" t="n">
        <x:v>7.88</x:v>
      </x:c>
      <x:c r="N1598" s="187" t="str">
        <x:v>15629.264131074048000</x:v>
      </x:c>
      <x:c r="O1598" s="235" t="n">
        <x:v>15629.2641</x:v>
      </x:c>
      <x:c r="P1598" s="235"/>
      <x:c r="Q1598" s="235"/>
      <x:c r="R1598" s="235" t="str">
        <x:v>INVOICE_OR_PLAN</x:v>
      </x:c>
      <x:c r="S1598" s="238" t="n">
        <x:f>'Model_Calc'!AQ270</x:f>
        <x:v>15629.264131074044</x:v>
      </x:c>
      <x:c r="T1598" s="238" t="n">
        <x:f>ROUND(S1598-O1598,4)</x:f>
        <x:v>0</x:v>
      </x:c>
    </x:row>
    <x:row r="1599">
      <x:c r="A1599" s="187" t="str">
        <x:v>SCENARIO_BASE_2026_08</x:v>
      </x:c>
      <x:c r="B1599" s="187" t="str">
        <x:v>SCENARIO</x:v>
      </x:c>
      <x:c r="C1599" s="187" t="str">
        <x:v>BASE</x:v>
      </x:c>
      <x:c r="D1599" s="217" t="n">
        <x:v>46327</x:v>
      </x:c>
      <x:c r="E1599" s="187" t="str">
        <x:v>R_GB_DE_A_ROAD</x:v>
      </x:c>
      <x:c r="F1599" s="187" t="str">
        <x:v>GB</x:v>
      </x:c>
      <x:c r="G1599" s="187" t="str">
        <x:v>DE_FC</x:v>
      </x:c>
      <x:c r="H1599" s="187" t="str">
        <x:v>CARRIER_A</x:v>
      </x:c>
      <x:c r="I1599" s="187" t="str">
        <x:v>ROAD</x:v>
      </x:c>
      <x:c r="J1599" s="187" t="str">
        <x:v>RETURN_LOGISTICS</x:v>
      </x:c>
      <x:c r="K1599" s="187" t="str">
        <x:v>GBP</x:v>
      </x:c>
      <x:c r="L1599" s="232" t="n">
        <x:v>1743.656398848</x:v>
      </x:c>
      <x:c r="M1599" s="232" t="n">
        <x:v>9.05</x:v>
      </x:c>
      <x:c r="N1599" s="187" t="str">
        <x:v>15780.0904095744000000</x:v>
      </x:c>
      <x:c r="O1599" s="235" t="n">
        <x:v>15780.0904</x:v>
      </x:c>
      <x:c r="P1599" s="235"/>
      <x:c r="Q1599" s="235"/>
      <x:c r="R1599" s="235" t="str">
        <x:v>INVOICE_OR_PLAN</x:v>
      </x:c>
      <x:c r="S1599" s="238" t="n">
        <x:f>'Model_Calc'!AV270</x:f>
        <x:v>15780.090409574399</x:v>
      </x:c>
      <x:c r="T1599" s="238" t="n">
        <x:f>ROUND(S1599-O1599,4)</x:f>
        <x:v>0</x:v>
      </x:c>
    </x:row>
    <x:row r="1600">
      <x:c r="A1600" s="187" t="str">
        <x:v>SCENARIO_BASE_2026_08</x:v>
      </x:c>
      <x:c r="B1600" s="187" t="str">
        <x:v>SCENARIO</x:v>
      </x:c>
      <x:c r="C1600" s="187" t="str">
        <x:v>BASE</x:v>
      </x:c>
      <x:c r="D1600" s="217" t="n">
        <x:v>46327</x:v>
      </x:c>
      <x:c r="E1600" s="187" t="str">
        <x:v>R_GB_DE_A_ROAD</x:v>
      </x:c>
      <x:c r="F1600" s="187" t="str">
        <x:v>GB</x:v>
      </x:c>
      <x:c r="G1600" s="187" t="str">
        <x:v>DE_FC</x:v>
      </x:c>
      <x:c r="H1600" s="187" t="str">
        <x:v>CARRIER_A</x:v>
      </x:c>
      <x:c r="I1600" s="187" t="str">
        <x:v>ROAD</x:v>
      </x:c>
      <x:c r="J1600" s="187" t="str">
        <x:v>BILLABLE_EXCEPTION</x:v>
      </x:c>
      <x:c r="K1600" s="187" t="str">
        <x:v>GBP</x:v>
      </x:c>
      <x:c r="L1600" s="232" t="n">
        <x:v>293.261210581248</x:v>
      </x:c>
      <x:c r="M1600" s="232" t="n">
        <x:v>9.05</x:v>
      </x:c>
      <x:c r="N1600" s="187" t="str">
        <x:v>2654.013955760294400000</x:v>
      </x:c>
      <x:c r="O1600" s="235" t="n">
        <x:v>2654.014</x:v>
      </x:c>
      <x:c r="P1600" s="235"/>
      <x:c r="Q1600" s="235"/>
      <x:c r="R1600" s="235" t="str">
        <x:v>INVOICE_OR_PLAN</x:v>
      </x:c>
      <x:c r="S1600" s="238" t="n">
        <x:f>'Model_Calc'!BA270</x:f>
        <x:v>2654.013955760294</x:v>
      </x:c>
      <x:c r="T1600" s="238" t="n">
        <x:f>ROUND(S1600-O1600,4)</x:f>
        <x:v>0</x:v>
      </x:c>
    </x:row>
    <x:row r="1601">
      <x:c r="A1601" s="187" t="str">
        <x:v>SCENARIO_BASE_2026_08</x:v>
      </x:c>
      <x:c r="B1601" s="187" t="str">
        <x:v>SCENARIO</x:v>
      </x:c>
      <x:c r="C1601" s="187" t="str">
        <x:v>BASE</x:v>
      </x:c>
      <x:c r="D1601" s="217" t="n">
        <x:v>46327</x:v>
      </x:c>
      <x:c r="E1601" s="187" t="str">
        <x:v>R_GB_DE_B_ROAD</x:v>
      </x:c>
      <x:c r="F1601" s="187" t="str">
        <x:v>GB</x:v>
      </x:c>
      <x:c r="G1601" s="187" t="str">
        <x:v>DE_FC</x:v>
      </x:c>
      <x:c r="H1601" s="187" t="str">
        <x:v>CARRIER_B</x:v>
      </x:c>
      <x:c r="I1601" s="187" t="str">
        <x:v>ROAD</x:v>
      </x:c>
      <x:c r="J1601" s="187" t="str">
        <x:v>BASE_FREIGHT</x:v>
      </x:c>
      <x:c r="K1601" s="187" t="str">
        <x:v>GBP</x:v>
      </x:c>
      <x:c r="L1601" s="232" t="n">
        <x:v>12521.633033172557</x:v>
      </x:c>
      <x:c r="M1601" s="232" t="n">
        <x:v>9.05</x:v>
      </x:c>
      <x:c r="N1601" s="187" t="str">
        <x:v>113320.778950211639040000000</x:v>
      </x:c>
      <x:c r="O1601" s="235" t="n">
        <x:v>113320.779</x:v>
      </x:c>
      <x:c r="P1601" s="235"/>
      <x:c r="Q1601" s="235"/>
      <x:c r="R1601" s="235" t="str">
        <x:v>INVOICE_OR_PLAN</x:v>
      </x:c>
      <x:c r="S1601" s="238" t="n">
        <x:f>'Model_Calc'!AF271</x:f>
        <x:v>113320.77895021164</x:v>
      </x:c>
      <x:c r="T1601" s="238" t="n">
        <x:f>ROUND(S1601-O1601,4)</x:f>
        <x:v>0</x:v>
      </x:c>
    </x:row>
    <x:row r="1602">
      <x:c r="A1602" s="187" t="str">
        <x:v>SCENARIO_BASE_2026_08</x:v>
      </x:c>
      <x:c r="B1602" s="187" t="str">
        <x:v>SCENARIO</x:v>
      </x:c>
      <x:c r="C1602" s="187" t="str">
        <x:v>BASE</x:v>
      </x:c>
      <x:c r="D1602" s="217" t="n">
        <x:v>46327</x:v>
      </x:c>
      <x:c r="E1602" s="187" t="str">
        <x:v>R_GB_DE_B_ROAD</x:v>
      </x:c>
      <x:c r="F1602" s="187" t="str">
        <x:v>GB</x:v>
      </x:c>
      <x:c r="G1602" s="187" t="str">
        <x:v>DE_FC</x:v>
      </x:c>
      <x:c r="H1602" s="187" t="str">
        <x:v>CARRIER_B</x:v>
      </x:c>
      <x:c r="I1602" s="187" t="str">
        <x:v>ROAD</x:v>
      </x:c>
      <x:c r="J1602" s="187" t="str">
        <x:v>FUEL_SURCHARGE</x:v>
      </x:c>
      <x:c r="K1602" s="187" t="str">
        <x:v>GBP</x:v>
      </x:c>
      <x:c r="L1602" s="232" t="n">
        <x:v>879.1784895631795</x:v>
      </x:c>
      <x:c r="M1602" s="232" t="n">
        <x:v>9.05</x:v>
      </x:c>
      <x:c r="N1602" s="187" t="str">
        <x:v>7956.565330546774656000000</x:v>
      </x:c>
      <x:c r="O1602" s="235" t="n">
        <x:v>7956.5653</x:v>
      </x:c>
      <x:c r="P1602" s="235"/>
      <x:c r="Q1602" s="235"/>
      <x:c r="R1602" s="235" t="str">
        <x:v>INVOICE_OR_PLAN</x:v>
      </x:c>
      <x:c r="S1602" s="238" t="n">
        <x:f>'Model_Calc'!AG271</x:f>
        <x:v>7956.565330546775</x:v>
      </x:c>
      <x:c r="T1602" s="238" t="n">
        <x:f>ROUND(S1602-O1602,4)</x:f>
        <x:v>0</x:v>
      </x:c>
    </x:row>
    <x:row r="1603">
      <x:c r="A1603" s="187" t="str">
        <x:v>SCENARIO_BASE_2026_08</x:v>
      </x:c>
      <x:c r="B1603" s="187" t="str">
        <x:v>SCENARIO</x:v>
      </x:c>
      <x:c r="C1603" s="187" t="str">
        <x:v>BASE</x:v>
      </x:c>
      <x:c r="D1603" s="217" t="n">
        <x:v>46327</x:v>
      </x:c>
      <x:c r="E1603" s="187" t="str">
        <x:v>R_GB_DE_B_ROAD</x:v>
      </x:c>
      <x:c r="F1603" s="187" t="str">
        <x:v>GB</x:v>
      </x:c>
      <x:c r="G1603" s="187" t="str">
        <x:v>DE_FC</x:v>
      </x:c>
      <x:c r="H1603" s="187" t="str">
        <x:v>CARRIER_B</x:v>
      </x:c>
      <x:c r="I1603" s="187" t="str">
        <x:v>ROAD</x:v>
      </x:c>
      <x:c r="J1603" s="187" t="str">
        <x:v>WAREHOUSE_OPERATION</x:v>
      </x:c>
      <x:c r="K1603" s="187" t="str">
        <x:v>EUR</x:v>
      </x:c>
      <x:c r="L1603" s="232" t="n">
        <x:v>2608.18092288</x:v>
      </x:c>
      <x:c r="M1603" s="232" t="n">
        <x:v>7.88</x:v>
      </x:c>
      <x:c r="N1603" s="187" t="str">
        <x:v>20552.4656722944000</x:v>
      </x:c>
      <x:c r="O1603" s="235" t="n">
        <x:v>20552.4657</x:v>
      </x:c>
      <x:c r="P1603" s="235"/>
      <x:c r="Q1603" s="235"/>
      <x:c r="R1603" s="235" t="str">
        <x:v>INVOICE_OR_PLAN</x:v>
      </x:c>
      <x:c r="S1603" s="238" t="n">
        <x:f>'Model_Calc'!AL271</x:f>
        <x:v>20552.465672294402</x:v>
      </x:c>
      <x:c r="T1603" s="238" t="n">
        <x:f>ROUND(S1603-O1603,4)</x:f>
        <x:v>0</x:v>
      </x:c>
    </x:row>
    <x:row r="1604">
      <x:c r="A1604" s="187" t="str">
        <x:v>SCENARIO_BASE_2026_08</x:v>
      </x:c>
      <x:c r="B1604" s="187" t="str">
        <x:v>SCENARIO</x:v>
      </x:c>
      <x:c r="C1604" s="187" t="str">
        <x:v>BASE</x:v>
      </x:c>
      <x:c r="D1604" s="217" t="n">
        <x:v>46327</x:v>
      </x:c>
      <x:c r="E1604" s="187" t="str">
        <x:v>R_GB_DE_B_ROAD</x:v>
      </x:c>
      <x:c r="F1604" s="187" t="str">
        <x:v>GB</x:v>
      </x:c>
      <x:c r="G1604" s="187" t="str">
        <x:v>DE_FC</x:v>
      </x:c>
      <x:c r="H1604" s="187" t="str">
        <x:v>CARRIER_B</x:v>
      </x:c>
      <x:c r="I1604" s="187" t="str">
        <x:v>ROAD</x:v>
      </x:c>
      <x:c r="J1604" s="187" t="str">
        <x:v>PACKAGING</x:v>
      </x:c>
      <x:c r="K1604" s="187" t="str">
        <x:v>EUR</x:v>
      </x:c>
      <x:c r="L1604" s="232" t="n">
        <x:v>1086.1526317824</x:v>
      </x:c>
      <x:c r="M1604" s="232" t="n">
        <x:v>7.88</x:v>
      </x:c>
      <x:c r="N1604" s="187" t="str">
        <x:v>8558.882738445312000</x:v>
      </x:c>
      <x:c r="O1604" s="235" t="n">
        <x:v>8558.8827</x:v>
      </x:c>
      <x:c r="P1604" s="235"/>
      <x:c r="Q1604" s="235"/>
      <x:c r="R1604" s="235" t="str">
        <x:v>INVOICE_OR_PLAN</x:v>
      </x:c>
      <x:c r="S1604" s="238" t="n">
        <x:f>'Model_Calc'!AQ271</x:f>
        <x:v>8558.88273844531</x:v>
      </x:c>
      <x:c r="T1604" s="238" t="n">
        <x:f>ROUND(S1604-O1604,4)</x:f>
        <x:v>0</x:v>
      </x:c>
    </x:row>
    <x:row r="1605">
      <x:c r="A1605" s="187" t="str">
        <x:v>SCENARIO_BASE_2026_08</x:v>
      </x:c>
      <x:c r="B1605" s="187" t="str">
        <x:v>SCENARIO</x:v>
      </x:c>
      <x:c r="C1605" s="187" t="str">
        <x:v>BASE</x:v>
      </x:c>
      <x:c r="D1605" s="217" t="n">
        <x:v>46327</x:v>
      </x:c>
      <x:c r="E1605" s="187" t="str">
        <x:v>R_GB_DE_B_ROAD</x:v>
      </x:c>
      <x:c r="F1605" s="187" t="str">
        <x:v>GB</x:v>
      </x:c>
      <x:c r="G1605" s="187" t="str">
        <x:v>DE_FC</x:v>
      </x:c>
      <x:c r="H1605" s="187" t="str">
        <x:v>CARRIER_B</x:v>
      </x:c>
      <x:c r="I1605" s="187" t="str">
        <x:v>ROAD</x:v>
      </x:c>
      <x:c r="J1605" s="187" t="str">
        <x:v>RETURN_LOGISTICS</x:v>
      </x:c>
      <x:c r="K1605" s="187" t="str">
        <x:v>GBP</x:v>
      </x:c>
      <x:c r="L1605" s="232" t="n">
        <x:v>954.859456512</x:v>
      </x:c>
      <x:c r="M1605" s="232" t="n">
        <x:v>9.05</x:v>
      </x:c>
      <x:c r="N1605" s="187" t="str">
        <x:v>8641.4780814336000000</x:v>
      </x:c>
      <x:c r="O1605" s="235" t="n">
        <x:v>8641.4781</x:v>
      </x:c>
      <x:c r="P1605" s="235"/>
      <x:c r="Q1605" s="235"/>
      <x:c r="R1605" s="235" t="str">
        <x:v>INVOICE_OR_PLAN</x:v>
      </x:c>
      <x:c r="S1605" s="238" t="n">
        <x:f>'Model_Calc'!AV271</x:f>
        <x:v>8641.4780814336</x:v>
      </x:c>
      <x:c r="T1605" s="238" t="n">
        <x:f>ROUND(S1605-O1605,4)</x:f>
        <x:v>0</x:v>
      </x:c>
    </x:row>
    <x:row r="1606">
      <x:c r="A1606" s="187" t="str">
        <x:v>SCENARIO_BASE_2026_08</x:v>
      </x:c>
      <x:c r="B1606" s="187" t="str">
        <x:v>SCENARIO</x:v>
      </x:c>
      <x:c r="C1606" s="187" t="str">
        <x:v>BASE</x:v>
      </x:c>
      <x:c r="D1606" s="217" t="n">
        <x:v>46327</x:v>
      </x:c>
      <x:c r="E1606" s="187" t="str">
        <x:v>R_GB_DE_B_ROAD</x:v>
      </x:c>
      <x:c r="F1606" s="187" t="str">
        <x:v>GB</x:v>
      </x:c>
      <x:c r="G1606" s="187" t="str">
        <x:v>DE_FC</x:v>
      </x:c>
      <x:c r="H1606" s="187" t="str">
        <x:v>CARRIER_B</x:v>
      </x:c>
      <x:c r="I1606" s="187" t="str">
        <x:v>ROAD</x:v>
      </x:c>
      <x:c r="J1606" s="187" t="str">
        <x:v>BILLABLE_EXCEPTION</x:v>
      </x:c>
      <x:c r="K1606" s="187" t="str">
        <x:v>GBP</x:v>
      </x:c>
      <x:c r="L1606" s="232" t="n">
        <x:v>118.95957395712</x:v>
      </x:c>
      <x:c r="M1606" s="232" t="n">
        <x:v>9.05</x:v>
      </x:c>
      <x:c r="N1606" s="187" t="str">
        <x:v>1076.584144311936000000</x:v>
      </x:c>
      <x:c r="O1606" s="235" t="n">
        <x:v>1076.5841</x:v>
      </x:c>
      <x:c r="P1606" s="235"/>
      <x:c r="Q1606" s="235"/>
      <x:c r="R1606" s="235" t="str">
        <x:v>INVOICE_OR_PLAN</x:v>
      </x:c>
      <x:c r="S1606" s="238" t="n">
        <x:f>'Model_Calc'!BA271</x:f>
        <x:v>1076.5841443119361</x:v>
      </x:c>
      <x:c r="T1606" s="238" t="n">
        <x:f>ROUND(S1606-O1606,4)</x:f>
        <x:v>0</x:v>
      </x:c>
    </x:row>
    <x:row r="1607">
      <x:c r="A1607" s="187" t="str">
        <x:v>SCENARIO_BASE_2026_08</x:v>
      </x:c>
      <x:c r="B1607" s="187" t="str">
        <x:v>SCENARIO</x:v>
      </x:c>
      <x:c r="C1607" s="187" t="str">
        <x:v>BASE</x:v>
      </x:c>
      <x:c r="D1607" s="217" t="n">
        <x:v>46327</x:v>
      </x:c>
      <x:c r="E1607" s="187" t="str">
        <x:v>R_GB_DE_B_AIR</x:v>
      </x:c>
      <x:c r="F1607" s="187" t="str">
        <x:v>GB</x:v>
      </x:c>
      <x:c r="G1607" s="187" t="str">
        <x:v>DE_FC</x:v>
      </x:c>
      <x:c r="H1607" s="187" t="str">
        <x:v>CARRIER_B</x:v>
      </x:c>
      <x:c r="I1607" s="187" t="str">
        <x:v>AIR</x:v>
      </x:c>
      <x:c r="J1607" s="187" t="str">
        <x:v>BASE_FREIGHT</x:v>
      </x:c>
      <x:c r="K1607" s="187" t="str">
        <x:v>GBP</x:v>
      </x:c>
      <x:c r="L1607" s="232" t="n">
        <x:v>15445.81543959762</x:v>
      </x:c>
      <x:c r="M1607" s="232" t="n">
        <x:v>9.05</x:v>
      </x:c>
      <x:c r="N1607" s="187" t="str">
        <x:v>139784.62972835845450137600000</x:v>
      </x:c>
      <x:c r="O1607" s="235" t="n">
        <x:v>139784.6297</x:v>
      </x:c>
      <x:c r="P1607" s="235"/>
      <x:c r="Q1607" s="235"/>
      <x:c r="R1607" s="235" t="str">
        <x:v>INVOICE_OR_PLAN</x:v>
      </x:c>
      <x:c r="S1607" s="238" t="n">
        <x:f>'Model_Calc'!AF272</x:f>
        <x:v>139784.62972835844</x:v>
      </x:c>
      <x:c r="T1607" s="238" t="n">
        <x:f>ROUND(S1607-O1607,4)</x:f>
        <x:v>0</x:v>
      </x:c>
    </x:row>
    <x:row r="1608">
      <x:c r="A1608" s="187" t="str">
        <x:v>SCENARIO_BASE_2026_08</x:v>
      </x:c>
      <x:c r="B1608" s="187" t="str">
        <x:v>SCENARIO</x:v>
      </x:c>
      <x:c r="C1608" s="187" t="str">
        <x:v>BASE</x:v>
      </x:c>
      <x:c r="D1608" s="217" t="n">
        <x:v>46327</x:v>
      </x:c>
      <x:c r="E1608" s="187" t="str">
        <x:v>R_GB_DE_B_AIR</x:v>
      </x:c>
      <x:c r="F1608" s="187" t="str">
        <x:v>GB</x:v>
      </x:c>
      <x:c r="G1608" s="187" t="str">
        <x:v>DE_FC</x:v>
      </x:c>
      <x:c r="H1608" s="187" t="str">
        <x:v>CARRIER_B</x:v>
      </x:c>
      <x:c r="I1608" s="187" t="str">
        <x:v>AIR</x:v>
      </x:c>
      <x:c r="J1608" s="187" t="str">
        <x:v>FUEL_SURCHARGE</x:v>
      </x:c>
      <x:c r="K1608" s="187" t="str">
        <x:v>GBP</x:v>
      </x:c>
      <x:c r="L1608" s="232" t="n">
        <x:v>1911.9757100060308</x:v>
      </x:c>
      <x:c r="M1608" s="232" t="n">
        <x:v>9.05</x:v>
      </x:c>
      <x:c r="N1608" s="187" t="str">
        <x:v>17303.3801755545796489073295360000000</x:v>
      </x:c>
      <x:c r="O1608" s="235" t="n">
        <x:v>17303.3802</x:v>
      </x:c>
      <x:c r="P1608" s="235"/>
      <x:c r="Q1608" s="235"/>
      <x:c r="R1608" s="235" t="str">
        <x:v>INVOICE_OR_PLAN</x:v>
      </x:c>
      <x:c r="S1608" s="238" t="n">
        <x:f>'Model_Calc'!AG272</x:f>
        <x:v>17303.38017555458</x:v>
      </x:c>
      <x:c r="T1608" s="238" t="n">
        <x:f>ROUND(S1608-O1608,4)</x:f>
        <x:v>0</x:v>
      </x:c>
    </x:row>
    <x:row r="1609">
      <x:c r="A1609" s="187" t="str">
        <x:v>SCENARIO_BASE_2026_08</x:v>
      </x:c>
      <x:c r="B1609" s="187" t="str">
        <x:v>SCENARIO</x:v>
      </x:c>
      <x:c r="C1609" s="187" t="str">
        <x:v>BASE</x:v>
      </x:c>
      <x:c r="D1609" s="217" t="n">
        <x:v>46327</x:v>
      </x:c>
      <x:c r="E1609" s="187" t="str">
        <x:v>R_GB_DE_B_AIR</x:v>
      </x:c>
      <x:c r="F1609" s="187" t="str">
        <x:v>GB</x:v>
      </x:c>
      <x:c r="G1609" s="187" t="str">
        <x:v>DE_FC</x:v>
      </x:c>
      <x:c r="H1609" s="187" t="str">
        <x:v>CARRIER_B</x:v>
      </x:c>
      <x:c r="I1609" s="187" t="str">
        <x:v>AIR</x:v>
      </x:c>
      <x:c r="J1609" s="187" t="str">
        <x:v>WAREHOUSE_OPERATION</x:v>
      </x:c>
      <x:c r="K1609" s="187" t="str">
        <x:v>EUR</x:v>
      </x:c>
      <x:c r="L1609" s="232" t="n">
        <x:v>2494.78175232</x:v>
      </x:c>
      <x:c r="M1609" s="232" t="n">
        <x:v>7.88</x:v>
      </x:c>
      <x:c r="N1609" s="187" t="str">
        <x:v>19658.8802082816000</x:v>
      </x:c>
      <x:c r="O1609" s="235" t="n">
        <x:v>19658.8802</x:v>
      </x:c>
      <x:c r="P1609" s="235"/>
      <x:c r="Q1609" s="235"/>
      <x:c r="R1609" s="235" t="str">
        <x:v>INVOICE_OR_PLAN</x:v>
      </x:c>
      <x:c r="S1609" s="238" t="n">
        <x:f>'Model_Calc'!AL272</x:f>
        <x:v>19658.880208281596</x:v>
      </x:c>
      <x:c r="T1609" s="238" t="n">
        <x:f>ROUND(S1609-O1609,4)</x:f>
        <x:v>0</x:v>
      </x:c>
    </x:row>
    <x:row r="1610">
      <x:c r="A1610" s="187" t="str">
        <x:v>SCENARIO_BASE_2026_08</x:v>
      </x:c>
      <x:c r="B1610" s="187" t="str">
        <x:v>SCENARIO</x:v>
      </x:c>
      <x:c r="C1610" s="187" t="str">
        <x:v>BASE</x:v>
      </x:c>
      <x:c r="D1610" s="217" t="n">
        <x:v>46327</x:v>
      </x:c>
      <x:c r="E1610" s="187" t="str">
        <x:v>R_GB_DE_B_AIR</x:v>
      </x:c>
      <x:c r="F1610" s="187" t="str">
        <x:v>GB</x:v>
      </x:c>
      <x:c r="G1610" s="187" t="str">
        <x:v>DE_FC</x:v>
      </x:c>
      <x:c r="H1610" s="187" t="str">
        <x:v>CARRIER_B</x:v>
      </x:c>
      <x:c r="I1610" s="187" t="str">
        <x:v>AIR</x:v>
      </x:c>
      <x:c r="J1610" s="187" t="str">
        <x:v>PACKAGING</x:v>
      </x:c>
      <x:c r="K1610" s="187" t="str">
        <x:v>EUR</x:v>
      </x:c>
      <x:c r="L1610" s="232" t="n">
        <x:v>1038.9286043136</x:v>
      </x:c>
      <x:c r="M1610" s="232" t="n">
        <x:v>7.88</x:v>
      </x:c>
      <x:c r="N1610" s="187" t="str">
        <x:v>8186.757401991168000</x:v>
      </x:c>
      <x:c r="O1610" s="235" t="n">
        <x:v>8186.7574</x:v>
      </x:c>
      <x:c r="P1610" s="235"/>
      <x:c r="Q1610" s="235"/>
      <x:c r="R1610" s="235" t="str">
        <x:v>INVOICE_OR_PLAN</x:v>
      </x:c>
      <x:c r="S1610" s="238" t="n">
        <x:f>'Model_Calc'!AQ272</x:f>
        <x:v>8186.757401991167</x:v>
      </x:c>
      <x:c r="T1610" s="238" t="n">
        <x:f>ROUND(S1610-O1610,4)</x:f>
        <x:v>0</x:v>
      </x:c>
    </x:row>
    <x:row r="1611">
      <x:c r="A1611" s="187" t="str">
        <x:v>SCENARIO_BASE_2026_08</x:v>
      </x:c>
      <x:c r="B1611" s="187" t="str">
        <x:v>SCENARIO</x:v>
      </x:c>
      <x:c r="C1611" s="187" t="str">
        <x:v>BASE</x:v>
      </x:c>
      <x:c r="D1611" s="217" t="n">
        <x:v>46327</x:v>
      </x:c>
      <x:c r="E1611" s="187" t="str">
        <x:v>R_GB_DE_B_AIR</x:v>
      </x:c>
      <x:c r="F1611" s="187" t="str">
        <x:v>GB</x:v>
      </x:c>
      <x:c r="G1611" s="187" t="str">
        <x:v>DE_FC</x:v>
      </x:c>
      <x:c r="H1611" s="187" t="str">
        <x:v>CARRIER_B</x:v>
      </x:c>
      <x:c r="I1611" s="187" t="str">
        <x:v>AIR</x:v>
      </x:c>
      <x:c r="J1611" s="187" t="str">
        <x:v>RETURN_LOGISTICS</x:v>
      </x:c>
      <x:c r="K1611" s="187" t="str">
        <x:v>GBP</x:v>
      </x:c>
      <x:c r="L1611" s="232" t="n">
        <x:v>913.343827968</x:v>
      </x:c>
      <x:c r="M1611" s="232" t="n">
        <x:v>9.05</x:v>
      </x:c>
      <x:c r="N1611" s="187" t="str">
        <x:v>8265.7616431104000000</x:v>
      </x:c>
      <x:c r="O1611" s="235" t="n">
        <x:v>8265.7616</x:v>
      </x:c>
      <x:c r="P1611" s="235"/>
      <x:c r="Q1611" s="235"/>
      <x:c r="R1611" s="235" t="str">
        <x:v>INVOICE_OR_PLAN</x:v>
      </x:c>
      <x:c r="S1611" s="238" t="n">
        <x:f>'Model_Calc'!AV272</x:f>
        <x:v>8265.7616431104</x:v>
      </x:c>
      <x:c r="T1611" s="238" t="n">
        <x:f>ROUND(S1611-O1611,4)</x:f>
        <x:v>0</x:v>
      </x:c>
    </x:row>
    <x:row r="1612">
      <x:c r="A1612" s="187" t="str">
        <x:v>SCENARIO_BASE_2026_08</x:v>
      </x:c>
      <x:c r="B1612" s="187" t="str">
        <x:v>SCENARIO</x:v>
      </x:c>
      <x:c r="C1612" s="187" t="str">
        <x:v>BASE</x:v>
      </x:c>
      <x:c r="D1612" s="217" t="n">
        <x:v>46327</x:v>
      </x:c>
      <x:c r="E1612" s="187" t="str">
        <x:v>R_GB_DE_B_AIR</x:v>
      </x:c>
      <x:c r="F1612" s="187" t="str">
        <x:v>GB</x:v>
      </x:c>
      <x:c r="G1612" s="187" t="str">
        <x:v>DE_FC</x:v>
      </x:c>
      <x:c r="H1612" s="187" t="str">
        <x:v>CARRIER_B</x:v>
      </x:c>
      <x:c r="I1612" s="187" t="str">
        <x:v>AIR</x:v>
      </x:c>
      <x:c r="J1612" s="187" t="str">
        <x:v>BILLABLE_EXCEPTION</x:v>
      </x:c>
      <x:c r="K1612" s="187" t="str">
        <x:v>GBP</x:v>
      </x:c>
      <x:c r="L1612" s="232" t="n">
        <x:v>110.819051126784</x:v>
      </x:c>
      <x:c r="M1612" s="232" t="n">
        <x:v>9.05</x:v>
      </x:c>
      <x:c r="N1612" s="187" t="str">
        <x:v>1002.912412697395200000</x:v>
      </x:c>
      <x:c r="O1612" s="235" t="n">
        <x:v>1002.9124</x:v>
      </x:c>
      <x:c r="P1612" s="235"/>
      <x:c r="Q1612" s="235"/>
      <x:c r="R1612" s="235" t="str">
        <x:v>INVOICE_OR_PLAN</x:v>
      </x:c>
      <x:c r="S1612" s="238" t="n">
        <x:f>'Model_Calc'!BA272</x:f>
        <x:v>1002.9124126973952</x:v>
      </x:c>
      <x:c r="T1612" s="238" t="n">
        <x:f>ROUND(S1612-O1612,4)</x:f>
        <x:v>0</x:v>
      </x:c>
    </x:row>
    <x:row r="1613">
      <x:c r="A1613" s="187" t="str">
        <x:v>SCENARIO_BASE_2026_08</x:v>
      </x:c>
      <x:c r="B1613" s="187" t="str">
        <x:v>SCENARIO</x:v>
      </x:c>
      <x:c r="C1613" s="187" t="str">
        <x:v>BASE</x:v>
      </x:c>
      <x:c r="D1613" s="217" t="n">
        <x:v>46327</x:v>
      </x:c>
      <x:c r="E1613" s="187" t="str">
        <x:v>R_GB_DE_C_AIR</x:v>
      </x:c>
      <x:c r="F1613" s="187" t="str">
        <x:v>GB</x:v>
      </x:c>
      <x:c r="G1613" s="187" t="str">
        <x:v>DE_FC</x:v>
      </x:c>
      <x:c r="H1613" s="187" t="str">
        <x:v>CARRIER_C</x:v>
      </x:c>
      <x:c r="I1613" s="187" t="str">
        <x:v>AIR</x:v>
      </x:c>
      <x:c r="J1613" s="187" t="str">
        <x:v>BASE_FREIGHT</x:v>
      </x:c>
      <x:c r="K1613" s="187" t="str">
        <x:v>GBP</x:v>
      </x:c>
      <x:c r="L1613" s="232" t="n">
        <x:v>11013.708714709648</x:v>
      </x:c>
      <x:c r="M1613" s="232" t="n">
        <x:v>9.05</x:v>
      </x:c>
      <x:c r="N1613" s="187" t="str">
        <x:v>99674.06386812232250880000000</x:v>
      </x:c>
      <x:c r="O1613" s="235" t="n">
        <x:v>99674.0639</x:v>
      </x:c>
      <x:c r="P1613" s="235"/>
      <x:c r="Q1613" s="235"/>
      <x:c r="R1613" s="235" t="str">
        <x:v>INVOICE_OR_PLAN</x:v>
      </x:c>
      <x:c r="S1613" s="238" t="n">
        <x:f>'Model_Calc'!AF273</x:f>
        <x:v>99674.0638681223</x:v>
      </x:c>
      <x:c r="T1613" s="238" t="n">
        <x:f>ROUND(S1613-O1613,4)</x:f>
        <x:v>0</x:v>
      </x:c>
    </x:row>
    <x:row r="1614">
      <x:c r="A1614" s="187" t="str">
        <x:v>SCENARIO_BASE_2026_08</x:v>
      </x:c>
      <x:c r="B1614" s="187" t="str">
        <x:v>SCENARIO</x:v>
      </x:c>
      <x:c r="C1614" s="187" t="str">
        <x:v>BASE</x:v>
      </x:c>
      <x:c r="D1614" s="217" t="n">
        <x:v>46327</x:v>
      </x:c>
      <x:c r="E1614" s="187" t="str">
        <x:v>R_GB_DE_C_AIR</x:v>
      </x:c>
      <x:c r="F1614" s="187" t="str">
        <x:v>GB</x:v>
      </x:c>
      <x:c r="G1614" s="187" t="str">
        <x:v>DE_FC</x:v>
      </x:c>
      <x:c r="H1614" s="187" t="str">
        <x:v>CARRIER_C</x:v>
      </x:c>
      <x:c r="I1614" s="187" t="str">
        <x:v>AIR</x:v>
      </x:c>
      <x:c r="J1614" s="187" t="str">
        <x:v>FUEL_SURCHARGE</x:v>
      </x:c>
      <x:c r="K1614" s="187" t="str">
        <x:v>GBP</x:v>
      </x:c>
      <x:c r="L1614" s="232" t="n">
        <x:v>851.7268072708795</x:v>
      </x:c>
      <x:c r="M1614" s="232" t="n">
        <x:v>9.05</x:v>
      </x:c>
      <x:c r="N1614" s="187" t="str">
        <x:v>7708.12760580145960734720000</x:v>
      </x:c>
      <x:c r="O1614" s="235" t="n">
        <x:v>7708.1276</x:v>
      </x:c>
      <x:c r="P1614" s="235"/>
      <x:c r="Q1614" s="235"/>
      <x:c r="R1614" s="235" t="str">
        <x:v>INVOICE_OR_PLAN</x:v>
      </x:c>
      <x:c r="S1614" s="238" t="n">
        <x:f>'Model_Calc'!AG273</x:f>
        <x:v>7708.12760580146</x:v>
      </x:c>
      <x:c r="T1614" s="238" t="n">
        <x:f>ROUND(S1614-O1614,4)</x:f>
        <x:v>0</x:v>
      </x:c>
    </x:row>
    <x:row r="1615">
      <x:c r="A1615" s="187" t="str">
        <x:v>SCENARIO_BASE_2026_08</x:v>
      </x:c>
      <x:c r="B1615" s="187" t="str">
        <x:v>SCENARIO</x:v>
      </x:c>
      <x:c r="C1615" s="187" t="str">
        <x:v>BASE</x:v>
      </x:c>
      <x:c r="D1615" s="217" t="n">
        <x:v>46327</x:v>
      </x:c>
      <x:c r="E1615" s="187" t="str">
        <x:v>R_GB_DE_C_AIR</x:v>
      </x:c>
      <x:c r="F1615" s="187" t="str">
        <x:v>GB</x:v>
      </x:c>
      <x:c r="G1615" s="187" t="str">
        <x:v>DE_FC</x:v>
      </x:c>
      <x:c r="H1615" s="187" t="str">
        <x:v>CARRIER_C</x:v>
      </x:c>
      <x:c r="I1615" s="187" t="str">
        <x:v>AIR</x:v>
      </x:c>
      <x:c r="J1615" s="187" t="str">
        <x:v>WAREHOUSE_OPERATION</x:v>
      </x:c>
      <x:c r="K1615" s="187" t="str">
        <x:v>EUR</x:v>
      </x:c>
      <x:c r="L1615" s="232" t="n">
        <x:v>1474.18921728</x:v>
      </x:c>
      <x:c r="M1615" s="232" t="n">
        <x:v>7.88</x:v>
      </x:c>
      <x:c r="N1615" s="187" t="str">
        <x:v>11616.6110321664000</x:v>
      </x:c>
      <x:c r="O1615" s="235" t="n">
        <x:v>11616.611</x:v>
      </x:c>
      <x:c r="P1615" s="235"/>
      <x:c r="Q1615" s="235"/>
      <x:c r="R1615" s="235" t="str">
        <x:v>INVOICE_OR_PLAN</x:v>
      </x:c>
      <x:c r="S1615" s="238" t="n">
        <x:f>'Model_Calc'!AL273</x:f>
        <x:v>11616.611032166398</x:v>
      </x:c>
      <x:c r="T1615" s="238" t="n">
        <x:f>ROUND(S1615-O1615,4)</x:f>
        <x:v>0</x:v>
      </x:c>
    </x:row>
    <x:row r="1616">
      <x:c r="A1616" s="187" t="str">
        <x:v>SCENARIO_BASE_2026_08</x:v>
      </x:c>
      <x:c r="B1616" s="187" t="str">
        <x:v>SCENARIO</x:v>
      </x:c>
      <x:c r="C1616" s="187" t="str">
        <x:v>BASE</x:v>
      </x:c>
      <x:c r="D1616" s="217" t="n">
        <x:v>46327</x:v>
      </x:c>
      <x:c r="E1616" s="187" t="str">
        <x:v>R_GB_DE_C_AIR</x:v>
      </x:c>
      <x:c r="F1616" s="187" t="str">
        <x:v>GB</x:v>
      </x:c>
      <x:c r="G1616" s="187" t="str">
        <x:v>DE_FC</x:v>
      </x:c>
      <x:c r="H1616" s="187" t="str">
        <x:v>CARRIER_C</x:v>
      </x:c>
      <x:c r="I1616" s="187" t="str">
        <x:v>AIR</x:v>
      </x:c>
      <x:c r="J1616" s="187" t="str">
        <x:v>PACKAGING</x:v>
      </x:c>
      <x:c r="K1616" s="187" t="str">
        <x:v>EUR</x:v>
      </x:c>
      <x:c r="L1616" s="232" t="n">
        <x:v>613.9123570944</x:v>
      </x:c>
      <x:c r="M1616" s="232" t="n">
        <x:v>7.88</x:v>
      </x:c>
      <x:c r="N1616" s="187" t="str">
        <x:v>4837.629373903872000</x:v>
      </x:c>
      <x:c r="O1616" s="235" t="n">
        <x:v>4837.6294</x:v>
      </x:c>
      <x:c r="P1616" s="235"/>
      <x:c r="Q1616" s="235"/>
      <x:c r="R1616" s="235" t="str">
        <x:v>INVOICE_OR_PLAN</x:v>
      </x:c>
      <x:c r="S1616" s="238" t="n">
        <x:f>'Model_Calc'!AQ273</x:f>
        <x:v>4837.629373903871</x:v>
      </x:c>
      <x:c r="T1616" s="238" t="n">
        <x:f>ROUND(S1616-O1616,4)</x:f>
        <x:v>0</x:v>
      </x:c>
    </x:row>
    <x:row r="1617">
      <x:c r="A1617" s="187" t="str">
        <x:v>SCENARIO_BASE_2026_08</x:v>
      </x:c>
      <x:c r="B1617" s="187" t="str">
        <x:v>SCENARIO</x:v>
      </x:c>
      <x:c r="C1617" s="187" t="str">
        <x:v>BASE</x:v>
      </x:c>
      <x:c r="D1617" s="217" t="n">
        <x:v>46327</x:v>
      </x:c>
      <x:c r="E1617" s="187" t="str">
        <x:v>R_GB_DE_C_AIR</x:v>
      </x:c>
      <x:c r="F1617" s="187" t="str">
        <x:v>GB</x:v>
      </x:c>
      <x:c r="G1617" s="187" t="str">
        <x:v>DE_FC</x:v>
      </x:c>
      <x:c r="H1617" s="187" t="str">
        <x:v>CARRIER_C</x:v>
      </x:c>
      <x:c r="I1617" s="187" t="str">
        <x:v>AIR</x:v>
      </x:c>
      <x:c r="J1617" s="187" t="str">
        <x:v>RETURN_LOGISTICS</x:v>
      </x:c>
      <x:c r="K1617" s="187" t="str">
        <x:v>GBP</x:v>
      </x:c>
      <x:c r="L1617" s="232" t="n">
        <x:v>539.703171072</x:v>
      </x:c>
      <x:c r="M1617" s="232" t="n">
        <x:v>9.05</x:v>
      </x:c>
      <x:c r="N1617" s="187" t="str">
        <x:v>4884.3136982016000000</x:v>
      </x:c>
      <x:c r="O1617" s="235" t="n">
        <x:v>4884.3137</x:v>
      </x:c>
      <x:c r="P1617" s="235"/>
      <x:c r="Q1617" s="235"/>
      <x:c r="R1617" s="235" t="str">
        <x:v>INVOICE_OR_PLAN</x:v>
      </x:c>
      <x:c r="S1617" s="238" t="n">
        <x:f>'Model_Calc'!AV273</x:f>
        <x:v>4884.313698201599</x:v>
      </x:c>
      <x:c r="T1617" s="238" t="n">
        <x:f>ROUND(S1617-O1617,4)</x:f>
        <x:v>0</x:v>
      </x:c>
    </x:row>
    <x:row r="1618">
      <x:c r="A1618" s="187" t="str">
        <x:v>SCENARIO_BASE_2026_08</x:v>
      </x:c>
      <x:c r="B1618" s="187" t="str">
        <x:v>SCENARIO</x:v>
      </x:c>
      <x:c r="C1618" s="187" t="str">
        <x:v>BASE</x:v>
      </x:c>
      <x:c r="D1618" s="217" t="n">
        <x:v>46327</x:v>
      </x:c>
      <x:c r="E1618" s="187" t="str">
        <x:v>R_GB_DE_C_AIR</x:v>
      </x:c>
      <x:c r="F1618" s="187" t="str">
        <x:v>GB</x:v>
      </x:c>
      <x:c r="G1618" s="187" t="str">
        <x:v>DE_FC</x:v>
      </x:c>
      <x:c r="H1618" s="187" t="str">
        <x:v>CARRIER_C</x:v>
      </x:c>
      <x:c r="I1618" s="187" t="str">
        <x:v>AIR</x:v>
      </x:c>
      <x:c r="J1618" s="187" t="str">
        <x:v>BILLABLE_EXCEPTION</x:v>
      </x:c>
      <x:c r="K1618" s="187" t="str">
        <x:v>GBP</x:v>
      </x:c>
      <x:c r="L1618" s="232" t="n">
        <x:v>57.883165097472</x:v>
      </x:c>
      <x:c r="M1618" s="232" t="n">
        <x:v>9.05</x:v>
      </x:c>
      <x:c r="N1618" s="187" t="str">
        <x:v>523.842644132121600000</x:v>
      </x:c>
      <x:c r="O1618" s="235" t="n">
        <x:v>523.8426</x:v>
      </x:c>
      <x:c r="P1618" s="235"/>
      <x:c r="Q1618" s="235"/>
      <x:c r="R1618" s="235" t="str">
        <x:v>INVOICE_OR_PLAN</x:v>
      </x:c>
      <x:c r="S1618" s="238" t="n">
        <x:f>'Model_Calc'!BA273</x:f>
        <x:v>523.8426441321216</x:v>
      </x:c>
      <x:c r="T1618" s="238" t="n">
        <x:f>ROUND(S1618-O1618,4)</x:f>
        <x:v>0</x:v>
      </x:c>
    </x:row>
    <x:row r="1619">
      <x:c r="A1619" s="187" t="str">
        <x:v>SCENARIO_BASE_2026_08</x:v>
      </x:c>
      <x:c r="B1619" s="187" t="str">
        <x:v>SCENARIO</x:v>
      </x:c>
      <x:c r="C1619" s="187" t="str">
        <x:v>BASE</x:v>
      </x:c>
      <x:c r="D1619" s="217" t="n">
        <x:v>46327</x:v>
      </x:c>
      <x:c r="E1619" s="187" t="str">
        <x:v>R_GB_FR_B_AIR</x:v>
      </x:c>
      <x:c r="F1619" s="187" t="str">
        <x:v>GB</x:v>
      </x:c>
      <x:c r="G1619" s="187" t="str">
        <x:v>FR_FC</x:v>
      </x:c>
      <x:c r="H1619" s="187" t="str">
        <x:v>CARRIER_B</x:v>
      </x:c>
      <x:c r="I1619" s="187" t="str">
        <x:v>AIR</x:v>
      </x:c>
      <x:c r="J1619" s="187" t="str">
        <x:v>BASE_FREIGHT</x:v>
      </x:c>
      <x:c r="K1619" s="187" t="str">
        <x:v>EUR</x:v>
      </x:c>
      <x:c r="L1619" s="232" t="n">
        <x:v>2910.324051419616</x:v>
      </x:c>
      <x:c r="M1619" s="232" t="n">
        <x:v>7.88</x:v>
      </x:c>
      <x:c r="N1619" s="187" t="str">
        <x:v>22933.3535251865740800000</x:v>
      </x:c>
      <x:c r="O1619" s="235" t="n">
        <x:v>22933.3535</x:v>
      </x:c>
      <x:c r="P1619" s="235"/>
      <x:c r="Q1619" s="235"/>
      <x:c r="R1619" s="235" t="str">
        <x:v>INVOICE_OR_PLAN</x:v>
      </x:c>
      <x:c r="S1619" s="238" t="n">
        <x:f>'Model_Calc'!AF274</x:f>
        <x:v>22933.35352518657</x:v>
      </x:c>
      <x:c r="T1619" s="238" t="n">
        <x:f>ROUND(S1619-O1619,4)</x:f>
        <x:v>0</x:v>
      </x:c>
    </x:row>
    <x:row r="1620">
      <x:c r="A1620" s="187" t="str">
        <x:v>SCENARIO_BASE_2026_08</x:v>
      </x:c>
      <x:c r="B1620" s="187" t="str">
        <x:v>SCENARIO</x:v>
      </x:c>
      <x:c r="C1620" s="187" t="str">
        <x:v>BASE</x:v>
      </x:c>
      <x:c r="D1620" s="217" t="n">
        <x:v>46327</x:v>
      </x:c>
      <x:c r="E1620" s="187" t="str">
        <x:v>R_GB_FR_B_AIR</x:v>
      </x:c>
      <x:c r="F1620" s="187" t="str">
        <x:v>GB</x:v>
      </x:c>
      <x:c r="G1620" s="187" t="str">
        <x:v>FR_FC</x:v>
      </x:c>
      <x:c r="H1620" s="187" t="str">
        <x:v>CARRIER_B</x:v>
      </x:c>
      <x:c r="I1620" s="187" t="str">
        <x:v>AIR</x:v>
      </x:c>
      <x:c r="J1620" s="187" t="str">
        <x:v>FUEL_SURCHARGE</x:v>
      </x:c>
      <x:c r="K1620" s="187" t="str">
        <x:v>EUR</x:v>
      </x:c>
      <x:c r="L1620" s="232" t="n">
        <x:v>316.27946628802675</x:v>
      </x:c>
      <x:c r="M1620" s="232" t="n">
        <x:v>7.88</x:v>
      </x:c>
      <x:c r="N1620" s="187" t="str">
        <x:v>2492.2821943496509381440000000</x:v>
      </x:c>
      <x:c r="O1620" s="235" t="n">
        <x:v>2492.2822</x:v>
      </x:c>
      <x:c r="P1620" s="235"/>
      <x:c r="Q1620" s="235"/>
      <x:c r="R1620" s="235" t="str">
        <x:v>INVOICE_OR_PLAN</x:v>
      </x:c>
      <x:c r="S1620" s="238" t="n">
        <x:f>'Model_Calc'!AG274</x:f>
        <x:v>2492.28219434965</x:v>
      </x:c>
      <x:c r="T1620" s="238" t="n">
        <x:f>ROUND(S1620-O1620,4)</x:f>
        <x:v>0</x:v>
      </x:c>
    </x:row>
    <x:row r="1621">
      <x:c r="A1621" s="187" t="str">
        <x:v>SCENARIO_BASE_2026_08</x:v>
      </x:c>
      <x:c r="B1621" s="187" t="str">
        <x:v>SCENARIO</x:v>
      </x:c>
      <x:c r="C1621" s="187" t="str">
        <x:v>BASE</x:v>
      </x:c>
      <x:c r="D1621" s="217" t="n">
        <x:v>46327</x:v>
      </x:c>
      <x:c r="E1621" s="187" t="str">
        <x:v>R_GB_FR_B_AIR</x:v>
      </x:c>
      <x:c r="F1621" s="187" t="str">
        <x:v>GB</x:v>
      </x:c>
      <x:c r="G1621" s="187" t="str">
        <x:v>FR_FC</x:v>
      </x:c>
      <x:c r="H1621" s="187" t="str">
        <x:v>CARRIER_B</x:v>
      </x:c>
      <x:c r="I1621" s="187" t="str">
        <x:v>AIR</x:v>
      </x:c>
      <x:c r="J1621" s="187" t="str">
        <x:v>WAREHOUSE_OPERATION</x:v>
      </x:c>
      <x:c r="K1621" s="187" t="str">
        <x:v>EUR</x:v>
      </x:c>
      <x:c r="L1621" s="232" t="n">
        <x:v>420.44184</x:v>
      </x:c>
      <x:c r="M1621" s="232" t="n">
        <x:v>7.88</x:v>
      </x:c>
      <x:c r="N1621" s="187" t="str">
        <x:v>3313.08169920000</x:v>
      </x:c>
      <x:c r="O1621" s="235" t="n">
        <x:v>3313.0817</x:v>
      </x:c>
      <x:c r="P1621" s="235"/>
      <x:c r="Q1621" s="235"/>
      <x:c r="R1621" s="235" t="str">
        <x:v>INVOICE_OR_PLAN</x:v>
      </x:c>
      <x:c r="S1621" s="238" t="n">
        <x:f>'Model_Calc'!AL274</x:f>
        <x:v>3313.0816992</x:v>
      </x:c>
      <x:c r="T1621" s="238" t="n">
        <x:f>ROUND(S1621-O1621,4)</x:f>
        <x:v>0</x:v>
      </x:c>
    </x:row>
    <x:row r="1622">
      <x:c r="A1622" s="187" t="str">
        <x:v>SCENARIO_BASE_2026_08</x:v>
      </x:c>
      <x:c r="B1622" s="187" t="str">
        <x:v>SCENARIO</x:v>
      </x:c>
      <x:c r="C1622" s="187" t="str">
        <x:v>BASE</x:v>
      </x:c>
      <x:c r="D1622" s="217" t="n">
        <x:v>46327</x:v>
      </x:c>
      <x:c r="E1622" s="187" t="str">
        <x:v>R_GB_FR_B_AIR</x:v>
      </x:c>
      <x:c r="F1622" s="187" t="str">
        <x:v>GB</x:v>
      </x:c>
      <x:c r="G1622" s="187" t="str">
        <x:v>FR_FC</x:v>
      </x:c>
      <x:c r="H1622" s="187" t="str">
        <x:v>CARRIER_B</x:v>
      </x:c>
      <x:c r="I1622" s="187" t="str">
        <x:v>AIR</x:v>
      </x:c>
      <x:c r="J1622" s="187" t="str">
        <x:v>PACKAGING</x:v>
      </x:c>
      <x:c r="K1622" s="187" t="str">
        <x:v>EUR</x:v>
      </x:c>
      <x:c r="L1622" s="232" t="n">
        <x:v>178.02708768</x:v>
      </x:c>
      <x:c r="M1622" s="232" t="n">
        <x:v>7.88</x:v>
      </x:c>
      <x:c r="N1622" s="187" t="str">
        <x:v>1402.8534509184000</x:v>
      </x:c>
      <x:c r="O1622" s="235" t="n">
        <x:v>1402.8535</x:v>
      </x:c>
      <x:c r="P1622" s="235"/>
      <x:c r="Q1622" s="235"/>
      <x:c r="R1622" s="235" t="str">
        <x:v>INVOICE_OR_PLAN</x:v>
      </x:c>
      <x:c r="S1622" s="238" t="n">
        <x:f>'Model_Calc'!AQ274</x:f>
        <x:v>1402.8534509183996</x:v>
      </x:c>
      <x:c r="T1622" s="238" t="n">
        <x:f>ROUND(S1622-O1622,4)</x:f>
        <x:v>0</x:v>
      </x:c>
    </x:row>
    <x:row r="1623">
      <x:c r="A1623" s="187" t="str">
        <x:v>SCENARIO_BASE_2026_08</x:v>
      </x:c>
      <x:c r="B1623" s="187" t="str">
        <x:v>SCENARIO</x:v>
      </x:c>
      <x:c r="C1623" s="187" t="str">
        <x:v>BASE</x:v>
      </x:c>
      <x:c r="D1623" s="217" t="n">
        <x:v>46327</x:v>
      </x:c>
      <x:c r="E1623" s="187" t="str">
        <x:v>R_GB_FR_B_AIR</x:v>
      </x:c>
      <x:c r="F1623" s="187" t="str">
        <x:v>GB</x:v>
      </x:c>
      <x:c r="G1623" s="187" t="str">
        <x:v>FR_FC</x:v>
      </x:c>
      <x:c r="H1623" s="187" t="str">
        <x:v>CARRIER_B</x:v>
      </x:c>
      <x:c r="I1623" s="187" t="str">
        <x:v>AIR</x:v>
      </x:c>
      <x:c r="J1623" s="187" t="str">
        <x:v>RETURN_LOGISTICS</x:v>
      </x:c>
      <x:c r="K1623" s="187" t="str">
        <x:v>EUR</x:v>
      </x:c>
      <x:c r="L1623" s="232" t="n">
        <x:v>187.3969344</x:v>
      </x:c>
      <x:c r="M1623" s="232" t="n">
        <x:v>7.88</x:v>
      </x:c>
      <x:c r="N1623" s="187" t="str">
        <x:v>1476.68784307200000</x:v>
      </x:c>
      <x:c r="O1623" s="235" t="n">
        <x:v>1476.6878</x:v>
      </x:c>
      <x:c r="P1623" s="235"/>
      <x:c r="Q1623" s="235"/>
      <x:c r="R1623" s="235" t="str">
        <x:v>INVOICE_OR_PLAN</x:v>
      </x:c>
      <x:c r="S1623" s="238" t="n">
        <x:f>'Model_Calc'!AV274</x:f>
        <x:v>1476.6878430719996</x:v>
      </x:c>
      <x:c r="T1623" s="238" t="n">
        <x:f>ROUND(S1623-O1623,4)</x:f>
        <x:v>0</x:v>
      </x:c>
    </x:row>
    <x:row r="1624">
      <x:c r="A1624" s="187" t="str">
        <x:v>SCENARIO_BASE_2026_08</x:v>
      </x:c>
      <x:c r="B1624" s="187" t="str">
        <x:v>SCENARIO</x:v>
      </x:c>
      <x:c r="C1624" s="187" t="str">
        <x:v>BASE</x:v>
      </x:c>
      <x:c r="D1624" s="217" t="n">
        <x:v>46327</x:v>
      </x:c>
      <x:c r="E1624" s="187" t="str">
        <x:v>R_GB_FR_B_AIR</x:v>
      </x:c>
      <x:c r="F1624" s="187" t="str">
        <x:v>GB</x:v>
      </x:c>
      <x:c r="G1624" s="187" t="str">
        <x:v>FR_FC</x:v>
      </x:c>
      <x:c r="H1624" s="187" t="str">
        <x:v>CARRIER_B</x:v>
      </x:c>
      <x:c r="I1624" s="187" t="str">
        <x:v>AIR</x:v>
      </x:c>
      <x:c r="J1624" s="187" t="str">
        <x:v>BILLABLE_EXCEPTION</x:v>
      </x:c>
      <x:c r="K1624" s="187" t="str">
        <x:v>EUR</x:v>
      </x:c>
      <x:c r="L1624" s="232" t="n">
        <x:v>18.3648995712</x:v>
      </x:c>
      <x:c r="M1624" s="232" t="n">
        <x:v>7.88</x:v>
      </x:c>
      <x:c r="N1624" s="187" t="str">
        <x:v>144.7154086210560000</x:v>
      </x:c>
      <x:c r="O1624" s="235" t="n">
        <x:v>144.7154</x:v>
      </x:c>
      <x:c r="P1624" s="235"/>
      <x:c r="Q1624" s="235"/>
      <x:c r="R1624" s="235" t="str">
        <x:v>INVOICE_OR_PLAN</x:v>
      </x:c>
      <x:c r="S1624" s="238" t="n">
        <x:f>'Model_Calc'!BA274</x:f>
        <x:v>144.71540862105599</x:v>
      </x:c>
      <x:c r="T1624" s="238" t="n">
        <x:f>ROUND(S1624-O1624,4)</x:f>
        <x:v>0</x:v>
      </x:c>
    </x:row>
    <x:row r="1625">
      <x:c r="A1625" s="187" t="str">
        <x:v>SCENARIO_BASE_2026_08</x:v>
      </x:c>
      <x:c r="B1625" s="187" t="str">
        <x:v>SCENARIO</x:v>
      </x:c>
      <x:c r="C1625" s="187" t="str">
        <x:v>BASE</x:v>
      </x:c>
      <x:c r="D1625" s="217" t="n">
        <x:v>46357</x:v>
      </x:c>
      <x:c r="E1625" s="187" t="str">
        <x:v>R_DE_DE_A_ROAD</x:v>
      </x:c>
      <x:c r="F1625" s="187" t="str">
        <x:v>DE</x:v>
      </x:c>
      <x:c r="G1625" s="187" t="str">
        <x:v>DE_FC</x:v>
      </x:c>
      <x:c r="H1625" s="187" t="str">
        <x:v>CARRIER_A</x:v>
      </x:c>
      <x:c r="I1625" s="187" t="str">
        <x:v>ROAD</x:v>
      </x:c>
      <x:c r="J1625" s="187" t="str">
        <x:v>BASE_FREIGHT</x:v>
      </x:c>
      <x:c r="K1625" s="187" t="str">
        <x:v>EUR</x:v>
      </x:c>
      <x:c r="L1625" s="232" t="n">
        <x:v>10032.45689077632</x:v>
      </x:c>
      <x:c r="M1625" s="232" t="n">
        <x:v>7.86</x:v>
      </x:c>
      <x:c r="N1625" s="187" t="str">
        <x:v>78855.1111615018752000000</x:v>
      </x:c>
      <x:c r="O1625" s="235" t="n">
        <x:v>78855.1112</x:v>
      </x:c>
      <x:c r="P1625" s="235"/>
      <x:c r="Q1625" s="235"/>
      <x:c r="R1625" s="235" t="str">
        <x:v>INVOICE_OR_PLAN</x:v>
      </x:c>
      <x:c r="S1625" s="238" t="n">
        <x:f>'Model_Calc'!AF275</x:f>
        <x:v>78855.11116150189</x:v>
      </x:c>
      <x:c r="T1625" s="238" t="n">
        <x:f>ROUND(S1625-O1625,4)</x:f>
        <x:v>0</x:v>
      </x:c>
    </x:row>
    <x:row r="1626">
      <x:c r="A1626" s="187" t="str">
        <x:v>SCENARIO_BASE_2026_08</x:v>
      </x:c>
      <x:c r="B1626" s="187" t="str">
        <x:v>SCENARIO</x:v>
      </x:c>
      <x:c r="C1626" s="187" t="str">
        <x:v>BASE</x:v>
      </x:c>
      <x:c r="D1626" s="217" t="n">
        <x:v>46357</x:v>
      </x:c>
      <x:c r="E1626" s="187" t="str">
        <x:v>R_DE_DE_A_ROAD</x:v>
      </x:c>
      <x:c r="F1626" s="187" t="str">
        <x:v>DE</x:v>
      </x:c>
      <x:c r="G1626" s="187" t="str">
        <x:v>DE_FC</x:v>
      </x:c>
      <x:c r="H1626" s="187" t="str">
        <x:v>CARRIER_A</x:v>
      </x:c>
      <x:c r="I1626" s="187" t="str">
        <x:v>ROAD</x:v>
      </x:c>
      <x:c r="J1626" s="187" t="str">
        <x:v>FUEL_SURCHARGE</x:v>
      </x:c>
      <x:c r="K1626" s="187" t="str">
        <x:v>EUR</x:v>
      </x:c>
      <x:c r="L1626" s="232" t="n">
        <x:v>986.4413237855816</x:v>
      </x:c>
      <x:c r="M1626" s="232" t="n">
        <x:v>7.86</x:v>
      </x:c>
      <x:c r="N1626" s="187" t="str">
        <x:v>7753.4288049546718790400000000</x:v>
      </x:c>
      <x:c r="O1626" s="235" t="n">
        <x:v>7753.4288</x:v>
      </x:c>
      <x:c r="P1626" s="235"/>
      <x:c r="Q1626" s="235"/>
      <x:c r="R1626" s="235" t="str">
        <x:v>INVOICE_OR_PLAN</x:v>
      </x:c>
      <x:c r="S1626" s="238" t="n">
        <x:f>'Model_Calc'!AG275</x:f>
        <x:v>7753.428804954672</x:v>
      </x:c>
      <x:c r="T1626" s="238" t="n">
        <x:f>ROUND(S1626-O1626,4)</x:f>
        <x:v>0</x:v>
      </x:c>
    </x:row>
    <x:row r="1627">
      <x:c r="A1627" s="187" t="str">
        <x:v>SCENARIO_BASE_2026_08</x:v>
      </x:c>
      <x:c r="B1627" s="187" t="str">
        <x:v>SCENARIO</x:v>
      </x:c>
      <x:c r="C1627" s="187" t="str">
        <x:v>BASE</x:v>
      </x:c>
      <x:c r="D1627" s="217" t="n">
        <x:v>46357</x:v>
      </x:c>
      <x:c r="E1627" s="187" t="str">
        <x:v>R_DE_DE_A_ROAD</x:v>
      </x:c>
      <x:c r="F1627" s="187" t="str">
        <x:v>DE</x:v>
      </x:c>
      <x:c r="G1627" s="187" t="str">
        <x:v>DE_FC</x:v>
      </x:c>
      <x:c r="H1627" s="187" t="str">
        <x:v>CARRIER_A</x:v>
      </x:c>
      <x:c r="I1627" s="187" t="str">
        <x:v>ROAD</x:v>
      </x:c>
      <x:c r="J1627" s="187" t="str">
        <x:v>WAREHOUSE_OPERATION</x:v>
      </x:c>
      <x:c r="K1627" s="187" t="str">
        <x:v>EUR</x:v>
      </x:c>
      <x:c r="L1627" s="232" t="n">
        <x:v>6505.2104832</x:v>
      </x:c>
      <x:c r="M1627" s="232" t="n">
        <x:v>7.86</x:v>
      </x:c>
      <x:c r="N1627" s="187" t="str">
        <x:v>51130.9543979520000</x:v>
      </x:c>
      <x:c r="O1627" s="235" t="n">
        <x:v>51130.9544</x:v>
      </x:c>
      <x:c r="P1627" s="235"/>
      <x:c r="Q1627" s="235"/>
      <x:c r="R1627" s="235" t="str">
        <x:v>INVOICE_OR_PLAN</x:v>
      </x:c>
      <x:c r="S1627" s="238" t="n">
        <x:f>'Model_Calc'!AL275</x:f>
        <x:v>51130.954397952</x:v>
      </x:c>
      <x:c r="T1627" s="238" t="n">
        <x:f>ROUND(S1627-O1627,4)</x:f>
        <x:v>0</x:v>
      </x:c>
    </x:row>
    <x:row r="1628">
      <x:c r="A1628" s="187" t="str">
        <x:v>SCENARIO_BASE_2026_08</x:v>
      </x:c>
      <x:c r="B1628" s="187" t="str">
        <x:v>SCENARIO</x:v>
      </x:c>
      <x:c r="C1628" s="187" t="str">
        <x:v>BASE</x:v>
      </x:c>
      <x:c r="D1628" s="217" t="n">
        <x:v>46357</x:v>
      </x:c>
      <x:c r="E1628" s="187" t="str">
        <x:v>R_DE_DE_A_ROAD</x:v>
      </x:c>
      <x:c r="F1628" s="187" t="str">
        <x:v>DE</x:v>
      </x:c>
      <x:c r="G1628" s="187" t="str">
        <x:v>DE_FC</x:v>
      </x:c>
      <x:c r="H1628" s="187" t="str">
        <x:v>CARRIER_A</x:v>
      </x:c>
      <x:c r="I1628" s="187" t="str">
        <x:v>ROAD</x:v>
      </x:c>
      <x:c r="J1628" s="187" t="str">
        <x:v>PACKAGING</x:v>
      </x:c>
      <x:c r="K1628" s="187" t="str">
        <x:v>EUR</x:v>
      </x:c>
      <x:c r="L1628" s="232" t="n">
        <x:v>2431.18459584</x:v>
      </x:c>
      <x:c r="M1628" s="232" t="n">
        <x:v>7.86</x:v>
      </x:c>
      <x:c r="N1628" s="187" t="str">
        <x:v>19109.110923302400000</x:v>
      </x:c>
      <x:c r="O1628" s="235" t="n">
        <x:v>19109.1109</x:v>
      </x:c>
      <x:c r="P1628" s="235"/>
      <x:c r="Q1628" s="235"/>
      <x:c r="R1628" s="235" t="str">
        <x:v>INVOICE_OR_PLAN</x:v>
      </x:c>
      <x:c r="S1628" s="238" t="n">
        <x:f>'Model_Calc'!AQ275</x:f>
        <x:v>19109.1109233024</x:v>
      </x:c>
      <x:c r="T1628" s="238" t="n">
        <x:f>ROUND(S1628-O1628,4)</x:f>
        <x:v>0</x:v>
      </x:c>
    </x:row>
    <x:row r="1629">
      <x:c r="A1629" s="187" t="str">
        <x:v>SCENARIO_BASE_2026_08</x:v>
      </x:c>
      <x:c r="B1629" s="187" t="str">
        <x:v>SCENARIO</x:v>
      </x:c>
      <x:c r="C1629" s="187" t="str">
        <x:v>BASE</x:v>
      </x:c>
      <x:c r="D1629" s="217" t="n">
        <x:v>46357</x:v>
      </x:c>
      <x:c r="E1629" s="187" t="str">
        <x:v>R_DE_DE_A_ROAD</x:v>
      </x:c>
      <x:c r="F1629" s="187" t="str">
        <x:v>DE</x:v>
      </x:c>
      <x:c r="G1629" s="187" t="str">
        <x:v>DE_FC</x:v>
      </x:c>
      <x:c r="H1629" s="187" t="str">
        <x:v>CARRIER_A</x:v>
      </x:c>
      <x:c r="I1629" s="187" t="str">
        <x:v>ROAD</x:v>
      </x:c>
      <x:c r="J1629" s="187" t="str">
        <x:v>RETURN_LOGISTICS</x:v>
      </x:c>
      <x:c r="K1629" s="187" t="str">
        <x:v>EUR</x:v>
      </x:c>
      <x:c r="L1629" s="232" t="n">
        <x:v>882.0624384</x:v>
      </x:c>
      <x:c r="M1629" s="232" t="n">
        <x:v>7.86</x:v>
      </x:c>
      <x:c r="N1629" s="187" t="str">
        <x:v>6933.0107658240000000</x:v>
      </x:c>
      <x:c r="O1629" s="235" t="n">
        <x:v>6933.0108</x:v>
      </x:c>
      <x:c r="P1629" s="235"/>
      <x:c r="Q1629" s="235"/>
      <x:c r="R1629" s="235" t="str">
        <x:v>INVOICE_OR_PLAN</x:v>
      </x:c>
      <x:c r="S1629" s="238" t="n">
        <x:f>'Model_Calc'!AV275</x:f>
        <x:v>6933.0107658239995</x:v>
      </x:c>
      <x:c r="T1629" s="238" t="n">
        <x:f>ROUND(S1629-O1629,4)</x:f>
        <x:v>0</x:v>
      </x:c>
    </x:row>
    <x:row r="1630">
      <x:c r="A1630" s="187" t="str">
        <x:v>SCENARIO_BASE_2026_08</x:v>
      </x:c>
      <x:c r="B1630" s="187" t="str">
        <x:v>SCENARIO</x:v>
      </x:c>
      <x:c r="C1630" s="187" t="str">
        <x:v>BASE</x:v>
      </x:c>
      <x:c r="D1630" s="217" t="n">
        <x:v>46357</x:v>
      </x:c>
      <x:c r="E1630" s="187" t="str">
        <x:v>R_DE_DE_A_ROAD</x:v>
      </x:c>
      <x:c r="F1630" s="187" t="str">
        <x:v>DE</x:v>
      </x:c>
      <x:c r="G1630" s="187" t="str">
        <x:v>DE_FC</x:v>
      </x:c>
      <x:c r="H1630" s="187" t="str">
        <x:v>CARRIER_A</x:v>
      </x:c>
      <x:c r="I1630" s="187" t="str">
        <x:v>ROAD</x:v>
      </x:c>
      <x:c r="J1630" s="187" t="str">
        <x:v>BILLABLE_EXCEPTION</x:v>
      </x:c>
      <x:c r="K1630" s="187" t="str">
        <x:v>EUR</x:v>
      </x:c>
      <x:c r="L1630" s="232" t="n">
        <x:v>213.0180788736</x:v>
      </x:c>
      <x:c r="M1630" s="232" t="n">
        <x:v>7.86</x:v>
      </x:c>
      <x:c r="N1630" s="187" t="str">
        <x:v>1674.322099946496000000</x:v>
      </x:c>
      <x:c r="O1630" s="235" t="n">
        <x:v>1674.3221</x:v>
      </x:c>
      <x:c r="P1630" s="235"/>
      <x:c r="Q1630" s="235"/>
      <x:c r="R1630" s="235" t="str">
        <x:v>INVOICE_OR_PLAN</x:v>
      </x:c>
      <x:c r="S1630" s="238" t="n">
        <x:f>'Model_Calc'!BA275</x:f>
        <x:v>1674.322099946496</x:v>
      </x:c>
      <x:c r="T1630" s="238" t="n">
        <x:f>ROUND(S1630-O1630,4)</x:f>
        <x:v>0</x:v>
      </x:c>
    </x:row>
    <x:row r="1631">
      <x:c r="A1631" s="187" t="str">
        <x:v>SCENARIO_BASE_2026_08</x:v>
      </x:c>
      <x:c r="B1631" s="187" t="str">
        <x:v>SCENARIO</x:v>
      </x:c>
      <x:c r="C1631" s="187" t="str">
        <x:v>BASE</x:v>
      </x:c>
      <x:c r="D1631" s="217" t="n">
        <x:v>46357</x:v>
      </x:c>
      <x:c r="E1631" s="187" t="str">
        <x:v>R_DE_DE_B_ROAD</x:v>
      </x:c>
      <x:c r="F1631" s="187" t="str">
        <x:v>DE</x:v>
      </x:c>
      <x:c r="G1631" s="187" t="str">
        <x:v>DE_FC</x:v>
      </x:c>
      <x:c r="H1631" s="187" t="str">
        <x:v>CARRIER_B</x:v>
      </x:c>
      <x:c r="I1631" s="187" t="str">
        <x:v>ROAD</x:v>
      </x:c>
      <x:c r="J1631" s="187" t="str">
        <x:v>BASE_FREIGHT</x:v>
      </x:c>
      <x:c r="K1631" s="187" t="str">
        <x:v>EUR</x:v>
      </x:c>
      <x:c r="L1631" s="232" t="n">
        <x:v>8574.749479296</x:v>
      </x:c>
      <x:c r="M1631" s="232" t="n">
        <x:v>7.86</x:v>
      </x:c>
      <x:c r="N1631" s="187" t="str">
        <x:v>67397.5309072665600000000</x:v>
      </x:c>
      <x:c r="O1631" s="235" t="n">
        <x:v>67397.5309</x:v>
      </x:c>
      <x:c r="P1631" s="235"/>
      <x:c r="Q1631" s="235"/>
      <x:c r="R1631" s="235" t="str">
        <x:v>INVOICE_OR_PLAN</x:v>
      </x:c>
      <x:c r="S1631" s="238" t="n">
        <x:f>'Model_Calc'!AF276</x:f>
        <x:v>67397.53090726658</x:v>
      </x:c>
      <x:c r="T1631" s="238" t="n">
        <x:f>ROUND(S1631-O1631,4)</x:f>
        <x:v>0</x:v>
      </x:c>
    </x:row>
    <x:row r="1632">
      <x:c r="A1632" s="187" t="str">
        <x:v>SCENARIO_BASE_2026_08</x:v>
      </x:c>
      <x:c r="B1632" s="187" t="str">
        <x:v>SCENARIO</x:v>
      </x:c>
      <x:c r="C1632" s="187" t="str">
        <x:v>BASE</x:v>
      </x:c>
      <x:c r="D1632" s="217" t="n">
        <x:v>46357</x:v>
      </x:c>
      <x:c r="E1632" s="187" t="str">
        <x:v>R_DE_DE_B_ROAD</x:v>
      </x:c>
      <x:c r="F1632" s="187" t="str">
        <x:v>DE</x:v>
      </x:c>
      <x:c r="G1632" s="187" t="str">
        <x:v>DE_FC</x:v>
      </x:c>
      <x:c r="H1632" s="187" t="str">
        <x:v>CARRIER_B</x:v>
      </x:c>
      <x:c r="I1632" s="187" t="str">
        <x:v>ROAD</x:v>
      </x:c>
      <x:c r="J1632" s="187" t="str">
        <x:v>FUEL_SURCHARGE</x:v>
      </x:c>
      <x:c r="K1632" s="187" t="str">
        <x:v>EUR</x:v>
      </x:c>
      <x:c r="L1632" s="232" t="n">
        <x:v>654.79905114624</x:v>
      </x:c>
      <x:c r="M1632" s="232" t="n">
        <x:v>7.86</x:v>
      </x:c>
      <x:c r="N1632" s="187" t="str">
        <x:v>5146.7205420094464000000</x:v>
      </x:c>
      <x:c r="O1632" s="235" t="n">
        <x:v>5146.7205</x:v>
      </x:c>
      <x:c r="P1632" s="235"/>
      <x:c r="Q1632" s="235"/>
      <x:c r="R1632" s="235" t="str">
        <x:v>INVOICE_OR_PLAN</x:v>
      </x:c>
      <x:c r="S1632" s="238" t="n">
        <x:f>'Model_Calc'!AG276</x:f>
        <x:v>5146.720542009448</x:v>
      </x:c>
      <x:c r="T1632" s="238" t="n">
        <x:f>ROUND(S1632-O1632,4)</x:f>
        <x:v>0</x:v>
      </x:c>
    </x:row>
    <x:row r="1633">
      <x:c r="A1633" s="187" t="str">
        <x:v>SCENARIO_BASE_2026_08</x:v>
      </x:c>
      <x:c r="B1633" s="187" t="str">
        <x:v>SCENARIO</x:v>
      </x:c>
      <x:c r="C1633" s="187" t="str">
        <x:v>BASE</x:v>
      </x:c>
      <x:c r="D1633" s="217" t="n">
        <x:v>46357</x:v>
      </x:c>
      <x:c r="E1633" s="187" t="str">
        <x:v>R_DE_DE_B_ROAD</x:v>
      </x:c>
      <x:c r="F1633" s="187" t="str">
        <x:v>DE</x:v>
      </x:c>
      <x:c r="G1633" s="187" t="str">
        <x:v>DE_FC</x:v>
      </x:c>
      <x:c r="H1633" s="187" t="str">
        <x:v>CARRIER_B</x:v>
      </x:c>
      <x:c r="I1633" s="187" t="str">
        <x:v>ROAD</x:v>
      </x:c>
      <x:c r="J1633" s="187" t="str">
        <x:v>WAREHOUSE_OPERATION</x:v>
      </x:c>
      <x:c r="K1633" s="187" t="str">
        <x:v>EUR</x:v>
      </x:c>
      <x:c r="L1633" s="232" t="n">
        <x:v>4336.8069888</x:v>
      </x:c>
      <x:c r="M1633" s="232" t="n">
        <x:v>7.86</x:v>
      </x:c>
      <x:c r="N1633" s="187" t="str">
        <x:v>34087.3029319680000</x:v>
      </x:c>
      <x:c r="O1633" s="235" t="n">
        <x:v>34087.3029</x:v>
      </x:c>
      <x:c r="P1633" s="235"/>
      <x:c r="Q1633" s="235"/>
      <x:c r="R1633" s="235" t="str">
        <x:v>INVOICE_OR_PLAN</x:v>
      </x:c>
      <x:c r="S1633" s="238" t="n">
        <x:f>'Model_Calc'!AL276</x:f>
        <x:v>34087.302931968006</x:v>
      </x:c>
      <x:c r="T1633" s="238" t="n">
        <x:f>ROUND(S1633-O1633,4)</x:f>
        <x:v>0</x:v>
      </x:c>
    </x:row>
    <x:row r="1634">
      <x:c r="A1634" s="187" t="str">
        <x:v>SCENARIO_BASE_2026_08</x:v>
      </x:c>
      <x:c r="B1634" s="187" t="str">
        <x:v>SCENARIO</x:v>
      </x:c>
      <x:c r="C1634" s="187" t="str">
        <x:v>BASE</x:v>
      </x:c>
      <x:c r="D1634" s="217" t="n">
        <x:v>46357</x:v>
      </x:c>
      <x:c r="E1634" s="187" t="str">
        <x:v>R_DE_DE_B_ROAD</x:v>
      </x:c>
      <x:c r="F1634" s="187" t="str">
        <x:v>DE</x:v>
      </x:c>
      <x:c r="G1634" s="187" t="str">
        <x:v>DE_FC</x:v>
      </x:c>
      <x:c r="H1634" s="187" t="str">
        <x:v>CARRIER_B</x:v>
      </x:c>
      <x:c r="I1634" s="187" t="str">
        <x:v>ROAD</x:v>
      </x:c>
      <x:c r="J1634" s="187" t="str">
        <x:v>PACKAGING</x:v>
      </x:c>
      <x:c r="K1634" s="187" t="str">
        <x:v>EUR</x:v>
      </x:c>
      <x:c r="L1634" s="232" t="n">
        <x:v>1620.78973056</x:v>
      </x:c>
      <x:c r="M1634" s="232" t="n">
        <x:v>7.86</x:v>
      </x:c>
      <x:c r="N1634" s="187" t="str">
        <x:v>12739.407282201600000</x:v>
      </x:c>
      <x:c r="O1634" s="235" t="n">
        <x:v>12739.4073</x:v>
      </x:c>
      <x:c r="P1634" s="235"/>
      <x:c r="Q1634" s="235"/>
      <x:c r="R1634" s="235" t="str">
        <x:v>INVOICE_OR_PLAN</x:v>
      </x:c>
      <x:c r="S1634" s="238" t="n">
        <x:f>'Model_Calc'!AQ276</x:f>
        <x:v>12739.407282201602</x:v>
      </x:c>
      <x:c r="T1634" s="238" t="n">
        <x:f>ROUND(S1634-O1634,4)</x:f>
        <x:v>0</x:v>
      </x:c>
    </x:row>
    <x:row r="1635">
      <x:c r="A1635" s="187" t="str">
        <x:v>SCENARIO_BASE_2026_08</x:v>
      </x:c>
      <x:c r="B1635" s="187" t="str">
        <x:v>SCENARIO</x:v>
      </x:c>
      <x:c r="C1635" s="187" t="str">
        <x:v>BASE</x:v>
      </x:c>
      <x:c r="D1635" s="217" t="n">
        <x:v>46357</x:v>
      </x:c>
      <x:c r="E1635" s="187" t="str">
        <x:v>R_DE_DE_B_ROAD</x:v>
      </x:c>
      <x:c r="F1635" s="187" t="str">
        <x:v>DE</x:v>
      </x:c>
      <x:c r="G1635" s="187" t="str">
        <x:v>DE_FC</x:v>
      </x:c>
      <x:c r="H1635" s="187" t="str">
        <x:v>CARRIER_B</x:v>
      </x:c>
      <x:c r="I1635" s="187" t="str">
        <x:v>ROAD</x:v>
      </x:c>
      <x:c r="J1635" s="187" t="str">
        <x:v>RETURN_LOGISTICS</x:v>
      </x:c>
      <x:c r="K1635" s="187" t="str">
        <x:v>EUR</x:v>
      </x:c>
      <x:c r="L1635" s="232" t="n">
        <x:v>588.0416256</x:v>
      </x:c>
      <x:c r="M1635" s="232" t="n">
        <x:v>7.86</x:v>
      </x:c>
      <x:c r="N1635" s="187" t="str">
        <x:v>4622.0071772160000000</x:v>
      </x:c>
      <x:c r="O1635" s="235" t="n">
        <x:v>4622.0072</x:v>
      </x:c>
      <x:c r="P1635" s="235"/>
      <x:c r="Q1635" s="235"/>
      <x:c r="R1635" s="235" t="str">
        <x:v>INVOICE_OR_PLAN</x:v>
      </x:c>
      <x:c r="S1635" s="238" t="n">
        <x:f>'Model_Calc'!AV276</x:f>
        <x:v>4622.007177216001</x:v>
      </x:c>
      <x:c r="T1635" s="238" t="n">
        <x:f>ROUND(S1635-O1635,4)</x:f>
        <x:v>0</x:v>
      </x:c>
    </x:row>
    <x:row r="1636">
      <x:c r="A1636" s="187" t="str">
        <x:v>SCENARIO_BASE_2026_08</x:v>
      </x:c>
      <x:c r="B1636" s="187" t="str">
        <x:v>SCENARIO</x:v>
      </x:c>
      <x:c r="C1636" s="187" t="str">
        <x:v>BASE</x:v>
      </x:c>
      <x:c r="D1636" s="217" t="n">
        <x:v>46357</x:v>
      </x:c>
      <x:c r="E1636" s="187" t="str">
        <x:v>R_DE_DE_B_ROAD</x:v>
      </x:c>
      <x:c r="F1636" s="187" t="str">
        <x:v>DE</x:v>
      </x:c>
      <x:c r="G1636" s="187" t="str">
        <x:v>DE_FC</x:v>
      </x:c>
      <x:c r="H1636" s="187" t="str">
        <x:v>CARRIER_B</x:v>
      </x:c>
      <x:c r="I1636" s="187" t="str">
        <x:v>ROAD</x:v>
      </x:c>
      <x:c r="J1636" s="187" t="str">
        <x:v>BILLABLE_EXCEPTION</x:v>
      </x:c>
      <x:c r="K1636" s="187" t="str">
        <x:v>EUR</x:v>
      </x:c>
      <x:c r="L1636" s="232" t="n">
        <x:v>115.3847927232</x:v>
      </x:c>
      <x:c r="M1636" s="232" t="n">
        <x:v>7.86</x:v>
      </x:c>
      <x:c r="N1636" s="187" t="str">
        <x:v>906.924470804352000000</x:v>
      </x:c>
      <x:c r="O1636" s="235" t="n">
        <x:v>906.9245</x:v>
      </x:c>
      <x:c r="P1636" s="235"/>
      <x:c r="Q1636" s="235"/>
      <x:c r="R1636" s="235" t="str">
        <x:v>INVOICE_OR_PLAN</x:v>
      </x:c>
      <x:c r="S1636" s="238" t="n">
        <x:f>'Model_Calc'!BA276</x:f>
        <x:v>906.924470804352</x:v>
      </x:c>
      <x:c r="T1636" s="238" t="n">
        <x:f>ROUND(S1636-O1636,4)</x:f>
        <x:v>0</x:v>
      </x:c>
    </x:row>
    <x:row r="1637">
      <x:c r="A1637" s="187" t="str">
        <x:v>SCENARIO_BASE_2026_08</x:v>
      </x:c>
      <x:c r="B1637" s="187" t="str">
        <x:v>SCENARIO</x:v>
      </x:c>
      <x:c r="C1637" s="187" t="str">
        <x:v>BASE</x:v>
      </x:c>
      <x:c r="D1637" s="217" t="n">
        <x:v>46357</x:v>
      </x:c>
      <x:c r="E1637" s="187" t="str">
        <x:v>R_DE_FR_B_ROAD</x:v>
      </x:c>
      <x:c r="F1637" s="187" t="str">
        <x:v>DE</x:v>
      </x:c>
      <x:c r="G1637" s="187" t="str">
        <x:v>FR_FC</x:v>
      </x:c>
      <x:c r="H1637" s="187" t="str">
        <x:v>CARRIER_B</x:v>
      </x:c>
      <x:c r="I1637" s="187" t="str">
        <x:v>ROAD</x:v>
      </x:c>
      <x:c r="J1637" s="187" t="str">
        <x:v>BASE_FREIGHT</x:v>
      </x:c>
      <x:c r="K1637" s="187" t="str">
        <x:v>EUR</x:v>
      </x:c>
      <x:c r="L1637" s="232" t="n">
        <x:v>879.70110269184</x:v>
      </x:c>
      <x:c r="M1637" s="232" t="n">
        <x:v>7.86</x:v>
      </x:c>
      <x:c r="N1637" s="187" t="str">
        <x:v>6914.45066715786240000</x:v>
      </x:c>
      <x:c r="O1637" s="235" t="n">
        <x:v>6914.4507</x:v>
      </x:c>
      <x:c r="P1637" s="235"/>
      <x:c r="Q1637" s="235"/>
      <x:c r="R1637" s="235" t="str">
        <x:v>INVOICE_OR_PLAN</x:v>
      </x:c>
      <x:c r="S1637" s="238" t="n">
        <x:f>'Model_Calc'!AF277</x:f>
        <x:v>6914.450667157865</x:v>
      </x:c>
      <x:c r="T1637" s="238" t="n">
        <x:f>ROUND(S1637-O1637,4)</x:f>
        <x:v>0</x:v>
      </x:c>
    </x:row>
    <x:row r="1638">
      <x:c r="A1638" s="187" t="str">
        <x:v>SCENARIO_BASE_2026_08</x:v>
      </x:c>
      <x:c r="B1638" s="187" t="str">
        <x:v>SCENARIO</x:v>
      </x:c>
      <x:c r="C1638" s="187" t="str">
        <x:v>BASE</x:v>
      </x:c>
      <x:c r="D1638" s="217" t="n">
        <x:v>46357</x:v>
      </x:c>
      <x:c r="E1638" s="187" t="str">
        <x:v>R_DE_FR_B_ROAD</x:v>
      </x:c>
      <x:c r="F1638" s="187" t="str">
        <x:v>DE</x:v>
      </x:c>
      <x:c r="G1638" s="187" t="str">
        <x:v>FR_FC</x:v>
      </x:c>
      <x:c r="H1638" s="187" t="str">
        <x:v>CARRIER_B</x:v>
      </x:c>
      <x:c r="I1638" s="187" t="str">
        <x:v>ROAD</x:v>
      </x:c>
      <x:c r="J1638" s="187" t="str">
        <x:v>FUEL_SURCHARGE</x:v>
      </x:c>
      <x:c r="K1638" s="187" t="str">
        <x:v>EUR</x:v>
      </x:c>
      <x:c r="L1638" s="232" t="n">
        <x:v>63.978262013952</x:v>
      </x:c>
      <x:c r="M1638" s="232" t="n">
        <x:v>7.86</x:v>
      </x:c>
      <x:c r="N1638" s="187" t="str">
        <x:v>502.86913942966272000</x:v>
      </x:c>
      <x:c r="O1638" s="235" t="n">
        <x:v>502.8691</x:v>
      </x:c>
      <x:c r="P1638" s="235"/>
      <x:c r="Q1638" s="235"/>
      <x:c r="R1638" s="235" t="str">
        <x:v>INVOICE_OR_PLAN</x:v>
      </x:c>
      <x:c r="S1638" s="238" t="n">
        <x:f>'Model_Calc'!AG277</x:f>
        <x:v>502.8691394296629</x:v>
      </x:c>
      <x:c r="T1638" s="238" t="n">
        <x:f>ROUND(S1638-O1638,4)</x:f>
        <x:v>0</x:v>
      </x:c>
    </x:row>
    <x:row r="1639">
      <x:c r="A1639" s="187" t="str">
        <x:v>SCENARIO_BASE_2026_08</x:v>
      </x:c>
      <x:c r="B1639" s="187" t="str">
        <x:v>SCENARIO</x:v>
      </x:c>
      <x:c r="C1639" s="187" t="str">
        <x:v>BASE</x:v>
      </x:c>
      <x:c r="D1639" s="217" t="n">
        <x:v>46357</x:v>
      </x:c>
      <x:c r="E1639" s="187" t="str">
        <x:v>R_DE_FR_B_ROAD</x:v>
      </x:c>
      <x:c r="F1639" s="187" t="str">
        <x:v>DE</x:v>
      </x:c>
      <x:c r="G1639" s="187" t="str">
        <x:v>FR_FC</x:v>
      </x:c>
      <x:c r="H1639" s="187" t="str">
        <x:v>CARRIER_B</x:v>
      </x:c>
      <x:c r="I1639" s="187" t="str">
        <x:v>ROAD</x:v>
      </x:c>
      <x:c r="J1639" s="187" t="str">
        <x:v>WAREHOUSE_OPERATION</x:v>
      </x:c>
      <x:c r="K1639" s="187" t="str">
        <x:v>EUR</x:v>
      </x:c>
      <x:c r="L1639" s="232" t="n">
        <x:v>298.37808</x:v>
      </x:c>
      <x:c r="M1639" s="232" t="n">
        <x:v>7.86</x:v>
      </x:c>
      <x:c r="N1639" s="187" t="str">
        <x:v>2345.25170880000</x:v>
      </x:c>
      <x:c r="O1639" s="235" t="n">
        <x:v>2345.2517</x:v>
      </x:c>
      <x:c r="P1639" s="235"/>
      <x:c r="Q1639" s="235"/>
      <x:c r="R1639" s="235" t="str">
        <x:v>INVOICE_OR_PLAN</x:v>
      </x:c>
      <x:c r="S1639" s="238" t="n">
        <x:f>'Model_Calc'!AL277</x:f>
        <x:v>2345.2517088</x:v>
      </x:c>
      <x:c r="T1639" s="238" t="n">
        <x:f>ROUND(S1639-O1639,4)</x:f>
        <x:v>0</x:v>
      </x:c>
    </x:row>
    <x:row r="1640">
      <x:c r="A1640" s="187" t="str">
        <x:v>SCENARIO_BASE_2026_08</x:v>
      </x:c>
      <x:c r="B1640" s="187" t="str">
        <x:v>SCENARIO</x:v>
      </x:c>
      <x:c r="C1640" s="187" t="str">
        <x:v>BASE</x:v>
      </x:c>
      <x:c r="D1640" s="217" t="n">
        <x:v>46357</x:v>
      </x:c>
      <x:c r="E1640" s="187" t="str">
        <x:v>R_DE_FR_B_ROAD</x:v>
      </x:c>
      <x:c r="F1640" s="187" t="str">
        <x:v>DE</x:v>
      </x:c>
      <x:c r="G1640" s="187" t="str">
        <x:v>FR_FC</x:v>
      </x:c>
      <x:c r="H1640" s="187" t="str">
        <x:v>CARRIER_B</x:v>
      </x:c>
      <x:c r="I1640" s="187" t="str">
        <x:v>ROAD</x:v>
      </x:c>
      <x:c r="J1640" s="187" t="str">
        <x:v>PACKAGING</x:v>
      </x:c>
      <x:c r="K1640" s="187" t="str">
        <x:v>EUR</x:v>
      </x:c>
      <x:c r="L1640" s="232" t="n">
        <x:v>116.62320384</x:v>
      </x:c>
      <x:c r="M1640" s="232" t="n">
        <x:v>7.86</x:v>
      </x:c>
      <x:c r="N1640" s="187" t="str">
        <x:v>916.6583821824000</x:v>
      </x:c>
      <x:c r="O1640" s="235" t="n">
        <x:v>916.6584</x:v>
      </x:c>
      <x:c r="P1640" s="235"/>
      <x:c r="Q1640" s="235"/>
      <x:c r="R1640" s="235" t="str">
        <x:v>INVOICE_OR_PLAN</x:v>
      </x:c>
      <x:c r="S1640" s="238" t="n">
        <x:f>'Model_Calc'!AQ277</x:f>
        <x:v>916.6583821824</x:v>
      </x:c>
      <x:c r="T1640" s="238" t="n">
        <x:f>ROUND(S1640-O1640,4)</x:f>
        <x:v>0</x:v>
      </x:c>
    </x:row>
    <x:row r="1641">
      <x:c r="A1641" s="187" t="str">
        <x:v>SCENARIO_BASE_2026_08</x:v>
      </x:c>
      <x:c r="B1641" s="187" t="str">
        <x:v>SCENARIO</x:v>
      </x:c>
      <x:c r="C1641" s="187" t="str">
        <x:v>BASE</x:v>
      </x:c>
      <x:c r="D1641" s="217" t="n">
        <x:v>46357</x:v>
      </x:c>
      <x:c r="E1641" s="187" t="str">
        <x:v>R_DE_FR_B_ROAD</x:v>
      </x:c>
      <x:c r="F1641" s="187" t="str">
        <x:v>DE</x:v>
      </x:c>
      <x:c r="G1641" s="187" t="str">
        <x:v>FR_FC</x:v>
      </x:c>
      <x:c r="H1641" s="187" t="str">
        <x:v>CARRIER_B</x:v>
      </x:c>
      <x:c r="I1641" s="187" t="str">
        <x:v>ROAD</x:v>
      </x:c>
      <x:c r="J1641" s="187" t="str">
        <x:v>RETURN_LOGISTICS</x:v>
      </x:c>
      <x:c r="K1641" s="187" t="str">
        <x:v>EUR</x:v>
      </x:c>
      <x:c r="L1641" s="232" t="n">
        <x:v>53.992224</x:v>
      </x:c>
      <x:c r="M1641" s="232" t="n">
        <x:v>7.86</x:v>
      </x:c>
      <x:c r="N1641" s="187" t="str">
        <x:v>424.37888064000000</x:v>
      </x:c>
      <x:c r="O1641" s="235" t="n">
        <x:v>424.3789</x:v>
      </x:c>
      <x:c r="P1641" s="235"/>
      <x:c r="Q1641" s="235"/>
      <x:c r="R1641" s="235" t="str">
        <x:v>INVOICE_OR_PLAN</x:v>
      </x:c>
      <x:c r="S1641" s="238" t="n">
        <x:f>'Model_Calc'!AV277</x:f>
        <x:v>424.37888064000003</x:v>
      </x:c>
      <x:c r="T1641" s="238" t="n">
        <x:f>ROUND(S1641-O1641,4)</x:f>
        <x:v>0</x:v>
      </x:c>
    </x:row>
    <x:row r="1642">
      <x:c r="A1642" s="187" t="str">
        <x:v>SCENARIO_BASE_2026_08</x:v>
      </x:c>
      <x:c r="B1642" s="187" t="str">
        <x:v>SCENARIO</x:v>
      </x:c>
      <x:c r="C1642" s="187" t="str">
        <x:v>BASE</x:v>
      </x:c>
      <x:c r="D1642" s="217" t="n">
        <x:v>46357</x:v>
      </x:c>
      <x:c r="E1642" s="187" t="str">
        <x:v>R_DE_FR_B_ROAD</x:v>
      </x:c>
      <x:c r="F1642" s="187" t="str">
        <x:v>DE</x:v>
      </x:c>
      <x:c r="G1642" s="187" t="str">
        <x:v>FR_FC</x:v>
      </x:c>
      <x:c r="H1642" s="187" t="str">
        <x:v>CARRIER_B</x:v>
      </x:c>
      <x:c r="I1642" s="187" t="str">
        <x:v>ROAD</x:v>
      </x:c>
      <x:c r="J1642" s="187" t="str">
        <x:v>BILLABLE_EXCEPTION</x:v>
      </x:c>
      <x:c r="K1642" s="187" t="str">
        <x:v>EUR</x:v>
      </x:c>
      <x:c r="L1642" s="232" t="n">
        <x:v>9.8822820096</x:v>
      </x:c>
      <x:c r="M1642" s="232" t="n">
        <x:v>7.86</x:v>
      </x:c>
      <x:c r="N1642" s="187" t="str">
        <x:v>77.6747365954560000</x:v>
      </x:c>
      <x:c r="O1642" s="235" t="n">
        <x:v>77.6747</x:v>
      </x:c>
      <x:c r="P1642" s="235"/>
      <x:c r="Q1642" s="235"/>
      <x:c r="R1642" s="235" t="str">
        <x:v>INVOICE_OR_PLAN</x:v>
      </x:c>
      <x:c r="S1642" s="238" t="n">
        <x:f>'Model_Calc'!BA277</x:f>
        <x:v>77.67473659545603</x:v>
      </x:c>
      <x:c r="T1642" s="238" t="n">
        <x:f>ROUND(S1642-O1642,4)</x:f>
        <x:v>0</x:v>
      </x:c>
    </x:row>
    <x:row r="1643">
      <x:c r="A1643" s="187" t="str">
        <x:v>SCENARIO_BASE_2026_08</x:v>
      </x:c>
      <x:c r="B1643" s="187" t="str">
        <x:v>SCENARIO</x:v>
      </x:c>
      <x:c r="C1643" s="187" t="str">
        <x:v>BASE</x:v>
      </x:c>
      <x:c r="D1643" s="217" t="n">
        <x:v>46357</x:v>
      </x:c>
      <x:c r="E1643" s="187" t="str">
        <x:v>R_FR_FR_A_ROAD</x:v>
      </x:c>
      <x:c r="F1643" s="187" t="str">
        <x:v>FR</x:v>
      </x:c>
      <x:c r="G1643" s="187" t="str">
        <x:v>FR_FC</x:v>
      </x:c>
      <x:c r="H1643" s="187" t="str">
        <x:v>CARRIER_A</x:v>
      </x:c>
      <x:c r="I1643" s="187" t="str">
        <x:v>ROAD</x:v>
      </x:c>
      <x:c r="J1643" s="187" t="str">
        <x:v>BASE_FREIGHT</x:v>
      </x:c>
      <x:c r="K1643" s="187" t="str">
        <x:v>EUR</x:v>
      </x:c>
      <x:c r="L1643" s="232" t="n">
        <x:v>4956.6994324848</x:v>
      </x:c>
      <x:c r="M1643" s="232" t="n">
        <x:v>7.86</x:v>
      </x:c>
      <x:c r="N1643" s="187" t="str">
        <x:v>38959.65753933052800000</x:v>
      </x:c>
      <x:c r="O1643" s="235" t="n">
        <x:v>38959.6575</x:v>
      </x:c>
      <x:c r="P1643" s="235"/>
      <x:c r="Q1643" s="235"/>
      <x:c r="R1643" s="235" t="str">
        <x:v>INVOICE_OR_PLAN</x:v>
      </x:c>
      <x:c r="S1643" s="238" t="n">
        <x:f>'Model_Calc'!AF278</x:f>
        <x:v>38959.65753933053</x:v>
      </x:c>
      <x:c r="T1643" s="238" t="n">
        <x:f>ROUND(S1643-O1643,4)</x:f>
        <x:v>0</x:v>
      </x:c>
    </x:row>
    <x:row r="1644">
      <x:c r="A1644" s="187" t="str">
        <x:v>SCENARIO_BASE_2026_08</x:v>
      </x:c>
      <x:c r="B1644" s="187" t="str">
        <x:v>SCENARIO</x:v>
      </x:c>
      <x:c r="C1644" s="187" t="str">
        <x:v>BASE</x:v>
      </x:c>
      <x:c r="D1644" s="217" t="n">
        <x:v>46357</x:v>
      </x:c>
      <x:c r="E1644" s="187" t="str">
        <x:v>R_FR_FR_A_ROAD</x:v>
      </x:c>
      <x:c r="F1644" s="187" t="str">
        <x:v>FR</x:v>
      </x:c>
      <x:c r="G1644" s="187" t="str">
        <x:v>FR_FC</x:v>
      </x:c>
      <x:c r="H1644" s="187" t="str">
        <x:v>CARRIER_A</x:v>
      </x:c>
      <x:c r="I1644" s="187" t="str">
        <x:v>ROAD</x:v>
      </x:c>
      <x:c r="J1644" s="187" t="str">
        <x:v>FUEL_SURCHARGE</x:v>
      </x:c>
      <x:c r="K1644" s="187" t="str">
        <x:v>EUR</x:v>
      </x:c>
      <x:c r="L1644" s="232" t="n">
        <x:v>461.71655213595915</x:v>
      </x:c>
      <x:c r="M1644" s="232" t="n">
        <x:v>7.86</x:v>
      </x:c>
      <x:c r="N1644" s="187" t="str">
        <x:v>3629.09209978863868320000000</x:v>
      </x:c>
      <x:c r="O1644" s="235" t="n">
        <x:v>3629.0921</x:v>
      </x:c>
      <x:c r="P1644" s="235"/>
      <x:c r="Q1644" s="235"/>
      <x:c r="R1644" s="235" t="str">
        <x:v>INVOICE_OR_PLAN</x:v>
      </x:c>
      <x:c r="S1644" s="238" t="n">
        <x:f>'Model_Calc'!AG278</x:f>
        <x:v>3629.0920997886387</x:v>
      </x:c>
      <x:c r="T1644" s="238" t="n">
        <x:f>ROUND(S1644-O1644,4)</x:f>
        <x:v>0</x:v>
      </x:c>
    </x:row>
    <x:row r="1645">
      <x:c r="A1645" s="187" t="str">
        <x:v>SCENARIO_BASE_2026_08</x:v>
      </x:c>
      <x:c r="B1645" s="187" t="str">
        <x:v>SCENARIO</x:v>
      </x:c>
      <x:c r="C1645" s="187" t="str">
        <x:v>BASE</x:v>
      </x:c>
      <x:c r="D1645" s="217" t="n">
        <x:v>46357</x:v>
      </x:c>
      <x:c r="E1645" s="187" t="str">
        <x:v>R_FR_FR_A_ROAD</x:v>
      </x:c>
      <x:c r="F1645" s="187" t="str">
        <x:v>FR</x:v>
      </x:c>
      <x:c r="G1645" s="187" t="str">
        <x:v>FR_FC</x:v>
      </x:c>
      <x:c r="H1645" s="187" t="str">
        <x:v>CARRIER_A</x:v>
      </x:c>
      <x:c r="I1645" s="187" t="str">
        <x:v>ROAD</x:v>
      </x:c>
      <x:c r="J1645" s="187" t="str">
        <x:v>WAREHOUSE_OPERATION</x:v>
      </x:c>
      <x:c r="K1645" s="187" t="str">
        <x:v>EUR</x:v>
      </x:c>
      <x:c r="L1645" s="232" t="n">
        <x:v>3045.9429</x:v>
      </x:c>
      <x:c r="M1645" s="232" t="n">
        <x:v>7.86</x:v>
      </x:c>
      <x:c r="N1645" s="187" t="str">
        <x:v>23941.11119400000</x:v>
      </x:c>
      <x:c r="O1645" s="235" t="n">
        <x:v>23941.1112</x:v>
      </x:c>
      <x:c r="P1645" s="235"/>
      <x:c r="Q1645" s="235"/>
      <x:c r="R1645" s="235" t="str">
        <x:v>INVOICE_OR_PLAN</x:v>
      </x:c>
      <x:c r="S1645" s="238" t="n">
        <x:f>'Model_Calc'!AL278</x:f>
        <x:v>23941.111194000005</x:v>
      </x:c>
      <x:c r="T1645" s="238" t="n">
        <x:f>ROUND(S1645-O1645,4)</x:f>
        <x:v>0</x:v>
      </x:c>
    </x:row>
    <x:row r="1646">
      <x:c r="A1646" s="187" t="str">
        <x:v>SCENARIO_BASE_2026_08</x:v>
      </x:c>
      <x:c r="B1646" s="187" t="str">
        <x:v>SCENARIO</x:v>
      </x:c>
      <x:c r="C1646" s="187" t="str">
        <x:v>BASE</x:v>
      </x:c>
      <x:c r="D1646" s="217" t="n">
        <x:v>46357</x:v>
      </x:c>
      <x:c r="E1646" s="187" t="str">
        <x:v>R_FR_FR_A_ROAD</x:v>
      </x:c>
      <x:c r="F1646" s="187" t="str">
        <x:v>FR</x:v>
      </x:c>
      <x:c r="G1646" s="187" t="str">
        <x:v>FR_FC</x:v>
      </x:c>
      <x:c r="H1646" s="187" t="str">
        <x:v>CARRIER_A</x:v>
      </x:c>
      <x:c r="I1646" s="187" t="str">
        <x:v>ROAD</x:v>
      </x:c>
      <x:c r="J1646" s="187" t="str">
        <x:v>PACKAGING</x:v>
      </x:c>
      <x:c r="K1646" s="187" t="str">
        <x:v>EUR</x:v>
      </x:c>
      <x:c r="L1646" s="232" t="n">
        <x:v>1168.4817144</x:v>
      </x:c>
      <x:c r="M1646" s="232" t="n">
        <x:v>7.86</x:v>
      </x:c>
      <x:c r="N1646" s="187" t="str">
        <x:v>9184.2662751840000</x:v>
      </x:c>
      <x:c r="O1646" s="235" t="n">
        <x:v>9184.2663</x:v>
      </x:c>
      <x:c r="P1646" s="235"/>
      <x:c r="Q1646" s="235"/>
      <x:c r="R1646" s="235" t="str">
        <x:v>INVOICE_OR_PLAN</x:v>
      </x:c>
      <x:c r="S1646" s="238" t="n">
        <x:f>'Model_Calc'!AQ278</x:f>
        <x:v>9184.266275184002</x:v>
      </x:c>
      <x:c r="T1646" s="238" t="n">
        <x:f>ROUND(S1646-O1646,4)</x:f>
        <x:v>0</x:v>
      </x:c>
    </x:row>
    <x:row r="1647">
      <x:c r="A1647" s="187" t="str">
        <x:v>SCENARIO_BASE_2026_08</x:v>
      </x:c>
      <x:c r="B1647" s="187" t="str">
        <x:v>SCENARIO</x:v>
      </x:c>
      <x:c r="C1647" s="187" t="str">
        <x:v>BASE</x:v>
      </x:c>
      <x:c r="D1647" s="217" t="n">
        <x:v>46357</x:v>
      </x:c>
      <x:c r="E1647" s="187" t="str">
        <x:v>R_FR_FR_A_ROAD</x:v>
      </x:c>
      <x:c r="F1647" s="187" t="str">
        <x:v>FR</x:v>
      </x:c>
      <x:c r="G1647" s="187" t="str">
        <x:v>FR_FC</x:v>
      </x:c>
      <x:c r="H1647" s="187" t="str">
        <x:v>CARRIER_A</x:v>
      </x:c>
      <x:c r="I1647" s="187" t="str">
        <x:v>ROAD</x:v>
      </x:c>
      <x:c r="J1647" s="187" t="str">
        <x:v>RETURN_LOGISTICS</x:v>
      </x:c>
      <x:c r="K1647" s="187" t="str">
        <x:v>EUR</x:v>
      </x:c>
      <x:c r="L1647" s="232" t="n">
        <x:v>522.16164</x:v>
      </x:c>
      <x:c r="M1647" s="232" t="n">
        <x:v>7.86</x:v>
      </x:c>
      <x:c r="N1647" s="187" t="str">
        <x:v>4104.19049040000000</x:v>
      </x:c>
      <x:c r="O1647" s="235" t="n">
        <x:v>4104.1905</x:v>
      </x:c>
      <x:c r="P1647" s="235"/>
      <x:c r="Q1647" s="235"/>
      <x:c r="R1647" s="235" t="str">
        <x:v>INVOICE_OR_PLAN</x:v>
      </x:c>
      <x:c r="S1647" s="238" t="n">
        <x:f>'Model_Calc'!AV278</x:f>
        <x:v>4104.1904904</x:v>
      </x:c>
      <x:c r="T1647" s="238" t="n">
        <x:f>ROUND(S1647-O1647,4)</x:f>
        <x:v>0</x:v>
      </x:c>
    </x:row>
    <x:row r="1648">
      <x:c r="A1648" s="187" t="str">
        <x:v>SCENARIO_BASE_2026_08</x:v>
      </x:c>
      <x:c r="B1648" s="187" t="str">
        <x:v>SCENARIO</x:v>
      </x:c>
      <x:c r="C1648" s="187" t="str">
        <x:v>BASE</x:v>
      </x:c>
      <x:c r="D1648" s="217" t="n">
        <x:v>46357</x:v>
      </x:c>
      <x:c r="E1648" s="187" t="str">
        <x:v>R_FR_FR_A_ROAD</x:v>
      </x:c>
      <x:c r="F1648" s="187" t="str">
        <x:v>FR</x:v>
      </x:c>
      <x:c r="G1648" s="187" t="str">
        <x:v>FR_FC</x:v>
      </x:c>
      <x:c r="H1648" s="187" t="str">
        <x:v>CARRIER_A</x:v>
      </x:c>
      <x:c r="I1648" s="187" t="str">
        <x:v>ROAD</x:v>
      </x:c>
      <x:c r="J1648" s="187" t="str">
        <x:v>BILLABLE_EXCEPTION</x:v>
      </x:c>
      <x:c r="K1648" s="187" t="str">
        <x:v>EUR</x:v>
      </x:c>
      <x:c r="L1648" s="232" t="n">
        <x:v>120.230618508</x:v>
      </x:c>
      <x:c r="M1648" s="232" t="n">
        <x:v>7.86</x:v>
      </x:c>
      <x:c r="N1648" s="187" t="str">
        <x:v>945.0126614728800000</x:v>
      </x:c>
      <x:c r="O1648" s="235" t="n">
        <x:v>945.0127</x:v>
      </x:c>
      <x:c r="P1648" s="235"/>
      <x:c r="Q1648" s="235"/>
      <x:c r="R1648" s="235" t="str">
        <x:v>INVOICE_OR_PLAN</x:v>
      </x:c>
      <x:c r="S1648" s="238" t="n">
        <x:f>'Model_Calc'!BA278</x:f>
        <x:v>945.0126614728802</x:v>
      </x:c>
      <x:c r="T1648" s="238" t="n">
        <x:f>ROUND(S1648-O1648,4)</x:f>
        <x:v>0</x:v>
      </x:c>
    </x:row>
    <x:row r="1649">
      <x:c r="A1649" s="187" t="str">
        <x:v>SCENARIO_BASE_2026_08</x:v>
      </x:c>
      <x:c r="B1649" s="187" t="str">
        <x:v>SCENARIO</x:v>
      </x:c>
      <x:c r="C1649" s="187" t="str">
        <x:v>BASE</x:v>
      </x:c>
      <x:c r="D1649" s="217" t="n">
        <x:v>46357</x:v>
      </x:c>
      <x:c r="E1649" s="187" t="str">
        <x:v>R_FR_FR_B_ROAD</x:v>
      </x:c>
      <x:c r="F1649" s="187" t="str">
        <x:v>FR</x:v>
      </x:c>
      <x:c r="G1649" s="187" t="str">
        <x:v>FR_FC</x:v>
      </x:c>
      <x:c r="H1649" s="187" t="str">
        <x:v>CARRIER_B</x:v>
      </x:c>
      <x:c r="I1649" s="187" t="str">
        <x:v>ROAD</x:v>
      </x:c>
      <x:c r="J1649" s="187" t="str">
        <x:v>BASE_FREIGHT</x:v>
      </x:c>
      <x:c r="K1649" s="187" t="str">
        <x:v>EUR</x:v>
      </x:c>
      <x:c r="L1649" s="232" t="n">
        <x:v>11846.9198215368</x:v>
      </x:c>
      <x:c r="M1649" s="232" t="n">
        <x:v>7.86</x:v>
      </x:c>
      <x:c r="N1649" s="187" t="str">
        <x:v>93116.78979727924800000</x:v>
      </x:c>
      <x:c r="O1649" s="235" t="n">
        <x:v>93116.7898</x:v>
      </x:c>
      <x:c r="P1649" s="235"/>
      <x:c r="Q1649" s="235"/>
      <x:c r="R1649" s="235" t="str">
        <x:v>INVOICE_OR_PLAN</x:v>
      </x:c>
      <x:c r="S1649" s="238" t="n">
        <x:f>'Model_Calc'!AF279</x:f>
        <x:v>93116.78979727926</x:v>
      </x:c>
      <x:c r="T1649" s="238" t="n">
        <x:f>ROUND(S1649-O1649,4)</x:f>
        <x:v>0</x:v>
      </x:c>
    </x:row>
    <x:row r="1650">
      <x:c r="A1650" s="187" t="str">
        <x:v>SCENARIO_BASE_2026_08</x:v>
      </x:c>
      <x:c r="B1650" s="187" t="str">
        <x:v>SCENARIO</x:v>
      </x:c>
      <x:c r="C1650" s="187" t="str">
        <x:v>BASE</x:v>
      </x:c>
      <x:c r="D1650" s="217" t="n">
        <x:v>46357</x:v>
      </x:c>
      <x:c r="E1650" s="187" t="str">
        <x:v>R_FR_FR_B_ROAD</x:v>
      </x:c>
      <x:c r="F1650" s="187" t="str">
        <x:v>FR</x:v>
      </x:c>
      <x:c r="G1650" s="187" t="str">
        <x:v>FR_FC</x:v>
      </x:c>
      <x:c r="H1650" s="187" t="str">
        <x:v>CARRIER_B</x:v>
      </x:c>
      <x:c r="I1650" s="187" t="str">
        <x:v>ROAD</x:v>
      </x:c>
      <x:c r="J1650" s="187" t="str">
        <x:v>FUEL_SURCHARGE</x:v>
      </x:c>
      <x:c r="K1650" s="187" t="str">
        <x:v>EUR</x:v>
      </x:c>
      <x:c r="L1650" s="232" t="n">
        <x:v>911.3015247336</x:v>
      </x:c>
      <x:c r="M1650" s="232" t="n">
        <x:v>7.86</x:v>
      </x:c>
      <x:c r="N1650" s="187" t="str">
        <x:v>7162.82998440609600000</x:v>
      </x:c>
      <x:c r="O1650" s="235" t="n">
        <x:v>7162.83</x:v>
      </x:c>
      <x:c r="P1650" s="235"/>
      <x:c r="Q1650" s="235"/>
      <x:c r="R1650" s="235" t="str">
        <x:v>INVOICE_OR_PLAN</x:v>
      </x:c>
      <x:c r="S1650" s="238" t="n">
        <x:f>'Model_Calc'!AG279</x:f>
        <x:v>7162.8299844060975</x:v>
      </x:c>
      <x:c r="T1650" s="238" t="n">
        <x:f>ROUND(S1650-O1650,4)</x:f>
        <x:v>0</x:v>
      </x:c>
    </x:row>
    <x:row r="1651">
      <x:c r="A1651" s="187" t="str">
        <x:v>SCENARIO_BASE_2026_08</x:v>
      </x:c>
      <x:c r="B1651" s="187" t="str">
        <x:v>SCENARIO</x:v>
      </x:c>
      <x:c r="C1651" s="187" t="str">
        <x:v>BASE</x:v>
      </x:c>
      <x:c r="D1651" s="217" t="n">
        <x:v>46357</x:v>
      </x:c>
      <x:c r="E1651" s="187" t="str">
        <x:v>R_FR_FR_B_ROAD</x:v>
      </x:c>
      <x:c r="F1651" s="187" t="str">
        <x:v>FR</x:v>
      </x:c>
      <x:c r="G1651" s="187" t="str">
        <x:v>FR_FC</x:v>
      </x:c>
      <x:c r="H1651" s="187" t="str">
        <x:v>CARRIER_B</x:v>
      </x:c>
      <x:c r="I1651" s="187" t="str">
        <x:v>ROAD</x:v>
      </x:c>
      <x:c r="J1651" s="187" t="str">
        <x:v>WAREHOUSE_OPERATION</x:v>
      </x:c>
      <x:c r="K1651" s="187" t="str">
        <x:v>EUR</x:v>
      </x:c>
      <x:c r="L1651" s="232" t="n">
        <x:v>5656.7511</x:v>
      </x:c>
      <x:c r="M1651" s="232" t="n">
        <x:v>7.86</x:v>
      </x:c>
      <x:c r="N1651" s="187" t="str">
        <x:v>44462.06364600000</x:v>
      </x:c>
      <x:c r="O1651" s="235" t="n">
        <x:v>44462.0636</x:v>
      </x:c>
      <x:c r="P1651" s="235"/>
      <x:c r="Q1651" s="235"/>
      <x:c r="R1651" s="235" t="str">
        <x:v>INVOICE_OR_PLAN</x:v>
      </x:c>
      <x:c r="S1651" s="238" t="n">
        <x:f>'Model_Calc'!AL279</x:f>
        <x:v>44462.06364600001</x:v>
      </x:c>
      <x:c r="T1651" s="238" t="n">
        <x:f>ROUND(S1651-O1651,4)</x:f>
        <x:v>0</x:v>
      </x:c>
    </x:row>
    <x:row r="1652">
      <x:c r="A1652" s="187" t="str">
        <x:v>SCENARIO_BASE_2026_08</x:v>
      </x:c>
      <x:c r="B1652" s="187" t="str">
        <x:v>SCENARIO</x:v>
      </x:c>
      <x:c r="C1652" s="187" t="str">
        <x:v>BASE</x:v>
      </x:c>
      <x:c r="D1652" s="217" t="n">
        <x:v>46357</x:v>
      </x:c>
      <x:c r="E1652" s="187" t="str">
        <x:v>R_FR_FR_B_ROAD</x:v>
      </x:c>
      <x:c r="F1652" s="187" t="str">
        <x:v>FR</x:v>
      </x:c>
      <x:c r="G1652" s="187" t="str">
        <x:v>FR_FC</x:v>
      </x:c>
      <x:c r="H1652" s="187" t="str">
        <x:v>CARRIER_B</x:v>
      </x:c>
      <x:c r="I1652" s="187" t="str">
        <x:v>ROAD</x:v>
      </x:c>
      <x:c r="J1652" s="187" t="str">
        <x:v>PACKAGING</x:v>
      </x:c>
      <x:c r="K1652" s="187" t="str">
        <x:v>EUR</x:v>
      </x:c>
      <x:c r="L1652" s="232" t="n">
        <x:v>2170.0374696</x:v>
      </x:c>
      <x:c r="M1652" s="232" t="n">
        <x:v>7.86</x:v>
      </x:c>
      <x:c r="N1652" s="187" t="str">
        <x:v>17056.4945110560000</x:v>
      </x:c>
      <x:c r="O1652" s="235" t="n">
        <x:v>17056.4945</x:v>
      </x:c>
      <x:c r="P1652" s="235"/>
      <x:c r="Q1652" s="235"/>
      <x:c r="R1652" s="235" t="str">
        <x:v>INVOICE_OR_PLAN</x:v>
      </x:c>
      <x:c r="S1652" s="238" t="n">
        <x:f>'Model_Calc'!AQ279</x:f>
        <x:v>17056.494511056004</x:v>
      </x:c>
      <x:c r="T1652" s="238" t="n">
        <x:f>ROUND(S1652-O1652,4)</x:f>
        <x:v>0</x:v>
      </x:c>
    </x:row>
    <x:row r="1653">
      <x:c r="A1653" s="187" t="str">
        <x:v>SCENARIO_BASE_2026_08</x:v>
      </x:c>
      <x:c r="B1653" s="187" t="str">
        <x:v>SCENARIO</x:v>
      </x:c>
      <x:c r="C1653" s="187" t="str">
        <x:v>BASE</x:v>
      </x:c>
      <x:c r="D1653" s="217" t="n">
        <x:v>46357</x:v>
      </x:c>
      <x:c r="E1653" s="187" t="str">
        <x:v>R_FR_FR_B_ROAD</x:v>
      </x:c>
      <x:c r="F1653" s="187" t="str">
        <x:v>FR</x:v>
      </x:c>
      <x:c r="G1653" s="187" t="str">
        <x:v>FR_FC</x:v>
      </x:c>
      <x:c r="H1653" s="187" t="str">
        <x:v>CARRIER_B</x:v>
      </x:c>
      <x:c r="I1653" s="187" t="str">
        <x:v>ROAD</x:v>
      </x:c>
      <x:c r="J1653" s="187" t="str">
        <x:v>RETURN_LOGISTICS</x:v>
      </x:c>
      <x:c r="K1653" s="187" t="str">
        <x:v>EUR</x:v>
      </x:c>
      <x:c r="L1653" s="232" t="n">
        <x:v>969.72876</x:v>
      </x:c>
      <x:c r="M1653" s="232" t="n">
        <x:v>7.86</x:v>
      </x:c>
      <x:c r="N1653" s="187" t="str">
        <x:v>7622.06805360000000</x:v>
      </x:c>
      <x:c r="O1653" s="235" t="n">
        <x:v>7622.0681</x:v>
      </x:c>
      <x:c r="P1653" s="235"/>
      <x:c r="Q1653" s="235"/>
      <x:c r="R1653" s="235" t="str">
        <x:v>INVOICE_OR_PLAN</x:v>
      </x:c>
      <x:c r="S1653" s="238" t="n">
        <x:f>'Model_Calc'!AV279</x:f>
        <x:v>7622.068053600001</x:v>
      </x:c>
      <x:c r="T1653" s="238" t="n">
        <x:f>ROUND(S1653-O1653,4)</x:f>
        <x:v>0</x:v>
      </x:c>
    </x:row>
    <x:row r="1654">
      <x:c r="A1654" s="187" t="str">
        <x:v>SCENARIO_BASE_2026_08</x:v>
      </x:c>
      <x:c r="B1654" s="187" t="str">
        <x:v>SCENARIO</x:v>
      </x:c>
      <x:c r="C1654" s="187" t="str">
        <x:v>BASE</x:v>
      </x:c>
      <x:c r="D1654" s="217" t="n">
        <x:v>46357</x:v>
      </x:c>
      <x:c r="E1654" s="187" t="str">
        <x:v>R_FR_FR_B_ROAD</x:v>
      </x:c>
      <x:c r="F1654" s="187" t="str">
        <x:v>FR</x:v>
      </x:c>
      <x:c r="G1654" s="187" t="str">
        <x:v>FR_FC</x:v>
      </x:c>
      <x:c r="H1654" s="187" t="str">
        <x:v>CARRIER_B</x:v>
      </x:c>
      <x:c r="I1654" s="187" t="str">
        <x:v>ROAD</x:v>
      </x:c>
      <x:c r="J1654" s="187" t="str">
        <x:v>BILLABLE_EXCEPTION</x:v>
      </x:c>
      <x:c r="K1654" s="187" t="str">
        <x:v>EUR</x:v>
      </x:c>
      <x:c r="L1654" s="232" t="n">
        <x:v>183.882122424</x:v>
      </x:c>
      <x:c r="M1654" s="232" t="n">
        <x:v>7.86</x:v>
      </x:c>
      <x:c r="N1654" s="187" t="str">
        <x:v>1445.3134822526400000</x:v>
      </x:c>
      <x:c r="O1654" s="235" t="n">
        <x:v>1445.3135</x:v>
      </x:c>
      <x:c r="P1654" s="235"/>
      <x:c r="Q1654" s="235"/>
      <x:c r="R1654" s="235" t="str">
        <x:v>INVOICE_OR_PLAN</x:v>
      </x:c>
      <x:c r="S1654" s="238" t="n">
        <x:f>'Model_Calc'!BA279</x:f>
        <x:v>1445.3134822526401</x:v>
      </x:c>
      <x:c r="T1654" s="238" t="n">
        <x:f>ROUND(S1654-O1654,4)</x:f>
        <x:v>0</x:v>
      </x:c>
    </x:row>
    <x:row r="1655">
      <x:c r="A1655" s="187" t="str">
        <x:v>SCENARIO_BASE_2026_08</x:v>
      </x:c>
      <x:c r="B1655" s="187" t="str">
        <x:v>SCENARIO</x:v>
      </x:c>
      <x:c r="C1655" s="187" t="str">
        <x:v>BASE</x:v>
      </x:c>
      <x:c r="D1655" s="217" t="n">
        <x:v>46357</x:v>
      </x:c>
      <x:c r="E1655" s="187" t="str">
        <x:v>R_GB_DE_A_ROAD</x:v>
      </x:c>
      <x:c r="F1655" s="187" t="str">
        <x:v>GB</x:v>
      </x:c>
      <x:c r="G1655" s="187" t="str">
        <x:v>DE_FC</x:v>
      </x:c>
      <x:c r="H1655" s="187" t="str">
        <x:v>CARRIER_A</x:v>
      </x:c>
      <x:c r="I1655" s="187" t="str">
        <x:v>ROAD</x:v>
      </x:c>
      <x:c r="J1655" s="187" t="str">
        <x:v>BASE_FREIGHT</x:v>
      </x:c>
      <x:c r="K1655" s="187" t="str">
        <x:v>GBP</x:v>
      </x:c>
      <x:c r="L1655" s="232" t="n">
        <x:v>26831.590368716392</x:v>
      </x:c>
      <x:c r="M1655" s="232" t="n">
        <x:v>9</x:v>
      </x:c>
      <x:c r="N1655" s="187" t="str">
        <x:v>241484.313318447513600000000</x:v>
      </x:c>
      <x:c r="O1655" s="235" t="n">
        <x:v>241484.3133</x:v>
      </x:c>
      <x:c r="P1655" s="235"/>
      <x:c r="Q1655" s="235"/>
      <x:c r="R1655" s="235" t="str">
        <x:v>INVOICE_OR_PLAN</x:v>
      </x:c>
      <x:c r="S1655" s="238" t="n">
        <x:f>'Model_Calc'!AF280</x:f>
        <x:v>241484.3133184475</x:v>
      </x:c>
      <x:c r="T1655" s="238" t="n">
        <x:f>ROUND(S1655-O1655,4)</x:f>
        <x:v>0</x:v>
      </x:c>
    </x:row>
    <x:row r="1656">
      <x:c r="A1656" s="187" t="str">
        <x:v>SCENARIO_BASE_2026_08</x:v>
      </x:c>
      <x:c r="B1656" s="187" t="str">
        <x:v>SCENARIO</x:v>
      </x:c>
      <x:c r="C1656" s="187" t="str">
        <x:v>BASE</x:v>
      </x:c>
      <x:c r="D1656" s="217" t="n">
        <x:v>46357</x:v>
      </x:c>
      <x:c r="E1656" s="187" t="str">
        <x:v>R_GB_DE_A_ROAD</x:v>
      </x:c>
      <x:c r="F1656" s="187" t="str">
        <x:v>GB</x:v>
      </x:c>
      <x:c r="G1656" s="187" t="str">
        <x:v>DE_FC</x:v>
      </x:c>
      <x:c r="H1656" s="187" t="str">
        <x:v>CARRIER_A</x:v>
      </x:c>
      <x:c r="I1656" s="187" t="str">
        <x:v>ROAD</x:v>
      </x:c>
      <x:c r="J1656" s="187" t="str">
        <x:v>FUEL_SURCHARGE</x:v>
      </x:c>
      <x:c r="K1656" s="187" t="str">
        <x:v>GBP</x:v>
      </x:c>
      <x:c r="L1656" s="232" t="n">
        <x:v>2777.0696031621464</x:v>
      </x:c>
      <x:c r="M1656" s="232" t="n">
        <x:v>9</x:v>
      </x:c>
      <x:c r="N1656" s="187" t="str">
        <x:v>24993.626428459317657600000000000</x:v>
      </x:c>
      <x:c r="O1656" s="235" t="n">
        <x:v>24993.6264</x:v>
      </x:c>
      <x:c r="P1656" s="235"/>
      <x:c r="Q1656" s="235"/>
      <x:c r="R1656" s="235" t="str">
        <x:v>INVOICE_OR_PLAN</x:v>
      </x:c>
      <x:c r="S1656" s="238" t="n">
        <x:f>'Model_Calc'!AG280</x:f>
        <x:v>24993.626428459313</x:v>
      </x:c>
      <x:c r="T1656" s="238" t="n">
        <x:f>ROUND(S1656-O1656,4)</x:f>
        <x:v>0</x:v>
      </x:c>
    </x:row>
    <x:row r="1657">
      <x:c r="A1657" s="187" t="str">
        <x:v>SCENARIO_BASE_2026_08</x:v>
      </x:c>
      <x:c r="B1657" s="187" t="str">
        <x:v>SCENARIO</x:v>
      </x:c>
      <x:c r="C1657" s="187" t="str">
        <x:v>BASE</x:v>
      </x:c>
      <x:c r="D1657" s="217" t="n">
        <x:v>46357</x:v>
      </x:c>
      <x:c r="E1657" s="187" t="str">
        <x:v>R_GB_DE_A_ROAD</x:v>
      </x:c>
      <x:c r="F1657" s="187" t="str">
        <x:v>GB</x:v>
      </x:c>
      <x:c r="G1657" s="187" t="str">
        <x:v>DE_FC</x:v>
      </x:c>
      <x:c r="H1657" s="187" t="str">
        <x:v>CARRIER_A</x:v>
      </x:c>
      <x:c r="I1657" s="187" t="str">
        <x:v>ROAD</x:v>
      </x:c>
      <x:c r="J1657" s="187" t="str">
        <x:v>WAREHOUSE_OPERATION</x:v>
      </x:c>
      <x:c r="K1657" s="187" t="str">
        <x:v>EUR</x:v>
      </x:c>
      <x:c r="L1657" s="232" t="n">
        <x:v>6438.1464576</x:v>
      </x:c>
      <x:c r="M1657" s="232" t="n">
        <x:v>7.86</x:v>
      </x:c>
      <x:c r="N1657" s="187" t="str">
        <x:v>50603.8311567360000</x:v>
      </x:c>
      <x:c r="O1657" s="235" t="n">
        <x:v>50603.8312</x:v>
      </x:c>
      <x:c r="P1657" s="235"/>
      <x:c r="Q1657" s="235"/>
      <x:c r="R1657" s="235" t="str">
        <x:v>INVOICE_OR_PLAN</x:v>
      </x:c>
      <x:c r="S1657" s="238" t="n">
        <x:f>'Model_Calc'!AL280</x:f>
        <x:v>50603.831156736</x:v>
      </x:c>
      <x:c r="T1657" s="238" t="n">
        <x:f>ROUND(S1657-O1657,4)</x:f>
        <x:v>0</x:v>
      </x:c>
    </x:row>
    <x:row r="1658">
      <x:c r="A1658" s="187" t="str">
        <x:v>SCENARIO_BASE_2026_08</x:v>
      </x:c>
      <x:c r="B1658" s="187" t="str">
        <x:v>SCENARIO</x:v>
      </x:c>
      <x:c r="C1658" s="187" t="str">
        <x:v>BASE</x:v>
      </x:c>
      <x:c r="D1658" s="217" t="n">
        <x:v>46357</x:v>
      </x:c>
      <x:c r="E1658" s="187" t="str">
        <x:v>R_GB_DE_A_ROAD</x:v>
      </x:c>
      <x:c r="F1658" s="187" t="str">
        <x:v>GB</x:v>
      </x:c>
      <x:c r="G1658" s="187" t="str">
        <x:v>DE_FC</x:v>
      </x:c>
      <x:c r="H1658" s="187" t="str">
        <x:v>CARRIER_A</x:v>
      </x:c>
      <x:c r="I1658" s="187" t="str">
        <x:v>ROAD</x:v>
      </x:c>
      <x:c r="J1658" s="187" t="str">
        <x:v>PACKAGING</x:v>
      </x:c>
      <x:c r="K1658" s="187" t="str">
        <x:v>EUR</x:v>
      </x:c>
      <x:c r="L1658" s="232" t="n">
        <x:v>2681.106075648</x:v>
      </x:c>
      <x:c r="M1658" s="232" t="n">
        <x:v>7.86</x:v>
      </x:c>
      <x:c r="N1658" s="187" t="str">
        <x:v>21073.493754593280000</x:v>
      </x:c>
      <x:c r="O1658" s="235" t="n">
        <x:v>21073.4938</x:v>
      </x:c>
      <x:c r="P1658" s="235"/>
      <x:c r="Q1658" s="235"/>
      <x:c r="R1658" s="235" t="str">
        <x:v>INVOICE_OR_PLAN</x:v>
      </x:c>
      <x:c r="S1658" s="238" t="n">
        <x:f>'Model_Calc'!AQ280</x:f>
        <x:v>21073.493754593273</x:v>
      </x:c>
      <x:c r="T1658" s="238" t="n">
        <x:f>ROUND(S1658-O1658,4)</x:f>
        <x:v>0</x:v>
      </x:c>
    </x:row>
    <x:row r="1659">
      <x:c r="A1659" s="187" t="str">
        <x:v>SCENARIO_BASE_2026_08</x:v>
      </x:c>
      <x:c r="B1659" s="187" t="str">
        <x:v>SCENARIO</x:v>
      </x:c>
      <x:c r="C1659" s="187" t="str">
        <x:v>BASE</x:v>
      </x:c>
      <x:c r="D1659" s="217" t="n">
        <x:v>46357</x:v>
      </x:c>
      <x:c r="E1659" s="187" t="str">
        <x:v>R_GB_DE_A_ROAD</x:v>
      </x:c>
      <x:c r="F1659" s="187" t="str">
        <x:v>GB</x:v>
      </x:c>
      <x:c r="G1659" s="187" t="str">
        <x:v>DE_FC</x:v>
      </x:c>
      <x:c r="H1659" s="187" t="str">
        <x:v>CARRIER_A</x:v>
      </x:c>
      <x:c r="I1659" s="187" t="str">
        <x:v>ROAD</x:v>
      </x:c>
      <x:c r="J1659" s="187" t="str">
        <x:v>RETURN_LOGISTICS</x:v>
      </x:c>
      <x:c r="K1659" s="187" t="str">
        <x:v>GBP</x:v>
      </x:c>
      <x:c r="L1659" s="232" t="n">
        <x:v>2357.01633024</x:v>
      </x:c>
      <x:c r="M1659" s="232" t="n">
        <x:v>9</x:v>
      </x:c>
      <x:c r="N1659" s="187" t="str">
        <x:v>21213.1469721600000000</x:v>
      </x:c>
      <x:c r="O1659" s="235" t="n">
        <x:v>21213.147</x:v>
      </x:c>
      <x:c r="P1659" s="235"/>
      <x:c r="Q1659" s="235"/>
      <x:c r="R1659" s="235" t="str">
        <x:v>INVOICE_OR_PLAN</x:v>
      </x:c>
      <x:c r="S1659" s="238" t="n">
        <x:f>'Model_Calc'!AV280</x:f>
        <x:v>21213.146972159997</x:v>
      </x:c>
      <x:c r="T1659" s="238" t="n">
        <x:f>ROUND(S1659-O1659,4)</x:f>
        <x:v>0</x:v>
      </x:c>
    </x:row>
    <x:row r="1660">
      <x:c r="A1660" s="187" t="str">
        <x:v>SCENARIO_BASE_2026_08</x:v>
      </x:c>
      <x:c r="B1660" s="187" t="str">
        <x:v>SCENARIO</x:v>
      </x:c>
      <x:c r="C1660" s="187" t="str">
        <x:v>BASE</x:v>
      </x:c>
      <x:c r="D1660" s="217" t="n">
        <x:v>46357</x:v>
      </x:c>
      <x:c r="E1660" s="187" t="str">
        <x:v>R_GB_DE_A_ROAD</x:v>
      </x:c>
      <x:c r="F1660" s="187" t="str">
        <x:v>GB</x:v>
      </x:c>
      <x:c r="G1660" s="187" t="str">
        <x:v>DE_FC</x:v>
      </x:c>
      <x:c r="H1660" s="187" t="str">
        <x:v>CARRIER_A</x:v>
      </x:c>
      <x:c r="I1660" s="187" t="str">
        <x:v>ROAD</x:v>
      </x:c>
      <x:c r="J1660" s="187" t="str">
        <x:v>BILLABLE_EXCEPTION</x:v>
      </x:c>
      <x:c r="K1660" s="187" t="str">
        <x:v>GBP</x:v>
      </x:c>
      <x:c r="L1660" s="232" t="n">
        <x:v>396.42068404224</x:v>
      </x:c>
      <x:c r="M1660" s="232" t="n">
        <x:v>9</x:v>
      </x:c>
      <x:c r="N1660" s="187" t="str">
        <x:v>3567.786156380160000000</x:v>
      </x:c>
      <x:c r="O1660" s="235" t="n">
        <x:v>3567.7862</x:v>
      </x:c>
      <x:c r="P1660" s="235"/>
      <x:c r="Q1660" s="235"/>
      <x:c r="R1660" s="235" t="str">
        <x:v>INVOICE_OR_PLAN</x:v>
      </x:c>
      <x:c r="S1660" s="238" t="n">
        <x:f>'Model_Calc'!BA280</x:f>
        <x:v>3567.7861563801594</x:v>
      </x:c>
      <x:c r="T1660" s="238" t="n">
        <x:f>ROUND(S1660-O1660,4)</x:f>
        <x:v>0</x:v>
      </x:c>
    </x:row>
    <x:row r="1661">
      <x:c r="A1661" s="187" t="str">
        <x:v>SCENARIO_BASE_2026_08</x:v>
      </x:c>
      <x:c r="B1661" s="187" t="str">
        <x:v>SCENARIO</x:v>
      </x:c>
      <x:c r="C1661" s="187" t="str">
        <x:v>BASE</x:v>
      </x:c>
      <x:c r="D1661" s="217" t="n">
        <x:v>46357</x:v>
      </x:c>
      <x:c r="E1661" s="187" t="str">
        <x:v>R_GB_DE_B_ROAD</x:v>
      </x:c>
      <x:c r="F1661" s="187" t="str">
        <x:v>GB</x:v>
      </x:c>
      <x:c r="G1661" s="187" t="str">
        <x:v>DE_FC</x:v>
      </x:c>
      <x:c r="H1661" s="187" t="str">
        <x:v>CARRIER_B</x:v>
      </x:c>
      <x:c r="I1661" s="187" t="str">
        <x:v>ROAD</x:v>
      </x:c>
      <x:c r="J1661" s="187" t="str">
        <x:v>BASE_FREIGHT</x:v>
      </x:c>
      <x:c r="K1661" s="187" t="str">
        <x:v>GBP</x:v>
      </x:c>
      <x:c r="L1661" s="232" t="n">
        <x:v>16098.4061903808</x:v>
      </x:c>
      <x:c r="M1661" s="232" t="n">
        <x:v>9</x:v>
      </x:c>
      <x:c r="N1661" s="187" t="str">
        <x:v>144885.655713427200000000000</x:v>
      </x:c>
      <x:c r="O1661" s="235" t="n">
        <x:v>144885.6557</x:v>
      </x:c>
      <x:c r="P1661" s="235"/>
      <x:c r="Q1661" s="235"/>
      <x:c r="R1661" s="235" t="str">
        <x:v>INVOICE_OR_PLAN</x:v>
      </x:c>
      <x:c r="S1661" s="238" t="n">
        <x:f>'Model_Calc'!AF281</x:f>
        <x:v>144885.65571342717</x:v>
      </x:c>
      <x:c r="T1661" s="238" t="n">
        <x:f>ROUND(S1661-O1661,4)</x:f>
        <x:v>0</x:v>
      </x:c>
    </x:row>
    <x:row r="1662">
      <x:c r="A1662" s="187" t="str">
        <x:v>SCENARIO_BASE_2026_08</x:v>
      </x:c>
      <x:c r="B1662" s="187" t="str">
        <x:v>SCENARIO</x:v>
      </x:c>
      <x:c r="C1662" s="187" t="str">
        <x:v>BASE</x:v>
      </x:c>
      <x:c r="D1662" s="217" t="n">
        <x:v>46357</x:v>
      </x:c>
      <x:c r="E1662" s="187" t="str">
        <x:v>R_GB_DE_B_ROAD</x:v>
      </x:c>
      <x:c r="F1662" s="187" t="str">
        <x:v>GB</x:v>
      </x:c>
      <x:c r="G1662" s="187" t="str">
        <x:v>DE_FC</x:v>
      </x:c>
      <x:c r="H1662" s="187" t="str">
        <x:v>CARRIER_B</x:v>
      </x:c>
      <x:c r="I1662" s="187" t="str">
        <x:v>ROAD</x:v>
      </x:c>
      <x:c r="J1662" s="187" t="str">
        <x:v>FUEL_SURCHARGE</x:v>
      </x:c>
      <x:c r="K1662" s="187" t="str">
        <x:v>GBP</x:v>
      </x:c>
      <x:c r="L1662" s="232" t="n">
        <x:v>1130.31362613312</x:v>
      </x:c>
      <x:c r="M1662" s="232" t="n">
        <x:v>9</x:v>
      </x:c>
      <x:c r="N1662" s="187" t="str">
        <x:v>10172.822635198080000000000</x:v>
      </x:c>
      <x:c r="O1662" s="235" t="n">
        <x:v>10172.8226</x:v>
      </x:c>
      <x:c r="P1662" s="235"/>
      <x:c r="Q1662" s="235"/>
      <x:c r="R1662" s="235" t="str">
        <x:v>INVOICE_OR_PLAN</x:v>
      </x:c>
      <x:c r="S1662" s="238" t="n">
        <x:f>'Model_Calc'!AG281</x:f>
        <x:v>10172.82263519808</x:v>
      </x:c>
      <x:c r="T1662" s="238" t="n">
        <x:f>ROUND(S1662-O1662,4)</x:f>
        <x:v>0</x:v>
      </x:c>
    </x:row>
    <x:row r="1663">
      <x:c r="A1663" s="187" t="str">
        <x:v>SCENARIO_BASE_2026_08</x:v>
      </x:c>
      <x:c r="B1663" s="187" t="str">
        <x:v>SCENARIO</x:v>
      </x:c>
      <x:c r="C1663" s="187" t="str">
        <x:v>BASE</x:v>
      </x:c>
      <x:c r="D1663" s="217" t="n">
        <x:v>46357</x:v>
      </x:c>
      <x:c r="E1663" s="187" t="str">
        <x:v>R_GB_DE_B_ROAD</x:v>
      </x:c>
      <x:c r="F1663" s="187" t="str">
        <x:v>GB</x:v>
      </x:c>
      <x:c r="G1663" s="187" t="str">
        <x:v>DE_FC</x:v>
      </x:c>
      <x:c r="H1663" s="187" t="str">
        <x:v>CARRIER_B</x:v>
      </x:c>
      <x:c r="I1663" s="187" t="str">
        <x:v>ROAD</x:v>
      </x:c>
      <x:c r="J1663" s="187" t="str">
        <x:v>WAREHOUSE_OPERATION</x:v>
      </x:c>
      <x:c r="K1663" s="187" t="str">
        <x:v>EUR</x:v>
      </x:c>
      <x:c r="L1663" s="232" t="n">
        <x:v>3353.20128</x:v>
      </x:c>
      <x:c r="M1663" s="232" t="n">
        <x:v>7.86</x:v>
      </x:c>
      <x:c r="N1663" s="187" t="str">
        <x:v>26356.1620608000000</x:v>
      </x:c>
      <x:c r="O1663" s="235" t="n">
        <x:v>26356.1621</x:v>
      </x:c>
      <x:c r="P1663" s="235"/>
      <x:c r="Q1663" s="235"/>
      <x:c r="R1663" s="235" t="str">
        <x:v>INVOICE_OR_PLAN</x:v>
      </x:c>
      <x:c r="S1663" s="238" t="n">
        <x:f>'Model_Calc'!AL281</x:f>
        <x:v>26356.1620608</x:v>
      </x:c>
      <x:c r="T1663" s="238" t="n">
        <x:f>ROUND(S1663-O1663,4)</x:f>
        <x:v>0</x:v>
      </x:c>
    </x:row>
    <x:row r="1664">
      <x:c r="A1664" s="187" t="str">
        <x:v>SCENARIO_BASE_2026_08</x:v>
      </x:c>
      <x:c r="B1664" s="187" t="str">
        <x:v>SCENARIO</x:v>
      </x:c>
      <x:c r="C1664" s="187" t="str">
        <x:v>BASE</x:v>
      </x:c>
      <x:c r="D1664" s="217" t="n">
        <x:v>46357</x:v>
      </x:c>
      <x:c r="E1664" s="187" t="str">
        <x:v>R_GB_DE_B_ROAD</x:v>
      </x:c>
      <x:c r="F1664" s="187" t="str">
        <x:v>GB</x:v>
      </x:c>
      <x:c r="G1664" s="187" t="str">
        <x:v>DE_FC</x:v>
      </x:c>
      <x:c r="H1664" s="187" t="str">
        <x:v>CARRIER_B</x:v>
      </x:c>
      <x:c r="I1664" s="187" t="str">
        <x:v>ROAD</x:v>
      </x:c>
      <x:c r="J1664" s="187" t="str">
        <x:v>PACKAGING</x:v>
      </x:c>
      <x:c r="K1664" s="187" t="str">
        <x:v>EUR</x:v>
      </x:c>
      <x:c r="L1664" s="232" t="n">
        <x:v>1396.4094144</x:v>
      </x:c>
      <x:c r="M1664" s="232" t="n">
        <x:v>7.86</x:v>
      </x:c>
      <x:c r="N1664" s="187" t="str">
        <x:v>10975.777997184000000</x:v>
      </x:c>
      <x:c r="O1664" s="235" t="n">
        <x:v>10975.778</x:v>
      </x:c>
      <x:c r="P1664" s="235"/>
      <x:c r="Q1664" s="235"/>
      <x:c r="R1664" s="235" t="str">
        <x:v>INVOICE_OR_PLAN</x:v>
      </x:c>
      <x:c r="S1664" s="238" t="n">
        <x:f>'Model_Calc'!AQ281</x:f>
        <x:v>10975.777997184</x:v>
      </x:c>
      <x:c r="T1664" s="238" t="n">
        <x:f>ROUND(S1664-O1664,4)</x:f>
        <x:v>0</x:v>
      </x:c>
    </x:row>
    <x:row r="1665">
      <x:c r="A1665" s="187" t="str">
        <x:v>SCENARIO_BASE_2026_08</x:v>
      </x:c>
      <x:c r="B1665" s="187" t="str">
        <x:v>SCENARIO</x:v>
      </x:c>
      <x:c r="C1665" s="187" t="str">
        <x:v>BASE</x:v>
      </x:c>
      <x:c r="D1665" s="217" t="n">
        <x:v>46357</x:v>
      </x:c>
      <x:c r="E1665" s="187" t="str">
        <x:v>R_GB_DE_B_ROAD</x:v>
      </x:c>
      <x:c r="F1665" s="187" t="str">
        <x:v>GB</x:v>
      </x:c>
      <x:c r="G1665" s="187" t="str">
        <x:v>DE_FC</x:v>
      </x:c>
      <x:c r="H1665" s="187" t="str">
        <x:v>CARRIER_B</x:v>
      </x:c>
      <x:c r="I1665" s="187" t="str">
        <x:v>ROAD</x:v>
      </x:c>
      <x:c r="J1665" s="187" t="str">
        <x:v>RETURN_LOGISTICS</x:v>
      </x:c>
      <x:c r="K1665" s="187" t="str">
        <x:v>GBP</x:v>
      </x:c>
      <x:c r="L1665" s="232" t="n">
        <x:v>1227.612672</x:v>
      </x:c>
      <x:c r="M1665" s="232" t="n">
        <x:v>9</x:v>
      </x:c>
      <x:c r="N1665" s="187" t="str">
        <x:v>11048.5140480000000000</x:v>
      </x:c>
      <x:c r="O1665" s="235" t="n">
        <x:v>11048.514</x:v>
      </x:c>
      <x:c r="P1665" s="235"/>
      <x:c r="Q1665" s="235"/>
      <x:c r="R1665" s="235" t="str">
        <x:v>INVOICE_OR_PLAN</x:v>
      </x:c>
      <x:c r="S1665" s="238" t="n">
        <x:f>'Model_Calc'!AV281</x:f>
        <x:v>11048.514048</x:v>
      </x:c>
      <x:c r="T1665" s="238" t="n">
        <x:f>ROUND(S1665-O1665,4)</x:f>
        <x:v>0</x:v>
      </x:c>
    </x:row>
    <x:row r="1666">
      <x:c r="A1666" s="187" t="str">
        <x:v>SCENARIO_BASE_2026_08</x:v>
      </x:c>
      <x:c r="B1666" s="187" t="str">
        <x:v>SCENARIO</x:v>
      </x:c>
      <x:c r="C1666" s="187" t="str">
        <x:v>BASE</x:v>
      </x:c>
      <x:c r="D1666" s="217" t="n">
        <x:v>46357</x:v>
      </x:c>
      <x:c r="E1666" s="187" t="str">
        <x:v>R_GB_DE_B_ROAD</x:v>
      </x:c>
      <x:c r="F1666" s="187" t="str">
        <x:v>GB</x:v>
      </x:c>
      <x:c r="G1666" s="187" t="str">
        <x:v>DE_FC</x:v>
      </x:c>
      <x:c r="H1666" s="187" t="str">
        <x:v>CARRIER_B</x:v>
      </x:c>
      <x:c r="I1666" s="187" t="str">
        <x:v>ROAD</x:v>
      </x:c>
      <x:c r="J1666" s="187" t="str">
        <x:v>BILLABLE_EXCEPTION</x:v>
      </x:c>
      <x:c r="K1666" s="187" t="str">
        <x:v>GBP</x:v>
      </x:c>
      <x:c r="L1666" s="232" t="n">
        <x:v>152.94007872</x:v>
      </x:c>
      <x:c r="M1666" s="232" t="n">
        <x:v>9</x:v>
      </x:c>
      <x:c r="N1666" s="187" t="str">
        <x:v>1376.460708480000000000</x:v>
      </x:c>
      <x:c r="O1666" s="235" t="n">
        <x:v>1376.4607</x:v>
      </x:c>
      <x:c r="P1666" s="235"/>
      <x:c r="Q1666" s="235"/>
      <x:c r="R1666" s="235" t="str">
        <x:v>INVOICE_OR_PLAN</x:v>
      </x:c>
      <x:c r="S1666" s="238" t="n">
        <x:f>'Model_Calc'!BA281</x:f>
        <x:v>1376.46070848</x:v>
      </x:c>
      <x:c r="T1666" s="238" t="n">
        <x:f>ROUND(S1666-O1666,4)</x:f>
        <x:v>0</x:v>
      </x:c>
    </x:row>
    <x:row r="1667">
      <x:c r="A1667" s="187" t="str">
        <x:v>SCENARIO_BASE_2026_08</x:v>
      </x:c>
      <x:c r="B1667" s="187" t="str">
        <x:v>SCENARIO</x:v>
      </x:c>
      <x:c r="C1667" s="187" t="str">
        <x:v>BASE</x:v>
      </x:c>
      <x:c r="D1667" s="217" t="n">
        <x:v>46357</x:v>
      </x:c>
      <x:c r="E1667" s="187" t="str">
        <x:v>R_GB_DE_B_AIR</x:v>
      </x:c>
      <x:c r="F1667" s="187" t="str">
        <x:v>GB</x:v>
      </x:c>
      <x:c r="G1667" s="187" t="str">
        <x:v>DE_FC</x:v>
      </x:c>
      <x:c r="H1667" s="187" t="str">
        <x:v>CARRIER_B</x:v>
      </x:c>
      <x:c r="I1667" s="187" t="str">
        <x:v>AIR</x:v>
      </x:c>
      <x:c r="J1667" s="187" t="str">
        <x:v>BASE_FREIGHT</x:v>
      </x:c>
      <x:c r="K1667" s="187" t="str">
        <x:v>GBP</x:v>
      </x:c>
      <x:c r="L1667" s="232" t="n">
        <x:v>15777.98351356746</x:v>
      </x:c>
      <x:c r="M1667" s="232" t="n">
        <x:v>9</x:v>
      </x:c>
      <x:c r="N1667" s="187" t="str">
        <x:v>142001.85162210714501120000000</x:v>
      </x:c>
      <x:c r="O1667" s="235" t="n">
        <x:v>142001.8516</x:v>
      </x:c>
      <x:c r="P1667" s="235"/>
      <x:c r="Q1667" s="235"/>
      <x:c r="R1667" s="235" t="str">
        <x:v>INVOICE_OR_PLAN</x:v>
      </x:c>
      <x:c r="S1667" s="238" t="n">
        <x:f>'Model_Calc'!AF282</x:f>
        <x:v>142001.85162210715</x:v>
      </x:c>
      <x:c r="T1667" s="238" t="n">
        <x:f>ROUND(S1667-O1667,4)</x:f>
        <x:v>0</x:v>
      </x:c>
    </x:row>
    <x:row r="1668">
      <x:c r="A1668" s="187" t="str">
        <x:v>SCENARIO_BASE_2026_08</x:v>
      </x:c>
      <x:c r="B1668" s="187" t="str">
        <x:v>SCENARIO</x:v>
      </x:c>
      <x:c r="C1668" s="187" t="str">
        <x:v>BASE</x:v>
      </x:c>
      <x:c r="D1668" s="217" t="n">
        <x:v>46357</x:v>
      </x:c>
      <x:c r="E1668" s="187" t="str">
        <x:v>R_GB_DE_B_AIR</x:v>
      </x:c>
      <x:c r="F1668" s="187" t="str">
        <x:v>GB</x:v>
      </x:c>
      <x:c r="G1668" s="187" t="str">
        <x:v>DE_FC</x:v>
      </x:c>
      <x:c r="H1668" s="187" t="str">
        <x:v>CARRIER_B</x:v>
      </x:c>
      <x:c r="I1668" s="187" t="str">
        <x:v>AIR</x:v>
      </x:c>
      <x:c r="J1668" s="187" t="str">
        <x:v>FUEL_SURCHARGE</x:v>
      </x:c>
      <x:c r="K1668" s="187" t="str">
        <x:v>GBP</x:v>
      </x:c>
      <x:c r="L1668" s="232" t="n">
        <x:v>1953.0934672104618</x:v>
      </x:c>
      <x:c r="M1668" s="232" t="n">
        <x:v>9</x:v>
      </x:c>
      <x:c r="N1668" s="187" t="str">
        <x:v>17577.8412048941550523564032000000000</x:v>
      </x:c>
      <x:c r="O1668" s="235" t="n">
        <x:v>17577.8412</x:v>
      </x:c>
      <x:c r="P1668" s="235"/>
      <x:c r="Q1668" s="235"/>
      <x:c r="R1668" s="235" t="str">
        <x:v>INVOICE_OR_PLAN</x:v>
      </x:c>
      <x:c r="S1668" s="238" t="n">
        <x:f>'Model_Calc'!AG282</x:f>
        <x:v>17577.841204894154</x:v>
      </x:c>
      <x:c r="T1668" s="238" t="n">
        <x:f>ROUND(S1668-O1668,4)</x:f>
        <x:v>0</x:v>
      </x:c>
    </x:row>
    <x:row r="1669">
      <x:c r="A1669" s="187" t="str">
        <x:v>SCENARIO_BASE_2026_08</x:v>
      </x:c>
      <x:c r="B1669" s="187" t="str">
        <x:v>SCENARIO</x:v>
      </x:c>
      <x:c r="C1669" s="187" t="str">
        <x:v>BASE</x:v>
      </x:c>
      <x:c r="D1669" s="217" t="n">
        <x:v>46357</x:v>
      </x:c>
      <x:c r="E1669" s="187" t="str">
        <x:v>R_GB_DE_B_AIR</x:v>
      </x:c>
      <x:c r="F1669" s="187" t="str">
        <x:v>GB</x:v>
      </x:c>
      <x:c r="G1669" s="187" t="str">
        <x:v>DE_FC</x:v>
      </x:c>
      <x:c r="H1669" s="187" t="str">
        <x:v>CARRIER_B</x:v>
      </x:c>
      <x:c r="I1669" s="187" t="str">
        <x:v>AIR</x:v>
      </x:c>
      <x:c r="J1669" s="187" t="str">
        <x:v>WAREHOUSE_OPERATION</x:v>
      </x:c>
      <x:c r="K1669" s="187" t="str">
        <x:v>EUR</x:v>
      </x:c>
      <x:c r="L1669" s="232" t="n">
        <x:v>2548.4329728</x:v>
      </x:c>
      <x:c r="M1669" s="232" t="n">
        <x:v>7.86</x:v>
      </x:c>
      <x:c r="N1669" s="187" t="str">
        <x:v>20030.6831662080000</x:v>
      </x:c>
      <x:c r="O1669" s="235" t="n">
        <x:v>20030.6832</x:v>
      </x:c>
      <x:c r="P1669" s="235"/>
      <x:c r="Q1669" s="235"/>
      <x:c r="R1669" s="235" t="str">
        <x:v>INVOICE_OR_PLAN</x:v>
      </x:c>
      <x:c r="S1669" s="238" t="n">
        <x:f>'Model_Calc'!AL282</x:f>
        <x:v>20030.683166208004</x:v>
      </x:c>
      <x:c r="T1669" s="238" t="n">
        <x:f>ROUND(S1669-O1669,4)</x:f>
        <x:v>0</x:v>
      </x:c>
    </x:row>
    <x:row r="1670">
      <x:c r="A1670" s="187" t="str">
        <x:v>SCENARIO_BASE_2026_08</x:v>
      </x:c>
      <x:c r="B1670" s="187" t="str">
        <x:v>SCENARIO</x:v>
      </x:c>
      <x:c r="C1670" s="187" t="str">
        <x:v>BASE</x:v>
      </x:c>
      <x:c r="D1670" s="217" t="n">
        <x:v>46357</x:v>
      </x:c>
      <x:c r="E1670" s="187" t="str">
        <x:v>R_GB_DE_B_AIR</x:v>
      </x:c>
      <x:c r="F1670" s="187" t="str">
        <x:v>GB</x:v>
      </x:c>
      <x:c r="G1670" s="187" t="str">
        <x:v>DE_FC</x:v>
      </x:c>
      <x:c r="H1670" s="187" t="str">
        <x:v>CARRIER_B</x:v>
      </x:c>
      <x:c r="I1670" s="187" t="str">
        <x:v>AIR</x:v>
      </x:c>
      <x:c r="J1670" s="187" t="str">
        <x:v>PACKAGING</x:v>
      </x:c>
      <x:c r="K1670" s="187" t="str">
        <x:v>EUR</x:v>
      </x:c>
      <x:c r="L1670" s="232" t="n">
        <x:v>1061.271154944</x:v>
      </x:c>
      <x:c r="M1670" s="232" t="n">
        <x:v>7.86</x:v>
      </x:c>
      <x:c r="N1670" s="187" t="str">
        <x:v>8341.591277859840000</x:v>
      </x:c>
      <x:c r="O1670" s="235" t="n">
        <x:v>8341.5913</x:v>
      </x:c>
      <x:c r="P1670" s="235"/>
      <x:c r="Q1670" s="235"/>
      <x:c r="R1670" s="235" t="str">
        <x:v>INVOICE_OR_PLAN</x:v>
      </x:c>
      <x:c r="S1670" s="238" t="n">
        <x:f>'Model_Calc'!AQ282</x:f>
        <x:v>8341.59127785984</x:v>
      </x:c>
      <x:c r="T1670" s="238" t="n">
        <x:f>ROUND(S1670-O1670,4)</x:f>
        <x:v>0</x:v>
      </x:c>
    </x:row>
    <x:row r="1671">
      <x:c r="A1671" s="187" t="str">
        <x:v>SCENARIO_BASE_2026_08</x:v>
      </x:c>
      <x:c r="B1671" s="187" t="str">
        <x:v>SCENARIO</x:v>
      </x:c>
      <x:c r="C1671" s="187" t="str">
        <x:v>BASE</x:v>
      </x:c>
      <x:c r="D1671" s="217" t="n">
        <x:v>46357</x:v>
      </x:c>
      <x:c r="E1671" s="187" t="str">
        <x:v>R_GB_DE_B_AIR</x:v>
      </x:c>
      <x:c r="F1671" s="187" t="str">
        <x:v>GB</x:v>
      </x:c>
      <x:c r="G1671" s="187" t="str">
        <x:v>DE_FC</x:v>
      </x:c>
      <x:c r="H1671" s="187" t="str">
        <x:v>CARRIER_B</x:v>
      </x:c>
      <x:c r="I1671" s="187" t="str">
        <x:v>AIR</x:v>
      </x:c>
      <x:c r="J1671" s="187" t="str">
        <x:v>RETURN_LOGISTICS</x:v>
      </x:c>
      <x:c r="K1671" s="187" t="str">
        <x:v>GBP</x:v>
      </x:c>
      <x:c r="L1671" s="232" t="n">
        <x:v>932.98563072</x:v>
      </x:c>
      <x:c r="M1671" s="232" t="n">
        <x:v>9</x:v>
      </x:c>
      <x:c r="N1671" s="187" t="str">
        <x:v>8396.8706764800000000</x:v>
      </x:c>
      <x:c r="O1671" s="235" t="n">
        <x:v>8396.8707</x:v>
      </x:c>
      <x:c r="P1671" s="235"/>
      <x:c r="Q1671" s="235"/>
      <x:c r="R1671" s="235" t="str">
        <x:v>INVOICE_OR_PLAN</x:v>
      </x:c>
      <x:c r="S1671" s="238" t="n">
        <x:f>'Model_Calc'!AV282</x:f>
        <x:v>8396.870676479999</x:v>
      </x:c>
      <x:c r="T1671" s="238" t="n">
        <x:f>ROUND(S1671-O1671,4)</x:f>
        <x:v>0</x:v>
      </x:c>
    </x:row>
    <x:row r="1672">
      <x:c r="A1672" s="187" t="str">
        <x:v>SCENARIO_BASE_2026_08</x:v>
      </x:c>
      <x:c r="B1672" s="187" t="str">
        <x:v>SCENARIO</x:v>
      </x:c>
      <x:c r="C1672" s="187" t="str">
        <x:v>BASE</x:v>
      </x:c>
      <x:c r="D1672" s="217" t="n">
        <x:v>46357</x:v>
      </x:c>
      <x:c r="E1672" s="187" t="str">
        <x:v>R_GB_DE_B_AIR</x:v>
      </x:c>
      <x:c r="F1672" s="187" t="str">
        <x:v>GB</x:v>
      </x:c>
      <x:c r="G1672" s="187" t="str">
        <x:v>DE_FC</x:v>
      </x:c>
      <x:c r="H1672" s="187" t="str">
        <x:v>CARRIER_B</x:v>
      </x:c>
      <x:c r="I1672" s="187" t="str">
        <x:v>AIR</x:v>
      </x:c>
      <x:c r="J1672" s="187" t="str">
        <x:v>BILLABLE_EXCEPTION</x:v>
      </x:c>
      <x:c r="K1672" s="187" t="str">
        <x:v>GBP</x:v>
      </x:c>
      <x:c r="L1672" s="232" t="n">
        <x:v>113.20225652736</x:v>
      </x:c>
      <x:c r="M1672" s="232" t="n">
        <x:v>9</x:v>
      </x:c>
      <x:c r="N1672" s="187" t="str">
        <x:v>1018.820308746240000000</x:v>
      </x:c>
      <x:c r="O1672" s="235" t="n">
        <x:v>1018.8203</x:v>
      </x:c>
      <x:c r="P1672" s="235"/>
      <x:c r="Q1672" s="235"/>
      <x:c r="R1672" s="235" t="str">
        <x:v>INVOICE_OR_PLAN</x:v>
      </x:c>
      <x:c r="S1672" s="238" t="n">
        <x:f>'Model_Calc'!BA282</x:f>
        <x:v>1018.8203087462399</x:v>
      </x:c>
      <x:c r="T1672" s="238" t="n">
        <x:f>ROUND(S1672-O1672,4)</x:f>
        <x:v>0</x:v>
      </x:c>
    </x:row>
    <x:row r="1673">
      <x:c r="A1673" s="187" t="str">
        <x:v>SCENARIO_BASE_2026_08</x:v>
      </x:c>
      <x:c r="B1673" s="187" t="str">
        <x:v>SCENARIO</x:v>
      </x:c>
      <x:c r="C1673" s="187" t="str">
        <x:v>BASE</x:v>
      </x:c>
      <x:c r="D1673" s="217" t="n">
        <x:v>46357</x:v>
      </x:c>
      <x:c r="E1673" s="187" t="str">
        <x:v>R_GB_DE_C_AIR</x:v>
      </x:c>
      <x:c r="F1673" s="187" t="str">
        <x:v>GB</x:v>
      </x:c>
      <x:c r="G1673" s="187" t="str">
        <x:v>DE_FC</x:v>
      </x:c>
      <x:c r="H1673" s="187" t="str">
        <x:v>CARRIER_C</x:v>
      </x:c>
      <x:c r="I1673" s="187" t="str">
        <x:v>AIR</x:v>
      </x:c>
      <x:c r="J1673" s="187" t="str">
        <x:v>BASE_FREIGHT</x:v>
      </x:c>
      <x:c r="K1673" s="187" t="str">
        <x:v>GBP</x:v>
      </x:c>
      <x:c r="L1673" s="232" t="n">
        <x:v>8016.595259672863</x:v>
      </x:c>
      <x:c r="M1673" s="232" t="n">
        <x:v>9</x:v>
      </x:c>
      <x:c r="N1673" s="187" t="str">
        <x:v>72149.35733705576448000000000</x:v>
      </x:c>
      <x:c r="O1673" s="235" t="n">
        <x:v>72149.3573</x:v>
      </x:c>
      <x:c r="P1673" s="235"/>
      <x:c r="Q1673" s="235"/>
      <x:c r="R1673" s="235" t="str">
        <x:v>INVOICE_OR_PLAN</x:v>
      </x:c>
      <x:c r="S1673" s="238" t="n">
        <x:f>'Model_Calc'!AF283</x:f>
        <x:v>72149.35733705576</x:v>
      </x:c>
      <x:c r="T1673" s="238" t="n">
        <x:f>ROUND(S1673-O1673,4)</x:f>
        <x:v>0</x:v>
      </x:c>
    </x:row>
    <x:row r="1674">
      <x:c r="A1674" s="187" t="str">
        <x:v>SCENARIO_BASE_2026_08</x:v>
      </x:c>
      <x:c r="B1674" s="187" t="str">
        <x:v>SCENARIO</x:v>
      </x:c>
      <x:c r="C1674" s="187" t="str">
        <x:v>BASE</x:v>
      </x:c>
      <x:c r="D1674" s="217" t="n">
        <x:v>46357</x:v>
      </x:c>
      <x:c r="E1674" s="187" t="str">
        <x:v>R_GB_DE_C_AIR</x:v>
      </x:c>
      <x:c r="F1674" s="187" t="str">
        <x:v>GB</x:v>
      </x:c>
      <x:c r="G1674" s="187" t="str">
        <x:v>DE_FC</x:v>
      </x:c>
      <x:c r="H1674" s="187" t="str">
        <x:v>CARRIER_C</x:v>
      </x:c>
      <x:c r="I1674" s="187" t="str">
        <x:v>AIR</x:v>
      </x:c>
      <x:c r="J1674" s="187" t="str">
        <x:v>FUEL_SURCHARGE</x:v>
      </x:c>
      <x:c r="K1674" s="187" t="str">
        <x:v>GBP</x:v>
      </x:c>
      <x:c r="L1674" s="232" t="n">
        <x:v>619.9500334147014</x:v>
      </x:c>
      <x:c r="M1674" s="232" t="n">
        <x:v>9</x:v>
      </x:c>
      <x:c r="N1674" s="187" t="str">
        <x:v>5579.55030073231245312000000</x:v>
      </x:c>
      <x:c r="O1674" s="235" t="n">
        <x:v>5579.5503</x:v>
      </x:c>
      <x:c r="P1674" s="235"/>
      <x:c r="Q1674" s="235"/>
      <x:c r="R1674" s="235" t="str">
        <x:v>INVOICE_OR_PLAN</x:v>
      </x:c>
      <x:c r="S1674" s="238" t="n">
        <x:f>'Model_Calc'!AG283</x:f>
        <x:v>5579.550300732312</x:v>
      </x:c>
      <x:c r="T1674" s="238" t="n">
        <x:f>ROUND(S1674-O1674,4)</x:f>
        <x:v>0</x:v>
      </x:c>
    </x:row>
    <x:row r="1675">
      <x:c r="A1675" s="187" t="str">
        <x:v>SCENARIO_BASE_2026_08</x:v>
      </x:c>
      <x:c r="B1675" s="187" t="str">
        <x:v>SCENARIO</x:v>
      </x:c>
      <x:c r="C1675" s="187" t="str">
        <x:v>BASE</x:v>
      </x:c>
      <x:c r="D1675" s="217" t="n">
        <x:v>46357</x:v>
      </x:c>
      <x:c r="E1675" s="187" t="str">
        <x:v>R_GB_DE_C_AIR</x:v>
      </x:c>
      <x:c r="F1675" s="187" t="str">
        <x:v>GB</x:v>
      </x:c>
      <x:c r="G1675" s="187" t="str">
        <x:v>DE_FC</x:v>
      </x:c>
      <x:c r="H1675" s="187" t="str">
        <x:v>CARRIER_C</x:v>
      </x:c>
      <x:c r="I1675" s="187" t="str">
        <x:v>AIR</x:v>
      </x:c>
      <x:c r="J1675" s="187" t="str">
        <x:v>WAREHOUSE_OPERATION</x:v>
      </x:c>
      <x:c r="K1675" s="187" t="str">
        <x:v>EUR</x:v>
      </x:c>
      <x:c r="L1675" s="232" t="n">
        <x:v>1073.0244096</x:v>
      </x:c>
      <x:c r="M1675" s="232" t="n">
        <x:v>7.86</x:v>
      </x:c>
      <x:c r="N1675" s="187" t="str">
        <x:v>8433.9718594560000</x:v>
      </x:c>
      <x:c r="O1675" s="235" t="n">
        <x:v>8433.9719</x:v>
      </x:c>
      <x:c r="P1675" s="235"/>
      <x:c r="Q1675" s="235"/>
      <x:c r="R1675" s="235" t="str">
        <x:v>INVOICE_OR_PLAN</x:v>
      </x:c>
      <x:c r="S1675" s="238" t="n">
        <x:f>'Model_Calc'!AL283</x:f>
        <x:v>8433.971859456002</x:v>
      </x:c>
      <x:c r="T1675" s="238" t="n">
        <x:f>ROUND(S1675-O1675,4)</x:f>
        <x:v>0</x:v>
      </x:c>
    </x:row>
    <x:row r="1676">
      <x:c r="A1676" s="187" t="str">
        <x:v>SCENARIO_BASE_2026_08</x:v>
      </x:c>
      <x:c r="B1676" s="187" t="str">
        <x:v>SCENARIO</x:v>
      </x:c>
      <x:c r="C1676" s="187" t="str">
        <x:v>BASE</x:v>
      </x:c>
      <x:c r="D1676" s="217" t="n">
        <x:v>46357</x:v>
      </x:c>
      <x:c r="E1676" s="187" t="str">
        <x:v>R_GB_DE_C_AIR</x:v>
      </x:c>
      <x:c r="F1676" s="187" t="str">
        <x:v>GB</x:v>
      </x:c>
      <x:c r="G1676" s="187" t="str">
        <x:v>DE_FC</x:v>
      </x:c>
      <x:c r="H1676" s="187" t="str">
        <x:v>CARRIER_C</x:v>
      </x:c>
      <x:c r="I1676" s="187" t="str">
        <x:v>AIR</x:v>
      </x:c>
      <x:c r="J1676" s="187" t="str">
        <x:v>PACKAGING</x:v>
      </x:c>
      <x:c r="K1676" s="187" t="str">
        <x:v>EUR</x:v>
      </x:c>
      <x:c r="L1676" s="232" t="n">
        <x:v>446.851012608</x:v>
      </x:c>
      <x:c r="M1676" s="232" t="n">
        <x:v>7.86</x:v>
      </x:c>
      <x:c r="N1676" s="187" t="str">
        <x:v>3512.248959098880000</x:v>
      </x:c>
      <x:c r="O1676" s="235" t="n">
        <x:v>3512.249</x:v>
      </x:c>
      <x:c r="P1676" s="235"/>
      <x:c r="Q1676" s="235"/>
      <x:c r="R1676" s="235" t="str">
        <x:v>INVOICE_OR_PLAN</x:v>
      </x:c>
      <x:c r="S1676" s="238" t="n">
        <x:f>'Model_Calc'!AQ283</x:f>
        <x:v>3512.24895909888</x:v>
      </x:c>
      <x:c r="T1676" s="238" t="n">
        <x:f>ROUND(S1676-O1676,4)</x:f>
        <x:v>0</x:v>
      </x:c>
    </x:row>
    <x:row r="1677">
      <x:c r="A1677" s="187" t="str">
        <x:v>SCENARIO_BASE_2026_08</x:v>
      </x:c>
      <x:c r="B1677" s="187" t="str">
        <x:v>SCENARIO</x:v>
      </x:c>
      <x:c r="C1677" s="187" t="str">
        <x:v>BASE</x:v>
      </x:c>
      <x:c r="D1677" s="217" t="n">
        <x:v>46357</x:v>
      </x:c>
      <x:c r="E1677" s="187" t="str">
        <x:v>R_GB_DE_C_AIR</x:v>
      </x:c>
      <x:c r="F1677" s="187" t="str">
        <x:v>GB</x:v>
      </x:c>
      <x:c r="G1677" s="187" t="str">
        <x:v>DE_FC</x:v>
      </x:c>
      <x:c r="H1677" s="187" t="str">
        <x:v>CARRIER_C</x:v>
      </x:c>
      <x:c r="I1677" s="187" t="str">
        <x:v>AIR</x:v>
      </x:c>
      <x:c r="J1677" s="187" t="str">
        <x:v>RETURN_LOGISTICS</x:v>
      </x:c>
      <x:c r="K1677" s="187" t="str">
        <x:v>GBP</x:v>
      </x:c>
      <x:c r="L1677" s="232" t="n">
        <x:v>392.83605504</x:v>
      </x:c>
      <x:c r="M1677" s="232" t="n">
        <x:v>9</x:v>
      </x:c>
      <x:c r="N1677" s="187" t="str">
        <x:v>3535.5244953600000000</x:v>
      </x:c>
      <x:c r="O1677" s="235" t="n">
        <x:v>3535.5245</x:v>
      </x:c>
      <x:c r="P1677" s="235"/>
      <x:c r="Q1677" s="235"/>
      <x:c r="R1677" s="235" t="str">
        <x:v>INVOICE_OR_PLAN</x:v>
      </x:c>
      <x:c r="S1677" s="238" t="n">
        <x:f>'Model_Calc'!AV283</x:f>
        <x:v>3535.5244953599995</x:v>
      </x:c>
      <x:c r="T1677" s="238" t="n">
        <x:f>ROUND(S1677-O1677,4)</x:f>
        <x:v>0</x:v>
      </x:c>
    </x:row>
    <x:row r="1678">
      <x:c r="A1678" s="187" t="str">
        <x:v>SCENARIO_BASE_2026_08</x:v>
      </x:c>
      <x:c r="B1678" s="187" t="str">
        <x:v>SCENARIO</x:v>
      </x:c>
      <x:c r="C1678" s="187" t="str">
        <x:v>BASE</x:v>
      </x:c>
      <x:c r="D1678" s="217" t="n">
        <x:v>46357</x:v>
      </x:c>
      <x:c r="E1678" s="187" t="str">
        <x:v>R_GB_DE_C_AIR</x:v>
      </x:c>
      <x:c r="F1678" s="187" t="str">
        <x:v>GB</x:v>
      </x:c>
      <x:c r="G1678" s="187" t="str">
        <x:v>DE_FC</x:v>
      </x:c>
      <x:c r="H1678" s="187" t="str">
        <x:v>CARRIER_C</x:v>
      </x:c>
      <x:c r="I1678" s="187" t="str">
        <x:v>AIR</x:v>
      </x:c>
      <x:c r="J1678" s="187" t="str">
        <x:v>BILLABLE_EXCEPTION</x:v>
      </x:c>
      <x:c r="K1678" s="187" t="str">
        <x:v>GBP</x:v>
      </x:c>
      <x:c r="L1678" s="232" t="n">
        <x:v>42.13166690304</x:v>
      </x:c>
      <x:c r="M1678" s="232" t="n">
        <x:v>9</x:v>
      </x:c>
      <x:c r="N1678" s="187" t="str">
        <x:v>379.185002127360000000</x:v>
      </x:c>
      <x:c r="O1678" s="235" t="n">
        <x:v>379.185</x:v>
      </x:c>
      <x:c r="P1678" s="235"/>
      <x:c r="Q1678" s="235"/>
      <x:c r="R1678" s="235" t="str">
        <x:v>INVOICE_OR_PLAN</x:v>
      </x:c>
      <x:c r="S1678" s="238" t="n">
        <x:f>'Model_Calc'!BA283</x:f>
        <x:v>379.18500212735995</x:v>
      </x:c>
      <x:c r="T1678" s="238" t="n">
        <x:f>ROUND(S1678-O1678,4)</x:f>
        <x:v>0</x:v>
      </x:c>
    </x:row>
    <x:row r="1679">
      <x:c r="A1679" s="187" t="str">
        <x:v>SCENARIO_BASE_2026_08</x:v>
      </x:c>
      <x:c r="B1679" s="187" t="str">
        <x:v>SCENARIO</x:v>
      </x:c>
      <x:c r="C1679" s="187" t="str">
        <x:v>BASE</x:v>
      </x:c>
      <x:c r="D1679" s="217" t="n">
        <x:v>46357</x:v>
      </x:c>
      <x:c r="E1679" s="187" t="str">
        <x:v>R_GB_FR_B_AIR</x:v>
      </x:c>
      <x:c r="F1679" s="187" t="str">
        <x:v>GB</x:v>
      </x:c>
      <x:c r="G1679" s="187" t="str">
        <x:v>FR_FC</x:v>
      </x:c>
      <x:c r="H1679" s="187" t="str">
        <x:v>CARRIER_B</x:v>
      </x:c>
      <x:c r="I1679" s="187" t="str">
        <x:v>AIR</x:v>
      </x:c>
      <x:c r="J1679" s="187" t="str">
        <x:v>BASE_FREIGHT</x:v>
      </x:c>
      <x:c r="K1679" s="187" t="str">
        <x:v>EUR</x:v>
      </x:c>
      <x:c r="L1679" s="232" t="n">
        <x:v>3442.31877049632</x:v>
      </x:c>
      <x:c r="M1679" s="232" t="n">
        <x:v>7.86</x:v>
      </x:c>
      <x:c r="N1679" s="187" t="str">
        <x:v>27056.6255361010752000000</x:v>
      </x:c>
      <x:c r="O1679" s="235" t="n">
        <x:v>27056.6255</x:v>
      </x:c>
      <x:c r="P1679" s="235"/>
      <x:c r="Q1679" s="235"/>
      <x:c r="R1679" s="235" t="str">
        <x:v>INVOICE_OR_PLAN</x:v>
      </x:c>
      <x:c r="S1679" s="238" t="n">
        <x:f>'Model_Calc'!AF284</x:f>
        <x:v>27056.625536101074</x:v>
      </x:c>
      <x:c r="T1679" s="238" t="n">
        <x:f>ROUND(S1679-O1679,4)</x:f>
        <x:v>0</x:v>
      </x:c>
    </x:row>
    <x:row r="1680">
      <x:c r="A1680" s="187" t="str">
        <x:v>SCENARIO_BASE_2026_08</x:v>
      </x:c>
      <x:c r="B1680" s="187" t="str">
        <x:v>SCENARIO</x:v>
      </x:c>
      <x:c r="C1680" s="187" t="str">
        <x:v>BASE</x:v>
      </x:c>
      <x:c r="D1680" s="217" t="n">
        <x:v>46357</x:v>
      </x:c>
      <x:c r="E1680" s="187" t="str">
        <x:v>R_GB_FR_B_AIR</x:v>
      </x:c>
      <x:c r="F1680" s="187" t="str">
        <x:v>GB</x:v>
      </x:c>
      <x:c r="G1680" s="187" t="str">
        <x:v>FR_FC</x:v>
      </x:c>
      <x:c r="H1680" s="187" t="str">
        <x:v>CARRIER_B</x:v>
      </x:c>
      <x:c r="I1680" s="187" t="str">
        <x:v>AIR</x:v>
      </x:c>
      <x:c r="J1680" s="187" t="str">
        <x:v>FUEL_SURCHARGE</x:v>
      </x:c>
      <x:c r="K1680" s="187" t="str">
        <x:v>EUR</x:v>
      </x:c>
      <x:c r="L1680" s="232" t="n">
        <x:v>374.0939923836876</x:v>
      </x:c>
      <x:c r="M1680" s="232" t="n">
        <x:v>7.86</x:v>
      </x:c>
      <x:c r="N1680" s="187" t="str">
        <x:v>2940.3787801357843473600000000</x:v>
      </x:c>
      <x:c r="O1680" s="235" t="n">
        <x:v>2940.3788</x:v>
      </x:c>
      <x:c r="P1680" s="235"/>
      <x:c r="Q1680" s="235"/>
      <x:c r="R1680" s="235" t="str">
        <x:v>INVOICE_OR_PLAN</x:v>
      </x:c>
      <x:c r="S1680" s="238" t="n">
        <x:f>'Model_Calc'!AG284</x:f>
        <x:v>2940.378780135784</x:v>
      </x:c>
      <x:c r="T1680" s="238" t="n">
        <x:f>ROUND(S1680-O1680,4)</x:f>
        <x:v>0</x:v>
      </x:c>
    </x:row>
    <x:row r="1681">
      <x:c r="A1681" s="187" t="str">
        <x:v>SCENARIO_BASE_2026_08</x:v>
      </x:c>
      <x:c r="B1681" s="187" t="str">
        <x:v>SCENARIO</x:v>
      </x:c>
      <x:c r="C1681" s="187" t="str">
        <x:v>BASE</x:v>
      </x:c>
      <x:c r="D1681" s="217" t="n">
        <x:v>46357</x:v>
      </x:c>
      <x:c r="E1681" s="187" t="str">
        <x:v>R_GB_FR_B_AIR</x:v>
      </x:c>
      <x:c r="F1681" s="187" t="str">
        <x:v>GB</x:v>
      </x:c>
      <x:c r="G1681" s="187" t="str">
        <x:v>FR_FC</x:v>
      </x:c>
      <x:c r="H1681" s="187" t="str">
        <x:v>CARRIER_B</x:v>
      </x:c>
      <x:c r="I1681" s="187" t="str">
        <x:v>AIR</x:v>
      </x:c>
      <x:c r="J1681" s="187" t="str">
        <x:v>WAREHOUSE_OPERATION</x:v>
      </x:c>
      <x:c r="K1681" s="187" t="str">
        <x:v>EUR</x:v>
      </x:c>
      <x:c r="L1681" s="232" t="n">
        <x:v>497.2968</x:v>
      </x:c>
      <x:c r="M1681" s="232" t="n">
        <x:v>7.86</x:v>
      </x:c>
      <x:c r="N1681" s="187" t="str">
        <x:v>3908.75284800000</x:v>
      </x:c>
      <x:c r="O1681" s="235" t="n">
        <x:v>3908.7528</x:v>
      </x:c>
      <x:c r="P1681" s="235"/>
      <x:c r="Q1681" s="235"/>
      <x:c r="R1681" s="235" t="str">
        <x:v>INVOICE_OR_PLAN</x:v>
      </x:c>
      <x:c r="S1681" s="238" t="n">
        <x:f>'Model_Calc'!AL284</x:f>
        <x:v>3908.7528480000005</x:v>
      </x:c>
      <x:c r="T1681" s="238" t="n">
        <x:f>ROUND(S1681-O1681,4)</x:f>
        <x:v>0</x:v>
      </x:c>
    </x:row>
    <x:row r="1682">
      <x:c r="A1682" s="187" t="str">
        <x:v>SCENARIO_BASE_2026_08</x:v>
      </x:c>
      <x:c r="B1682" s="187" t="str">
        <x:v>SCENARIO</x:v>
      </x:c>
      <x:c r="C1682" s="187" t="str">
        <x:v>BASE</x:v>
      </x:c>
      <x:c r="D1682" s="217" t="n">
        <x:v>46357</x:v>
      </x:c>
      <x:c r="E1682" s="187" t="str">
        <x:v>R_GB_FR_B_AIR</x:v>
      </x:c>
      <x:c r="F1682" s="187" t="str">
        <x:v>GB</x:v>
      </x:c>
      <x:c r="G1682" s="187" t="str">
        <x:v>FR_FC</x:v>
      </x:c>
      <x:c r="H1682" s="187" t="str">
        <x:v>CARRIER_B</x:v>
      </x:c>
      <x:c r="I1682" s="187" t="str">
        <x:v>AIR</x:v>
      </x:c>
      <x:c r="J1682" s="187" t="str">
        <x:v>PACKAGING</x:v>
      </x:c>
      <x:c r="K1682" s="187" t="str">
        <x:v>EUR</x:v>
      </x:c>
      <x:c r="L1682" s="232" t="n">
        <x:v>210.5696736</x:v>
      </x:c>
      <x:c r="M1682" s="232" t="n">
        <x:v>7.86</x:v>
      </x:c>
      <x:c r="N1682" s="187" t="str">
        <x:v>1655.0776344960000</x:v>
      </x:c>
      <x:c r="O1682" s="235" t="n">
        <x:v>1655.0776</x:v>
      </x:c>
      <x:c r="P1682" s="235"/>
      <x:c r="Q1682" s="235"/>
      <x:c r="R1682" s="235" t="str">
        <x:v>INVOICE_OR_PLAN</x:v>
      </x:c>
      <x:c r="S1682" s="238" t="n">
        <x:f>'Model_Calc'!AQ284</x:f>
        <x:v>1655.0776344959997</x:v>
      </x:c>
      <x:c r="T1682" s="238" t="n">
        <x:f>ROUND(S1682-O1682,4)</x:f>
        <x:v>0</x:v>
      </x:c>
    </x:row>
    <x:row r="1683">
      <x:c r="A1683" s="187" t="str">
        <x:v>SCENARIO_BASE_2026_08</x:v>
      </x:c>
      <x:c r="B1683" s="187" t="str">
        <x:v>SCENARIO</x:v>
      </x:c>
      <x:c r="C1683" s="187" t="str">
        <x:v>BASE</x:v>
      </x:c>
      <x:c r="D1683" s="217" t="n">
        <x:v>46357</x:v>
      </x:c>
      <x:c r="E1683" s="187" t="str">
        <x:v>R_GB_FR_B_AIR</x:v>
      </x:c>
      <x:c r="F1683" s="187" t="str">
        <x:v>GB</x:v>
      </x:c>
      <x:c r="G1683" s="187" t="str">
        <x:v>FR_FC</x:v>
      </x:c>
      <x:c r="H1683" s="187" t="str">
        <x:v>CARRIER_B</x:v>
      </x:c>
      <x:c r="I1683" s="187" t="str">
        <x:v>AIR</x:v>
      </x:c>
      <x:c r="J1683" s="187" t="str">
        <x:v>RETURN_LOGISTICS</x:v>
      </x:c>
      <x:c r="K1683" s="187" t="str">
        <x:v>EUR</x:v>
      </x:c>
      <x:c r="L1683" s="232" t="n">
        <x:v>221.652288</x:v>
      </x:c>
      <x:c r="M1683" s="232" t="n">
        <x:v>7.86</x:v>
      </x:c>
      <x:c r="N1683" s="187" t="str">
        <x:v>1742.18698368000000</x:v>
      </x:c>
      <x:c r="O1683" s="235" t="n">
        <x:v>1742.187</x:v>
      </x:c>
      <x:c r="P1683" s="235"/>
      <x:c r="Q1683" s="235"/>
      <x:c r="R1683" s="235" t="str">
        <x:v>INVOICE_OR_PLAN</x:v>
      </x:c>
      <x:c r="S1683" s="238" t="n">
        <x:f>'Model_Calc'!AV284</x:f>
        <x:v>1742.18698368</x:v>
      </x:c>
      <x:c r="T1683" s="238" t="n">
        <x:f>ROUND(S1683-O1683,4)</x:f>
        <x:v>0</x:v>
      </x:c>
    </x:row>
    <x:row r="1684">
      <x:c r="A1684" s="187" t="str">
        <x:v>SCENARIO_BASE_2026_08</x:v>
      </x:c>
      <x:c r="B1684" s="187" t="str">
        <x:v>SCENARIO</x:v>
      </x:c>
      <x:c r="C1684" s="187" t="str">
        <x:v>BASE</x:v>
      </x:c>
      <x:c r="D1684" s="217" t="n">
        <x:v>46357</x:v>
      </x:c>
      <x:c r="E1684" s="187" t="str">
        <x:v>R_GB_FR_B_AIR</x:v>
      </x:c>
      <x:c r="F1684" s="187" t="str">
        <x:v>GB</x:v>
      </x:c>
      <x:c r="G1684" s="187" t="str">
        <x:v>FR_FC</x:v>
      </x:c>
      <x:c r="H1684" s="187" t="str">
        <x:v>CARRIER_B</x:v>
      </x:c>
      <x:c r="I1684" s="187" t="str">
        <x:v>AIR</x:v>
      </x:c>
      <x:c r="J1684" s="187" t="str">
        <x:v>BILLABLE_EXCEPTION</x:v>
      </x:c>
      <x:c r="K1684" s="187" t="str">
        <x:v>EUR</x:v>
      </x:c>
      <x:c r="L1684" s="232" t="n">
        <x:v>21.721924224</x:v>
      </x:c>
      <x:c r="M1684" s="232" t="n">
        <x:v>7.86</x:v>
      </x:c>
      <x:c r="N1684" s="187" t="str">
        <x:v>170.7343244006400000</x:v>
      </x:c>
      <x:c r="O1684" s="235" t="n">
        <x:v>170.7343</x:v>
      </x:c>
      <x:c r="P1684" s="235"/>
      <x:c r="Q1684" s="235"/>
      <x:c r="R1684" s="235" t="str">
        <x:v>INVOICE_OR_PLAN</x:v>
      </x:c>
      <x:c r="S1684" s="238" t="n">
        <x:f>'Model_Calc'!BA284</x:f>
        <x:v>170.73432440064</x:v>
      </x:c>
      <x:c r="T1684" s="238" t="n">
        <x:f>ROUND(S1684-O1684,4)</x:f>
        <x:v>0</x:v>
      </x:c>
    </x:row>
    <x:row r="1685">
      <x:c r="A1685" s="187" t="str">
        <x:v>SCENARIO_GROWTH_2026_08</x:v>
      </x:c>
      <x:c r="B1685" s="187" t="str">
        <x:v>SCENARIO</x:v>
      </x:c>
      <x:c r="C1685" s="187" t="str">
        <x:v>GROWTH</x:v>
      </x:c>
      <x:c r="D1685" s="217" t="n">
        <x:v>46266</x:v>
      </x:c>
      <x:c r="E1685" s="187" t="str">
        <x:v>R_DE_DE_A_ROAD</x:v>
      </x:c>
      <x:c r="F1685" s="187" t="str">
        <x:v>DE</x:v>
      </x:c>
      <x:c r="G1685" s="187" t="str">
        <x:v>DE_FC</x:v>
      </x:c>
      <x:c r="H1685" s="187" t="str">
        <x:v>CARRIER_A</x:v>
      </x:c>
      <x:c r="I1685" s="187" t="str">
        <x:v>ROAD</x:v>
      </x:c>
      <x:c r="J1685" s="187" t="str">
        <x:v>BASE_FREIGHT</x:v>
      </x:c>
      <x:c r="K1685" s="187" t="str">
        <x:v>EUR</x:v>
      </x:c>
      <x:c r="L1685" s="232" t="n">
        <x:v>6720.488847072</x:v>
      </x:c>
      <x:c r="M1685" s="232" t="n">
        <x:v>7.92</x:v>
      </x:c>
      <x:c r="N1685" s="187" t="str">
        <x:v>53226.271668810240000000000000000000000000000000000000000000000000000000000000000</x:v>
      </x:c>
      <x:c r="O1685" s="235" t="n">
        <x:v>53226.2717</x:v>
      </x:c>
      <x:c r="P1685" s="235"/>
      <x:c r="Q1685" s="235"/>
      <x:c r="R1685" s="235" t="str">
        <x:v>INVOICE_OR_PLAN</x:v>
      </x:c>
      <x:c r="S1685" s="238" t="n">
        <x:f>'Model_Calc'!AF285</x:f>
        <x:v>53226.271668810245</x:v>
      </x:c>
      <x:c r="T1685" s="238" t="n">
        <x:f>ROUND(S1685-O1685,4)</x:f>
        <x:v>0</x:v>
      </x:c>
    </x:row>
    <x:row r="1686">
      <x:c r="A1686" s="187" t="str">
        <x:v>SCENARIO_GROWTH_2026_08</x:v>
      </x:c>
      <x:c r="B1686" s="187" t="str">
        <x:v>SCENARIO</x:v>
      </x:c>
      <x:c r="C1686" s="187" t="str">
        <x:v>GROWTH</x:v>
      </x:c>
      <x:c r="D1686" s="217" t="n">
        <x:v>46266</x:v>
      </x:c>
      <x:c r="E1686" s="187" t="str">
        <x:v>R_DE_DE_A_ROAD</x:v>
      </x:c>
      <x:c r="F1686" s="187" t="str">
        <x:v>DE</x:v>
      </x:c>
      <x:c r="G1686" s="187" t="str">
        <x:v>DE_FC</x:v>
      </x:c>
      <x:c r="H1686" s="187" t="str">
        <x:v>CARRIER_A</x:v>
      </x:c>
      <x:c r="I1686" s="187" t="str">
        <x:v>ROAD</x:v>
      </x:c>
      <x:c r="J1686" s="187" t="str">
        <x:v>FUEL_SURCHARGE</x:v>
      </x:c>
      <x:c r="K1686" s="187" t="str">
        <x:v>EUR</x:v>
      </x:c>
      <x:c r="L1686" s="232" t="n">
        <x:v>660.7920658883544</x:v>
      </x:c>
      <x:c r="M1686" s="232" t="n">
        <x:v>7.92</x:v>
      </x:c>
      <x:c r="N1686" s="187" t="str">
        <x:v>5233.4731618357668480000000000000000000000000000000000000000000000000000000000000</x:v>
      </x:c>
      <x:c r="O1686" s="235" t="n">
        <x:v>5233.4732</x:v>
      </x:c>
      <x:c r="P1686" s="235"/>
      <x:c r="Q1686" s="235"/>
      <x:c r="R1686" s="235" t="str">
        <x:v>INVOICE_OR_PLAN</x:v>
      </x:c>
      <x:c r="S1686" s="238" t="n">
        <x:f>'Model_Calc'!AG285</x:f>
        <x:v>5233.473161835766</x:v>
      </x:c>
      <x:c r="T1686" s="238" t="n">
        <x:f>ROUND(S1686-O1686,4)</x:f>
        <x:v>0</x:v>
      </x:c>
    </x:row>
    <x:row r="1687">
      <x:c r="A1687" s="187" t="str">
        <x:v>SCENARIO_GROWTH_2026_08</x:v>
      </x:c>
      <x:c r="B1687" s="187" t="str">
        <x:v>SCENARIO</x:v>
      </x:c>
      <x:c r="C1687" s="187" t="str">
        <x:v>GROWTH</x:v>
      </x:c>
      <x:c r="D1687" s="217" t="n">
        <x:v>46266</x:v>
      </x:c>
      <x:c r="E1687" s="187" t="str">
        <x:v>R_DE_DE_A_ROAD</x:v>
      </x:c>
      <x:c r="F1687" s="187" t="str">
        <x:v>DE</x:v>
      </x:c>
      <x:c r="G1687" s="187" t="str">
        <x:v>DE_FC</x:v>
      </x:c>
      <x:c r="H1687" s="187" t="str">
        <x:v>CARRIER_A</x:v>
      </x:c>
      <x:c r="I1687" s="187" t="str">
        <x:v>ROAD</x:v>
      </x:c>
      <x:c r="J1687" s="187" t="str">
        <x:v>WAREHOUSE_OPERATION</x:v>
      </x:c>
      <x:c r="K1687" s="187" t="str">
        <x:v>EUR</x:v>
      </x:c>
      <x:c r="L1687" s="232" t="n">
        <x:v>4401.2525472</x:v>
      </x:c>
      <x:c r="M1687" s="232" t="n">
        <x:v>7.92</x:v>
      </x:c>
      <x:c r="N1687" s="187" t="str">
        <x:v>34857.920173824000000000000000000000000000000000000000000000000000000000000000000</x:v>
      </x:c>
      <x:c r="O1687" s="235" t="n">
        <x:v>34857.9202</x:v>
      </x:c>
      <x:c r="P1687" s="235"/>
      <x:c r="Q1687" s="235"/>
      <x:c r="R1687" s="235" t="str">
        <x:v>INVOICE_OR_PLAN</x:v>
      </x:c>
      <x:c r="S1687" s="238" t="n">
        <x:f>'Model_Calc'!AL285</x:f>
        <x:v>34857.920173824</x:v>
      </x:c>
      <x:c r="T1687" s="238" t="n">
        <x:f>ROUND(S1687-O1687,4)</x:f>
        <x:v>0</x:v>
      </x:c>
    </x:row>
    <x:row r="1688">
      <x:c r="A1688" s="187" t="str">
        <x:v>SCENARIO_GROWTH_2026_08</x:v>
      </x:c>
      <x:c r="B1688" s="187" t="str">
        <x:v>SCENARIO</x:v>
      </x:c>
      <x:c r="C1688" s="187" t="str">
        <x:v>GROWTH</x:v>
      </x:c>
      <x:c r="D1688" s="217" t="n">
        <x:v>46266</x:v>
      </x:c>
      <x:c r="E1688" s="187" t="str">
        <x:v>R_DE_DE_A_ROAD</x:v>
      </x:c>
      <x:c r="F1688" s="187" t="str">
        <x:v>DE</x:v>
      </x:c>
      <x:c r="G1688" s="187" t="str">
        <x:v>DE_FC</x:v>
      </x:c>
      <x:c r="H1688" s="187" t="str">
        <x:v>CARRIER_A</x:v>
      </x:c>
      <x:c r="I1688" s="187" t="str">
        <x:v>ROAD</x:v>
      </x:c>
      <x:c r="J1688" s="187" t="str">
        <x:v>PACKAGING</x:v>
      </x:c>
      <x:c r="K1688" s="187" t="str">
        <x:v>EUR</x:v>
      </x:c>
      <x:c r="L1688" s="232" t="n">
        <x:v>1644.87489264</x:v>
      </x:c>
      <x:c r="M1688" s="232" t="n">
        <x:v>7.92</x:v>
      </x:c>
      <x:c r="N1688" s="187" t="str">
        <x:v>13027.409149708800000000000000000000000000000000000000000000000000000000000000000</x:v>
      </x:c>
      <x:c r="O1688" s="235" t="n">
        <x:v>13027.4091</x:v>
      </x:c>
      <x:c r="P1688" s="235"/>
      <x:c r="Q1688" s="235"/>
      <x:c r="R1688" s="235" t="str">
        <x:v>INVOICE_OR_PLAN</x:v>
      </x:c>
      <x:c r="S1688" s="238" t="n">
        <x:f>'Model_Calc'!AQ285</x:f>
        <x:v>13027.4091497088</x:v>
      </x:c>
      <x:c r="T1688" s="238" t="n">
        <x:f>ROUND(S1688-O1688,4)</x:f>
        <x:v>0</x:v>
      </x:c>
    </x:row>
    <x:row r="1689">
      <x:c r="A1689" s="187" t="str">
        <x:v>SCENARIO_GROWTH_2026_08</x:v>
      </x:c>
      <x:c r="B1689" s="187" t="str">
        <x:v>SCENARIO</x:v>
      </x:c>
      <x:c r="C1689" s="187" t="str">
        <x:v>GROWTH</x:v>
      </x:c>
      <x:c r="D1689" s="217" t="n">
        <x:v>46266</x:v>
      </x:c>
      <x:c r="E1689" s="187" t="str">
        <x:v>R_DE_DE_A_ROAD</x:v>
      </x:c>
      <x:c r="F1689" s="187" t="str">
        <x:v>DE</x:v>
      </x:c>
      <x:c r="G1689" s="187" t="str">
        <x:v>DE_FC</x:v>
      </x:c>
      <x:c r="H1689" s="187" t="str">
        <x:v>CARRIER_A</x:v>
      </x:c>
      <x:c r="I1689" s="187" t="str">
        <x:v>ROAD</x:v>
      </x:c>
      <x:c r="J1689" s="187" t="str">
        <x:v>RETURN_LOGISTICS</x:v>
      </x:c>
      <x:c r="K1689" s="187" t="str">
        <x:v>EUR</x:v>
      </x:c>
      <x:c r="L1689" s="232" t="n">
        <x:v>596.7800064</x:v>
      </x:c>
      <x:c r="M1689" s="232" t="n">
        <x:v>7.92</x:v>
      </x:c>
      <x:c r="N1689" s="187" t="str">
        <x:v>4726.4976506880000000000000000000000000000000000000000000000000000000000000000000</x:v>
      </x:c>
      <x:c r="O1689" s="235" t="n">
        <x:v>4726.4977</x:v>
      </x:c>
      <x:c r="P1689" s="235"/>
      <x:c r="Q1689" s="235"/>
      <x:c r="R1689" s="235" t="str">
        <x:v>INVOICE_OR_PLAN</x:v>
      </x:c>
      <x:c r="S1689" s="238" t="n">
        <x:f>'Model_Calc'!AV285</x:f>
        <x:v>4726.497650687999</x:v>
      </x:c>
      <x:c r="T1689" s="238" t="n">
        <x:f>ROUND(S1689-O1689,4)</x:f>
        <x:v>0</x:v>
      </x:c>
    </x:row>
    <x:row r="1690">
      <x:c r="A1690" s="187" t="str">
        <x:v>SCENARIO_GROWTH_2026_08</x:v>
      </x:c>
      <x:c r="B1690" s="187" t="str">
        <x:v>SCENARIO</x:v>
      </x:c>
      <x:c r="C1690" s="187" t="str">
        <x:v>GROWTH</x:v>
      </x:c>
      <x:c r="D1690" s="217" t="n">
        <x:v>46266</x:v>
      </x:c>
      <x:c r="E1690" s="187" t="str">
        <x:v>R_DE_DE_A_ROAD</x:v>
      </x:c>
      <x:c r="F1690" s="187" t="str">
        <x:v>DE</x:v>
      </x:c>
      <x:c r="G1690" s="187" t="str">
        <x:v>DE_FC</x:v>
      </x:c>
      <x:c r="H1690" s="187" t="str">
        <x:v>CARRIER_A</x:v>
      </x:c>
      <x:c r="I1690" s="187" t="str">
        <x:v>ROAD</x:v>
      </x:c>
      <x:c r="J1690" s="187" t="str">
        <x:v>BILLABLE_EXCEPTION</x:v>
      </x:c>
      <x:c r="K1690" s="187" t="str">
        <x:v>EUR</x:v>
      </x:c>
      <x:c r="L1690" s="232" t="n">
        <x:v>144.1223715456</x:v>
      </x:c>
      <x:c r="M1690" s="232" t="n">
        <x:v>7.92</x:v>
      </x:c>
      <x:c r="N1690" s="187" t="str">
        <x:v>1141.4491826411520000000000000000000000000000000000000000000000000000000000000000</x:v>
      </x:c>
      <x:c r="O1690" s="235" t="n">
        <x:v>1141.4492</x:v>
      </x:c>
      <x:c r="P1690" s="235"/>
      <x:c r="Q1690" s="235"/>
      <x:c r="R1690" s="235" t="str">
        <x:v>INVOICE_OR_PLAN</x:v>
      </x:c>
      <x:c r="S1690" s="238" t="n">
        <x:f>'Model_Calc'!BA285</x:f>
        <x:v>1141.449182641152</x:v>
      </x:c>
      <x:c r="T1690" s="238" t="n">
        <x:f>ROUND(S1690-O1690,4)</x:f>
        <x:v>0</x:v>
      </x:c>
    </x:row>
    <x:row r="1691">
      <x:c r="A1691" s="187" t="str">
        <x:v>SCENARIO_GROWTH_2026_08</x:v>
      </x:c>
      <x:c r="B1691" s="187" t="str">
        <x:v>SCENARIO</x:v>
      </x:c>
      <x:c r="C1691" s="187" t="str">
        <x:v>GROWTH</x:v>
      </x:c>
      <x:c r="D1691" s="217" t="n">
        <x:v>46266</x:v>
      </x:c>
      <x:c r="E1691" s="187" t="str">
        <x:v>R_DE_DE_B_ROAD</x:v>
      </x:c>
      <x:c r="F1691" s="187" t="str">
        <x:v>DE</x:v>
      </x:c>
      <x:c r="G1691" s="187" t="str">
        <x:v>DE_FC</x:v>
      </x:c>
      <x:c r="H1691" s="187" t="str">
        <x:v>CARRIER_B</x:v>
      </x:c>
      <x:c r="I1691" s="187" t="str">
        <x:v>ROAD</x:v>
      </x:c>
      <x:c r="J1691" s="187" t="str">
        <x:v>BASE_FREIGHT</x:v>
      </x:c>
      <x:c r="K1691" s="187" t="str">
        <x:v>EUR</x:v>
      </x:c>
      <x:c r="L1691" s="232" t="n">
        <x:v>5744.0075616</x:v>
      </x:c>
      <x:c r="M1691" s="232" t="n">
        <x:v>7.92</x:v>
      </x:c>
      <x:c r="N1691" s="187" t="str">
        <x:v>45492.539887872000000000000000000000000000000000000000000000000000000000000000000</x:v>
      </x:c>
      <x:c r="O1691" s="235" t="n">
        <x:v>45492.5399</x:v>
      </x:c>
      <x:c r="P1691" s="235"/>
      <x:c r="Q1691" s="235"/>
      <x:c r="R1691" s="235" t="str">
        <x:v>INVOICE_OR_PLAN</x:v>
      </x:c>
      <x:c r="S1691" s="238" t="n">
        <x:f>'Model_Calc'!AF286</x:f>
        <x:v>45492.539887872</x:v>
      </x:c>
      <x:c r="T1691" s="238" t="n">
        <x:f>ROUND(S1691-O1691,4)</x:f>
        <x:v>0</x:v>
      </x:c>
    </x:row>
    <x:row r="1692">
      <x:c r="A1692" s="187" t="str">
        <x:v>SCENARIO_GROWTH_2026_08</x:v>
      </x:c>
      <x:c r="B1692" s="187" t="str">
        <x:v>SCENARIO</x:v>
      </x:c>
      <x:c r="C1692" s="187" t="str">
        <x:v>GROWTH</x:v>
      </x:c>
      <x:c r="D1692" s="217" t="n">
        <x:v>46266</x:v>
      </x:c>
      <x:c r="E1692" s="187" t="str">
        <x:v>R_DE_DE_B_ROAD</x:v>
      </x:c>
      <x:c r="F1692" s="187" t="str">
        <x:v>DE</x:v>
      </x:c>
      <x:c r="G1692" s="187" t="str">
        <x:v>DE_FC</x:v>
      </x:c>
      <x:c r="H1692" s="187" t="str">
        <x:v>CARRIER_B</x:v>
      </x:c>
      <x:c r="I1692" s="187" t="str">
        <x:v>ROAD</x:v>
      </x:c>
      <x:c r="J1692" s="187" t="str">
        <x:v>FUEL_SURCHARGE</x:v>
      </x:c>
      <x:c r="K1692" s="187" t="str">
        <x:v>EUR</x:v>
      </x:c>
      <x:c r="L1692" s="232" t="n">
        <x:v>438.633304704</x:v>
      </x:c>
      <x:c r="M1692" s="232" t="n">
        <x:v>7.92</x:v>
      </x:c>
      <x:c r="N1692" s="187" t="str">
        <x:v>3473.9757732556800000000000000000000000000000000000000000000000000000000000000000</x:v>
      </x:c>
      <x:c r="O1692" s="235" t="n">
        <x:v>3473.9758</x:v>
      </x:c>
      <x:c r="P1692" s="235"/>
      <x:c r="Q1692" s="235"/>
      <x:c r="R1692" s="235" t="str">
        <x:v>INVOICE_OR_PLAN</x:v>
      </x:c>
      <x:c r="S1692" s="238" t="n">
        <x:f>'Model_Calc'!AG286</x:f>
        <x:v>3473.97577325568</x:v>
      </x:c>
      <x:c r="T1692" s="238" t="n">
        <x:f>ROUND(S1692-O1692,4)</x:f>
        <x:v>0</x:v>
      </x:c>
    </x:row>
    <x:row r="1693">
      <x:c r="A1693" s="187" t="str">
        <x:v>SCENARIO_GROWTH_2026_08</x:v>
      </x:c>
      <x:c r="B1693" s="187" t="str">
        <x:v>SCENARIO</x:v>
      </x:c>
      <x:c r="C1693" s="187" t="str">
        <x:v>GROWTH</x:v>
      </x:c>
      <x:c r="D1693" s="217" t="n">
        <x:v>46266</x:v>
      </x:c>
      <x:c r="E1693" s="187" t="str">
        <x:v>R_DE_DE_B_ROAD</x:v>
      </x:c>
      <x:c r="F1693" s="187" t="str">
        <x:v>DE</x:v>
      </x:c>
      <x:c r="G1693" s="187" t="str">
        <x:v>DE_FC</x:v>
      </x:c>
      <x:c r="H1693" s="187" t="str">
        <x:v>CARRIER_B</x:v>
      </x:c>
      <x:c r="I1693" s="187" t="str">
        <x:v>ROAD</x:v>
      </x:c>
      <x:c r="J1693" s="187" t="str">
        <x:v>WAREHOUSE_OPERATION</x:v>
      </x:c>
      <x:c r="K1693" s="187" t="str">
        <x:v>EUR</x:v>
      </x:c>
      <x:c r="L1693" s="232" t="n">
        <x:v>2934.1683648</x:v>
      </x:c>
      <x:c r="M1693" s="232" t="n">
        <x:v>7.92</x:v>
      </x:c>
      <x:c r="N1693" s="187" t="str">
        <x:v>23238.613449216000000000000000000000000000000000000000000000000000000000000000000</x:v>
      </x:c>
      <x:c r="O1693" s="235" t="n">
        <x:v>23238.6134</x:v>
      </x:c>
      <x:c r="P1693" s="235"/>
      <x:c r="Q1693" s="235"/>
      <x:c r="R1693" s="235" t="str">
        <x:v>INVOICE_OR_PLAN</x:v>
      </x:c>
      <x:c r="S1693" s="238" t="n">
        <x:f>'Model_Calc'!AL286</x:f>
        <x:v>23238.613449216</x:v>
      </x:c>
      <x:c r="T1693" s="238" t="n">
        <x:f>ROUND(S1693-O1693,4)</x:f>
        <x:v>0</x:v>
      </x:c>
    </x:row>
    <x:row r="1694">
      <x:c r="A1694" s="187" t="str">
        <x:v>SCENARIO_GROWTH_2026_08</x:v>
      </x:c>
      <x:c r="B1694" s="187" t="str">
        <x:v>SCENARIO</x:v>
      </x:c>
      <x:c r="C1694" s="187" t="str">
        <x:v>GROWTH</x:v>
      </x:c>
      <x:c r="D1694" s="217" t="n">
        <x:v>46266</x:v>
      </x:c>
      <x:c r="E1694" s="187" t="str">
        <x:v>R_DE_DE_B_ROAD</x:v>
      </x:c>
      <x:c r="F1694" s="187" t="str">
        <x:v>DE</x:v>
      </x:c>
      <x:c r="G1694" s="187" t="str">
        <x:v>DE_FC</x:v>
      </x:c>
      <x:c r="H1694" s="187" t="str">
        <x:v>CARRIER_B</x:v>
      </x:c>
      <x:c r="I1694" s="187" t="str">
        <x:v>ROAD</x:v>
      </x:c>
      <x:c r="J1694" s="187" t="str">
        <x:v>PACKAGING</x:v>
      </x:c>
      <x:c r="K1694" s="187" t="str">
        <x:v>EUR</x:v>
      </x:c>
      <x:c r="L1694" s="232" t="n">
        <x:v>1096.58326176</x:v>
      </x:c>
      <x:c r="M1694" s="232" t="n">
        <x:v>7.92</x:v>
      </x:c>
      <x:c r="N1694" s="187" t="str">
        <x:v>8684.9394331392000000000000000000000000000000000000000000000000000000000000000000</x:v>
      </x:c>
      <x:c r="O1694" s="235" t="n">
        <x:v>8684.9394</x:v>
      </x:c>
      <x:c r="P1694" s="235"/>
      <x:c r="Q1694" s="235"/>
      <x:c r="R1694" s="235" t="str">
        <x:v>INVOICE_OR_PLAN</x:v>
      </x:c>
      <x:c r="S1694" s="238" t="n">
        <x:f>'Model_Calc'!AQ286</x:f>
        <x:v>8684.9394331392</x:v>
      </x:c>
      <x:c r="T1694" s="238" t="n">
        <x:f>ROUND(S1694-O1694,4)</x:f>
        <x:v>0</x:v>
      </x:c>
    </x:row>
    <x:row r="1695">
      <x:c r="A1695" s="187" t="str">
        <x:v>SCENARIO_GROWTH_2026_08</x:v>
      </x:c>
      <x:c r="B1695" s="187" t="str">
        <x:v>SCENARIO</x:v>
      </x:c>
      <x:c r="C1695" s="187" t="str">
        <x:v>GROWTH</x:v>
      </x:c>
      <x:c r="D1695" s="217" t="n">
        <x:v>46266</x:v>
      </x:c>
      <x:c r="E1695" s="187" t="str">
        <x:v>R_DE_DE_B_ROAD</x:v>
      </x:c>
      <x:c r="F1695" s="187" t="str">
        <x:v>DE</x:v>
      </x:c>
      <x:c r="G1695" s="187" t="str">
        <x:v>DE_FC</x:v>
      </x:c>
      <x:c r="H1695" s="187" t="str">
        <x:v>CARRIER_B</x:v>
      </x:c>
      <x:c r="I1695" s="187" t="str">
        <x:v>ROAD</x:v>
      </x:c>
      <x:c r="J1695" s="187" t="str">
        <x:v>RETURN_LOGISTICS</x:v>
      </x:c>
      <x:c r="K1695" s="187" t="str">
        <x:v>EUR</x:v>
      </x:c>
      <x:c r="L1695" s="232" t="n">
        <x:v>397.8533376</x:v>
      </x:c>
      <x:c r="M1695" s="232" t="n">
        <x:v>7.92</x:v>
      </x:c>
      <x:c r="N1695" s="187" t="str">
        <x:v>3150.9984337920000000000000000000000000000000000000000000000000000000000000000000</x:v>
      </x:c>
      <x:c r="O1695" s="235" t="n">
        <x:v>3150.9984</x:v>
      </x:c>
      <x:c r="P1695" s="235"/>
      <x:c r="Q1695" s="235"/>
      <x:c r="R1695" s="235" t="str">
        <x:v>INVOICE_OR_PLAN</x:v>
      </x:c>
      <x:c r="S1695" s="238" t="n">
        <x:f>'Model_Calc'!AV286</x:f>
        <x:v>3150.998433792</x:v>
      </x:c>
      <x:c r="T1695" s="238" t="n">
        <x:f>ROUND(S1695-O1695,4)</x:f>
        <x:v>0</x:v>
      </x:c>
    </x:row>
    <x:row r="1696">
      <x:c r="A1696" s="187" t="str">
        <x:v>SCENARIO_GROWTH_2026_08</x:v>
      </x:c>
      <x:c r="B1696" s="187" t="str">
        <x:v>SCENARIO</x:v>
      </x:c>
      <x:c r="C1696" s="187" t="str">
        <x:v>GROWTH</x:v>
      </x:c>
      <x:c r="D1696" s="217" t="n">
        <x:v>46266</x:v>
      </x:c>
      <x:c r="E1696" s="187" t="str">
        <x:v>R_DE_DE_B_ROAD</x:v>
      </x:c>
      <x:c r="F1696" s="187" t="str">
        <x:v>DE</x:v>
      </x:c>
      <x:c r="G1696" s="187" t="str">
        <x:v>DE_FC</x:v>
      </x:c>
      <x:c r="H1696" s="187" t="str">
        <x:v>CARRIER_B</x:v>
      </x:c>
      <x:c r="I1696" s="187" t="str">
        <x:v>ROAD</x:v>
      </x:c>
      <x:c r="J1696" s="187" t="str">
        <x:v>BILLABLE_EXCEPTION</x:v>
      </x:c>
      <x:c r="K1696" s="187" t="str">
        <x:v>EUR</x:v>
      </x:c>
      <x:c r="L1696" s="232" t="n">
        <x:v>78.0662845872</x:v>
      </x:c>
      <x:c r="M1696" s="232" t="n">
        <x:v>7.92</x:v>
      </x:c>
      <x:c r="N1696" s="187" t="str">
        <x:v>618.28497393062400000000000000000000000000000000000000000000000000000000000000000</x:v>
      </x:c>
      <x:c r="O1696" s="235" t="n">
        <x:v>618.285</x:v>
      </x:c>
      <x:c r="P1696" s="235"/>
      <x:c r="Q1696" s="235"/>
      <x:c r="R1696" s="235" t="str">
        <x:v>INVOICE_OR_PLAN</x:v>
      </x:c>
      <x:c r="S1696" s="238" t="n">
        <x:f>'Model_Calc'!BA286</x:f>
        <x:v>618.284973930624</x:v>
      </x:c>
      <x:c r="T1696" s="238" t="n">
        <x:f>ROUND(S1696-O1696,4)</x:f>
        <x:v>0</x:v>
      </x:c>
    </x:row>
    <x:row r="1697">
      <x:c r="A1697" s="187" t="str">
        <x:v>SCENARIO_GROWTH_2026_08</x:v>
      </x:c>
      <x:c r="B1697" s="187" t="str">
        <x:v>SCENARIO</x:v>
      </x:c>
      <x:c r="C1697" s="187" t="str">
        <x:v>GROWTH</x:v>
      </x:c>
      <x:c r="D1697" s="217" t="n">
        <x:v>46266</x:v>
      </x:c>
      <x:c r="E1697" s="187" t="str">
        <x:v>R_DE_FR_B_ROAD</x:v>
      </x:c>
      <x:c r="F1697" s="187" t="str">
        <x:v>DE</x:v>
      </x:c>
      <x:c r="G1697" s="187" t="str">
        <x:v>FR_FC</x:v>
      </x:c>
      <x:c r="H1697" s="187" t="str">
        <x:v>CARRIER_B</x:v>
      </x:c>
      <x:c r="I1697" s="187" t="str">
        <x:v>ROAD</x:v>
      </x:c>
      <x:c r="J1697" s="187" t="str">
        <x:v>BASE_FREIGHT</x:v>
      </x:c>
      <x:c r="K1697" s="187" t="str">
        <x:v>EUR</x:v>
      </x:c>
      <x:c r="L1697" s="232" t="n">
        <x:v>589.289494464</x:v>
      </x:c>
      <x:c r="M1697" s="232" t="n">
        <x:v>7.92</x:v>
      </x:c>
      <x:c r="N1697" s="187" t="str">
        <x:v>4667.1727961548800000000000000000000000000000000000000000000000000000000000000000</x:v>
      </x:c>
      <x:c r="O1697" s="235" t="n">
        <x:v>4667.1728</x:v>
      </x:c>
      <x:c r="P1697" s="235"/>
      <x:c r="Q1697" s="235"/>
      <x:c r="R1697" s="235" t="str">
        <x:v>INVOICE_OR_PLAN</x:v>
      </x:c>
      <x:c r="S1697" s="238" t="n">
        <x:f>'Model_Calc'!AF287</x:f>
        <x:v>4667.1727961548795</x:v>
      </x:c>
      <x:c r="T1697" s="238" t="n">
        <x:f>ROUND(S1697-O1697,4)</x:f>
        <x:v>0</x:v>
      </x:c>
    </x:row>
    <x:row r="1698">
      <x:c r="A1698" s="187" t="str">
        <x:v>SCENARIO_GROWTH_2026_08</x:v>
      </x:c>
      <x:c r="B1698" s="187" t="str">
        <x:v>SCENARIO</x:v>
      </x:c>
      <x:c r="C1698" s="187" t="str">
        <x:v>GROWTH</x:v>
      </x:c>
      <x:c r="D1698" s="217" t="n">
        <x:v>46266</x:v>
      </x:c>
      <x:c r="E1698" s="187" t="str">
        <x:v>R_DE_FR_B_ROAD</x:v>
      </x:c>
      <x:c r="F1698" s="187" t="str">
        <x:v>DE</x:v>
      </x:c>
      <x:c r="G1698" s="187" t="str">
        <x:v>FR_FC</x:v>
      </x:c>
      <x:c r="H1698" s="187" t="str">
        <x:v>CARRIER_B</x:v>
      </x:c>
      <x:c r="I1698" s="187" t="str">
        <x:v>ROAD</x:v>
      </x:c>
      <x:c r="J1698" s="187" t="str">
        <x:v>FUEL_SURCHARGE</x:v>
      </x:c>
      <x:c r="K1698" s="187" t="str">
        <x:v>EUR</x:v>
      </x:c>
      <x:c r="L1698" s="232" t="n">
        <x:v>42.8574177792</x:v>
      </x:c>
      <x:c r="M1698" s="232" t="n">
        <x:v>7.92</x:v>
      </x:c>
      <x:c r="N1698" s="187" t="str">
        <x:v>339.43074881126400000000000000000000000000000000000000000000000000000000000000000</x:v>
      </x:c>
      <x:c r="O1698" s="235" t="n">
        <x:v>339.4307</x:v>
      </x:c>
      <x:c r="P1698" s="235"/>
      <x:c r="Q1698" s="235"/>
      <x:c r="R1698" s="235" t="str">
        <x:v>INVOICE_OR_PLAN</x:v>
      </x:c>
      <x:c r="S1698" s="238" t="n">
        <x:f>'Model_Calc'!AG287</x:f>
        <x:v>339.430748811264</x:v>
      </x:c>
      <x:c r="T1698" s="238" t="n">
        <x:f>ROUND(S1698-O1698,4)</x:f>
        <x:v>0</x:v>
      </x:c>
    </x:row>
    <x:row r="1699">
      <x:c r="A1699" s="187" t="str">
        <x:v>SCENARIO_GROWTH_2026_08</x:v>
      </x:c>
      <x:c r="B1699" s="187" t="str">
        <x:v>SCENARIO</x:v>
      </x:c>
      <x:c r="C1699" s="187" t="str">
        <x:v>GROWTH</x:v>
      </x:c>
      <x:c r="D1699" s="217" t="n">
        <x:v>46266</x:v>
      </x:c>
      <x:c r="E1699" s="187" t="str">
        <x:v>R_DE_FR_B_ROAD</x:v>
      </x:c>
      <x:c r="F1699" s="187" t="str">
        <x:v>DE</x:v>
      </x:c>
      <x:c r="G1699" s="187" t="str">
        <x:v>FR_FC</x:v>
      </x:c>
      <x:c r="H1699" s="187" t="str">
        <x:v>CARRIER_B</x:v>
      </x:c>
      <x:c r="I1699" s="187" t="str">
        <x:v>ROAD</x:v>
      </x:c>
      <x:c r="J1699" s="187" t="str">
        <x:v>WAREHOUSE_OPERATION</x:v>
      </x:c>
      <x:c r="K1699" s="187" t="str">
        <x:v>EUR</x:v>
      </x:c>
      <x:c r="L1699" s="232" t="n">
        <x:v>201.87468</x:v>
      </x:c>
      <x:c r="M1699" s="232" t="n">
        <x:v>7.92</x:v>
      </x:c>
      <x:c r="N1699" s="187" t="str">
        <x:v>1598.8474656000000000000000000000000000000000000000000000000000000000000000000000</x:v>
      </x:c>
      <x:c r="O1699" s="235" t="n">
        <x:v>1598.8475</x:v>
      </x:c>
      <x:c r="P1699" s="235"/>
      <x:c r="Q1699" s="235"/>
      <x:c r="R1699" s="235" t="str">
        <x:v>INVOICE_OR_PLAN</x:v>
      </x:c>
      <x:c r="S1699" s="238" t="n">
        <x:f>'Model_Calc'!AL287</x:f>
        <x:v>1598.8474656</x:v>
      </x:c>
      <x:c r="T1699" s="238" t="n">
        <x:f>ROUND(S1699-O1699,4)</x:f>
        <x:v>0</x:v>
      </x:c>
    </x:row>
    <x:row r="1700">
      <x:c r="A1700" s="187" t="str">
        <x:v>SCENARIO_GROWTH_2026_08</x:v>
      </x:c>
      <x:c r="B1700" s="187" t="str">
        <x:v>SCENARIO</x:v>
      </x:c>
      <x:c r="C1700" s="187" t="str">
        <x:v>GROWTH</x:v>
      </x:c>
      <x:c r="D1700" s="217" t="n">
        <x:v>46266</x:v>
      </x:c>
      <x:c r="E1700" s="187" t="str">
        <x:v>R_DE_FR_B_ROAD</x:v>
      </x:c>
      <x:c r="F1700" s="187" t="str">
        <x:v>DE</x:v>
      </x:c>
      <x:c r="G1700" s="187" t="str">
        <x:v>FR_FC</x:v>
      </x:c>
      <x:c r="H1700" s="187" t="str">
        <x:v>CARRIER_B</x:v>
      </x:c>
      <x:c r="I1700" s="187" t="str">
        <x:v>ROAD</x:v>
      </x:c>
      <x:c r="J1700" s="187" t="str">
        <x:v>PACKAGING</x:v>
      </x:c>
      <x:c r="K1700" s="187" t="str">
        <x:v>EUR</x:v>
      </x:c>
      <x:c r="L1700" s="232" t="n">
        <x:v>78.90416064</x:v>
      </x:c>
      <x:c r="M1700" s="232" t="n">
        <x:v>7.92</x:v>
      </x:c>
      <x:c r="N1700" s="187" t="str">
        <x:v>624.92095226880000000000000000000000000000000000000000000000000000000000000000000</x:v>
      </x:c>
      <x:c r="O1700" s="235" t="n">
        <x:v>624.921</x:v>
      </x:c>
      <x:c r="P1700" s="235"/>
      <x:c r="Q1700" s="235"/>
      <x:c r="R1700" s="235" t="str">
        <x:v>INVOICE_OR_PLAN</x:v>
      </x:c>
      <x:c r="S1700" s="238" t="n">
        <x:f>'Model_Calc'!AQ287</x:f>
        <x:v>624.9209522688</x:v>
      </x:c>
      <x:c r="T1700" s="238" t="n">
        <x:f>ROUND(S1700-O1700,4)</x:f>
        <x:v>0</x:v>
      </x:c>
    </x:row>
    <x:row r="1701">
      <x:c r="A1701" s="187" t="str">
        <x:v>SCENARIO_GROWTH_2026_08</x:v>
      </x:c>
      <x:c r="B1701" s="187" t="str">
        <x:v>SCENARIO</x:v>
      </x:c>
      <x:c r="C1701" s="187" t="str">
        <x:v>GROWTH</x:v>
      </x:c>
      <x:c r="D1701" s="217" t="n">
        <x:v>46266</x:v>
      </x:c>
      <x:c r="E1701" s="187" t="str">
        <x:v>R_DE_FR_B_ROAD</x:v>
      </x:c>
      <x:c r="F1701" s="187" t="str">
        <x:v>DE</x:v>
      </x:c>
      <x:c r="G1701" s="187" t="str">
        <x:v>FR_FC</x:v>
      </x:c>
      <x:c r="H1701" s="187" t="str">
        <x:v>CARRIER_B</x:v>
      </x:c>
      <x:c r="I1701" s="187" t="str">
        <x:v>ROAD</x:v>
      </x:c>
      <x:c r="J1701" s="187" t="str">
        <x:v>RETURN_LOGISTICS</x:v>
      </x:c>
      <x:c r="K1701" s="187" t="str">
        <x:v>EUR</x:v>
      </x:c>
      <x:c r="L1701" s="232" t="n">
        <x:v>36.529704</x:v>
      </x:c>
      <x:c r="M1701" s="232" t="n">
        <x:v>7.92</x:v>
      </x:c>
      <x:c r="N1701" s="187" t="str">
        <x:v>289.31525568000000000000000000000000000000000000000000000000000000000000000000000</x:v>
      </x:c>
      <x:c r="O1701" s="235" t="n">
        <x:v>289.3153</x:v>
      </x:c>
      <x:c r="P1701" s="235"/>
      <x:c r="Q1701" s="235"/>
      <x:c r="R1701" s="235" t="str">
        <x:v>INVOICE_OR_PLAN</x:v>
      </x:c>
      <x:c r="S1701" s="238" t="n">
        <x:f>'Model_Calc'!AV287</x:f>
        <x:v>289.31525568</x:v>
      </x:c>
      <x:c r="T1701" s="238" t="n">
        <x:f>ROUND(S1701-O1701,4)</x:f>
        <x:v>0</x:v>
      </x:c>
    </x:row>
    <x:row r="1702">
      <x:c r="A1702" s="187" t="str">
        <x:v>SCENARIO_GROWTH_2026_08</x:v>
      </x:c>
      <x:c r="B1702" s="187" t="str">
        <x:v>SCENARIO</x:v>
      </x:c>
      <x:c r="C1702" s="187" t="str">
        <x:v>GROWTH</x:v>
      </x:c>
      <x:c r="D1702" s="217" t="n">
        <x:v>46266</x:v>
      </x:c>
      <x:c r="E1702" s="187" t="str">
        <x:v>R_DE_FR_B_ROAD</x:v>
      </x:c>
      <x:c r="F1702" s="187" t="str">
        <x:v>DE</x:v>
      </x:c>
      <x:c r="G1702" s="187" t="str">
        <x:v>FR_FC</x:v>
      </x:c>
      <x:c r="H1702" s="187" t="str">
        <x:v>CARRIER_B</x:v>
      </x:c>
      <x:c r="I1702" s="187" t="str">
        <x:v>ROAD</x:v>
      </x:c>
      <x:c r="J1702" s="187" t="str">
        <x:v>BILLABLE_EXCEPTION</x:v>
      </x:c>
      <x:c r="K1702" s="187" t="str">
        <x:v>EUR</x:v>
      </x:c>
      <x:c r="L1702" s="232" t="n">
        <x:v>6.6860894016</x:v>
      </x:c>
      <x:c r="M1702" s="232" t="n">
        <x:v>7.92</x:v>
      </x:c>
      <x:c r="N1702" s="187" t="str">
        <x:v>52.953828060672000000000000000000000000000000000000000000000000000000000000000000</x:v>
      </x:c>
      <x:c r="O1702" s="235" t="n">
        <x:v>52.9538</x:v>
      </x:c>
      <x:c r="P1702" s="235"/>
      <x:c r="Q1702" s="235"/>
      <x:c r="R1702" s="235" t="str">
        <x:v>INVOICE_OR_PLAN</x:v>
      </x:c>
      <x:c r="S1702" s="238" t="n">
        <x:f>'Model_Calc'!BA287</x:f>
        <x:v>52.953828060672</x:v>
      </x:c>
      <x:c r="T1702" s="238" t="n">
        <x:f>ROUND(S1702-O1702,4)</x:f>
        <x:v>0</x:v>
      </x:c>
    </x:row>
    <x:row r="1703">
      <x:c r="A1703" s="187" t="str">
        <x:v>SCENARIO_GROWTH_2026_08</x:v>
      </x:c>
      <x:c r="B1703" s="187" t="str">
        <x:v>SCENARIO</x:v>
      </x:c>
      <x:c r="C1703" s="187" t="str">
        <x:v>GROWTH</x:v>
      </x:c>
      <x:c r="D1703" s="217" t="n">
        <x:v>46266</x:v>
      </x:c>
      <x:c r="E1703" s="187" t="str">
        <x:v>R_FR_FR_A_ROAD</x:v>
      </x:c>
      <x:c r="F1703" s="187" t="str">
        <x:v>FR</x:v>
      </x:c>
      <x:c r="G1703" s="187" t="str">
        <x:v>FR_FC</x:v>
      </x:c>
      <x:c r="H1703" s="187" t="str">
        <x:v>CARRIER_A</x:v>
      </x:c>
      <x:c r="I1703" s="187" t="str">
        <x:v>ROAD</x:v>
      </x:c>
      <x:c r="J1703" s="187" t="str">
        <x:v>BASE_FREIGHT</x:v>
      </x:c>
      <x:c r="K1703" s="187" t="str">
        <x:v>EUR</x:v>
      </x:c>
      <x:c r="L1703" s="232" t="n">
        <x:v>3162.2547096</x:v>
      </x:c>
      <x:c r="M1703" s="232" t="n">
        <x:v>7.92</x:v>
      </x:c>
      <x:c r="N1703" s="187" t="str">
        <x:v>25045.057300032000000000000000000000000000000000000000000000000000000000000000000</x:v>
      </x:c>
      <x:c r="O1703" s="235" t="n">
        <x:v>25045.0573</x:v>
      </x:c>
      <x:c r="P1703" s="235"/>
      <x:c r="Q1703" s="235"/>
      <x:c r="R1703" s="235" t="str">
        <x:v>INVOICE_OR_PLAN</x:v>
      </x:c>
      <x:c r="S1703" s="238" t="n">
        <x:f>'Model_Calc'!AF288</x:f>
        <x:v>25045.057300032</x:v>
      </x:c>
      <x:c r="T1703" s="238" t="n">
        <x:f>ROUND(S1703-O1703,4)</x:f>
        <x:v>0</x:v>
      </x:c>
    </x:row>
    <x:row r="1704">
      <x:c r="A1704" s="187" t="str">
        <x:v>SCENARIO_GROWTH_2026_08</x:v>
      </x:c>
      <x:c r="B1704" s="187" t="str">
        <x:v>SCENARIO</x:v>
      </x:c>
      <x:c r="C1704" s="187" t="str">
        <x:v>GROWTH</x:v>
      </x:c>
      <x:c r="D1704" s="217" t="n">
        <x:v>46266</x:v>
      </x:c>
      <x:c r="E1704" s="187" t="str">
        <x:v>R_FR_FR_A_ROAD</x:v>
      </x:c>
      <x:c r="F1704" s="187" t="str">
        <x:v>FR</x:v>
      </x:c>
      <x:c r="G1704" s="187" t="str">
        <x:v>FR_FC</x:v>
      </x:c>
      <x:c r="H1704" s="187" t="str">
        <x:v>CARRIER_A</x:v>
      </x:c>
      <x:c r="I1704" s="187" t="str">
        <x:v>ROAD</x:v>
      </x:c>
      <x:c r="J1704" s="187" t="str">
        <x:v>FUEL_SURCHARGE</x:v>
      </x:c>
      <x:c r="K1704" s="187" t="str">
        <x:v>EUR</x:v>
      </x:c>
      <x:c r="L1704" s="232" t="n">
        <x:v>294.56402619924</x:v>
      </x:c>
      <x:c r="M1704" s="232" t="n">
        <x:v>7.92</x:v>
      </x:c>
      <x:c r="N1704" s="187" t="str">
        <x:v>2332.9470874979808000000000000000000000000000000000000000000000000000000000000000</x:v>
      </x:c>
      <x:c r="O1704" s="235" t="n">
        <x:v>2332.9471</x:v>
      </x:c>
      <x:c r="P1704" s="235"/>
      <x:c r="Q1704" s="235"/>
      <x:c r="R1704" s="235" t="str">
        <x:v>INVOICE_OR_PLAN</x:v>
      </x:c>
      <x:c r="S1704" s="238" t="n">
        <x:f>'Model_Calc'!AG288</x:f>
        <x:v>2332.94708749798</x:v>
      </x:c>
      <x:c r="T1704" s="238" t="n">
        <x:f>ROUND(S1704-O1704,4)</x:f>
        <x:v>0</x:v>
      </x:c>
    </x:row>
    <x:row r="1705">
      <x:c r="A1705" s="187" t="str">
        <x:v>SCENARIO_GROWTH_2026_08</x:v>
      </x:c>
      <x:c r="B1705" s="187" t="str">
        <x:v>SCENARIO</x:v>
      </x:c>
      <x:c r="C1705" s="187" t="str">
        <x:v>GROWTH</x:v>
      </x:c>
      <x:c r="D1705" s="217" t="n">
        <x:v>46266</x:v>
      </x:c>
      <x:c r="E1705" s="187" t="str">
        <x:v>R_FR_FR_A_ROAD</x:v>
      </x:c>
      <x:c r="F1705" s="187" t="str">
        <x:v>FR</x:v>
      </x:c>
      <x:c r="G1705" s="187" t="str">
        <x:v>FR_FC</x:v>
      </x:c>
      <x:c r="H1705" s="187" t="str">
        <x:v>CARRIER_A</x:v>
      </x:c>
      <x:c r="I1705" s="187" t="str">
        <x:v>ROAD</x:v>
      </x:c>
      <x:c r="J1705" s="187" t="str">
        <x:v>WAREHOUSE_OPERATION</x:v>
      </x:c>
      <x:c r="K1705" s="187" t="str">
        <x:v>EUR</x:v>
      </x:c>
      <x:c r="L1705" s="232" t="n">
        <x:v>1962.6705</x:v>
      </x:c>
      <x:c r="M1705" s="232" t="n">
        <x:v>7.92</x:v>
      </x:c>
      <x:c r="N1705" s="187" t="str">
        <x:v>15544.350360000000000000000000000000000000000000000000000000000000000000000000000</x:v>
      </x:c>
      <x:c r="O1705" s="235" t="n">
        <x:v>15544.3504</x:v>
      </x:c>
      <x:c r="P1705" s="235"/>
      <x:c r="Q1705" s="235"/>
      <x:c r="R1705" s="235" t="str">
        <x:v>INVOICE_OR_PLAN</x:v>
      </x:c>
      <x:c r="S1705" s="238" t="n">
        <x:f>'Model_Calc'!AL288</x:f>
        <x:v>15544.350359999999</x:v>
      </x:c>
      <x:c r="T1705" s="238" t="n">
        <x:f>ROUND(S1705-O1705,4)</x:f>
        <x:v>0</x:v>
      </x:c>
    </x:row>
    <x:row r="1706">
      <x:c r="A1706" s="187" t="str">
        <x:v>SCENARIO_GROWTH_2026_08</x:v>
      </x:c>
      <x:c r="B1706" s="187" t="str">
        <x:v>SCENARIO</x:v>
      </x:c>
      <x:c r="C1706" s="187" t="str">
        <x:v>GROWTH</x:v>
      </x:c>
      <x:c r="D1706" s="217" t="n">
        <x:v>46266</x:v>
      </x:c>
      <x:c r="E1706" s="187" t="str">
        <x:v>R_FR_FR_A_ROAD</x:v>
      </x:c>
      <x:c r="F1706" s="187" t="str">
        <x:v>FR</x:v>
      </x:c>
      <x:c r="G1706" s="187" t="str">
        <x:v>FR_FC</x:v>
      </x:c>
      <x:c r="H1706" s="187" t="str">
        <x:v>CARRIER_A</x:v>
      </x:c>
      <x:c r="I1706" s="187" t="str">
        <x:v>ROAD</x:v>
      </x:c>
      <x:c r="J1706" s="187" t="str">
        <x:v>PACKAGING</x:v>
      </x:c>
      <x:c r="K1706" s="187" t="str">
        <x:v>EUR</x:v>
      </x:c>
      <x:c r="L1706" s="232" t="n">
        <x:v>752.917788</x:v>
      </x:c>
      <x:c r="M1706" s="232" t="n">
        <x:v>7.92</x:v>
      </x:c>
      <x:c r="N1706" s="187" t="str">
        <x:v>5963.1088809600000000000000000000000000000000000000000000000000000000000000000000</x:v>
      </x:c>
      <x:c r="O1706" s="235" t="n">
        <x:v>5963.1089</x:v>
      </x:c>
      <x:c r="P1706" s="235"/>
      <x:c r="Q1706" s="235"/>
      <x:c r="R1706" s="235" t="str">
        <x:v>INVOICE_OR_PLAN</x:v>
      </x:c>
      <x:c r="S1706" s="238" t="n">
        <x:f>'Model_Calc'!AQ288</x:f>
        <x:v>5963.108880959999</x:v>
      </x:c>
      <x:c r="T1706" s="238" t="n">
        <x:f>ROUND(S1706-O1706,4)</x:f>
        <x:v>0</x:v>
      </x:c>
    </x:row>
    <x:row r="1707">
      <x:c r="A1707" s="187" t="str">
        <x:v>SCENARIO_GROWTH_2026_08</x:v>
      </x:c>
      <x:c r="B1707" s="187" t="str">
        <x:v>SCENARIO</x:v>
      </x:c>
      <x:c r="C1707" s="187" t="str">
        <x:v>GROWTH</x:v>
      </x:c>
      <x:c r="D1707" s="217" t="n">
        <x:v>46266</x:v>
      </x:c>
      <x:c r="E1707" s="187" t="str">
        <x:v>R_FR_FR_A_ROAD</x:v>
      </x:c>
      <x:c r="F1707" s="187" t="str">
        <x:v>FR</x:v>
      </x:c>
      <x:c r="G1707" s="187" t="str">
        <x:v>FR_FC</x:v>
      </x:c>
      <x:c r="H1707" s="187" t="str">
        <x:v>CARRIER_A</x:v>
      </x:c>
      <x:c r="I1707" s="187" t="str">
        <x:v>ROAD</x:v>
      </x:c>
      <x:c r="J1707" s="187" t="str">
        <x:v>RETURN_LOGISTICS</x:v>
      </x:c>
      <x:c r="K1707" s="187" t="str">
        <x:v>EUR</x:v>
      </x:c>
      <x:c r="L1707" s="232" t="n">
        <x:v>336.4578</x:v>
      </x:c>
      <x:c r="M1707" s="232" t="n">
        <x:v>7.92</x:v>
      </x:c>
      <x:c r="N1707" s="187" t="str">
        <x:v>2664.7457760000000000000000000000000000000000000000000000000000000000000000000000</x:v>
      </x:c>
      <x:c r="O1707" s="235" t="n">
        <x:v>2664.7458</x:v>
      </x:c>
      <x:c r="P1707" s="235"/>
      <x:c r="Q1707" s="235"/>
      <x:c r="R1707" s="235" t="str">
        <x:v>INVOICE_OR_PLAN</x:v>
      </x:c>
      <x:c r="S1707" s="238" t="n">
        <x:f>'Model_Calc'!AV288</x:f>
        <x:v>2664.7457759999993</x:v>
      </x:c>
      <x:c r="T1707" s="238" t="n">
        <x:f>ROUND(S1707-O1707,4)</x:f>
        <x:v>0</x:v>
      </x:c>
    </x:row>
    <x:row r="1708">
      <x:c r="A1708" s="187" t="str">
        <x:v>SCENARIO_GROWTH_2026_08</x:v>
      </x:c>
      <x:c r="B1708" s="187" t="str">
        <x:v>SCENARIO</x:v>
      </x:c>
      <x:c r="C1708" s="187" t="str">
        <x:v>GROWTH</x:v>
      </x:c>
      <x:c r="D1708" s="217" t="n">
        <x:v>46266</x:v>
      </x:c>
      <x:c r="E1708" s="187" t="str">
        <x:v>R_FR_FR_A_ROAD</x:v>
      </x:c>
      <x:c r="F1708" s="187" t="str">
        <x:v>FR</x:v>
      </x:c>
      <x:c r="G1708" s="187" t="str">
        <x:v>FR_FC</x:v>
      </x:c>
      <x:c r="H1708" s="187" t="str">
        <x:v>CARRIER_A</x:v>
      </x:c>
      <x:c r="I1708" s="187" t="str">
        <x:v>ROAD</x:v>
      </x:c>
      <x:c r="J1708" s="187" t="str">
        <x:v>BILLABLE_EXCEPTION</x:v>
      </x:c>
      <x:c r="K1708" s="187" t="str">
        <x:v>EUR</x:v>
      </x:c>
      <x:c r="L1708" s="232" t="n">
        <x:v>77.47127766</x:v>
      </x:c>
      <x:c r="M1708" s="232" t="n">
        <x:v>7.92</x:v>
      </x:c>
      <x:c r="N1708" s="187" t="str">
        <x:v>613.57251906720000000000000000000000000000000000000000000000000000000000000000000</x:v>
      </x:c>
      <x:c r="O1708" s="235" t="n">
        <x:v>613.5725</x:v>
      </x:c>
      <x:c r="P1708" s="235"/>
      <x:c r="Q1708" s="235"/>
      <x:c r="R1708" s="235" t="str">
        <x:v>INVOICE_OR_PLAN</x:v>
      </x:c>
      <x:c r="S1708" s="238" t="n">
        <x:f>'Model_Calc'!BA288</x:f>
        <x:v>613.5725190672</x:v>
      </x:c>
      <x:c r="T1708" s="238" t="n">
        <x:f>ROUND(S1708-O1708,4)</x:f>
        <x:v>0</x:v>
      </x:c>
    </x:row>
    <x:row r="1709">
      <x:c r="A1709" s="187" t="str">
        <x:v>SCENARIO_GROWTH_2026_08</x:v>
      </x:c>
      <x:c r="B1709" s="187" t="str">
        <x:v>SCENARIO</x:v>
      </x:c>
      <x:c r="C1709" s="187" t="str">
        <x:v>GROWTH</x:v>
      </x:c>
      <x:c r="D1709" s="217" t="n">
        <x:v>46266</x:v>
      </x:c>
      <x:c r="E1709" s="187" t="str">
        <x:v>R_FR_FR_B_ROAD</x:v>
      </x:c>
      <x:c r="F1709" s="187" t="str">
        <x:v>FR</x:v>
      </x:c>
      <x:c r="G1709" s="187" t="str">
        <x:v>FR_FC</x:v>
      </x:c>
      <x:c r="H1709" s="187" t="str">
        <x:v>CARRIER_B</x:v>
      </x:c>
      <x:c r="I1709" s="187" t="str">
        <x:v>ROAD</x:v>
      </x:c>
      <x:c r="J1709" s="187" t="str">
        <x:v>BASE_FREIGHT</x:v>
      </x:c>
      <x:c r="K1709" s="187" t="str">
        <x:v>EUR</x:v>
      </x:c>
      <x:c r="L1709" s="232" t="n">
        <x:v>7558.0491636</x:v>
      </x:c>
      <x:c r="M1709" s="232" t="n">
        <x:v>7.92</x:v>
      </x:c>
      <x:c r="N1709" s="187" t="str">
        <x:v>59859.749375712000000000000000000000000000000000000000000000000000000000000000000</x:v>
      </x:c>
      <x:c r="O1709" s="235" t="n">
        <x:v>59859.7494</x:v>
      </x:c>
      <x:c r="P1709" s="235"/>
      <x:c r="Q1709" s="235"/>
      <x:c r="R1709" s="235" t="str">
        <x:v>INVOICE_OR_PLAN</x:v>
      </x:c>
      <x:c r="S1709" s="238" t="n">
        <x:f>'Model_Calc'!AF289</x:f>
        <x:v>59859.749375711996</x:v>
      </x:c>
      <x:c r="T1709" s="238" t="n">
        <x:f>ROUND(S1709-O1709,4)</x:f>
        <x:v>0</x:v>
      </x:c>
    </x:row>
    <x:row r="1710">
      <x:c r="A1710" s="187" t="str">
        <x:v>SCENARIO_GROWTH_2026_08</x:v>
      </x:c>
      <x:c r="B1710" s="187" t="str">
        <x:v>SCENARIO</x:v>
      </x:c>
      <x:c r="C1710" s="187" t="str">
        <x:v>GROWTH</x:v>
      </x:c>
      <x:c r="D1710" s="217" t="n">
        <x:v>46266</x:v>
      </x:c>
      <x:c r="E1710" s="187" t="str">
        <x:v>R_FR_FR_B_ROAD</x:v>
      </x:c>
      <x:c r="F1710" s="187" t="str">
        <x:v>FR</x:v>
      </x:c>
      <x:c r="G1710" s="187" t="str">
        <x:v>FR_FC</x:v>
      </x:c>
      <x:c r="H1710" s="187" t="str">
        <x:v>CARRIER_B</x:v>
      </x:c>
      <x:c r="I1710" s="187" t="str">
        <x:v>ROAD</x:v>
      </x:c>
      <x:c r="J1710" s="187" t="str">
        <x:v>FUEL_SURCHARGE</x:v>
      </x:c>
      <x:c r="K1710" s="187" t="str">
        <x:v>EUR</x:v>
      </x:c>
      <x:c r="L1710" s="232" t="n">
        <x:v>581.3883972</x:v>
      </x:c>
      <x:c r="M1710" s="232" t="n">
        <x:v>7.92</x:v>
      </x:c>
      <x:c r="N1710" s="187" t="str">
        <x:v>4604.5961058240000000000000000000000000000000000000000000000000000000000000000000</x:v>
      </x:c>
      <x:c r="O1710" s="235" t="n">
        <x:v>4604.5961</x:v>
      </x:c>
      <x:c r="P1710" s="235"/>
      <x:c r="Q1710" s="235"/>
      <x:c r="R1710" s="235" t="str">
        <x:v>INVOICE_OR_PLAN</x:v>
      </x:c>
      <x:c r="S1710" s="238" t="n">
        <x:f>'Model_Calc'!AG289</x:f>
        <x:v>4604.596105824</x:v>
      </x:c>
      <x:c r="T1710" s="238" t="n">
        <x:f>ROUND(S1710-O1710,4)</x:f>
        <x:v>0</x:v>
      </x:c>
    </x:row>
    <x:row r="1711">
      <x:c r="A1711" s="187" t="str">
        <x:v>SCENARIO_GROWTH_2026_08</x:v>
      </x:c>
      <x:c r="B1711" s="187" t="str">
        <x:v>SCENARIO</x:v>
      </x:c>
      <x:c r="C1711" s="187" t="str">
        <x:v>GROWTH</x:v>
      </x:c>
      <x:c r="D1711" s="217" t="n">
        <x:v>46266</x:v>
      </x:c>
      <x:c r="E1711" s="187" t="str">
        <x:v>R_FR_FR_B_ROAD</x:v>
      </x:c>
      <x:c r="F1711" s="187" t="str">
        <x:v>FR</x:v>
      </x:c>
      <x:c r="G1711" s="187" t="str">
        <x:v>FR_FC</x:v>
      </x:c>
      <x:c r="H1711" s="187" t="str">
        <x:v>CARRIER_B</x:v>
      </x:c>
      <x:c r="I1711" s="187" t="str">
        <x:v>ROAD</x:v>
      </x:c>
      <x:c r="J1711" s="187" t="str">
        <x:v>WAREHOUSE_OPERATION</x:v>
      </x:c>
      <x:c r="K1711" s="187" t="str">
        <x:v>EUR</x:v>
      </x:c>
      <x:c r="L1711" s="232" t="n">
        <x:v>3644.9595</x:v>
      </x:c>
      <x:c r="M1711" s="232" t="n">
        <x:v>7.92</x:v>
      </x:c>
      <x:c r="N1711" s="187" t="str">
        <x:v>28868.079240000000000000000000000000000000000000000000000000000000000000000000000</x:v>
      </x:c>
      <x:c r="O1711" s="235" t="n">
        <x:v>28868.0792</x:v>
      </x:c>
      <x:c r="P1711" s="235"/>
      <x:c r="Q1711" s="235"/>
      <x:c r="R1711" s="235" t="str">
        <x:v>INVOICE_OR_PLAN</x:v>
      </x:c>
      <x:c r="S1711" s="238" t="n">
        <x:f>'Model_Calc'!AL289</x:f>
        <x:v>28868.07924</x:v>
      </x:c>
      <x:c r="T1711" s="238" t="n">
        <x:f>ROUND(S1711-O1711,4)</x:f>
        <x:v>0</x:v>
      </x:c>
    </x:row>
    <x:row r="1712">
      <x:c r="A1712" s="187" t="str">
        <x:v>SCENARIO_GROWTH_2026_08</x:v>
      </x:c>
      <x:c r="B1712" s="187" t="str">
        <x:v>SCENARIO</x:v>
      </x:c>
      <x:c r="C1712" s="187" t="str">
        <x:v>GROWTH</x:v>
      </x:c>
      <x:c r="D1712" s="217" t="n">
        <x:v>46266</x:v>
      </x:c>
      <x:c r="E1712" s="187" t="str">
        <x:v>R_FR_FR_B_ROAD</x:v>
      </x:c>
      <x:c r="F1712" s="187" t="str">
        <x:v>FR</x:v>
      </x:c>
      <x:c r="G1712" s="187" t="str">
        <x:v>FR_FC</x:v>
      </x:c>
      <x:c r="H1712" s="187" t="str">
        <x:v>CARRIER_B</x:v>
      </x:c>
      <x:c r="I1712" s="187" t="str">
        <x:v>ROAD</x:v>
      </x:c>
      <x:c r="J1712" s="187" t="str">
        <x:v>PACKAGING</x:v>
      </x:c>
      <x:c r="K1712" s="187" t="str">
        <x:v>EUR</x:v>
      </x:c>
      <x:c r="L1712" s="232" t="n">
        <x:v>1398.275892</x:v>
      </x:c>
      <x:c r="M1712" s="232" t="n">
        <x:v>7.92</x:v>
      </x:c>
      <x:c r="N1712" s="187" t="str">
        <x:v>11074.345064640000000000000000000000000000000000000000000000000000000000000000000</x:v>
      </x:c>
      <x:c r="O1712" s="235" t="n">
        <x:v>11074.3451</x:v>
      </x:c>
      <x:c r="P1712" s="235"/>
      <x:c r="Q1712" s="235"/>
      <x:c r="R1712" s="235" t="str">
        <x:v>INVOICE_OR_PLAN</x:v>
      </x:c>
      <x:c r="S1712" s="238" t="n">
        <x:f>'Model_Calc'!AQ289</x:f>
        <x:v>11074.34506464</x:v>
      </x:c>
      <x:c r="T1712" s="238" t="n">
        <x:f>ROUND(S1712-O1712,4)</x:f>
        <x:v>0</x:v>
      </x:c>
    </x:row>
    <x:row r="1713">
      <x:c r="A1713" s="187" t="str">
        <x:v>SCENARIO_GROWTH_2026_08</x:v>
      </x:c>
      <x:c r="B1713" s="187" t="str">
        <x:v>SCENARIO</x:v>
      </x:c>
      <x:c r="C1713" s="187" t="str">
        <x:v>GROWTH</x:v>
      </x:c>
      <x:c r="D1713" s="217" t="n">
        <x:v>46266</x:v>
      </x:c>
      <x:c r="E1713" s="187" t="str">
        <x:v>R_FR_FR_B_ROAD</x:v>
      </x:c>
      <x:c r="F1713" s="187" t="str">
        <x:v>FR</x:v>
      </x:c>
      <x:c r="G1713" s="187" t="str">
        <x:v>FR_FC</x:v>
      </x:c>
      <x:c r="H1713" s="187" t="str">
        <x:v>CARRIER_B</x:v>
      </x:c>
      <x:c r="I1713" s="187" t="str">
        <x:v>ROAD</x:v>
      </x:c>
      <x:c r="J1713" s="187" t="str">
        <x:v>RETURN_LOGISTICS</x:v>
      </x:c>
      <x:c r="K1713" s="187" t="str">
        <x:v>EUR</x:v>
      </x:c>
      <x:c r="L1713" s="232" t="n">
        <x:v>624.8502</x:v>
      </x:c>
      <x:c r="M1713" s="232" t="n">
        <x:v>7.92</x:v>
      </x:c>
      <x:c r="N1713" s="187" t="str">
        <x:v>4948.8135840000000000000000000000000000000000000000000000000000000000000000000000</x:v>
      </x:c>
      <x:c r="O1713" s="235" t="n">
        <x:v>4948.8136</x:v>
      </x:c>
      <x:c r="P1713" s="235"/>
      <x:c r="Q1713" s="235"/>
      <x:c r="R1713" s="235" t="str">
        <x:v>INVOICE_OR_PLAN</x:v>
      </x:c>
      <x:c r="S1713" s="238" t="n">
        <x:f>'Model_Calc'!AV289</x:f>
        <x:v>4948.813583999999</x:v>
      </x:c>
      <x:c r="T1713" s="238" t="n">
        <x:f>ROUND(S1713-O1713,4)</x:f>
        <x:v>0</x:v>
      </x:c>
    </x:row>
    <x:row r="1714">
      <x:c r="A1714" s="187" t="str">
        <x:v>SCENARIO_GROWTH_2026_08</x:v>
      </x:c>
      <x:c r="B1714" s="187" t="str">
        <x:v>SCENARIO</x:v>
      </x:c>
      <x:c r="C1714" s="187" t="str">
        <x:v>GROWTH</x:v>
      </x:c>
      <x:c r="D1714" s="217" t="n">
        <x:v>46266</x:v>
      </x:c>
      <x:c r="E1714" s="187" t="str">
        <x:v>R_FR_FR_B_ROAD</x:v>
      </x:c>
      <x:c r="F1714" s="187" t="str">
        <x:v>FR</x:v>
      </x:c>
      <x:c r="G1714" s="187" t="str">
        <x:v>FR_FC</x:v>
      </x:c>
      <x:c r="H1714" s="187" t="str">
        <x:v>CARRIER_B</x:v>
      </x:c>
      <x:c r="I1714" s="187" t="str">
        <x:v>ROAD</x:v>
      </x:c>
      <x:c r="J1714" s="187" t="str">
        <x:v>BILLABLE_EXCEPTION</x:v>
      </x:c>
      <x:c r="K1714" s="187" t="str">
        <x:v>EUR</x:v>
      </x:c>
      <x:c r="L1714" s="232" t="n">
        <x:v>118.48548348</x:v>
      </x:c>
      <x:c r="M1714" s="232" t="n">
        <x:v>7.92</x:v>
      </x:c>
      <x:c r="N1714" s="187" t="str">
        <x:v>938.40502916160000000000000000000000000000000000000000000000000000000000000000000</x:v>
      </x:c>
      <x:c r="O1714" s="235" t="n">
        <x:v>938.405</x:v>
      </x:c>
      <x:c r="P1714" s="235"/>
      <x:c r="Q1714" s="235"/>
      <x:c r="R1714" s="235" t="str">
        <x:v>INVOICE_OR_PLAN</x:v>
      </x:c>
      <x:c r="S1714" s="238" t="n">
        <x:f>'Model_Calc'!BA289</x:f>
        <x:v>938.4050291615999</x:v>
      </x:c>
      <x:c r="T1714" s="238" t="n">
        <x:f>ROUND(S1714-O1714,4)</x:f>
        <x:v>0</x:v>
      </x:c>
    </x:row>
    <x:row r="1715">
      <x:c r="A1715" s="187" t="str">
        <x:v>SCENARIO_GROWTH_2026_08</x:v>
      </x:c>
      <x:c r="B1715" s="187" t="str">
        <x:v>SCENARIO</x:v>
      </x:c>
      <x:c r="C1715" s="187" t="str">
        <x:v>GROWTH</x:v>
      </x:c>
      <x:c r="D1715" s="217" t="n">
        <x:v>46266</x:v>
      </x:c>
      <x:c r="E1715" s="187" t="str">
        <x:v>R_GB_DE_A_ROAD</x:v>
      </x:c>
      <x:c r="F1715" s="187" t="str">
        <x:v>GB</x:v>
      </x:c>
      <x:c r="G1715" s="187" t="str">
        <x:v>DE_FC</x:v>
      </x:c>
      <x:c r="H1715" s="187" t="str">
        <x:v>CARRIER_A</x:v>
      </x:c>
      <x:c r="I1715" s="187" t="str">
        <x:v>ROAD</x:v>
      </x:c>
      <x:c r="J1715" s="187" t="str">
        <x:v>BASE_FREIGHT</x:v>
      </x:c>
      <x:c r="K1715" s="187" t="str">
        <x:v>GBP</x:v>
      </x:c>
      <x:c r="L1715" s="232" t="n">
        <x:v>9495.988563511297</x:v>
      </x:c>
      <x:c r="M1715" s="232" t="n">
        <x:v>9.15</x:v>
      </x:c>
      <x:c r="N1715" s="187" t="str">
        <x:v>86888.295356128358400000000000000000000000000000000000000000000000000000000000000</x:v>
      </x:c>
      <x:c r="O1715" s="235" t="n">
        <x:v>86888.2954</x:v>
      </x:c>
      <x:c r="P1715" s="235"/>
      <x:c r="Q1715" s="235"/>
      <x:c r="R1715" s="235" t="str">
        <x:v>INVOICE_OR_PLAN</x:v>
      </x:c>
      <x:c r="S1715" s="238" t="n">
        <x:f>'Model_Calc'!AF290</x:f>
        <x:v>86888.29535612835</x:v>
      </x:c>
      <x:c r="T1715" s="238" t="n">
        <x:f>ROUND(S1715-O1715,4)</x:f>
        <x:v>0</x:v>
      </x:c>
    </x:row>
    <x:row r="1716">
      <x:c r="A1716" s="187" t="str">
        <x:v>SCENARIO_GROWTH_2026_08</x:v>
      </x:c>
      <x:c r="B1716" s="187" t="str">
        <x:v>SCENARIO</x:v>
      </x:c>
      <x:c r="C1716" s="187" t="str">
        <x:v>GROWTH</x:v>
      </x:c>
      <x:c r="D1716" s="217" t="n">
        <x:v>46266</x:v>
      </x:c>
      <x:c r="E1716" s="187" t="str">
        <x:v>R_GB_DE_A_ROAD</x:v>
      </x:c>
      <x:c r="F1716" s="187" t="str">
        <x:v>GB</x:v>
      </x:c>
      <x:c r="G1716" s="187" t="str">
        <x:v>DE_FC</x:v>
      </x:c>
      <x:c r="H1716" s="187" t="str">
        <x:v>CARRIER_A</x:v>
      </x:c>
      <x:c r="I1716" s="187" t="str">
        <x:v>ROAD</x:v>
      </x:c>
      <x:c r="J1716" s="187" t="str">
        <x:v>FUEL_SURCHARGE</x:v>
      </x:c>
      <x:c r="K1716" s="187" t="str">
        <x:v>GBP</x:v>
      </x:c>
      <x:c r="L1716" s="232" t="n">
        <x:v>982.8348163234191</x:v>
      </x:c>
      <x:c r="M1716" s="232" t="n">
        <x:v>9.15</x:v>
      </x:c>
      <x:c r="N1716" s="187" t="str">
        <x:v>8992.9385693592850944000000000000000000000000000000000000000000000000000000000000</x:v>
      </x:c>
      <x:c r="O1716" s="235" t="n">
        <x:v>8992.9386</x:v>
      </x:c>
      <x:c r="P1716" s="235"/>
      <x:c r="Q1716" s="235"/>
      <x:c r="R1716" s="235" t="str">
        <x:v>INVOICE_OR_PLAN</x:v>
      </x:c>
      <x:c r="S1716" s="238" t="n">
        <x:f>'Model_Calc'!AG290</x:f>
        <x:v>8992.938569359285</x:v>
      </x:c>
      <x:c r="T1716" s="238" t="n">
        <x:f>ROUND(S1716-O1716,4)</x:f>
        <x:v>0</x:v>
      </x:c>
    </x:row>
    <x:row r="1717">
      <x:c r="A1717" s="187" t="str">
        <x:v>SCENARIO_GROWTH_2026_08</x:v>
      </x:c>
      <x:c r="B1717" s="187" t="str">
        <x:v>SCENARIO</x:v>
      </x:c>
      <x:c r="C1717" s="187" t="str">
        <x:v>GROWTH</x:v>
      </x:c>
      <x:c r="D1717" s="217" t="n">
        <x:v>46266</x:v>
      </x:c>
      <x:c r="E1717" s="187" t="str">
        <x:v>R_GB_DE_A_ROAD</x:v>
      </x:c>
      <x:c r="F1717" s="187" t="str">
        <x:v>GB</x:v>
      </x:c>
      <x:c r="G1717" s="187" t="str">
        <x:v>DE_FC</x:v>
      </x:c>
      <x:c r="H1717" s="187" t="str">
        <x:v>CARRIER_A</x:v>
      </x:c>
      <x:c r="I1717" s="187" t="str">
        <x:v>ROAD</x:v>
      </x:c>
      <x:c r="J1717" s="187" t="str">
        <x:v>WAREHOUSE_OPERATION</x:v>
      </x:c>
      <x:c r="K1717" s="187" t="str">
        <x:v>EUR</x:v>
      </x:c>
      <x:c r="L1717" s="232" t="n">
        <x:v>2262.63704832</x:v>
      </x:c>
      <x:c r="M1717" s="232" t="n">
        <x:v>7.92</x:v>
      </x:c>
      <x:c r="N1717" s="187" t="str">
        <x:v>17920.085422694400000000000000000000000000000000000000000000000000000000000000000</x:v>
      </x:c>
      <x:c r="O1717" s="235" t="n">
        <x:v>17920.0854</x:v>
      </x:c>
      <x:c r="P1717" s="235"/>
      <x:c r="Q1717" s="235"/>
      <x:c r="R1717" s="235" t="str">
        <x:v>INVOICE_OR_PLAN</x:v>
      </x:c>
      <x:c r="S1717" s="238" t="n">
        <x:f>'Model_Calc'!AL290</x:f>
        <x:v>17920.085422694403</x:v>
      </x:c>
      <x:c r="T1717" s="238" t="n">
        <x:f>ROUND(S1717-O1717,4)</x:f>
        <x:v>0</x:v>
      </x:c>
    </x:row>
    <x:row r="1718">
      <x:c r="A1718" s="187" t="str">
        <x:v>SCENARIO_GROWTH_2026_08</x:v>
      </x:c>
      <x:c r="B1718" s="187" t="str">
        <x:v>SCENARIO</x:v>
      </x:c>
      <x:c r="C1718" s="187" t="str">
        <x:v>GROWTH</x:v>
      </x:c>
      <x:c r="D1718" s="217" t="n">
        <x:v>46266</x:v>
      </x:c>
      <x:c r="E1718" s="187" t="str">
        <x:v>R_GB_DE_A_ROAD</x:v>
      </x:c>
      <x:c r="F1718" s="187" t="str">
        <x:v>GB</x:v>
      </x:c>
      <x:c r="G1718" s="187" t="str">
        <x:v>DE_FC</x:v>
      </x:c>
      <x:c r="H1718" s="187" t="str">
        <x:v>CARRIER_A</x:v>
      </x:c>
      <x:c r="I1718" s="187" t="str">
        <x:v>ROAD</x:v>
      </x:c>
      <x:c r="J1718" s="187" t="str">
        <x:v>PACKAGING</x:v>
      </x:c>
      <x:c r="K1718" s="187" t="str">
        <x:v>EUR</x:v>
      </x:c>
      <x:c r="L1718" s="232" t="n">
        <x:v>958.3610141952</x:v>
      </x:c>
      <x:c r="M1718" s="232" t="n">
        <x:v>7.92</x:v>
      </x:c>
      <x:c r="N1718" s="187" t="str">
        <x:v>7590.2192324259840000000000000000000000000000000000000000000000000000000000000000</x:v>
      </x:c>
      <x:c r="O1718" s="235" t="n">
        <x:v>7590.2192</x:v>
      </x:c>
      <x:c r="P1718" s="235"/>
      <x:c r="Q1718" s="235"/>
      <x:c r="R1718" s="235" t="str">
        <x:v>INVOICE_OR_PLAN</x:v>
      </x:c>
      <x:c r="S1718" s="238" t="n">
        <x:f>'Model_Calc'!AQ290</x:f>
        <x:v>7590.219232425983</x:v>
      </x:c>
      <x:c r="T1718" s="238" t="n">
        <x:f>ROUND(S1718-O1718,4)</x:f>
        <x:v>0</x:v>
      </x:c>
    </x:row>
    <x:row r="1719">
      <x:c r="A1719" s="187" t="str">
        <x:v>SCENARIO_GROWTH_2026_08</x:v>
      </x:c>
      <x:c r="B1719" s="187" t="str">
        <x:v>SCENARIO</x:v>
      </x:c>
      <x:c r="C1719" s="187" t="str">
        <x:v>GROWTH</x:v>
      </x:c>
      <x:c r="D1719" s="217" t="n">
        <x:v>46266</x:v>
      </x:c>
      <x:c r="E1719" s="187" t="str">
        <x:v>R_GB_DE_A_ROAD</x:v>
      </x:c>
      <x:c r="F1719" s="187" t="str">
        <x:v>GB</x:v>
      </x:c>
      <x:c r="G1719" s="187" t="str">
        <x:v>DE_FC</x:v>
      </x:c>
      <x:c r="H1719" s="187" t="str">
        <x:v>CARRIER_A</x:v>
      </x:c>
      <x:c r="I1719" s="187" t="str">
        <x:v>ROAD</x:v>
      </x:c>
      <x:c r="J1719" s="187" t="str">
        <x:v>RETURN_LOGISTICS</x:v>
      </x:c>
      <x:c r="K1719" s="187" t="str">
        <x:v>GBP</x:v>
      </x:c>
      <x:c r="L1719" s="232" t="n">
        <x:v>874.374994944</x:v>
      </x:c>
      <x:c r="M1719" s="232" t="n">
        <x:v>9.15</x:v>
      </x:c>
      <x:c r="N1719" s="187" t="str">
        <x:v>8000.5312037376000000000000000000000000000000000000000000000000000000000000000000</x:v>
      </x:c>
      <x:c r="O1719" s="235" t="n">
        <x:v>8000.5312</x:v>
      </x:c>
      <x:c r="P1719" s="235"/>
      <x:c r="Q1719" s="235"/>
      <x:c r="R1719" s="235" t="str">
        <x:v>INVOICE_OR_PLAN</x:v>
      </x:c>
      <x:c r="S1719" s="238" t="n">
        <x:f>'Model_Calc'!AV290</x:f>
        <x:v>8000.531203737601</x:v>
      </x:c>
      <x:c r="T1719" s="238" t="n">
        <x:f>ROUND(S1719-O1719,4)</x:f>
        <x:v>0</x:v>
      </x:c>
    </x:row>
    <x:row r="1720">
      <x:c r="A1720" s="187" t="str">
        <x:v>SCENARIO_GROWTH_2026_08</x:v>
      </x:c>
      <x:c r="B1720" s="187" t="str">
        <x:v>SCENARIO</x:v>
      </x:c>
      <x:c r="C1720" s="187" t="str">
        <x:v>GROWTH</x:v>
      </x:c>
      <x:c r="D1720" s="217" t="n">
        <x:v>46266</x:v>
      </x:c>
      <x:c r="E1720" s="187" t="str">
        <x:v>R_GB_DE_A_ROAD</x:v>
      </x:c>
      <x:c r="F1720" s="187" t="str">
        <x:v>GB</x:v>
      </x:c>
      <x:c r="G1720" s="187" t="str">
        <x:v>DE_FC</x:v>
      </x:c>
      <x:c r="H1720" s="187" t="str">
        <x:v>CARRIER_A</x:v>
      </x:c>
      <x:c r="I1720" s="187" t="str">
        <x:v>ROAD</x:v>
      </x:c>
      <x:c r="J1720" s="187" t="str">
        <x:v>BILLABLE_EXCEPTION</x:v>
      </x:c>
      <x:c r="K1720" s="187" t="str">
        <x:v>GBP</x:v>
      </x:c>
      <x:c r="L1720" s="232" t="n">
        <x:v>141.700521384576</x:v>
      </x:c>
      <x:c r="M1720" s="232" t="n">
        <x:v>9.15</x:v>
      </x:c>
      <x:c r="N1720" s="187" t="str">
        <x:v>1296.5597706688704000000000000000000000000000000000000000000000000000000000000000</x:v>
      </x:c>
      <x:c r="O1720" s="235" t="n">
        <x:v>1296.5598</x:v>
      </x:c>
      <x:c r="P1720" s="235"/>
      <x:c r="Q1720" s="235"/>
      <x:c r="R1720" s="235" t="str">
        <x:v>INVOICE_OR_PLAN</x:v>
      </x:c>
      <x:c r="S1720" s="238" t="n">
        <x:f>'Model_Calc'!BA290</x:f>
        <x:v>1296.5597706688702</x:v>
      </x:c>
      <x:c r="T1720" s="238" t="n">
        <x:f>ROUND(S1720-O1720,4)</x:f>
        <x:v>0</x:v>
      </x:c>
    </x:row>
    <x:row r="1721">
      <x:c r="A1721" s="187" t="str">
        <x:v>SCENARIO_GROWTH_2026_08</x:v>
      </x:c>
      <x:c r="B1721" s="187" t="str">
        <x:v>SCENARIO</x:v>
      </x:c>
      <x:c r="C1721" s="187" t="str">
        <x:v>GROWTH</x:v>
      </x:c>
      <x:c r="D1721" s="217" t="n">
        <x:v>46266</x:v>
      </x:c>
      <x:c r="E1721" s="187" t="str">
        <x:v>R_GB_DE_B_ROAD</x:v>
      </x:c>
      <x:c r="F1721" s="187" t="str">
        <x:v>GB</x:v>
      </x:c>
      <x:c r="G1721" s="187" t="str">
        <x:v>DE_FC</x:v>
      </x:c>
      <x:c r="H1721" s="187" t="str">
        <x:v>CARRIER_B</x:v>
      </x:c>
      <x:c r="I1721" s="187" t="str">
        <x:v>ROAD</x:v>
      </x:c>
      <x:c r="J1721" s="187" t="str">
        <x:v>BASE_FREIGHT</x:v>
      </x:c>
      <x:c r="K1721" s="187" t="str">
        <x:v>GBP</x:v>
      </x:c>
      <x:c r="L1721" s="232" t="n">
        <x:v>6198.770312292096</x:v>
      </x:c>
      <x:c r="M1721" s="232" t="n">
        <x:v>9.15</x:v>
      </x:c>
      <x:c r="N1721" s="187" t="str">
        <x:v>56718.748357472678400000000000000000000000000000000000000000000000000000000000000</x:v>
      </x:c>
      <x:c r="O1721" s="235" t="n">
        <x:v>56718.7484</x:v>
      </x:c>
      <x:c r="P1721" s="235"/>
      <x:c r="Q1721" s="235"/>
      <x:c r="R1721" s="235" t="str">
        <x:v>INVOICE_OR_PLAN</x:v>
      </x:c>
      <x:c r="S1721" s="238" t="n">
        <x:f>'Model_Calc'!AF291</x:f>
        <x:v>56718.74835747269</x:v>
      </x:c>
      <x:c r="T1721" s="238" t="n">
        <x:f>ROUND(S1721-O1721,4)</x:f>
        <x:v>0</x:v>
      </x:c>
    </x:row>
    <x:row r="1722">
      <x:c r="A1722" s="187" t="str">
        <x:v>SCENARIO_GROWTH_2026_08</x:v>
      </x:c>
      <x:c r="B1722" s="187" t="str">
        <x:v>SCENARIO</x:v>
      </x:c>
      <x:c r="C1722" s="187" t="str">
        <x:v>GROWTH</x:v>
      </x:c>
      <x:c r="D1722" s="217" t="n">
        <x:v>46266</x:v>
      </x:c>
      <x:c r="E1722" s="187" t="str">
        <x:v>R_GB_DE_B_ROAD</x:v>
      </x:c>
      <x:c r="F1722" s="187" t="str">
        <x:v>GB</x:v>
      </x:c>
      <x:c r="G1722" s="187" t="str">
        <x:v>DE_FC</x:v>
      </x:c>
      <x:c r="H1722" s="187" t="str">
        <x:v>CARRIER_B</x:v>
      </x:c>
      <x:c r="I1722" s="187" t="str">
        <x:v>ROAD</x:v>
      </x:c>
      <x:c r="J1722" s="187" t="str">
        <x:v>FUEL_SURCHARGE</x:v>
      </x:c>
      <x:c r="K1722" s="187" t="str">
        <x:v>GBP</x:v>
      </x:c>
      <x:c r="L1722" s="232" t="n">
        <x:v>435.2328091609344</x:v>
      </x:c>
      <x:c r="M1722" s="232" t="n">
        <x:v>9.15</x:v>
      </x:c>
      <x:c r="N1722" s="187" t="str">
        <x:v>3982.3802038225497600000000000000000000000000000000000000000000000000000000000000</x:v>
      </x:c>
      <x:c r="O1722" s="235" t="n">
        <x:v>3982.3802</x:v>
      </x:c>
      <x:c r="P1722" s="235"/>
      <x:c r="Q1722" s="235"/>
      <x:c r="R1722" s="235" t="str">
        <x:v>INVOICE_OR_PLAN</x:v>
      </x:c>
      <x:c r="S1722" s="238" t="n">
        <x:f>'Model_Calc'!AG291</x:f>
        <x:v>3982.380203822551</x:v>
      </x:c>
      <x:c r="T1722" s="238" t="n">
        <x:f>ROUND(S1722-O1722,4)</x:f>
        <x:v>0</x:v>
      </x:c>
    </x:row>
    <x:row r="1723">
      <x:c r="A1723" s="187" t="str">
        <x:v>SCENARIO_GROWTH_2026_08</x:v>
      </x:c>
      <x:c r="B1723" s="187" t="str">
        <x:v>SCENARIO</x:v>
      </x:c>
      <x:c r="C1723" s="187" t="str">
        <x:v>GROWTH</x:v>
      </x:c>
      <x:c r="D1723" s="217" t="n">
        <x:v>46266</x:v>
      </x:c>
      <x:c r="E1723" s="187" t="str">
        <x:v>R_GB_DE_B_ROAD</x:v>
      </x:c>
      <x:c r="F1723" s="187" t="str">
        <x:v>GB</x:v>
      </x:c>
      <x:c r="G1723" s="187" t="str">
        <x:v>DE_FC</x:v>
      </x:c>
      <x:c r="H1723" s="187" t="str">
        <x:v>CARRIER_B</x:v>
      </x:c>
      <x:c r="I1723" s="187" t="str">
        <x:v>ROAD</x:v>
      </x:c>
      <x:c r="J1723" s="187" t="str">
        <x:v>WAREHOUSE_OPERATION</x:v>
      </x:c>
      <x:c r="K1723" s="187" t="str">
        <x:v>EUR</x:v>
      </x:c>
      <x:c r="L1723" s="232" t="n">
        <x:v>1282.160994048</x:v>
      </x:c>
      <x:c r="M1723" s="232" t="n">
        <x:v>7.92</x:v>
      </x:c>
      <x:c r="N1723" s="187" t="str">
        <x:v>10154.715072860160000000000000000000000000000000000000000000000000000000000000000</x:v>
      </x:c>
      <x:c r="O1723" s="235" t="n">
        <x:v>10154.7151</x:v>
      </x:c>
      <x:c r="P1723" s="235"/>
      <x:c r="Q1723" s="235"/>
      <x:c r="R1723" s="235" t="str">
        <x:v>INVOICE_OR_PLAN</x:v>
      </x:c>
      <x:c r="S1723" s="238" t="n">
        <x:f>'Model_Calc'!AL291</x:f>
        <x:v>10154.715072860163</x:v>
      </x:c>
      <x:c r="T1723" s="238" t="n">
        <x:f>ROUND(S1723-O1723,4)</x:f>
        <x:v>0</x:v>
      </x:c>
    </x:row>
    <x:row r="1724">
      <x:c r="A1724" s="187" t="str">
        <x:v>SCENARIO_GROWTH_2026_08</x:v>
      </x:c>
      <x:c r="B1724" s="187" t="str">
        <x:v>SCENARIO</x:v>
      </x:c>
      <x:c r="C1724" s="187" t="str">
        <x:v>GROWTH</x:v>
      </x:c>
      <x:c r="D1724" s="217" t="n">
        <x:v>46266</x:v>
      </x:c>
      <x:c r="E1724" s="187" t="str">
        <x:v>R_GB_DE_B_ROAD</x:v>
      </x:c>
      <x:c r="F1724" s="187" t="str">
        <x:v>GB</x:v>
      </x:c>
      <x:c r="G1724" s="187" t="str">
        <x:v>DE_FC</x:v>
      </x:c>
      <x:c r="H1724" s="187" t="str">
        <x:v>CARRIER_B</x:v>
      </x:c>
      <x:c r="I1724" s="187" t="str">
        <x:v>ROAD</x:v>
      </x:c>
      <x:c r="J1724" s="187" t="str">
        <x:v>PACKAGING</x:v>
      </x:c>
      <x:c r="K1724" s="187" t="str">
        <x:v>EUR</x:v>
      </x:c>
      <x:c r="L1724" s="232" t="n">
        <x:v>543.07124137728</x:v>
      </x:c>
      <x:c r="M1724" s="232" t="n">
        <x:v>7.92</x:v>
      </x:c>
      <x:c r="N1724" s="187" t="str">
        <x:v>4301.1242317080576000000000000000000000000000000000000000000000000000000000000000</x:v>
      </x:c>
      <x:c r="O1724" s="235" t="n">
        <x:v>4301.1242</x:v>
      </x:c>
      <x:c r="P1724" s="235"/>
      <x:c r="Q1724" s="235"/>
      <x:c r="R1724" s="235" t="str">
        <x:v>INVOICE_OR_PLAN</x:v>
      </x:c>
      <x:c r="S1724" s="238" t="n">
        <x:f>'Model_Calc'!AQ291</x:f>
        <x:v>4301.124231708058</x:v>
      </x:c>
      <x:c r="T1724" s="238" t="n">
        <x:f>ROUND(S1724-O1724,4)</x:f>
        <x:v>0</x:v>
      </x:c>
    </x:row>
    <x:row r="1725">
      <x:c r="A1725" s="187" t="str">
        <x:v>SCENARIO_GROWTH_2026_08</x:v>
      </x:c>
      <x:c r="B1725" s="187" t="str">
        <x:v>SCENARIO</x:v>
      </x:c>
      <x:c r="C1725" s="187" t="str">
        <x:v>GROWTH</x:v>
      </x:c>
      <x:c r="D1725" s="217" t="n">
        <x:v>46266</x:v>
      </x:c>
      <x:c r="E1725" s="187" t="str">
        <x:v>R_GB_DE_B_ROAD</x:v>
      </x:c>
      <x:c r="F1725" s="187" t="str">
        <x:v>GB</x:v>
      </x:c>
      <x:c r="G1725" s="187" t="str">
        <x:v>DE_FC</x:v>
      </x:c>
      <x:c r="H1725" s="187" t="str">
        <x:v>CARRIER_B</x:v>
      </x:c>
      <x:c r="I1725" s="187" t="str">
        <x:v>ROAD</x:v>
      </x:c>
      <x:c r="J1725" s="187" t="str">
        <x:v>RETURN_LOGISTICS</x:v>
      </x:c>
      <x:c r="K1725" s="187" t="str">
        <x:v>GBP</x:v>
      </x:c>
      <x:c r="L1725" s="232" t="n">
        <x:v>495.4791638016</x:v>
      </x:c>
      <x:c r="M1725" s="232" t="n">
        <x:v>9.15</x:v>
      </x:c>
      <x:c r="N1725" s="187" t="str">
        <x:v>4533.6343487846400000000000000000000000000000000000000000000000000000000000000000</x:v>
      </x:c>
      <x:c r="O1725" s="235" t="n">
        <x:v>4533.6343</x:v>
      </x:c>
      <x:c r="P1725" s="235"/>
      <x:c r="Q1725" s="235"/>
      <x:c r="R1725" s="235" t="str">
        <x:v>INVOICE_OR_PLAN</x:v>
      </x:c>
      <x:c r="S1725" s="238" t="n">
        <x:f>'Model_Calc'!AV291</x:f>
        <x:v>4533.634348784642</x:v>
      </x:c>
      <x:c r="T1725" s="238" t="n">
        <x:f>ROUND(S1725-O1725,4)</x:f>
        <x:v>0</x:v>
      </x:c>
    </x:row>
    <x:row r="1726">
      <x:c r="A1726" s="187" t="str">
        <x:v>SCENARIO_GROWTH_2026_08</x:v>
      </x:c>
      <x:c r="B1726" s="187" t="str">
        <x:v>SCENARIO</x:v>
      </x:c>
      <x:c r="C1726" s="187" t="str">
        <x:v>GROWTH</x:v>
      </x:c>
      <x:c r="D1726" s="217" t="n">
        <x:v>46266</x:v>
      </x:c>
      <x:c r="E1726" s="187" t="str">
        <x:v>R_GB_DE_B_ROAD</x:v>
      </x:c>
      <x:c r="F1726" s="187" t="str">
        <x:v>GB</x:v>
      </x:c>
      <x:c r="G1726" s="187" t="str">
        <x:v>DE_FC</x:v>
      </x:c>
      <x:c r="H1726" s="187" t="str">
        <x:v>CARRIER_B</x:v>
      </x:c>
      <x:c r="I1726" s="187" t="str">
        <x:v>ROAD</x:v>
      </x:c>
      <x:c r="J1726" s="187" t="str">
        <x:v>BILLABLE_EXCEPTION</x:v>
      </x:c>
      <x:c r="K1726" s="187" t="str">
        <x:v>GBP</x:v>
      </x:c>
      <x:c r="L1726" s="232" t="n">
        <x:v>59.479231198464</x:v>
      </x:c>
      <x:c r="M1726" s="232" t="n">
        <x:v>9.15</x:v>
      </x:c>
      <x:c r="N1726" s="187" t="str">
        <x:v>544.23496546594560000000000000000000000000000000000000000000000000000000000000000</x:v>
      </x:c>
      <x:c r="O1726" s="235" t="n">
        <x:v>544.235</x:v>
      </x:c>
      <x:c r="P1726" s="235"/>
      <x:c r="Q1726" s="235"/>
      <x:c r="R1726" s="235" t="str">
        <x:v>INVOICE_OR_PLAN</x:v>
      </x:c>
      <x:c r="S1726" s="238" t="n">
        <x:f>'Model_Calc'!BA291</x:f>
        <x:v>544.2349654659457</x:v>
      </x:c>
      <x:c r="T1726" s="238" t="n">
        <x:f>ROUND(S1726-O1726,4)</x:f>
        <x:v>0</x:v>
      </x:c>
    </x:row>
    <x:row r="1727">
      <x:c r="A1727" s="187" t="str">
        <x:v>SCENARIO_GROWTH_2026_08</x:v>
      </x:c>
      <x:c r="B1727" s="187" t="str">
        <x:v>SCENARIO</x:v>
      </x:c>
      <x:c r="C1727" s="187" t="str">
        <x:v>GROWTH</x:v>
      </x:c>
      <x:c r="D1727" s="217" t="n">
        <x:v>46266</x:v>
      </x:c>
      <x:c r="E1727" s="187" t="str">
        <x:v>R_GB_DE_B_AIR</x:v>
      </x:c>
      <x:c r="F1727" s="187" t="str">
        <x:v>GB</x:v>
      </x:c>
      <x:c r="G1727" s="187" t="str">
        <x:v>DE_FC</x:v>
      </x:c>
      <x:c r="H1727" s="187" t="str">
        <x:v>CARRIER_B</x:v>
      </x:c>
      <x:c r="I1727" s="187" t="str">
        <x:v>AIR</x:v>
      </x:c>
      <x:c r="J1727" s="187" t="str">
        <x:v>BASE_FREIGHT</x:v>
      </x:c>
      <x:c r="K1727" s="187" t="str">
        <x:v>GBP</x:v>
      </x:c>
      <x:c r="L1727" s="232" t="n">
        <x:v>11755.78558048807</x:v>
      </x:c>
      <x:c r="M1727" s="232" t="n">
        <x:v>9.15</x:v>
      </x:c>
      <x:c r="N1727" s="187" t="str">
        <x:v>107565.43806146583244800000000000000000000000000000000000000000000000000000000000</x:v>
      </x:c>
      <x:c r="O1727" s="235" t="n">
        <x:v>107565.4381</x:v>
      </x:c>
      <x:c r="P1727" s="235"/>
      <x:c r="Q1727" s="235"/>
      <x:c r="R1727" s="235" t="str">
        <x:v>INVOICE_OR_PLAN</x:v>
      </x:c>
      <x:c r="S1727" s="238" t="n">
        <x:f>'Model_Calc'!AF292</x:f>
        <x:v>107565.43806146584</x:v>
      </x:c>
      <x:c r="T1727" s="238" t="n">
        <x:f>ROUND(S1727-O1727,4)</x:f>
        <x:v>0</x:v>
      </x:c>
    </x:row>
    <x:row r="1728">
      <x:c r="A1728" s="187" t="str">
        <x:v>SCENARIO_GROWTH_2026_08</x:v>
      </x:c>
      <x:c r="B1728" s="187" t="str">
        <x:v>SCENARIO</x:v>
      </x:c>
      <x:c r="C1728" s="187" t="str">
        <x:v>GROWTH</x:v>
      </x:c>
      <x:c r="D1728" s="217" t="n">
        <x:v>46266</x:v>
      </x:c>
      <x:c r="E1728" s="187" t="str">
        <x:v>R_GB_DE_B_AIR</x:v>
      </x:c>
      <x:c r="F1728" s="187" t="str">
        <x:v>GB</x:v>
      </x:c>
      <x:c r="G1728" s="187" t="str">
        <x:v>DE_FC</x:v>
      </x:c>
      <x:c r="H1728" s="187" t="str">
        <x:v>CARRIER_B</x:v>
      </x:c>
      <x:c r="I1728" s="187" t="str">
        <x:v>AIR</x:v>
      </x:c>
      <x:c r="J1728" s="187" t="str">
        <x:v>FUEL_SURCHARGE</x:v>
      </x:c>
      <x:c r="K1728" s="187" t="str">
        <x:v>GBP</x:v>
      </x:c>
      <x:c r="L1728" s="232" t="n">
        <x:v>1455.2016738662962</x:v>
      </x:c>
      <x:c r="M1728" s="232" t="n">
        <x:v>9.15</x:v>
      </x:c>
      <x:c r="N1728" s="187" t="str">
        <x:v>13315.095315876609535408128000000000000000000000000000000000000000000000000000000</x:v>
      </x:c>
      <x:c r="O1728" s="235" t="n">
        <x:v>13315.0953</x:v>
      </x:c>
      <x:c r="P1728" s="235"/>
      <x:c r="Q1728" s="235"/>
      <x:c r="R1728" s="235" t="str">
        <x:v>INVOICE_OR_PLAN</x:v>
      </x:c>
      <x:c r="S1728" s="238" t="n">
        <x:f>'Model_Calc'!AG292</x:f>
        <x:v>13315.09531587661</x:v>
      </x:c>
      <x:c r="T1728" s="238" t="n">
        <x:f>ROUND(S1728-O1728,4)</x:f>
        <x:v>0</x:v>
      </x:c>
    </x:row>
    <x:row r="1729">
      <x:c r="A1729" s="187" t="str">
        <x:v>SCENARIO_GROWTH_2026_08</x:v>
      </x:c>
      <x:c r="B1729" s="187" t="str">
        <x:v>SCENARIO</x:v>
      </x:c>
      <x:c r="C1729" s="187" t="str">
        <x:v>GROWTH</x:v>
      </x:c>
      <x:c r="D1729" s="217" t="n">
        <x:v>46266</x:v>
      </x:c>
      <x:c r="E1729" s="187" t="str">
        <x:v>R_GB_DE_B_AIR</x:v>
      </x:c>
      <x:c r="F1729" s="187" t="str">
        <x:v>GB</x:v>
      </x:c>
      <x:c r="G1729" s="187" t="str">
        <x:v>DE_FC</x:v>
      </x:c>
      <x:c r="H1729" s="187" t="str">
        <x:v>CARRIER_B</x:v>
      </x:c>
      <x:c r="I1729" s="187" t="str">
        <x:v>AIR</x:v>
      </x:c>
      <x:c r="J1729" s="187" t="str">
        <x:v>WAREHOUSE_OPERATION</x:v>
      </x:c>
      <x:c r="K1729" s="187" t="str">
        <x:v>EUR</x:v>
      </x:c>
      <x:c r="L1729" s="232" t="n">
        <x:v>1885.5308736</x:v>
      </x:c>
      <x:c r="M1729" s="232" t="n">
        <x:v>7.92</x:v>
      </x:c>
      <x:c r="N1729" s="187" t="str">
        <x:v>14933.404518912000000000000000000000000000000000000000000000000000000000000000000</x:v>
      </x:c>
      <x:c r="O1729" s="235" t="n">
        <x:v>14933.4045</x:v>
      </x:c>
      <x:c r="P1729" s="235"/>
      <x:c r="Q1729" s="235"/>
      <x:c r="R1729" s="235" t="str">
        <x:v>INVOICE_OR_PLAN</x:v>
      </x:c>
      <x:c r="S1729" s="238" t="n">
        <x:f>'Model_Calc'!AL292</x:f>
        <x:v>14933.404518912</x:v>
      </x:c>
      <x:c r="T1729" s="238" t="n">
        <x:f>ROUND(S1729-O1729,4)</x:f>
        <x:v>0</x:v>
      </x:c>
    </x:row>
    <x:row r="1730">
      <x:c r="A1730" s="187" t="str">
        <x:v>SCENARIO_GROWTH_2026_08</x:v>
      </x:c>
      <x:c r="B1730" s="187" t="str">
        <x:v>SCENARIO</x:v>
      </x:c>
      <x:c r="C1730" s="187" t="str">
        <x:v>GROWTH</x:v>
      </x:c>
      <x:c r="D1730" s="217" t="n">
        <x:v>46266</x:v>
      </x:c>
      <x:c r="E1730" s="187" t="str">
        <x:v>R_GB_DE_B_AIR</x:v>
      </x:c>
      <x:c r="F1730" s="187" t="str">
        <x:v>GB</x:v>
      </x:c>
      <x:c r="G1730" s="187" t="str">
        <x:v>DE_FC</x:v>
      </x:c>
      <x:c r="H1730" s="187" t="str">
        <x:v>CARRIER_B</x:v>
      </x:c>
      <x:c r="I1730" s="187" t="str">
        <x:v>AIR</x:v>
      </x:c>
      <x:c r="J1730" s="187" t="str">
        <x:v>PACKAGING</x:v>
      </x:c>
      <x:c r="K1730" s="187" t="str">
        <x:v>EUR</x:v>
      </x:c>
      <x:c r="L1730" s="232" t="n">
        <x:v>798.634178496</x:v>
      </x:c>
      <x:c r="M1730" s="232" t="n">
        <x:v>7.92</x:v>
      </x:c>
      <x:c r="N1730" s="187" t="str">
        <x:v>6325.1826936883200000000000000000000000000000000000000000000000000000000000000000</x:v>
      </x:c>
      <x:c r="O1730" s="235" t="n">
        <x:v>6325.1827</x:v>
      </x:c>
      <x:c r="P1730" s="235"/>
      <x:c r="Q1730" s="235"/>
      <x:c r="R1730" s="235" t="str">
        <x:v>INVOICE_OR_PLAN</x:v>
      </x:c>
      <x:c r="S1730" s="238" t="n">
        <x:f>'Model_Calc'!AQ292</x:f>
        <x:v>6325.182693688319</x:v>
      </x:c>
      <x:c r="T1730" s="238" t="n">
        <x:f>ROUND(S1730-O1730,4)</x:f>
        <x:v>0</x:v>
      </x:c>
    </x:row>
    <x:row r="1731">
      <x:c r="A1731" s="187" t="str">
        <x:v>SCENARIO_GROWTH_2026_08</x:v>
      </x:c>
      <x:c r="B1731" s="187" t="str">
        <x:v>SCENARIO</x:v>
      </x:c>
      <x:c r="C1731" s="187" t="str">
        <x:v>GROWTH</x:v>
      </x:c>
      <x:c r="D1731" s="217" t="n">
        <x:v>46266</x:v>
      </x:c>
      <x:c r="E1731" s="187" t="str">
        <x:v>R_GB_DE_B_AIR</x:v>
      </x:c>
      <x:c r="F1731" s="187" t="str">
        <x:v>GB</x:v>
      </x:c>
      <x:c r="G1731" s="187" t="str">
        <x:v>DE_FC</x:v>
      </x:c>
      <x:c r="H1731" s="187" t="str">
        <x:v>CARRIER_B</x:v>
      </x:c>
      <x:c r="I1731" s="187" t="str">
        <x:v>AIR</x:v>
      </x:c>
      <x:c r="J1731" s="187" t="str">
        <x:v>RETURN_LOGISTICS</x:v>
      </x:c>
      <x:c r="K1731" s="187" t="str">
        <x:v>GBP</x:v>
      </x:c>
      <x:c r="L1731" s="232" t="n">
        <x:v>728.64582912</x:v>
      </x:c>
      <x:c r="M1731" s="232" t="n">
        <x:v>9.15</x:v>
      </x:c>
      <x:c r="N1731" s="187" t="str">
        <x:v>6667.1093364480000000000000000000000000000000000000000000000000000000000000000000</x:v>
      </x:c>
      <x:c r="O1731" s="235" t="n">
        <x:v>6667.1093</x:v>
      </x:c>
      <x:c r="P1731" s="235"/>
      <x:c r="Q1731" s="235"/>
      <x:c r="R1731" s="235" t="str">
        <x:v>INVOICE_OR_PLAN</x:v>
      </x:c>
      <x:c r="S1731" s="238" t="n">
        <x:f>'Model_Calc'!AV292</x:f>
        <x:v>6667.109336448</x:v>
      </x:c>
      <x:c r="T1731" s="238" t="n">
        <x:f>ROUND(S1731-O1731,4)</x:f>
        <x:v>0</x:v>
      </x:c>
    </x:row>
    <x:row r="1732">
      <x:c r="A1732" s="187" t="str">
        <x:v>SCENARIO_GROWTH_2026_08</x:v>
      </x:c>
      <x:c r="B1732" s="187" t="str">
        <x:v>SCENARIO</x:v>
      </x:c>
      <x:c r="C1732" s="187" t="str">
        <x:v>GROWTH</x:v>
      </x:c>
      <x:c r="D1732" s="217" t="n">
        <x:v>46266</x:v>
      </x:c>
      <x:c r="E1732" s="187" t="str">
        <x:v>R_GB_DE_B_AIR</x:v>
      </x:c>
      <x:c r="F1732" s="187" t="str">
        <x:v>GB</x:v>
      </x:c>
      <x:c r="G1732" s="187" t="str">
        <x:v>DE_FC</x:v>
      </x:c>
      <x:c r="H1732" s="187" t="str">
        <x:v>CARRIER_B</x:v>
      </x:c>
      <x:c r="I1732" s="187" t="str">
        <x:v>AIR</x:v>
      </x:c>
      <x:c r="J1732" s="187" t="str">
        <x:v>BILLABLE_EXCEPTION</x:v>
      </x:c>
      <x:c r="K1732" s="187" t="str">
        <x:v>GBP</x:v>
      </x:c>
      <x:c r="L1732" s="232" t="n">
        <x:v>85.18764570624</x:v>
      </x:c>
      <x:c r="M1732" s="232" t="n">
        <x:v>9.15</x:v>
      </x:c>
      <x:c r="N1732" s="187" t="str">
        <x:v>779.46695821209600000000000000000000000000000000000000000000000000000000000000000</x:v>
      </x:c>
      <x:c r="O1732" s="235" t="n">
        <x:v>779.467</x:v>
      </x:c>
      <x:c r="P1732" s="235"/>
      <x:c r="Q1732" s="235"/>
      <x:c r="R1732" s="235" t="str">
        <x:v>INVOICE_OR_PLAN</x:v>
      </x:c>
      <x:c r="S1732" s="238" t="n">
        <x:f>'Model_Calc'!BA292</x:f>
        <x:v>779.4669582120961</x:v>
      </x:c>
      <x:c r="T1732" s="238" t="n">
        <x:f>ROUND(S1732-O1732,4)</x:f>
        <x:v>0</x:v>
      </x:c>
    </x:row>
    <x:row r="1733">
      <x:c r="A1733" s="187" t="str">
        <x:v>SCENARIO_GROWTH_2026_08</x:v>
      </x:c>
      <x:c r="B1733" s="187" t="str">
        <x:v>SCENARIO</x:v>
      </x:c>
      <x:c r="C1733" s="187" t="str">
        <x:v>GROWTH</x:v>
      </x:c>
      <x:c r="D1733" s="217" t="n">
        <x:v>46266</x:v>
      </x:c>
      <x:c r="E1733" s="187" t="str">
        <x:v>R_GB_DE_C_AIR</x:v>
      </x:c>
      <x:c r="F1733" s="187" t="str">
        <x:v>GB</x:v>
      </x:c>
      <x:c r="G1733" s="187" t="str">
        <x:v>DE_FC</x:v>
      </x:c>
      <x:c r="H1733" s="187" t="str">
        <x:v>CARRIER_C</x:v>
      </x:c>
      <x:c r="I1733" s="187" t="str">
        <x:v>AIR</x:v>
      </x:c>
      <x:c r="J1733" s="187" t="str">
        <x:v>BASE_FREIGHT</x:v>
      </x:c>
      <x:c r="K1733" s="187" t="str">
        <x:v>GBP</x:v>
      </x:c>
      <x:c r="L1733" s="232" t="n">
        <x:v>15888.092237733703</x:v>
      </x:c>
      <x:c r="M1733" s="232" t="n">
        <x:v>9.15</x:v>
      </x:c>
      <x:c r="N1733" s="187" t="str">
        <x:v>145376.04397526338867200000000000000000000000000000000000000000000000000000000000</x:v>
      </x:c>
      <x:c r="O1733" s="235" t="n">
        <x:v>145376.044</x:v>
      </x:c>
      <x:c r="P1733" s="235"/>
      <x:c r="Q1733" s="235"/>
      <x:c r="R1733" s="235" t="str">
        <x:v>INVOICE_OR_PLAN</x:v>
      </x:c>
      <x:c r="S1733" s="238" t="n">
        <x:f>'Model_Calc'!AF293</x:f>
        <x:v>145376.0439752634</x:v>
      </x:c>
      <x:c r="T1733" s="238" t="n">
        <x:f>ROUND(S1733-O1733,4)</x:f>
        <x:v>0</x:v>
      </x:c>
    </x:row>
    <x:row r="1734">
      <x:c r="A1734" s="187" t="str">
        <x:v>SCENARIO_GROWTH_2026_08</x:v>
      </x:c>
      <x:c r="B1734" s="187" t="str">
        <x:v>SCENARIO</x:v>
      </x:c>
      <x:c r="C1734" s="187" t="str">
        <x:v>GROWTH</x:v>
      </x:c>
      <x:c r="D1734" s="217" t="n">
        <x:v>46266</x:v>
      </x:c>
      <x:c r="E1734" s="187" t="str">
        <x:v>R_GB_DE_C_AIR</x:v>
      </x:c>
      <x:c r="F1734" s="187" t="str">
        <x:v>GB</x:v>
      </x:c>
      <x:c r="G1734" s="187" t="str">
        <x:v>DE_FC</x:v>
      </x:c>
      <x:c r="H1734" s="187" t="str">
        <x:v>CARRIER_C</x:v>
      </x:c>
      <x:c r="I1734" s="187" t="str">
        <x:v>AIR</x:v>
      </x:c>
      <x:c r="J1734" s="187" t="str">
        <x:v>FUEL_SURCHARGE</x:v>
      </x:c>
      <x:c r="K1734" s="187" t="str">
        <x:v>GBP</x:v>
      </x:c>
      <x:c r="L1734" s="232" t="n">
        <x:v>1228.6791330514063</x:v>
      </x:c>
      <x:c r="M1734" s="232" t="n">
        <x:v>9.15</x:v>
      </x:c>
      <x:c r="N1734" s="187" t="str">
        <x:v>11242.414067420368723968000000000000000000000000000000000000000000000000000000000</x:v>
      </x:c>
      <x:c r="O1734" s="235" t="n">
        <x:v>11242.4141</x:v>
      </x:c>
      <x:c r="P1734" s="235"/>
      <x:c r="Q1734" s="235"/>
      <x:c r="R1734" s="235" t="str">
        <x:v>INVOICE_OR_PLAN</x:v>
      </x:c>
      <x:c r="S1734" s="238" t="n">
        <x:f>'Model_Calc'!AG293</x:f>
        <x:v>11242.414067420372</x:v>
      </x:c>
      <x:c r="T1734" s="238" t="n">
        <x:f>ROUND(S1734-O1734,4)</x:f>
        <x:v>0</x:v>
      </x:c>
    </x:row>
    <x:row r="1735">
      <x:c r="A1735" s="187" t="str">
        <x:v>SCENARIO_GROWTH_2026_08</x:v>
      </x:c>
      <x:c r="B1735" s="187" t="str">
        <x:v>SCENARIO</x:v>
      </x:c>
      <x:c r="C1735" s="187" t="str">
        <x:v>GROWTH</x:v>
      </x:c>
      <x:c r="D1735" s="217" t="n">
        <x:v>46266</x:v>
      </x:c>
      <x:c r="E1735" s="187" t="str">
        <x:v>R_GB_DE_C_AIR</x:v>
      </x:c>
      <x:c r="F1735" s="187" t="str">
        <x:v>GB</x:v>
      </x:c>
      <x:c r="G1735" s="187" t="str">
        <x:v>DE_FC</x:v>
      </x:c>
      <x:c r="H1735" s="187" t="str">
        <x:v>CARRIER_C</x:v>
      </x:c>
      <x:c r="I1735" s="187" t="str">
        <x:v>AIR</x:v>
      </x:c>
      <x:c r="J1735" s="187" t="str">
        <x:v>WAREHOUSE_OPERATION</x:v>
      </x:c>
      <x:c r="K1735" s="187" t="str">
        <x:v>EUR</x:v>
      </x:c>
      <x:c r="L1735" s="232" t="n">
        <x:v>2111.794578432</x:v>
      </x:c>
      <x:c r="M1735" s="232" t="n">
        <x:v>7.92</x:v>
      </x:c>
      <x:c r="N1735" s="187" t="str">
        <x:v>16725.413061181440000000000000000000000000000000000000000000000000000000000000000</x:v>
      </x:c>
      <x:c r="O1735" s="235" t="n">
        <x:v>16725.4131</x:v>
      </x:c>
      <x:c r="P1735" s="235"/>
      <x:c r="Q1735" s="235"/>
      <x:c r="R1735" s="235" t="str">
        <x:v>INVOICE_OR_PLAN</x:v>
      </x:c>
      <x:c r="S1735" s="238" t="n">
        <x:f>'Model_Calc'!AL293</x:f>
        <x:v>16725.413061181443</x:v>
      </x:c>
      <x:c r="T1735" s="238" t="n">
        <x:f>ROUND(S1735-O1735,4)</x:f>
        <x:v>0</x:v>
      </x:c>
    </x:row>
    <x:row r="1736">
      <x:c r="A1736" s="187" t="str">
        <x:v>SCENARIO_GROWTH_2026_08</x:v>
      </x:c>
      <x:c r="B1736" s="187" t="str">
        <x:v>SCENARIO</x:v>
      </x:c>
      <x:c r="C1736" s="187" t="str">
        <x:v>GROWTH</x:v>
      </x:c>
      <x:c r="D1736" s="217" t="n">
        <x:v>46266</x:v>
      </x:c>
      <x:c r="E1736" s="187" t="str">
        <x:v>R_GB_DE_C_AIR</x:v>
      </x:c>
      <x:c r="F1736" s="187" t="str">
        <x:v>GB</x:v>
      </x:c>
      <x:c r="G1736" s="187" t="str">
        <x:v>DE_FC</x:v>
      </x:c>
      <x:c r="H1736" s="187" t="str">
        <x:v>CARRIER_C</x:v>
      </x:c>
      <x:c r="I1736" s="187" t="str">
        <x:v>AIR</x:v>
      </x:c>
      <x:c r="J1736" s="187" t="str">
        <x:v>PACKAGING</x:v>
      </x:c>
      <x:c r="K1736" s="187" t="str">
        <x:v>EUR</x:v>
      </x:c>
      <x:c r="L1736" s="232" t="n">
        <x:v>894.47027991552</x:v>
      </x:c>
      <x:c r="M1736" s="232" t="n">
        <x:v>7.92</x:v>
      </x:c>
      <x:c r="N1736" s="187" t="str">
        <x:v>7084.2046169309184000000000000000000000000000000000000000000000000000000000000000</x:v>
      </x:c>
      <x:c r="O1736" s="235" t="n">
        <x:v>7084.2046</x:v>
      </x:c>
      <x:c r="P1736" s="235"/>
      <x:c r="Q1736" s="235"/>
      <x:c r="R1736" s="235" t="str">
        <x:v>INVOICE_OR_PLAN</x:v>
      </x:c>
      <x:c r="S1736" s="238" t="n">
        <x:f>'Model_Calc'!AQ293</x:f>
        <x:v>7084.204616930919</x:v>
      </x:c>
      <x:c r="T1736" s="238" t="n">
        <x:f>ROUND(S1736-O1736,4)</x:f>
        <x:v>0</x:v>
      </x:c>
    </x:row>
    <x:row r="1737">
      <x:c r="A1737" s="187" t="str">
        <x:v>SCENARIO_GROWTH_2026_08</x:v>
      </x:c>
      <x:c r="B1737" s="187" t="str">
        <x:v>SCENARIO</x:v>
      </x:c>
      <x:c r="C1737" s="187" t="str">
        <x:v>GROWTH</x:v>
      </x:c>
      <x:c r="D1737" s="217" t="n">
        <x:v>46266</x:v>
      </x:c>
      <x:c r="E1737" s="187" t="str">
        <x:v>R_GB_DE_C_AIR</x:v>
      </x:c>
      <x:c r="F1737" s="187" t="str">
        <x:v>GB</x:v>
      </x:c>
      <x:c r="G1737" s="187" t="str">
        <x:v>DE_FC</x:v>
      </x:c>
      <x:c r="H1737" s="187" t="str">
        <x:v>CARRIER_C</x:v>
      </x:c>
      <x:c r="I1737" s="187" t="str">
        <x:v>AIR</x:v>
      </x:c>
      <x:c r="J1737" s="187" t="str">
        <x:v>RETURN_LOGISTICS</x:v>
      </x:c>
      <x:c r="K1737" s="187" t="str">
        <x:v>GBP</x:v>
      </x:c>
      <x:c r="L1737" s="232" t="n">
        <x:v>816.0833286144</x:v>
      </x:c>
      <x:c r="M1737" s="232" t="n">
        <x:v>9.15</x:v>
      </x:c>
      <x:c r="N1737" s="187" t="str">
        <x:v>7467.1624568217600000000000000000000000000000000000000000000000000000000000000000</x:v>
      </x:c>
      <x:c r="O1737" s="235" t="n">
        <x:v>7467.1625</x:v>
      </x:c>
      <x:c r="P1737" s="235"/>
      <x:c r="Q1737" s="235"/>
      <x:c r="R1737" s="235" t="str">
        <x:v>INVOICE_OR_PLAN</x:v>
      </x:c>
      <x:c r="S1737" s="238" t="n">
        <x:f>'Model_Calc'!AV293</x:f>
        <x:v>7467.162456821761</x:v>
      </x:c>
      <x:c r="T1737" s="238" t="n">
        <x:f>ROUND(S1737-O1737,4)</x:f>
        <x:v>0</x:v>
      </x:c>
    </x:row>
    <x:row r="1738">
      <x:c r="A1738" s="187" t="str">
        <x:v>SCENARIO_GROWTH_2026_08</x:v>
      </x:c>
      <x:c r="B1738" s="187" t="str">
        <x:v>SCENARIO</x:v>
      </x:c>
      <x:c r="C1738" s="187" t="str">
        <x:v>GROWTH</x:v>
      </x:c>
      <x:c r="D1738" s="217" t="n">
        <x:v>46266</x:v>
      </x:c>
      <x:c r="E1738" s="187" t="str">
        <x:v>R_GB_DE_C_AIR</x:v>
      </x:c>
      <x:c r="F1738" s="187" t="str">
        <x:v>GB</x:v>
      </x:c>
      <x:c r="G1738" s="187" t="str">
        <x:v>DE_FC</x:v>
      </x:c>
      <x:c r="H1738" s="187" t="str">
        <x:v>CARRIER_C</x:v>
      </x:c>
      <x:c r="I1738" s="187" t="str">
        <x:v>AIR</x:v>
      </x:c>
      <x:c r="J1738" s="187" t="str">
        <x:v>BILLABLE_EXCEPTION</x:v>
      </x:c>
      <x:c r="K1738" s="187" t="str">
        <x:v>GBP</x:v>
      </x:c>
      <x:c r="L1738" s="232" t="n">
        <x:v>84.3357692491776</x:v>
      </x:c>
      <x:c r="M1738" s="232" t="n">
        <x:v>9.15</x:v>
      </x:c>
      <x:c r="N1738" s="187" t="str">
        <x:v>771.67228862997504000000000000000000000000000000000000000000000000000000000000000</x:v>
      </x:c>
      <x:c r="O1738" s="235" t="n">
        <x:v>771.6723</x:v>
      </x:c>
      <x:c r="P1738" s="235"/>
      <x:c r="Q1738" s="235"/>
      <x:c r="R1738" s="235" t="str">
        <x:v>INVOICE_OR_PLAN</x:v>
      </x:c>
      <x:c r="S1738" s="238" t="n">
        <x:f>'Model_Calc'!BA293</x:f>
        <x:v>771.6722886299751</x:v>
      </x:c>
      <x:c r="T1738" s="238" t="n">
        <x:f>ROUND(S1738-O1738,4)</x:f>
        <x:v>0</x:v>
      </x:c>
    </x:row>
    <x:row r="1739">
      <x:c r="A1739" s="187" t="str">
        <x:v>SCENARIO_GROWTH_2026_08</x:v>
      </x:c>
      <x:c r="B1739" s="187" t="str">
        <x:v>SCENARIO</x:v>
      </x:c>
      <x:c r="C1739" s="187" t="str">
        <x:v>GROWTH</x:v>
      </x:c>
      <x:c r="D1739" s="217" t="n">
        <x:v>46266</x:v>
      </x:c>
      <x:c r="E1739" s="187" t="str">
        <x:v>R_GB_FR_B_AIR</x:v>
      </x:c>
      <x:c r="F1739" s="187" t="str">
        <x:v>GB</x:v>
      </x:c>
      <x:c r="G1739" s="187" t="str">
        <x:v>FR_FC</x:v>
      </x:c>
      <x:c r="H1739" s="187" t="str">
        <x:v>CARRIER_B</x:v>
      </x:c>
      <x:c r="I1739" s="187" t="str">
        <x:v>AIR</x:v>
      </x:c>
      <x:c r="J1739" s="187" t="str">
        <x:v>BASE_FREIGHT</x:v>
      </x:c>
      <x:c r="K1739" s="187" t="str">
        <x:v>EUR</x:v>
      </x:c>
      <x:c r="L1739" s="232" t="n">
        <x:v>1916.47754853984</x:v>
      </x:c>
      <x:c r="M1739" s="232" t="n">
        <x:v>7.92</x:v>
      </x:c>
      <x:c r="N1739" s="187" t="str">
        <x:v>15178.502184435532800000000000000000000000000000000000000000000000000000000000000</x:v>
      </x:c>
      <x:c r="O1739" s="235" t="n">
        <x:v>15178.5022</x:v>
      </x:c>
      <x:c r="P1739" s="235"/>
      <x:c r="Q1739" s="235"/>
      <x:c r="R1739" s="235" t="str">
        <x:v>INVOICE_OR_PLAN</x:v>
      </x:c>
      <x:c r="S1739" s="238" t="n">
        <x:f>'Model_Calc'!AF294</x:f>
        <x:v>15178.502184435534</x:v>
      </x:c>
      <x:c r="T1739" s="238" t="n">
        <x:f>ROUND(S1739-O1739,4)</x:f>
        <x:v>0</x:v>
      </x:c>
    </x:row>
    <x:row r="1740">
      <x:c r="A1740" s="187" t="str">
        <x:v>SCENARIO_GROWTH_2026_08</x:v>
      </x:c>
      <x:c r="B1740" s="187" t="str">
        <x:v>SCENARIO</x:v>
      </x:c>
      <x:c r="C1740" s="187" t="str">
        <x:v>GROWTH</x:v>
      </x:c>
      <x:c r="D1740" s="217" t="n">
        <x:v>46266</x:v>
      </x:c>
      <x:c r="E1740" s="187" t="str">
        <x:v>R_GB_FR_B_AIR</x:v>
      </x:c>
      <x:c r="F1740" s="187" t="str">
        <x:v>GB</x:v>
      </x:c>
      <x:c r="G1740" s="187" t="str">
        <x:v>FR_FC</x:v>
      </x:c>
      <x:c r="H1740" s="187" t="str">
        <x:v>CARRIER_B</x:v>
      </x:c>
      <x:c r="I1740" s="187" t="str">
        <x:v>AIR</x:v>
      </x:c>
      <x:c r="J1740" s="187" t="str">
        <x:v>FUEL_SURCHARGE</x:v>
      </x:c>
      <x:c r="K1740" s="187" t="str">
        <x:v>EUR</x:v>
      </x:c>
      <x:c r="L1740" s="232" t="n">
        <x:v>208.27319758756713</x:v>
      </x:c>
      <x:c r="M1740" s="232" t="n">
        <x:v>7.92</x:v>
      </x:c>
      <x:c r="N1740" s="187" t="str">
        <x:v>1649.5237248935315270400000000000000000000000000000000000000000000000000000000000</x:v>
      </x:c>
      <x:c r="O1740" s="235" t="n">
        <x:v>1649.5237</x:v>
      </x:c>
      <x:c r="P1740" s="235"/>
      <x:c r="Q1740" s="235"/>
      <x:c r="R1740" s="235" t="str">
        <x:v>INVOICE_OR_PLAN</x:v>
      </x:c>
      <x:c r="S1740" s="238" t="n">
        <x:f>'Model_Calc'!AG294</x:f>
        <x:v>1649.5237248935316</x:v>
      </x:c>
      <x:c r="T1740" s="238" t="n">
        <x:f>ROUND(S1740-O1740,4)</x:f>
        <x:v>0</x:v>
      </x:c>
    </x:row>
    <x:row r="1741">
      <x:c r="A1741" s="187" t="str">
        <x:v>SCENARIO_GROWTH_2026_08</x:v>
      </x:c>
      <x:c r="B1741" s="187" t="str">
        <x:v>SCENARIO</x:v>
      </x:c>
      <x:c r="C1741" s="187" t="str">
        <x:v>GROWTH</x:v>
      </x:c>
      <x:c r="D1741" s="217" t="n">
        <x:v>46266</x:v>
      </x:c>
      <x:c r="E1741" s="187" t="str">
        <x:v>R_GB_FR_B_AIR</x:v>
      </x:c>
      <x:c r="F1741" s="187" t="str">
        <x:v>GB</x:v>
      </x:c>
      <x:c r="G1741" s="187" t="str">
        <x:v>FR_FC</x:v>
      </x:c>
      <x:c r="H1741" s="187" t="str">
        <x:v>CARRIER_B</x:v>
      </x:c>
      <x:c r="I1741" s="187" t="str">
        <x:v>AIR</x:v>
      </x:c>
      <x:c r="J1741" s="187" t="str">
        <x:v>WAREHOUSE_OPERATION</x:v>
      </x:c>
      <x:c r="K1741" s="187" t="str">
        <x:v>EUR</x:v>
      </x:c>
      <x:c r="L1741" s="232" t="n">
        <x:v>279.633816</x:v>
      </x:c>
      <x:c r="M1741" s="232" t="n">
        <x:v>7.92</x:v>
      </x:c>
      <x:c r="N1741" s="187" t="str">
        <x:v>2214.6998227200000000000000000000000000000000000000000000000000000000000000000000</x:v>
      </x:c>
      <x:c r="O1741" s="235" t="n">
        <x:v>2214.6998</x:v>
      </x:c>
      <x:c r="P1741" s="235"/>
      <x:c r="Q1741" s="235"/>
      <x:c r="R1741" s="235" t="str">
        <x:v>INVOICE_OR_PLAN</x:v>
      </x:c>
      <x:c r="S1741" s="238" t="n">
        <x:f>'Model_Calc'!AL294</x:f>
        <x:v>2214.69982272</x:v>
      </x:c>
      <x:c r="T1741" s="238" t="n">
        <x:f>ROUND(S1741-O1741,4)</x:f>
        <x:v>0</x:v>
      </x:c>
    </x:row>
    <x:row r="1742">
      <x:c r="A1742" s="187" t="str">
        <x:v>SCENARIO_GROWTH_2026_08</x:v>
      </x:c>
      <x:c r="B1742" s="187" t="str">
        <x:v>SCENARIO</x:v>
      </x:c>
      <x:c r="C1742" s="187" t="str">
        <x:v>GROWTH</x:v>
      </x:c>
      <x:c r="D1742" s="217" t="n">
        <x:v>46266</x:v>
      </x:c>
      <x:c r="E1742" s="187" t="str">
        <x:v>R_GB_FR_B_AIR</x:v>
      </x:c>
      <x:c r="F1742" s="187" t="str">
        <x:v>GB</x:v>
      </x:c>
      <x:c r="G1742" s="187" t="str">
        <x:v>FR_FC</x:v>
      </x:c>
      <x:c r="H1742" s="187" t="str">
        <x:v>CARRIER_B</x:v>
      </x:c>
      <x:c r="I1742" s="187" t="str">
        <x:v>AIR</x:v>
      </x:c>
      <x:c r="J1742" s="187" t="str">
        <x:v>PACKAGING</x:v>
      </x:c>
      <x:c r="K1742" s="187" t="str">
        <x:v>EUR</x:v>
      </x:c>
      <x:c r="L1742" s="232" t="n">
        <x:v>118.404947232</x:v>
      </x:c>
      <x:c r="M1742" s="232" t="n">
        <x:v>7.92</x:v>
      </x:c>
      <x:c r="N1742" s="187" t="str">
        <x:v>937.76718207744000000000000000000000000000000000000000000000000000000000000000000</x:v>
      </x:c>
      <x:c r="O1742" s="235" t="n">
        <x:v>937.7672</x:v>
      </x:c>
      <x:c r="P1742" s="235"/>
      <x:c r="Q1742" s="235"/>
      <x:c r="R1742" s="235" t="str">
        <x:v>INVOICE_OR_PLAN</x:v>
      </x:c>
      <x:c r="S1742" s="238" t="n">
        <x:f>'Model_Calc'!AQ294</x:f>
        <x:v>937.76718207744</x:v>
      </x:c>
      <x:c r="T1742" s="238" t="n">
        <x:f>ROUND(S1742-O1742,4)</x:f>
        <x:v>0</x:v>
      </x:c>
    </x:row>
    <x:row r="1743">
      <x:c r="A1743" s="187" t="str">
        <x:v>SCENARIO_GROWTH_2026_08</x:v>
      </x:c>
      <x:c r="B1743" s="187" t="str">
        <x:v>SCENARIO</x:v>
      </x:c>
      <x:c r="C1743" s="187" t="str">
        <x:v>GROWTH</x:v>
      </x:c>
      <x:c r="D1743" s="217" t="n">
        <x:v>46266</x:v>
      </x:c>
      <x:c r="E1743" s="187" t="str">
        <x:v>R_GB_FR_B_AIR</x:v>
      </x:c>
      <x:c r="F1743" s="187" t="str">
        <x:v>GB</x:v>
      </x:c>
      <x:c r="G1743" s="187" t="str">
        <x:v>FR_FC</x:v>
      </x:c>
      <x:c r="H1743" s="187" t="str">
        <x:v>CARRIER_B</x:v>
      </x:c>
      <x:c r="I1743" s="187" t="str">
        <x:v>AIR</x:v>
      </x:c>
      <x:c r="J1743" s="187" t="str">
        <x:v>RETURN_LOGISTICS</x:v>
      </x:c>
      <x:c r="K1743" s="187" t="str">
        <x:v>EUR</x:v>
      </x:c>
      <x:c r="L1743" s="232" t="n">
        <x:v>131.56105248</x:v>
      </x:c>
      <x:c r="M1743" s="232" t="n">
        <x:v>7.92</x:v>
      </x:c>
      <x:c r="N1743" s="187" t="str">
        <x:v>1041.9635356416000000000000000000000000000000000000000000000000000000000000000000</x:v>
      </x:c>
      <x:c r="O1743" s="235" t="n">
        <x:v>1041.9635</x:v>
      </x:c>
      <x:c r="P1743" s="235"/>
      <x:c r="Q1743" s="235"/>
      <x:c r="R1743" s="235" t="str">
        <x:v>INVOICE_OR_PLAN</x:v>
      </x:c>
      <x:c r="S1743" s="238" t="n">
        <x:f>'Model_Calc'!AV294</x:f>
        <x:v>1041.9635356416</x:v>
      </x:c>
      <x:c r="T1743" s="238" t="n">
        <x:f>ROUND(S1743-O1743,4)</x:f>
        <x:v>0</x:v>
      </x:c>
    </x:row>
    <x:row r="1744">
      <x:c r="A1744" s="187" t="str">
        <x:v>SCENARIO_GROWTH_2026_08</x:v>
      </x:c>
      <x:c r="B1744" s="187" t="str">
        <x:v>SCENARIO</x:v>
      </x:c>
      <x:c r="C1744" s="187" t="str">
        <x:v>GROWTH</x:v>
      </x:c>
      <x:c r="D1744" s="217" t="n">
        <x:v>46266</x:v>
      </x:c>
      <x:c r="E1744" s="187" t="str">
        <x:v>R_GB_FR_B_AIR</x:v>
      </x:c>
      <x:c r="F1744" s="187" t="str">
        <x:v>GB</x:v>
      </x:c>
      <x:c r="G1744" s="187" t="str">
        <x:v>FR_FC</x:v>
      </x:c>
      <x:c r="H1744" s="187" t="str">
        <x:v>CARRIER_B</x:v>
      </x:c>
      <x:c r="I1744" s="187" t="str">
        <x:v>AIR</x:v>
      </x:c>
      <x:c r="J1744" s="187" t="str">
        <x:v>BILLABLE_EXCEPTION</x:v>
      </x:c>
      <x:c r="K1744" s="187" t="str">
        <x:v>EUR</x:v>
      </x:c>
      <x:c r="L1744" s="232" t="n">
        <x:v>12.21440508288</x:v>
      </x:c>
      <x:c r="M1744" s="232" t="n">
        <x:v>7.92</x:v>
      </x:c>
      <x:c r="N1744" s="187" t="str">
        <x:v>96.738088256409600000000000000000000000000000000000000000000000000000000000000000</x:v>
      </x:c>
      <x:c r="O1744" s="235" t="n">
        <x:v>96.7381</x:v>
      </x:c>
      <x:c r="P1744" s="235"/>
      <x:c r="Q1744" s="235"/>
      <x:c r="R1744" s="235" t="str">
        <x:v>INVOICE_OR_PLAN</x:v>
      </x:c>
      <x:c r="S1744" s="238" t="n">
        <x:f>'Model_Calc'!BA294</x:f>
        <x:v>96.73808825640963</x:v>
      </x:c>
      <x:c r="T1744" s="238" t="n">
        <x:f>ROUND(S1744-O1744,4)</x:f>
        <x:v>0</x:v>
      </x:c>
    </x:row>
    <x:row r="1745">
      <x:c r="A1745" s="187" t="str">
        <x:v>SCENARIO_GROWTH_2026_08</x:v>
      </x:c>
      <x:c r="B1745" s="187" t="str">
        <x:v>SCENARIO</x:v>
      </x:c>
      <x:c r="C1745" s="187" t="str">
        <x:v>GROWTH</x:v>
      </x:c>
      <x:c r="D1745" s="217" t="n">
        <x:v>46296</x:v>
      </x:c>
      <x:c r="E1745" s="187" t="str">
        <x:v>R_DE_DE_A_ROAD</x:v>
      </x:c>
      <x:c r="F1745" s="187" t="str">
        <x:v>DE</x:v>
      </x:c>
      <x:c r="G1745" s="187" t="str">
        <x:v>DE_FC</x:v>
      </x:c>
      <x:c r="H1745" s="187" t="str">
        <x:v>CARRIER_A</x:v>
      </x:c>
      <x:c r="I1745" s="187" t="str">
        <x:v>ROAD</x:v>
      </x:c>
      <x:c r="J1745" s="187" t="str">
        <x:v>BASE_FREIGHT</x:v>
      </x:c>
      <x:c r="K1745" s="187" t="str">
        <x:v>EUR</x:v>
      </x:c>
      <x:c r="L1745" s="232" t="n">
        <x:v>7267.8309862158</x:v>
      </x:c>
      <x:c r="M1745" s="232" t="n">
        <x:v>7.9</x:v>
      </x:c>
      <x:c r="N1745" s="187" t="str">
        <x:v>57415.864791104820000000000000000000000000000000000000000000000000000000000000000</x:v>
      </x:c>
      <x:c r="O1745" s="235" t="n">
        <x:v>57415.8648</x:v>
      </x:c>
      <x:c r="P1745" s="235"/>
      <x:c r="Q1745" s="235"/>
      <x:c r="R1745" s="235" t="str">
        <x:v>INVOICE_OR_PLAN</x:v>
      </x:c>
      <x:c r="S1745" s="238" t="n">
        <x:f>'Model_Calc'!AF295</x:f>
        <x:v>57415.86479110481</x:v>
      </x:c>
      <x:c r="T1745" s="238" t="n">
        <x:f>ROUND(S1745-O1745,4)</x:f>
        <x:v>0</x:v>
      </x:c>
    </x:row>
    <x:row r="1746">
      <x:c r="A1746" s="187" t="str">
        <x:v>SCENARIO_GROWTH_2026_08</x:v>
      </x:c>
      <x:c r="B1746" s="187" t="str">
        <x:v>SCENARIO</x:v>
      </x:c>
      <x:c r="C1746" s="187" t="str">
        <x:v>GROWTH</x:v>
      </x:c>
      <x:c r="D1746" s="217" t="n">
        <x:v>46296</x:v>
      </x:c>
      <x:c r="E1746" s="187" t="str">
        <x:v>R_DE_DE_A_ROAD</x:v>
      </x:c>
      <x:c r="F1746" s="187" t="str">
        <x:v>DE</x:v>
      </x:c>
      <x:c r="G1746" s="187" t="str">
        <x:v>DE_FC</x:v>
      </x:c>
      <x:c r="H1746" s="187" t="str">
        <x:v>CARRIER_A</x:v>
      </x:c>
      <x:c r="I1746" s="187" t="str">
        <x:v>ROAD</x:v>
      </x:c>
      <x:c r="J1746" s="187" t="str">
        <x:v>FUEL_SURCHARGE</x:v>
      </x:c>
      <x:c r="K1746" s="187" t="str">
        <x:v>EUR</x:v>
      </x:c>
      <x:c r="L1746" s="232" t="n">
        <x:v>714.6094817196686</x:v>
      </x:c>
      <x:c r="M1746" s="232" t="n">
        <x:v>7.9</x:v>
      </x:c>
      <x:c r="N1746" s="187" t="str">
        <x:v>5645.4149055853814265000000000000000000000000000000000000000000000000000000000000</x:v>
      </x:c>
      <x:c r="O1746" s="235" t="n">
        <x:v>5645.4149</x:v>
      </x:c>
      <x:c r="P1746" s="235"/>
      <x:c r="Q1746" s="235"/>
      <x:c r="R1746" s="235" t="str">
        <x:v>INVOICE_OR_PLAN</x:v>
      </x:c>
      <x:c r="S1746" s="238" t="n">
        <x:f>'Model_Calc'!AG295</x:f>
        <x:v>5645.41490558538</x:v>
      </x:c>
      <x:c r="T1746" s="238" t="n">
        <x:f>ROUND(S1746-O1746,4)</x:f>
        <x:v>0</x:v>
      </x:c>
    </x:row>
    <x:row r="1747">
      <x:c r="A1747" s="187" t="str">
        <x:v>SCENARIO_GROWTH_2026_08</x:v>
      </x:c>
      <x:c r="B1747" s="187" t="str">
        <x:v>SCENARIO</x:v>
      </x:c>
      <x:c r="C1747" s="187" t="str">
        <x:v>GROWTH</x:v>
      </x:c>
      <x:c r="D1747" s="217" t="n">
        <x:v>46296</x:v>
      </x:c>
      <x:c r="E1747" s="187" t="str">
        <x:v>R_DE_DE_A_ROAD</x:v>
      </x:c>
      <x:c r="F1747" s="187" t="str">
        <x:v>DE</x:v>
      </x:c>
      <x:c r="G1747" s="187" t="str">
        <x:v>DE_FC</x:v>
      </x:c>
      <x:c r="H1747" s="187" t="str">
        <x:v>CARRIER_A</x:v>
      </x:c>
      <x:c r="I1747" s="187" t="str">
        <x:v>ROAD</x:v>
      </x:c>
      <x:c r="J1747" s="187" t="str">
        <x:v>WAREHOUSE_OPERATION</x:v>
      </x:c>
      <x:c r="K1747" s="187" t="str">
        <x:v>EUR</x:v>
      </x:c>
      <x:c r="L1747" s="232" t="n">
        <x:v>4712.581458</x:v>
      </x:c>
      <x:c r="M1747" s="232" t="n">
        <x:v>7.9</x:v>
      </x:c>
      <x:c r="N1747" s="187" t="str">
        <x:v>37229.393518200000000000000000000000000000000000000000000000000000000000000000000</x:v>
      </x:c>
      <x:c r="O1747" s="235" t="n">
        <x:v>37229.3935</x:v>
      </x:c>
      <x:c r="P1747" s="235"/>
      <x:c r="Q1747" s="235"/>
      <x:c r="R1747" s="235" t="str">
        <x:v>INVOICE_OR_PLAN</x:v>
      </x:c>
      <x:c r="S1747" s="238" t="n">
        <x:f>'Model_Calc'!AL295</x:f>
        <x:v>37229.3935182</x:v>
      </x:c>
      <x:c r="T1747" s="238" t="n">
        <x:f>ROUND(S1747-O1747,4)</x:f>
        <x:v>0</x:v>
      </x:c>
    </x:row>
    <x:row r="1748">
      <x:c r="A1748" s="187" t="str">
        <x:v>SCENARIO_GROWTH_2026_08</x:v>
      </x:c>
      <x:c r="B1748" s="187" t="str">
        <x:v>SCENARIO</x:v>
      </x:c>
      <x:c r="C1748" s="187" t="str">
        <x:v>GROWTH</x:v>
      </x:c>
      <x:c r="D1748" s="217" t="n">
        <x:v>46296</x:v>
      </x:c>
      <x:c r="E1748" s="187" t="str">
        <x:v>R_DE_DE_A_ROAD</x:v>
      </x:c>
      <x:c r="F1748" s="187" t="str">
        <x:v>DE</x:v>
      </x:c>
      <x:c r="G1748" s="187" t="str">
        <x:v>DE_FC</x:v>
      </x:c>
      <x:c r="H1748" s="187" t="str">
        <x:v>CARRIER_A</x:v>
      </x:c>
      <x:c r="I1748" s="187" t="str">
        <x:v>ROAD</x:v>
      </x:c>
      <x:c r="J1748" s="187" t="str">
        <x:v>PACKAGING</x:v>
      </x:c>
      <x:c r="K1748" s="187" t="str">
        <x:v>EUR</x:v>
      </x:c>
      <x:c r="L1748" s="232" t="n">
        <x:v>1761.2274771</x:v>
      </x:c>
      <x:c r="M1748" s="232" t="n">
        <x:v>7.9</x:v>
      </x:c>
      <x:c r="N1748" s="187" t="str">
        <x:v>13913.697069090000000000000000000000000000000000000000000000000000000000000000000</x:v>
      </x:c>
      <x:c r="O1748" s="235" t="n">
        <x:v>13913.6971</x:v>
      </x:c>
      <x:c r="P1748" s="235"/>
      <x:c r="Q1748" s="235"/>
      <x:c r="R1748" s="235" t="str">
        <x:v>INVOICE_OR_PLAN</x:v>
      </x:c>
      <x:c r="S1748" s="238" t="n">
        <x:f>'Model_Calc'!AQ295</x:f>
        <x:v>13913.697069089996</x:v>
      </x:c>
      <x:c r="T1748" s="238" t="n">
        <x:f>ROUND(S1748-O1748,4)</x:f>
        <x:v>0</x:v>
      </x:c>
    </x:row>
    <x:row r="1749">
      <x:c r="A1749" s="187" t="str">
        <x:v>SCENARIO_GROWTH_2026_08</x:v>
      </x:c>
      <x:c r="B1749" s="187" t="str">
        <x:v>SCENARIO</x:v>
      </x:c>
      <x:c r="C1749" s="187" t="str">
        <x:v>GROWTH</x:v>
      </x:c>
      <x:c r="D1749" s="217" t="n">
        <x:v>46296</x:v>
      </x:c>
      <x:c r="E1749" s="187" t="str">
        <x:v>R_DE_DE_A_ROAD</x:v>
      </x:c>
      <x:c r="F1749" s="187" t="str">
        <x:v>DE</x:v>
      </x:c>
      <x:c r="G1749" s="187" t="str">
        <x:v>DE_FC</x:v>
      </x:c>
      <x:c r="H1749" s="187" t="str">
        <x:v>CARRIER_A</x:v>
      </x:c>
      <x:c r="I1749" s="187" t="str">
        <x:v>ROAD</x:v>
      </x:c>
      <x:c r="J1749" s="187" t="str">
        <x:v>RETURN_LOGISTICS</x:v>
      </x:c>
      <x:c r="K1749" s="187" t="str">
        <x:v>EUR</x:v>
      </x:c>
      <x:c r="L1749" s="232" t="n">
        <x:v>638.994096</x:v>
      </x:c>
      <x:c r="M1749" s="232" t="n">
        <x:v>7.9</x:v>
      </x:c>
      <x:c r="N1749" s="187" t="str">
        <x:v>5048.0533584000000000000000000000000000000000000000000000000000000000000000000000</x:v>
      </x:c>
      <x:c r="O1749" s="235" t="n">
        <x:v>5048.0534</x:v>
      </x:c>
      <x:c r="P1749" s="235"/>
      <x:c r="Q1749" s="235"/>
      <x:c r="R1749" s="235" t="str">
        <x:v>INVOICE_OR_PLAN</x:v>
      </x:c>
      <x:c r="S1749" s="238" t="n">
        <x:f>'Model_Calc'!AV295</x:f>
        <x:v>5048.0533583999995</x:v>
      </x:c>
      <x:c r="T1749" s="238" t="n">
        <x:f>ROUND(S1749-O1749,4)</x:f>
        <x:v>0</x:v>
      </x:c>
    </x:row>
    <x:row r="1750">
      <x:c r="A1750" s="187" t="str">
        <x:v>SCENARIO_GROWTH_2026_08</x:v>
      </x:c>
      <x:c r="B1750" s="187" t="str">
        <x:v>SCENARIO</x:v>
      </x:c>
      <x:c r="C1750" s="187" t="str">
        <x:v>GROWTH</x:v>
      </x:c>
      <x:c r="D1750" s="217" t="n">
        <x:v>46296</x:v>
      </x:c>
      <x:c r="E1750" s="187" t="str">
        <x:v>R_DE_DE_A_ROAD</x:v>
      </x:c>
      <x:c r="F1750" s="187" t="str">
        <x:v>DE</x:v>
      </x:c>
      <x:c r="G1750" s="187" t="str">
        <x:v>DE_FC</x:v>
      </x:c>
      <x:c r="H1750" s="187" t="str">
        <x:v>CARRIER_A</x:v>
      </x:c>
      <x:c r="I1750" s="187" t="str">
        <x:v>ROAD</x:v>
      </x:c>
      <x:c r="J1750" s="187" t="str">
        <x:v>BILLABLE_EXCEPTION</x:v>
      </x:c>
      <x:c r="K1750" s="187" t="str">
        <x:v>EUR</x:v>
      </x:c>
      <x:c r="L1750" s="232" t="n">
        <x:v>154.317074184</x:v>
      </x:c>
      <x:c r="M1750" s="232" t="n">
        <x:v>7.9</x:v>
      </x:c>
      <x:c r="N1750" s="187" t="str">
        <x:v>1219.1048860536000000000000000000000000000000000000000000000000000000000000000000</x:v>
      </x:c>
      <x:c r="O1750" s="235" t="n">
        <x:v>1219.1049</x:v>
      </x:c>
      <x:c r="P1750" s="235"/>
      <x:c r="Q1750" s="235"/>
      <x:c r="R1750" s="235" t="str">
        <x:v>INVOICE_OR_PLAN</x:v>
      </x:c>
      <x:c r="S1750" s="238" t="n">
        <x:f>'Model_Calc'!BA295</x:f>
        <x:v>1219.1048860535998</x:v>
      </x:c>
      <x:c r="T1750" s="238" t="n">
        <x:f>ROUND(S1750-O1750,4)</x:f>
        <x:v>0</x:v>
      </x:c>
    </x:row>
    <x:row r="1751">
      <x:c r="A1751" s="187" t="str">
        <x:v>SCENARIO_GROWTH_2026_08</x:v>
      </x:c>
      <x:c r="B1751" s="187" t="str">
        <x:v>SCENARIO</x:v>
      </x:c>
      <x:c r="C1751" s="187" t="str">
        <x:v>GROWTH</x:v>
      </x:c>
      <x:c r="D1751" s="217" t="n">
        <x:v>46296</x:v>
      </x:c>
      <x:c r="E1751" s="187" t="str">
        <x:v>R_DE_DE_B_ROAD</x:v>
      </x:c>
      <x:c r="F1751" s="187" t="str">
        <x:v>DE</x:v>
      </x:c>
      <x:c r="G1751" s="187" t="str">
        <x:v>DE_FC</x:v>
      </x:c>
      <x:c r="H1751" s="187" t="str">
        <x:v>CARRIER_B</x:v>
      </x:c>
      <x:c r="I1751" s="187" t="str">
        <x:v>ROAD</x:v>
      </x:c>
      <x:c r="J1751" s="187" t="str">
        <x:v>BASE_FREIGHT</x:v>
      </x:c>
      <x:c r="K1751" s="187" t="str">
        <x:v>EUR</x:v>
      </x:c>
      <x:c r="L1751" s="232" t="n">
        <x:v>6211.82135574</x:v>
      </x:c>
      <x:c r="M1751" s="232" t="n">
        <x:v>7.9</x:v>
      </x:c>
      <x:c r="N1751" s="187" t="str">
        <x:v>49073.388710346000000000000000000000000000000000000000000000000000000000000000000</x:v>
      </x:c>
      <x:c r="O1751" s="235" t="n">
        <x:v>49073.3887</x:v>
      </x:c>
      <x:c r="P1751" s="235"/>
      <x:c r="Q1751" s="235"/>
      <x:c r="R1751" s="235" t="str">
        <x:v>INVOICE_OR_PLAN</x:v>
      </x:c>
      <x:c r="S1751" s="238" t="n">
        <x:f>'Model_Calc'!AF296</x:f>
        <x:v>49073.38871034601</x:v>
      </x:c>
      <x:c r="T1751" s="238" t="n">
        <x:f>ROUND(S1751-O1751,4)</x:f>
        <x:v>0</x:v>
      </x:c>
    </x:row>
    <x:row r="1752">
      <x:c r="A1752" s="187" t="str">
        <x:v>SCENARIO_GROWTH_2026_08</x:v>
      </x:c>
      <x:c r="B1752" s="187" t="str">
        <x:v>SCENARIO</x:v>
      </x:c>
      <x:c r="C1752" s="187" t="str">
        <x:v>GROWTH</x:v>
      </x:c>
      <x:c r="D1752" s="217" t="n">
        <x:v>46296</x:v>
      </x:c>
      <x:c r="E1752" s="187" t="str">
        <x:v>R_DE_DE_B_ROAD</x:v>
      </x:c>
      <x:c r="F1752" s="187" t="str">
        <x:v>DE</x:v>
      </x:c>
      <x:c r="G1752" s="187" t="str">
        <x:v>DE_FC</x:v>
      </x:c>
      <x:c r="H1752" s="187" t="str">
        <x:v>CARRIER_B</x:v>
      </x:c>
      <x:c r="I1752" s="187" t="str">
        <x:v>ROAD</x:v>
      </x:c>
      <x:c r="J1752" s="187" t="str">
        <x:v>FUEL_SURCHARGE</x:v>
      </x:c>
      <x:c r="K1752" s="187" t="str">
        <x:v>EUR</x:v>
      </x:c>
      <x:c r="L1752" s="232" t="n">
        <x:v>474.3572671656</x:v>
      </x:c>
      <x:c r="M1752" s="232" t="n">
        <x:v>7.9</x:v>
      </x:c>
      <x:c r="N1752" s="187" t="str">
        <x:v>3747.4224106082400000000000000000000000000000000000000000000000000000000000000000</x:v>
      </x:c>
      <x:c r="O1752" s="235" t="n">
        <x:v>3747.4224</x:v>
      </x:c>
      <x:c r="P1752" s="235"/>
      <x:c r="Q1752" s="235"/>
      <x:c r="R1752" s="235" t="str">
        <x:v>INVOICE_OR_PLAN</x:v>
      </x:c>
      <x:c r="S1752" s="238" t="n">
        <x:f>'Model_Calc'!AG296</x:f>
        <x:v>3747.4224106082406</x:v>
      </x:c>
      <x:c r="T1752" s="238" t="n">
        <x:f>ROUND(S1752-O1752,4)</x:f>
        <x:v>0</x:v>
      </x:c>
    </x:row>
    <x:row r="1753">
      <x:c r="A1753" s="187" t="str">
        <x:v>SCENARIO_GROWTH_2026_08</x:v>
      </x:c>
      <x:c r="B1753" s="187" t="str">
        <x:v>SCENARIO</x:v>
      </x:c>
      <x:c r="C1753" s="187" t="str">
        <x:v>GROWTH</x:v>
      </x:c>
      <x:c r="D1753" s="217" t="n">
        <x:v>46296</x:v>
      </x:c>
      <x:c r="E1753" s="187" t="str">
        <x:v>R_DE_DE_B_ROAD</x:v>
      </x:c>
      <x:c r="F1753" s="187" t="str">
        <x:v>DE</x:v>
      </x:c>
      <x:c r="G1753" s="187" t="str">
        <x:v>DE_FC</x:v>
      </x:c>
      <x:c r="H1753" s="187" t="str">
        <x:v>CARRIER_B</x:v>
      </x:c>
      <x:c r="I1753" s="187" t="str">
        <x:v>ROAD</x:v>
      </x:c>
      <x:c r="J1753" s="187" t="str">
        <x:v>WAREHOUSE_OPERATION</x:v>
      </x:c>
      <x:c r="K1753" s="187" t="str">
        <x:v>EUR</x:v>
      </x:c>
      <x:c r="L1753" s="232" t="n">
        <x:v>3141.720972</x:v>
      </x:c>
      <x:c r="M1753" s="232" t="n">
        <x:v>7.9</x:v>
      </x:c>
      <x:c r="N1753" s="187" t="str">
        <x:v>24819.595678800000000000000000000000000000000000000000000000000000000000000000000</x:v>
      </x:c>
      <x:c r="O1753" s="235" t="n">
        <x:v>24819.5957</x:v>
      </x:c>
      <x:c r="P1753" s="235"/>
      <x:c r="Q1753" s="235"/>
      <x:c r="R1753" s="235" t="str">
        <x:v>INVOICE_OR_PLAN</x:v>
      </x:c>
      <x:c r="S1753" s="238" t="n">
        <x:f>'Model_Calc'!AL296</x:f>
        <x:v>24819.5956788</x:v>
      </x:c>
      <x:c r="T1753" s="238" t="n">
        <x:f>ROUND(S1753-O1753,4)</x:f>
        <x:v>0</x:v>
      </x:c>
    </x:row>
    <x:row r="1754">
      <x:c r="A1754" s="187" t="str">
        <x:v>SCENARIO_GROWTH_2026_08</x:v>
      </x:c>
      <x:c r="B1754" s="187" t="str">
        <x:v>SCENARIO</x:v>
      </x:c>
      <x:c r="C1754" s="187" t="str">
        <x:v>GROWTH</x:v>
      </x:c>
      <x:c r="D1754" s="217" t="n">
        <x:v>46296</x:v>
      </x:c>
      <x:c r="E1754" s="187" t="str">
        <x:v>R_DE_DE_B_ROAD</x:v>
      </x:c>
      <x:c r="F1754" s="187" t="str">
        <x:v>DE</x:v>
      </x:c>
      <x:c r="G1754" s="187" t="str">
        <x:v>DE_FC</x:v>
      </x:c>
      <x:c r="H1754" s="187" t="str">
        <x:v>CARRIER_B</x:v>
      </x:c>
      <x:c r="I1754" s="187" t="str">
        <x:v>ROAD</x:v>
      </x:c>
      <x:c r="J1754" s="187" t="str">
        <x:v>PACKAGING</x:v>
      </x:c>
      <x:c r="K1754" s="187" t="str">
        <x:v>EUR</x:v>
      </x:c>
      <x:c r="L1754" s="232" t="n">
        <x:v>1174.1516514</x:v>
      </x:c>
      <x:c r="M1754" s="232" t="n">
        <x:v>7.9</x:v>
      </x:c>
      <x:c r="N1754" s="187" t="str">
        <x:v>9275.7980460600000000000000000000000000000000000000000000000000000000000000000000</x:v>
      </x:c>
      <x:c r="O1754" s="235" t="n">
        <x:v>9275.798</x:v>
      </x:c>
      <x:c r="P1754" s="235"/>
      <x:c r="Q1754" s="235"/>
      <x:c r="R1754" s="235" t="str">
        <x:v>INVOICE_OR_PLAN</x:v>
      </x:c>
      <x:c r="S1754" s="238" t="n">
        <x:f>'Model_Calc'!AQ296</x:f>
        <x:v>9275.798046060001</x:v>
      </x:c>
      <x:c r="T1754" s="238" t="n">
        <x:f>ROUND(S1754-O1754,4)</x:f>
        <x:v>0</x:v>
      </x:c>
    </x:row>
    <x:row r="1755">
      <x:c r="A1755" s="187" t="str">
        <x:v>SCENARIO_GROWTH_2026_08</x:v>
      </x:c>
      <x:c r="B1755" s="187" t="str">
        <x:v>SCENARIO</x:v>
      </x:c>
      <x:c r="C1755" s="187" t="str">
        <x:v>GROWTH</x:v>
      </x:c>
      <x:c r="D1755" s="217" t="n">
        <x:v>46296</x:v>
      </x:c>
      <x:c r="E1755" s="187" t="str">
        <x:v>R_DE_DE_B_ROAD</x:v>
      </x:c>
      <x:c r="F1755" s="187" t="str">
        <x:v>DE</x:v>
      </x:c>
      <x:c r="G1755" s="187" t="str">
        <x:v>DE_FC</x:v>
      </x:c>
      <x:c r="H1755" s="187" t="str">
        <x:v>CARRIER_B</x:v>
      </x:c>
      <x:c r="I1755" s="187" t="str">
        <x:v>ROAD</x:v>
      </x:c>
      <x:c r="J1755" s="187" t="str">
        <x:v>RETURN_LOGISTICS</x:v>
      </x:c>
      <x:c r="K1755" s="187" t="str">
        <x:v>EUR</x:v>
      </x:c>
      <x:c r="L1755" s="232" t="n">
        <x:v>425.996064</x:v>
      </x:c>
      <x:c r="M1755" s="232" t="n">
        <x:v>7.9</x:v>
      </x:c>
      <x:c r="N1755" s="187" t="str">
        <x:v>3365.3689056000000000000000000000000000000000000000000000000000000000000000000000</x:v>
      </x:c>
      <x:c r="O1755" s="235" t="n">
        <x:v>3365.3689</x:v>
      </x:c>
      <x:c r="P1755" s="235"/>
      <x:c r="Q1755" s="235"/>
      <x:c r="R1755" s="235" t="str">
        <x:v>INVOICE_OR_PLAN</x:v>
      </x:c>
      <x:c r="S1755" s="238" t="n">
        <x:f>'Model_Calc'!AV296</x:f>
        <x:v>3365.3689056000007</x:v>
      </x:c>
      <x:c r="T1755" s="238" t="n">
        <x:f>ROUND(S1755-O1755,4)</x:f>
        <x:v>0</x:v>
      </x:c>
    </x:row>
    <x:row r="1756">
      <x:c r="A1756" s="187" t="str">
        <x:v>SCENARIO_GROWTH_2026_08</x:v>
      </x:c>
      <x:c r="B1756" s="187" t="str">
        <x:v>SCENARIO</x:v>
      </x:c>
      <x:c r="C1756" s="187" t="str">
        <x:v>GROWTH</x:v>
      </x:c>
      <x:c r="D1756" s="217" t="n">
        <x:v>46296</x:v>
      </x:c>
      <x:c r="E1756" s="187" t="str">
        <x:v>R_DE_DE_B_ROAD</x:v>
      </x:c>
      <x:c r="F1756" s="187" t="str">
        <x:v>DE</x:v>
      </x:c>
      <x:c r="G1756" s="187" t="str">
        <x:v>DE_FC</x:v>
      </x:c>
      <x:c r="H1756" s="187" t="str">
        <x:v>CARRIER_B</x:v>
      </x:c>
      <x:c r="I1756" s="187" t="str">
        <x:v>ROAD</x:v>
      </x:c>
      <x:c r="J1756" s="187" t="str">
        <x:v>BILLABLE_EXCEPTION</x:v>
      </x:c>
      <x:c r="K1756" s="187" t="str">
        <x:v>EUR</x:v>
      </x:c>
      <x:c r="L1756" s="232" t="n">
        <x:v>83.588415183</x:v>
      </x:c>
      <x:c r="M1756" s="232" t="n">
        <x:v>7.9</x:v>
      </x:c>
      <x:c r="N1756" s="187" t="str">
        <x:v>660.34847994570000000000000000000000000000000000000000000000000000000000000000000</x:v>
      </x:c>
      <x:c r="O1756" s="235" t="n">
        <x:v>660.3485</x:v>
      </x:c>
      <x:c r="P1756" s="235"/>
      <x:c r="Q1756" s="235"/>
      <x:c r="R1756" s="235" t="str">
        <x:v>INVOICE_OR_PLAN</x:v>
      </x:c>
      <x:c r="S1756" s="238" t="n">
        <x:f>'Model_Calc'!BA296</x:f>
        <x:v>660.3484799457001</x:v>
      </x:c>
      <x:c r="T1756" s="238" t="n">
        <x:f>ROUND(S1756-O1756,4)</x:f>
        <x:v>0</x:v>
      </x:c>
    </x:row>
    <x:row r="1757">
      <x:c r="A1757" s="187" t="str">
        <x:v>SCENARIO_GROWTH_2026_08</x:v>
      </x:c>
      <x:c r="B1757" s="187" t="str">
        <x:v>SCENARIO</x:v>
      </x:c>
      <x:c r="C1757" s="187" t="str">
        <x:v>GROWTH</x:v>
      </x:c>
      <x:c r="D1757" s="217" t="n">
        <x:v>46296</x:v>
      </x:c>
      <x:c r="E1757" s="187" t="str">
        <x:v>R_DE_FR_B_ROAD</x:v>
      </x:c>
      <x:c r="F1757" s="187" t="str">
        <x:v>DE</x:v>
      </x:c>
      <x:c r="G1757" s="187" t="str">
        <x:v>FR_FC</x:v>
      </x:c>
      <x:c r="H1757" s="187" t="str">
        <x:v>CARRIER_B</x:v>
      </x:c>
      <x:c r="I1757" s="187" t="str">
        <x:v>ROAD</x:v>
      </x:c>
      <x:c r="J1757" s="187" t="str">
        <x:v>BASE_FREIGHT</x:v>
      </x:c>
      <x:c r="K1757" s="187" t="str">
        <x:v>EUR</x:v>
      </x:c>
      <x:c r="L1757" s="232" t="n">
        <x:v>637.2834692796</x:v>
      </x:c>
      <x:c r="M1757" s="232" t="n">
        <x:v>7.9</x:v>
      </x:c>
      <x:c r="N1757" s="187" t="str">
        <x:v>5034.5394073088400000000000000000000000000000000000000000000000000000000000000000</x:v>
      </x:c>
      <x:c r="O1757" s="235" t="n">
        <x:v>5034.5394</x:v>
      </x:c>
      <x:c r="P1757" s="235"/>
      <x:c r="Q1757" s="235"/>
      <x:c r="R1757" s="235" t="str">
        <x:v>INVOICE_OR_PLAN</x:v>
      </x:c>
      <x:c r="S1757" s="238" t="n">
        <x:f>'Model_Calc'!AF297</x:f>
        <x:v>5034.539407308841</x:v>
      </x:c>
      <x:c r="T1757" s="238" t="n">
        <x:f>ROUND(S1757-O1757,4)</x:f>
        <x:v>0</x:v>
      </x:c>
    </x:row>
    <x:row r="1758">
      <x:c r="A1758" s="187" t="str">
        <x:v>SCENARIO_GROWTH_2026_08</x:v>
      </x:c>
      <x:c r="B1758" s="187" t="str">
        <x:v>SCENARIO</x:v>
      </x:c>
      <x:c r="C1758" s="187" t="str">
        <x:v>GROWTH</x:v>
      </x:c>
      <x:c r="D1758" s="217" t="n">
        <x:v>46296</x:v>
      </x:c>
      <x:c r="E1758" s="187" t="str">
        <x:v>R_DE_FR_B_ROAD</x:v>
      </x:c>
      <x:c r="F1758" s="187" t="str">
        <x:v>DE</x:v>
      </x:c>
      <x:c r="G1758" s="187" t="str">
        <x:v>FR_FC</x:v>
      </x:c>
      <x:c r="H1758" s="187" t="str">
        <x:v>CARRIER_B</x:v>
      </x:c>
      <x:c r="I1758" s="187" t="str">
        <x:v>ROAD</x:v>
      </x:c>
      <x:c r="J1758" s="187" t="str">
        <x:v>FUEL_SURCHARGE</x:v>
      </x:c>
      <x:c r="K1758" s="187" t="str">
        <x:v>EUR</x:v>
      </x:c>
      <x:c r="L1758" s="232" t="n">
        <x:v>46.34788867488</x:v>
      </x:c>
      <x:c r="M1758" s="232" t="n">
        <x:v>7.9</x:v>
      </x:c>
      <x:c r="N1758" s="187" t="str">
        <x:v>366.14832053155200000000000000000000000000000000000000000000000000000000000000000</x:v>
      </x:c>
      <x:c r="O1758" s="235" t="n">
        <x:v>366.1483</x:v>
      </x:c>
      <x:c r="P1758" s="235"/>
      <x:c r="Q1758" s="235"/>
      <x:c r="R1758" s="235" t="str">
        <x:v>INVOICE_OR_PLAN</x:v>
      </x:c>
      <x:c r="S1758" s="238" t="n">
        <x:f>'Model_Calc'!AG297</x:f>
        <x:v>366.14832053155203</x:v>
      </x:c>
      <x:c r="T1758" s="238" t="n">
        <x:f>ROUND(S1758-O1758,4)</x:f>
        <x:v>0</x:v>
      </x:c>
    </x:row>
    <x:row r="1759">
      <x:c r="A1759" s="187" t="str">
        <x:v>SCENARIO_GROWTH_2026_08</x:v>
      </x:c>
      <x:c r="B1759" s="187" t="str">
        <x:v>SCENARIO</x:v>
      </x:c>
      <x:c r="C1759" s="187" t="str">
        <x:v>GROWTH</x:v>
      </x:c>
      <x:c r="D1759" s="217" t="n">
        <x:v>46296</x:v>
      </x:c>
      <x:c r="E1759" s="187" t="str">
        <x:v>R_DE_FR_B_ROAD</x:v>
      </x:c>
      <x:c r="F1759" s="187" t="str">
        <x:v>DE</x:v>
      </x:c>
      <x:c r="G1759" s="187" t="str">
        <x:v>FR_FC</x:v>
      </x:c>
      <x:c r="H1759" s="187" t="str">
        <x:v>CARRIER_B</x:v>
      </x:c>
      <x:c r="I1759" s="187" t="str">
        <x:v>ROAD</x:v>
      </x:c>
      <x:c r="J1759" s="187" t="str">
        <x:v>WAREHOUSE_OPERATION</x:v>
      </x:c>
      <x:c r="K1759" s="187" t="str">
        <x:v>EUR</x:v>
      </x:c>
      <x:c r="L1759" s="232" t="n">
        <x:v>216.154575</x:v>
      </x:c>
      <x:c r="M1759" s="232" t="n">
        <x:v>7.9</x:v>
      </x:c>
      <x:c r="N1759" s="187" t="str">
        <x:v>1707.6211425000000000000000000000000000000000000000000000000000000000000000000000</x:v>
      </x:c>
      <x:c r="O1759" s="235" t="n">
        <x:v>1707.6211</x:v>
      </x:c>
      <x:c r="P1759" s="235"/>
      <x:c r="Q1759" s="235"/>
      <x:c r="R1759" s="235" t="str">
        <x:v>INVOICE_OR_PLAN</x:v>
      </x:c>
      <x:c r="S1759" s="238" t="n">
        <x:f>'Model_Calc'!AL297</x:f>
        <x:v>1707.6211425000004</x:v>
      </x:c>
      <x:c r="T1759" s="238" t="n">
        <x:f>ROUND(S1759-O1759,4)</x:f>
        <x:v>0</x:v>
      </x:c>
    </x:row>
    <x:row r="1760">
      <x:c r="A1760" s="187" t="str">
        <x:v>SCENARIO_GROWTH_2026_08</x:v>
      </x:c>
      <x:c r="B1760" s="187" t="str">
        <x:v>SCENARIO</x:v>
      </x:c>
      <x:c r="C1760" s="187" t="str">
        <x:v>GROWTH</x:v>
      </x:c>
      <x:c r="D1760" s="217" t="n">
        <x:v>46296</x:v>
      </x:c>
      <x:c r="E1760" s="187" t="str">
        <x:v>R_DE_FR_B_ROAD</x:v>
      </x:c>
      <x:c r="F1760" s="187" t="str">
        <x:v>DE</x:v>
      </x:c>
      <x:c r="G1760" s="187" t="str">
        <x:v>FR_FC</x:v>
      </x:c>
      <x:c r="H1760" s="187" t="str">
        <x:v>CARRIER_B</x:v>
      </x:c>
      <x:c r="I1760" s="187" t="str">
        <x:v>ROAD</x:v>
      </x:c>
      <x:c r="J1760" s="187" t="str">
        <x:v>PACKAGING</x:v>
      </x:c>
      <x:c r="K1760" s="187" t="str">
        <x:v>EUR</x:v>
      </x:c>
      <x:c r="L1760" s="232" t="n">
        <x:v>84.4855596</x:v>
      </x:c>
      <x:c r="M1760" s="232" t="n">
        <x:v>7.9</x:v>
      </x:c>
      <x:c r="N1760" s="187" t="str">
        <x:v>667.43592084000000000000000000000000000000000000000000000000000000000000000000000</x:v>
      </x:c>
      <x:c r="O1760" s="235" t="n">
        <x:v>667.4359</x:v>
      </x:c>
      <x:c r="P1760" s="235"/>
      <x:c r="Q1760" s="235"/>
      <x:c r="R1760" s="235" t="str">
        <x:v>INVOICE_OR_PLAN</x:v>
      </x:c>
      <x:c r="S1760" s="238" t="n">
        <x:f>'Model_Calc'!AQ297</x:f>
        <x:v>667.43592084</x:v>
      </x:c>
      <x:c r="T1760" s="238" t="n">
        <x:f>ROUND(S1760-O1760,4)</x:f>
        <x:v>0</x:v>
      </x:c>
    </x:row>
    <x:row r="1761">
      <x:c r="A1761" s="187" t="str">
        <x:v>SCENARIO_GROWTH_2026_08</x:v>
      </x:c>
      <x:c r="B1761" s="187" t="str">
        <x:v>SCENARIO</x:v>
      </x:c>
      <x:c r="C1761" s="187" t="str">
        <x:v>GROWTH</x:v>
      </x:c>
      <x:c r="D1761" s="217" t="n">
        <x:v>46296</x:v>
      </x:c>
      <x:c r="E1761" s="187" t="str">
        <x:v>R_DE_FR_B_ROAD</x:v>
      </x:c>
      <x:c r="F1761" s="187" t="str">
        <x:v>DE</x:v>
      </x:c>
      <x:c r="G1761" s="187" t="str">
        <x:v>FR_FC</x:v>
      </x:c>
      <x:c r="H1761" s="187" t="str">
        <x:v>CARRIER_B</x:v>
      </x:c>
      <x:c r="I1761" s="187" t="str">
        <x:v>ROAD</x:v>
      </x:c>
      <x:c r="J1761" s="187" t="str">
        <x:v>RETURN_LOGISTICS</x:v>
      </x:c>
      <x:c r="K1761" s="187" t="str">
        <x:v>EUR</x:v>
      </x:c>
      <x:c r="L1761" s="232" t="n">
        <x:v>39.113685</x:v>
      </x:c>
      <x:c r="M1761" s="232" t="n">
        <x:v>7.9</x:v>
      </x:c>
      <x:c r="N1761" s="187" t="str">
        <x:v>308.99811150000000000000000000000000000000000000000000000000000000000000000000000</x:v>
      </x:c>
      <x:c r="O1761" s="235" t="n">
        <x:v>308.9981</x:v>
      </x:c>
      <x:c r="P1761" s="235"/>
      <x:c r="Q1761" s="235"/>
      <x:c r="R1761" s="235" t="str">
        <x:v>INVOICE_OR_PLAN</x:v>
      </x:c>
      <x:c r="S1761" s="238" t="n">
        <x:f>'Model_Calc'!AV297</x:f>
        <x:v>308.9981115</x:v>
      </x:c>
      <x:c r="T1761" s="238" t="n">
        <x:f>ROUND(S1761-O1761,4)</x:f>
        <x:v>0</x:v>
      </x:c>
    </x:row>
    <x:row r="1762">
      <x:c r="A1762" s="187" t="str">
        <x:v>SCENARIO_GROWTH_2026_08</x:v>
      </x:c>
      <x:c r="B1762" s="187" t="str">
        <x:v>SCENARIO</x:v>
      </x:c>
      <x:c r="C1762" s="187" t="str">
        <x:v>GROWTH</x:v>
      </x:c>
      <x:c r="D1762" s="217" t="n">
        <x:v>46296</x:v>
      </x:c>
      <x:c r="E1762" s="187" t="str">
        <x:v>R_DE_FR_B_ROAD</x:v>
      </x:c>
      <x:c r="F1762" s="187" t="str">
        <x:v>DE</x:v>
      </x:c>
      <x:c r="G1762" s="187" t="str">
        <x:v>FR_FC</x:v>
      </x:c>
      <x:c r="H1762" s="187" t="str">
        <x:v>CARRIER_B</x:v>
      </x:c>
      <x:c r="I1762" s="187" t="str">
        <x:v>ROAD</x:v>
      </x:c>
      <x:c r="J1762" s="187" t="str">
        <x:v>BILLABLE_EXCEPTION</x:v>
      </x:c>
      <x:c r="K1762" s="187" t="str">
        <x:v>EUR</x:v>
      </x:c>
      <x:c r="L1762" s="232" t="n">
        <x:v>7.159039524</x:v>
      </x:c>
      <x:c r="M1762" s="232" t="n">
        <x:v>7.9</x:v>
      </x:c>
      <x:c r="N1762" s="187" t="str">
        <x:v>56.556412239600000000000000000000000000000000000000000000000000000000000000000000</x:v>
      </x:c>
      <x:c r="O1762" s="235" t="n">
        <x:v>56.5564</x:v>
      </x:c>
      <x:c r="P1762" s="235"/>
      <x:c r="Q1762" s="235"/>
      <x:c r="R1762" s="235" t="str">
        <x:v>INVOICE_OR_PLAN</x:v>
      </x:c>
      <x:c r="S1762" s="238" t="n">
        <x:f>'Model_Calc'!BA297</x:f>
        <x:v>56.55641223960001</x:v>
      </x:c>
      <x:c r="T1762" s="238" t="n">
        <x:f>ROUND(S1762-O1762,4)</x:f>
        <x:v>0</x:v>
      </x:c>
    </x:row>
    <x:row r="1763">
      <x:c r="A1763" s="187" t="str">
        <x:v>SCENARIO_GROWTH_2026_08</x:v>
      </x:c>
      <x:c r="B1763" s="187" t="str">
        <x:v>SCENARIO</x:v>
      </x:c>
      <x:c r="C1763" s="187" t="str">
        <x:v>GROWTH</x:v>
      </x:c>
      <x:c r="D1763" s="217" t="n">
        <x:v>46296</x:v>
      </x:c>
      <x:c r="E1763" s="187" t="str">
        <x:v>R_FR_FR_A_ROAD</x:v>
      </x:c>
      <x:c r="F1763" s="187" t="str">
        <x:v>FR</x:v>
      </x:c>
      <x:c r="G1763" s="187" t="str">
        <x:v>FR_FC</x:v>
      </x:c>
      <x:c r="H1763" s="187" t="str">
        <x:v>CARRIER_A</x:v>
      </x:c>
      <x:c r="I1763" s="187" t="str">
        <x:v>ROAD</x:v>
      </x:c>
      <x:c r="J1763" s="187" t="str">
        <x:v>BASE_FREIGHT</x:v>
      </x:c>
      <x:c r="K1763" s="187" t="str">
        <x:v>EUR</x:v>
      </x:c>
      <x:c r="L1763" s="232" t="n">
        <x:v>3620.96549451</x:v>
      </x:c>
      <x:c r="M1763" s="232" t="n">
        <x:v>7.9</x:v>
      </x:c>
      <x:c r="N1763" s="187" t="str">
        <x:v>28605.627406629000000000000000000000000000000000000000000000000000000000000000000</x:v>
      </x:c>
      <x:c r="O1763" s="235" t="n">
        <x:v>28605.6274</x:v>
      </x:c>
      <x:c r="P1763" s="235"/>
      <x:c r="Q1763" s="235"/>
      <x:c r="R1763" s="235" t="str">
        <x:v>INVOICE_OR_PLAN</x:v>
      </x:c>
      <x:c r="S1763" s="238" t="n">
        <x:f>'Model_Calc'!AF298</x:f>
        <x:v>28605.627406628995</x:v>
      </x:c>
      <x:c r="T1763" s="238" t="n">
        <x:f>ROUND(S1763-O1763,4)</x:f>
        <x:v>0</x:v>
      </x:c>
    </x:row>
    <x:row r="1764">
      <x:c r="A1764" s="187" t="str">
        <x:v>SCENARIO_GROWTH_2026_08</x:v>
      </x:c>
      <x:c r="B1764" s="187" t="str">
        <x:v>SCENARIO</x:v>
      </x:c>
      <x:c r="C1764" s="187" t="str">
        <x:v>GROWTH</x:v>
      </x:c>
      <x:c r="D1764" s="217" t="n">
        <x:v>46296</x:v>
      </x:c>
      <x:c r="E1764" s="187" t="str">
        <x:v>R_FR_FR_A_ROAD</x:v>
      </x:c>
      <x:c r="F1764" s="187" t="str">
        <x:v>FR</x:v>
      </x:c>
      <x:c r="G1764" s="187" t="str">
        <x:v>FR_FC</x:v>
      </x:c>
      <x:c r="H1764" s="187" t="str">
        <x:v>CARRIER_A</x:v>
      </x:c>
      <x:c r="I1764" s="187" t="str">
        <x:v>ROAD</x:v>
      </x:c>
      <x:c r="J1764" s="187" t="str">
        <x:v>FUEL_SURCHARGE</x:v>
      </x:c>
      <x:c r="K1764" s="187" t="str">
        <x:v>EUR</x:v>
      </x:c>
      <x:c r="L1764" s="232" t="n">
        <x:v>337.2929358136065</x:v>
      </x:c>
      <x:c r="M1764" s="232" t="n">
        <x:v>7.9</x:v>
      </x:c>
      <x:c r="N1764" s="187" t="str">
        <x:v>2664.6141929274913500000000000000000000000000000000000000000000000000000000000000</x:v>
      </x:c>
      <x:c r="O1764" s="235" t="n">
        <x:v>2664.6142</x:v>
      </x:c>
      <x:c r="P1764" s="235"/>
      <x:c r="Q1764" s="235"/>
      <x:c r="R1764" s="235" t="str">
        <x:v>INVOICE_OR_PLAN</x:v>
      </x:c>
      <x:c r="S1764" s="238" t="n">
        <x:f>'Model_Calc'!AG298</x:f>
        <x:v>2664.6141929274904</x:v>
      </x:c>
      <x:c r="T1764" s="238" t="n">
        <x:f>ROUND(S1764-O1764,4)</x:f>
        <x:v>0</x:v>
      </x:c>
    </x:row>
    <x:row r="1765">
      <x:c r="A1765" s="187" t="str">
        <x:v>SCENARIO_GROWTH_2026_08</x:v>
      </x:c>
      <x:c r="B1765" s="187" t="str">
        <x:v>SCENARIO</x:v>
      </x:c>
      <x:c r="C1765" s="187" t="str">
        <x:v>GROWTH</x:v>
      </x:c>
      <x:c r="D1765" s="217" t="n">
        <x:v>46296</x:v>
      </x:c>
      <x:c r="E1765" s="187" t="str">
        <x:v>R_FR_FR_A_ROAD</x:v>
      </x:c>
      <x:c r="F1765" s="187" t="str">
        <x:v>FR</x:v>
      </x:c>
      <x:c r="G1765" s="187" t="str">
        <x:v>FR_FC</x:v>
      </x:c>
      <x:c r="H1765" s="187" t="str">
        <x:v>CARRIER_A</x:v>
      </x:c>
      <x:c r="I1765" s="187" t="str">
        <x:v>ROAD</x:v>
      </x:c>
      <x:c r="J1765" s="187" t="str">
        <x:v>WAREHOUSE_OPERATION</x:v>
      </x:c>
      <x:c r="K1765" s="187" t="str">
        <x:v>EUR</x:v>
      </x:c>
      <x:c r="L1765" s="232" t="n">
        <x:v>2225.120625</x:v>
      </x:c>
      <x:c r="M1765" s="232" t="n">
        <x:v>7.9</x:v>
      </x:c>
      <x:c r="N1765" s="187" t="str">
        <x:v>17578.452937500000000000000000000000000000000000000000000000000000000000000000000</x:v>
      </x:c>
      <x:c r="O1765" s="235" t="n">
        <x:v>17578.4529</x:v>
      </x:c>
      <x:c r="P1765" s="235"/>
      <x:c r="Q1765" s="235"/>
      <x:c r="R1765" s="235" t="str">
        <x:v>INVOICE_OR_PLAN</x:v>
      </x:c>
      <x:c r="S1765" s="238" t="n">
        <x:f>'Model_Calc'!AL298</x:f>
        <x:v>17578.4529375</x:v>
      </x:c>
      <x:c r="T1765" s="238" t="n">
        <x:f>ROUND(S1765-O1765,4)</x:f>
        <x:v>0</x:v>
      </x:c>
    </x:row>
    <x:row r="1766">
      <x:c r="A1766" s="187" t="str">
        <x:v>SCENARIO_GROWTH_2026_08</x:v>
      </x:c>
      <x:c r="B1766" s="187" t="str">
        <x:v>SCENARIO</x:v>
      </x:c>
      <x:c r="C1766" s="187" t="str">
        <x:v>GROWTH</x:v>
      </x:c>
      <x:c r="D1766" s="217" t="n">
        <x:v>46296</x:v>
      </x:c>
      <x:c r="E1766" s="187" t="str">
        <x:v>R_FR_FR_A_ROAD</x:v>
      </x:c>
      <x:c r="F1766" s="187" t="str">
        <x:v>FR</x:v>
      </x:c>
      <x:c r="G1766" s="187" t="str">
        <x:v>FR_FC</x:v>
      </x:c>
      <x:c r="H1766" s="187" t="str">
        <x:v>CARRIER_A</x:v>
      </x:c>
      <x:c r="I1766" s="187" t="str">
        <x:v>ROAD</x:v>
      </x:c>
      <x:c r="J1766" s="187" t="str">
        <x:v>PACKAGING</x:v>
      </x:c>
      <x:c r="K1766" s="187" t="str">
        <x:v>EUR</x:v>
      </x:c>
      <x:c r="L1766" s="232" t="n">
        <x:v>853.598655</x:v>
      </x:c>
      <x:c r="M1766" s="232" t="n">
        <x:v>7.9</x:v>
      </x:c>
      <x:c r="N1766" s="187" t="str">
        <x:v>6743.4293745000000000000000000000000000000000000000000000000000000000000000000000</x:v>
      </x:c>
      <x:c r="O1766" s="235" t="n">
        <x:v>6743.4294</x:v>
      </x:c>
      <x:c r="P1766" s="235"/>
      <x:c r="Q1766" s="235"/>
      <x:c r="R1766" s="235" t="str">
        <x:v>INVOICE_OR_PLAN</x:v>
      </x:c>
      <x:c r="S1766" s="238" t="n">
        <x:f>'Model_Calc'!AQ298</x:f>
        <x:v>6743.429374499999</x:v>
      </x:c>
      <x:c r="T1766" s="238" t="n">
        <x:f>ROUND(S1766-O1766,4)</x:f>
        <x:v>0</x:v>
      </x:c>
    </x:row>
    <x:row r="1767">
      <x:c r="A1767" s="187" t="str">
        <x:v>SCENARIO_GROWTH_2026_08</x:v>
      </x:c>
      <x:c r="B1767" s="187" t="str">
        <x:v>SCENARIO</x:v>
      </x:c>
      <x:c r="C1767" s="187" t="str">
        <x:v>GROWTH</x:v>
      </x:c>
      <x:c r="D1767" s="217" t="n">
        <x:v>46296</x:v>
      </x:c>
      <x:c r="E1767" s="187" t="str">
        <x:v>R_FR_FR_A_ROAD</x:v>
      </x:c>
      <x:c r="F1767" s="187" t="str">
        <x:v>FR</x:v>
      </x:c>
      <x:c r="G1767" s="187" t="str">
        <x:v>FR_FC</x:v>
      </x:c>
      <x:c r="H1767" s="187" t="str">
        <x:v>CARRIER_A</x:v>
      </x:c>
      <x:c r="I1767" s="187" t="str">
        <x:v>ROAD</x:v>
      </x:c>
      <x:c r="J1767" s="187" t="str">
        <x:v>RETURN_LOGISTICS</x:v>
      </x:c>
      <x:c r="K1767" s="187" t="str">
        <x:v>EUR</x:v>
      </x:c>
      <x:c r="L1767" s="232" t="n">
        <x:v>381.44925</x:v>
      </x:c>
      <x:c r="M1767" s="232" t="n">
        <x:v>7.9</x:v>
      </x:c>
      <x:c r="N1767" s="187" t="str">
        <x:v>3013.4490750000000000000000000000000000000000000000000000000000000000000000000000</x:v>
      </x:c>
      <x:c r="O1767" s="235" t="n">
        <x:v>3013.4491</x:v>
      </x:c>
      <x:c r="P1767" s="235"/>
      <x:c r="Q1767" s="235"/>
      <x:c r="R1767" s="235" t="str">
        <x:v>INVOICE_OR_PLAN</x:v>
      </x:c>
      <x:c r="S1767" s="238" t="n">
        <x:f>'Model_Calc'!AV298</x:f>
        <x:v>3013.449074999999</x:v>
      </x:c>
      <x:c r="T1767" s="238" t="n">
        <x:f>ROUND(S1767-O1767,4)</x:f>
        <x:v>0</x:v>
      </x:c>
    </x:row>
    <x:row r="1768">
      <x:c r="A1768" s="187" t="str">
        <x:v>SCENARIO_GROWTH_2026_08</x:v>
      </x:c>
      <x:c r="B1768" s="187" t="str">
        <x:v>SCENARIO</x:v>
      </x:c>
      <x:c r="C1768" s="187" t="str">
        <x:v>GROWTH</x:v>
      </x:c>
      <x:c r="D1768" s="217" t="n">
        <x:v>46296</x:v>
      </x:c>
      <x:c r="E1768" s="187" t="str">
        <x:v>R_FR_FR_A_ROAD</x:v>
      </x:c>
      <x:c r="F1768" s="187" t="str">
        <x:v>FR</x:v>
      </x:c>
      <x:c r="G1768" s="187" t="str">
        <x:v>FR_FC</x:v>
      </x:c>
      <x:c r="H1768" s="187" t="str">
        <x:v>CARRIER_A</x:v>
      </x:c>
      <x:c r="I1768" s="187" t="str">
        <x:v>ROAD</x:v>
      </x:c>
      <x:c r="J1768" s="187" t="str">
        <x:v>BILLABLE_EXCEPTION</x:v>
      </x:c>
      <x:c r="K1768" s="187" t="str">
        <x:v>EUR</x:v>
      </x:c>
      <x:c r="L1768" s="232" t="n">
        <x:v>87.830808975</x:v>
      </x:c>
      <x:c r="M1768" s="232" t="n">
        <x:v>7.9</x:v>
      </x:c>
      <x:c r="N1768" s="187" t="str">
        <x:v>693.86339090250000000000000000000000000000000000000000000000000000000000000000000</x:v>
      </x:c>
      <x:c r="O1768" s="235" t="n">
        <x:v>693.8634</x:v>
      </x:c>
      <x:c r="P1768" s="235"/>
      <x:c r="Q1768" s="235"/>
      <x:c r="R1768" s="235" t="str">
        <x:v>INVOICE_OR_PLAN</x:v>
      </x:c>
      <x:c r="S1768" s="238" t="n">
        <x:f>'Model_Calc'!BA298</x:f>
        <x:v>693.8633909024999</x:v>
      </x:c>
      <x:c r="T1768" s="238" t="n">
        <x:f>ROUND(S1768-O1768,4)</x:f>
        <x:v>0</x:v>
      </x:c>
    </x:row>
    <x:row r="1769">
      <x:c r="A1769" s="187" t="str">
        <x:v>SCENARIO_GROWTH_2026_08</x:v>
      </x:c>
      <x:c r="B1769" s="187" t="str">
        <x:v>SCENARIO</x:v>
      </x:c>
      <x:c r="C1769" s="187" t="str">
        <x:v>GROWTH</x:v>
      </x:c>
      <x:c r="D1769" s="217" t="n">
        <x:v>46296</x:v>
      </x:c>
      <x:c r="E1769" s="187" t="str">
        <x:v>R_FR_FR_B_ROAD</x:v>
      </x:c>
      <x:c r="F1769" s="187" t="str">
        <x:v>FR</x:v>
      </x:c>
      <x:c r="G1769" s="187" t="str">
        <x:v>FR_FC</x:v>
      </x:c>
      <x:c r="H1769" s="187" t="str">
        <x:v>CARRIER_B</x:v>
      </x:c>
      <x:c r="I1769" s="187" t="str">
        <x:v>ROAD</x:v>
      </x:c>
      <x:c r="J1769" s="187" t="str">
        <x:v>BASE_FREIGHT</x:v>
      </x:c>
      <x:c r="K1769" s="187" t="str">
        <x:v>EUR</x:v>
      </x:c>
      <x:c r="L1769" s="232" t="n">
        <x:v>8654.405713785</x:v>
      </x:c>
      <x:c r="M1769" s="232" t="n">
        <x:v>7.9</x:v>
      </x:c>
      <x:c r="N1769" s="187" t="str">
        <x:v>68369.805138901500000000000000000000000000000000000000000000000000000000000000000</x:v>
      </x:c>
      <x:c r="O1769" s="235" t="n">
        <x:v>68369.8051</x:v>
      </x:c>
      <x:c r="P1769" s="235"/>
      <x:c r="Q1769" s="235"/>
      <x:c r="R1769" s="235" t="str">
        <x:v>INVOICE_OR_PLAN</x:v>
      </x:c>
      <x:c r="S1769" s="238" t="n">
        <x:f>'Model_Calc'!AF299</x:f>
        <x:v>68369.8051389015</x:v>
      </x:c>
      <x:c r="T1769" s="238" t="n">
        <x:f>ROUND(S1769-O1769,4)</x:f>
        <x:v>0</x:v>
      </x:c>
    </x:row>
    <x:row r="1770">
      <x:c r="A1770" s="187" t="str">
        <x:v>SCENARIO_GROWTH_2026_08</x:v>
      </x:c>
      <x:c r="B1770" s="187" t="str">
        <x:v>SCENARIO</x:v>
      </x:c>
      <x:c r="C1770" s="187" t="str">
        <x:v>GROWTH</x:v>
      </x:c>
      <x:c r="D1770" s="217" t="n">
        <x:v>46296</x:v>
      </x:c>
      <x:c r="E1770" s="187" t="str">
        <x:v>R_FR_FR_B_ROAD</x:v>
      </x:c>
      <x:c r="F1770" s="187" t="str">
        <x:v>FR</x:v>
      </x:c>
      <x:c r="G1770" s="187" t="str">
        <x:v>FR_FC</x:v>
      </x:c>
      <x:c r="H1770" s="187" t="str">
        <x:v>CARRIER_B</x:v>
      </x:c>
      <x:c r="I1770" s="187" t="str">
        <x:v>ROAD</x:v>
      </x:c>
      <x:c r="J1770" s="187" t="str">
        <x:v>FUEL_SURCHARGE</x:v>
      </x:c>
      <x:c r="K1770" s="187" t="str">
        <x:v>EUR</x:v>
      </x:c>
      <x:c r="L1770" s="232" t="n">
        <x:v>665.723516445</x:v>
      </x:c>
      <x:c r="M1770" s="232" t="n">
        <x:v>7.9</x:v>
      </x:c>
      <x:c r="N1770" s="187" t="str">
        <x:v>5259.2157799155000000000000000000000000000000000000000000000000000000000000000000</x:v>
      </x:c>
      <x:c r="O1770" s="235" t="n">
        <x:v>5259.2158</x:v>
      </x:c>
      <x:c r="P1770" s="235"/>
      <x:c r="Q1770" s="235"/>
      <x:c r="R1770" s="235" t="str">
        <x:v>INVOICE_OR_PLAN</x:v>
      </x:c>
      <x:c r="S1770" s="238" t="n">
        <x:f>'Model_Calc'!AG299</x:f>
        <x:v>5259.215779915499</x:v>
      </x:c>
      <x:c r="T1770" s="238" t="n">
        <x:f>ROUND(S1770-O1770,4)</x:f>
        <x:v>0</x:v>
      </x:c>
    </x:row>
    <x:row r="1771">
      <x:c r="A1771" s="187" t="str">
        <x:v>SCENARIO_GROWTH_2026_08</x:v>
      </x:c>
      <x:c r="B1771" s="187" t="str">
        <x:v>SCENARIO</x:v>
      </x:c>
      <x:c r="C1771" s="187" t="str">
        <x:v>GROWTH</x:v>
      </x:c>
      <x:c r="D1771" s="217" t="n">
        <x:v>46296</x:v>
      </x:c>
      <x:c r="E1771" s="187" t="str">
        <x:v>R_FR_FR_B_ROAD</x:v>
      </x:c>
      <x:c r="F1771" s="187" t="str">
        <x:v>FR</x:v>
      </x:c>
      <x:c r="G1771" s="187" t="str">
        <x:v>FR_FC</x:v>
      </x:c>
      <x:c r="H1771" s="187" t="str">
        <x:v>CARRIER_B</x:v>
      </x:c>
      <x:c r="I1771" s="187" t="str">
        <x:v>ROAD</x:v>
      </x:c>
      <x:c r="J1771" s="187" t="str">
        <x:v>WAREHOUSE_OPERATION</x:v>
      </x:c>
      <x:c r="K1771" s="187" t="str">
        <x:v>EUR</x:v>
      </x:c>
      <x:c r="L1771" s="232" t="n">
        <x:v>4132.366875</x:v>
      </x:c>
      <x:c r="M1771" s="232" t="n">
        <x:v>7.9</x:v>
      </x:c>
      <x:c r="N1771" s="187" t="str">
        <x:v>32645.698312500000000000000000000000000000000000000000000000000000000000000000000</x:v>
      </x:c>
      <x:c r="O1771" s="235" t="n">
        <x:v>32645.6983</x:v>
      </x:c>
      <x:c r="P1771" s="235"/>
      <x:c r="Q1771" s="235"/>
      <x:c r="R1771" s="235" t="str">
        <x:v>INVOICE_OR_PLAN</x:v>
      </x:c>
      <x:c r="S1771" s="238" t="n">
        <x:f>'Model_Calc'!AL299</x:f>
        <x:v>32645.6983125</x:v>
      </x:c>
      <x:c r="T1771" s="238" t="n">
        <x:f>ROUND(S1771-O1771,4)</x:f>
        <x:v>0</x:v>
      </x:c>
    </x:row>
    <x:row r="1772">
      <x:c r="A1772" s="187" t="str">
        <x:v>SCENARIO_GROWTH_2026_08</x:v>
      </x:c>
      <x:c r="B1772" s="187" t="str">
        <x:v>SCENARIO</x:v>
      </x:c>
      <x:c r="C1772" s="187" t="str">
        <x:v>GROWTH</x:v>
      </x:c>
      <x:c r="D1772" s="217" t="n">
        <x:v>46296</x:v>
      </x:c>
      <x:c r="E1772" s="187" t="str">
        <x:v>R_FR_FR_B_ROAD</x:v>
      </x:c>
      <x:c r="F1772" s="187" t="str">
        <x:v>FR</x:v>
      </x:c>
      <x:c r="G1772" s="187" t="str">
        <x:v>FR_FC</x:v>
      </x:c>
      <x:c r="H1772" s="187" t="str">
        <x:v>CARRIER_B</x:v>
      </x:c>
      <x:c r="I1772" s="187" t="str">
        <x:v>ROAD</x:v>
      </x:c>
      <x:c r="J1772" s="187" t="str">
        <x:v>PACKAGING</x:v>
      </x:c>
      <x:c r="K1772" s="187" t="str">
        <x:v>EUR</x:v>
      </x:c>
      <x:c r="L1772" s="232" t="n">
        <x:v>1585.254645</x:v>
      </x:c>
      <x:c r="M1772" s="232" t="n">
        <x:v>7.9</x:v>
      </x:c>
      <x:c r="N1772" s="187" t="str">
        <x:v>12523.511695500000000000000000000000000000000000000000000000000000000000000000000</x:v>
      </x:c>
      <x:c r="O1772" s="235" t="n">
        <x:v>12523.5117</x:v>
      </x:c>
      <x:c r="P1772" s="235"/>
      <x:c r="Q1772" s="235"/>
      <x:c r="R1772" s="235" t="str">
        <x:v>INVOICE_OR_PLAN</x:v>
      </x:c>
      <x:c r="S1772" s="238" t="n">
        <x:f>'Model_Calc'!AQ299</x:f>
        <x:v>12523.5116955</x:v>
      </x:c>
      <x:c r="T1772" s="238" t="n">
        <x:f>ROUND(S1772-O1772,4)</x:f>
        <x:v>0</x:v>
      </x:c>
    </x:row>
    <x:row r="1773">
      <x:c r="A1773" s="187" t="str">
        <x:v>SCENARIO_GROWTH_2026_08</x:v>
      </x:c>
      <x:c r="B1773" s="187" t="str">
        <x:v>SCENARIO</x:v>
      </x:c>
      <x:c r="C1773" s="187" t="str">
        <x:v>GROWTH</x:v>
      </x:c>
      <x:c r="D1773" s="217" t="n">
        <x:v>46296</x:v>
      </x:c>
      <x:c r="E1773" s="187" t="str">
        <x:v>R_FR_FR_B_ROAD</x:v>
      </x:c>
      <x:c r="F1773" s="187" t="str">
        <x:v>FR</x:v>
      </x:c>
      <x:c r="G1773" s="187" t="str">
        <x:v>FR_FC</x:v>
      </x:c>
      <x:c r="H1773" s="187" t="str">
        <x:v>CARRIER_B</x:v>
      </x:c>
      <x:c r="I1773" s="187" t="str">
        <x:v>ROAD</x:v>
      </x:c>
      <x:c r="J1773" s="187" t="str">
        <x:v>RETURN_LOGISTICS</x:v>
      </x:c>
      <x:c r="K1773" s="187" t="str">
        <x:v>EUR</x:v>
      </x:c>
      <x:c r="L1773" s="232" t="n">
        <x:v>708.40575</x:v>
      </x:c>
      <x:c r="M1773" s="232" t="n">
        <x:v>7.9</x:v>
      </x:c>
      <x:c r="N1773" s="187" t="str">
        <x:v>5596.4054250000000000000000000000000000000000000000000000000000000000000000000000</x:v>
      </x:c>
      <x:c r="O1773" s="235" t="n">
        <x:v>5596.4054</x:v>
      </x:c>
      <x:c r="P1773" s="235"/>
      <x:c r="Q1773" s="235"/>
      <x:c r="R1773" s="235" t="str">
        <x:v>INVOICE_OR_PLAN</x:v>
      </x:c>
      <x:c r="S1773" s="238" t="n">
        <x:f>'Model_Calc'!AV299</x:f>
        <x:v>5596.405424999999</x:v>
      </x:c>
      <x:c r="T1773" s="238" t="n">
        <x:f>ROUND(S1773-O1773,4)</x:f>
        <x:v>0</x:v>
      </x:c>
    </x:row>
    <x:row r="1774">
      <x:c r="A1774" s="187" t="str">
        <x:v>SCENARIO_GROWTH_2026_08</x:v>
      </x:c>
      <x:c r="B1774" s="187" t="str">
        <x:v>SCENARIO</x:v>
      </x:c>
      <x:c r="C1774" s="187" t="str">
        <x:v>GROWTH</x:v>
      </x:c>
      <x:c r="D1774" s="217" t="n">
        <x:v>46296</x:v>
      </x:c>
      <x:c r="E1774" s="187" t="str">
        <x:v>R_FR_FR_B_ROAD</x:v>
      </x:c>
      <x:c r="F1774" s="187" t="str">
        <x:v>FR</x:v>
      </x:c>
      <x:c r="G1774" s="187" t="str">
        <x:v>FR_FC</x:v>
      </x:c>
      <x:c r="H1774" s="187" t="str">
        <x:v>CARRIER_B</x:v>
      </x:c>
      <x:c r="I1774" s="187" t="str">
        <x:v>ROAD</x:v>
      </x:c>
      <x:c r="J1774" s="187" t="str">
        <x:v>BILLABLE_EXCEPTION</x:v>
      </x:c>
      <x:c r="K1774" s="187" t="str">
        <x:v>EUR</x:v>
      </x:c>
      <x:c r="L1774" s="232" t="n">
        <x:v>134.32947255</x:v>
      </x:c>
      <x:c r="M1774" s="232" t="n">
        <x:v>7.9</x:v>
      </x:c>
      <x:c r="N1774" s="187" t="str">
        <x:v>1061.2028331450000000000000000000000000000000000000000000000000000000000000000000</x:v>
      </x:c>
      <x:c r="O1774" s="235" t="n">
        <x:v>1061.2028</x:v>
      </x:c>
      <x:c r="P1774" s="235"/>
      <x:c r="Q1774" s="235"/>
      <x:c r="R1774" s="235" t="str">
        <x:v>INVOICE_OR_PLAN</x:v>
      </x:c>
      <x:c r="S1774" s="238" t="n">
        <x:f>'Model_Calc'!BA299</x:f>
        <x:v>1061.2028331449999</x:v>
      </x:c>
      <x:c r="T1774" s="238" t="n">
        <x:f>ROUND(S1774-O1774,4)</x:f>
        <x:v>0</x:v>
      </x:c>
    </x:row>
    <x:row r="1775">
      <x:c r="A1775" s="187" t="str">
        <x:v>SCENARIO_GROWTH_2026_08</x:v>
      </x:c>
      <x:c r="B1775" s="187" t="str">
        <x:v>SCENARIO</x:v>
      </x:c>
      <x:c r="C1775" s="187" t="str">
        <x:v>GROWTH</x:v>
      </x:c>
      <x:c r="D1775" s="217" t="n">
        <x:v>46296</x:v>
      </x:c>
      <x:c r="E1775" s="187" t="str">
        <x:v>R_GB_DE_A_ROAD</x:v>
      </x:c>
      <x:c r="F1775" s="187" t="str">
        <x:v>GB</x:v>
      </x:c>
      <x:c r="G1775" s="187" t="str">
        <x:v>DE_FC</x:v>
      </x:c>
      <x:c r="H1775" s="187" t="str">
        <x:v>CARRIER_A</x:v>
      </x:c>
      <x:c r="I1775" s="187" t="str">
        <x:v>ROAD</x:v>
      </x:c>
      <x:c r="J1775" s="187" t="str">
        <x:v>BASE_FREIGHT</x:v>
      </x:c>
      <x:c r="K1775" s="187" t="str">
        <x:v>GBP</x:v>
      </x:c>
      <x:c r="L1775" s="232" t="n">
        <x:v>13583.492624162673</x:v>
      </x:c>
      <x:c r="M1775" s="232" t="n">
        <x:v>9.1</x:v>
      </x:c>
      <x:c r="N1775" s="187" t="str">
        <x:v>123609.78287988032102400000000000000000000000000000000000000000000000000000000000</x:v>
      </x:c>
      <x:c r="O1775" s="235" t="n">
        <x:v>123609.7829</x:v>
      </x:c>
      <x:c r="P1775" s="235"/>
      <x:c r="Q1775" s="235"/>
      <x:c r="R1775" s="235" t="str">
        <x:v>INVOICE_OR_PLAN</x:v>
      </x:c>
      <x:c r="S1775" s="238" t="n">
        <x:f>'Model_Calc'!AF300</x:f>
        <x:v>123609.7828798803</x:v>
      </x:c>
      <x:c r="T1775" s="238" t="n">
        <x:f>ROUND(S1775-O1775,4)</x:f>
        <x:v>0</x:v>
      </x:c>
    </x:row>
    <x:row r="1776">
      <x:c r="A1776" s="187" t="str">
        <x:v>SCENARIO_GROWTH_2026_08</x:v>
      </x:c>
      <x:c r="B1776" s="187" t="str">
        <x:v>SCENARIO</x:v>
      </x:c>
      <x:c r="C1776" s="187" t="str">
        <x:v>GROWTH</x:v>
      </x:c>
      <x:c r="D1776" s="217" t="n">
        <x:v>46296</x:v>
      </x:c>
      <x:c r="E1776" s="187" t="str">
        <x:v>R_GB_DE_A_ROAD</x:v>
      </x:c>
      <x:c r="F1776" s="187" t="str">
        <x:v>GB</x:v>
      </x:c>
      <x:c r="G1776" s="187" t="str">
        <x:v>DE_FC</x:v>
      </x:c>
      <x:c r="H1776" s="187" t="str">
        <x:v>CARRIER_A</x:v>
      </x:c>
      <x:c r="I1776" s="187" t="str">
        <x:v>ROAD</x:v>
      </x:c>
      <x:c r="J1776" s="187" t="str">
        <x:v>FUEL_SURCHARGE</x:v>
      </x:c>
      <x:c r="K1776" s="187" t="str">
        <x:v>GBP</x:v>
      </x:c>
      <x:c r="L1776" s="232" t="n">
        <x:v>1405.8914866008365</x:v>
      </x:c>
      <x:c r="M1776" s="232" t="n">
        <x:v>9.1</x:v>
      </x:c>
      <x:c r="N1776" s="187" t="str">
        <x:v>12793.612528067613225984000000000000000000000000000000000000000000000000000000000</x:v>
      </x:c>
      <x:c r="O1776" s="235" t="n">
        <x:v>12793.6125</x:v>
      </x:c>
      <x:c r="P1776" s="235"/>
      <x:c r="Q1776" s="235"/>
      <x:c r="R1776" s="235" t="str">
        <x:v>INVOICE_OR_PLAN</x:v>
      </x:c>
      <x:c r="S1776" s="238" t="n">
        <x:f>'Model_Calc'!AG300</x:f>
        <x:v>12793.61252806761</x:v>
      </x:c>
      <x:c r="T1776" s="238" t="n">
        <x:f>ROUND(S1776-O1776,4)</x:f>
        <x:v>0</x:v>
      </x:c>
    </x:row>
    <x:row r="1777">
      <x:c r="A1777" s="187" t="str">
        <x:v>SCENARIO_GROWTH_2026_08</x:v>
      </x:c>
      <x:c r="B1777" s="187" t="str">
        <x:v>SCENARIO</x:v>
      </x:c>
      <x:c r="C1777" s="187" t="str">
        <x:v>GROWTH</x:v>
      </x:c>
      <x:c r="D1777" s="217" t="n">
        <x:v>46296</x:v>
      </x:c>
      <x:c r="E1777" s="187" t="str">
        <x:v>R_GB_DE_A_ROAD</x:v>
      </x:c>
      <x:c r="F1777" s="187" t="str">
        <x:v>GB</x:v>
      </x:c>
      <x:c r="G1777" s="187" t="str">
        <x:v>DE_FC</x:v>
      </x:c>
      <x:c r="H1777" s="187" t="str">
        <x:v>CARRIER_A</x:v>
      </x:c>
      <x:c r="I1777" s="187" t="str">
        <x:v>ROAD</x:v>
      </x:c>
      <x:c r="J1777" s="187" t="str">
        <x:v>WAREHOUSE_OPERATION</x:v>
      </x:c>
      <x:c r="K1777" s="187" t="str">
        <x:v>EUR</x:v>
      </x:c>
      <x:c r="L1777" s="232" t="n">
        <x:v>3259.31164416</x:v>
      </x:c>
      <x:c r="M1777" s="232" t="n">
        <x:v>7.9</x:v>
      </x:c>
      <x:c r="N1777" s="187" t="str">
        <x:v>25748.561988864000000000000000000000000000000000000000000000000000000000000000000</x:v>
      </x:c>
      <x:c r="O1777" s="235" t="n">
        <x:v>25748.562</x:v>
      </x:c>
      <x:c r="P1777" s="235"/>
      <x:c r="Q1777" s="235"/>
      <x:c r="R1777" s="235" t="str">
        <x:v>INVOICE_OR_PLAN</x:v>
      </x:c>
      <x:c r="S1777" s="238" t="n">
        <x:f>'Model_Calc'!AL300</x:f>
        <x:v>25748.561988864003</x:v>
      </x:c>
      <x:c r="T1777" s="238" t="n">
        <x:f>ROUND(S1777-O1777,4)</x:f>
        <x:v>0</x:v>
      </x:c>
    </x:row>
    <x:row r="1778">
      <x:c r="A1778" s="187" t="str">
        <x:v>SCENARIO_GROWTH_2026_08</x:v>
      </x:c>
      <x:c r="B1778" s="187" t="str">
        <x:v>SCENARIO</x:v>
      </x:c>
      <x:c r="C1778" s="187" t="str">
        <x:v>GROWTH</x:v>
      </x:c>
      <x:c r="D1778" s="217" t="n">
        <x:v>46296</x:v>
      </x:c>
      <x:c r="E1778" s="187" t="str">
        <x:v>R_GB_DE_A_ROAD</x:v>
      </x:c>
      <x:c r="F1778" s="187" t="str">
        <x:v>GB</x:v>
      </x:c>
      <x:c r="G1778" s="187" t="str">
        <x:v>DE_FC</x:v>
      </x:c>
      <x:c r="H1778" s="187" t="str">
        <x:v>CARRIER_A</x:v>
      </x:c>
      <x:c r="I1778" s="187" t="str">
        <x:v>ROAD</x:v>
      </x:c>
      <x:c r="J1778" s="187" t="str">
        <x:v>PACKAGING</x:v>
      </x:c>
      <x:c r="K1778" s="187" t="str">
        <x:v>EUR</x:v>
      </x:c>
      <x:c r="L1778" s="232" t="n">
        <x:v>1357.3099507968</x:v>
      </x:c>
      <x:c r="M1778" s="232" t="n">
        <x:v>7.9</x:v>
      </x:c>
      <x:c r="N1778" s="187" t="str">
        <x:v>10722.748611294720000000000000000000000000000000000000000000000000000000000000000</x:v>
      </x:c>
      <x:c r="O1778" s="235" t="n">
        <x:v>10722.7486</x:v>
      </x:c>
      <x:c r="P1778" s="235"/>
      <x:c r="Q1778" s="235"/>
      <x:c r="R1778" s="235" t="str">
        <x:v>INVOICE_OR_PLAN</x:v>
      </x:c>
      <x:c r="S1778" s="238" t="n">
        <x:f>'Model_Calc'!AQ300</x:f>
        <x:v>10722.748611294719</x:v>
      </x:c>
      <x:c r="T1778" s="238" t="n">
        <x:f>ROUND(S1778-O1778,4)</x:f>
        <x:v>0</x:v>
      </x:c>
    </x:row>
    <x:row r="1779">
      <x:c r="A1779" s="187" t="str">
        <x:v>SCENARIO_GROWTH_2026_08</x:v>
      </x:c>
      <x:c r="B1779" s="187" t="str">
        <x:v>SCENARIO</x:v>
      </x:c>
      <x:c r="C1779" s="187" t="str">
        <x:v>GROWTH</x:v>
      </x:c>
      <x:c r="D1779" s="217" t="n">
        <x:v>46296</x:v>
      </x:c>
      <x:c r="E1779" s="187" t="str">
        <x:v>R_GB_DE_A_ROAD</x:v>
      </x:c>
      <x:c r="F1779" s="187" t="str">
        <x:v>GB</x:v>
      </x:c>
      <x:c r="G1779" s="187" t="str">
        <x:v>DE_FC</x:v>
      </x:c>
      <x:c r="H1779" s="187" t="str">
        <x:v>CARRIER_A</x:v>
      </x:c>
      <x:c r="I1779" s="187" t="str">
        <x:v>ROAD</x:v>
      </x:c>
      <x:c r="J1779" s="187" t="str">
        <x:v>RETURN_LOGISTICS</x:v>
      </x:c>
      <x:c r="K1779" s="187" t="str">
        <x:v>GBP</x:v>
      </x:c>
      <x:c r="L1779" s="232" t="n">
        <x:v>1193.239517184</x:v>
      </x:c>
      <x:c r="M1779" s="232" t="n">
        <x:v>9.1</x:v>
      </x:c>
      <x:c r="N1779" s="187" t="str">
        <x:v>10858.479606374400000000000000000000000000000000000000000000000000000000000000000</x:v>
      </x:c>
      <x:c r="O1779" s="235" t="n">
        <x:v>10858.4796</x:v>
      </x:c>
      <x:c r="P1779" s="235"/>
      <x:c r="Q1779" s="235"/>
      <x:c r="R1779" s="235" t="str">
        <x:v>INVOICE_OR_PLAN</x:v>
      </x:c>
      <x:c r="S1779" s="238" t="n">
        <x:f>'Model_Calc'!AV300</x:f>
        <x:v>10858.479606374398</x:v>
      </x:c>
      <x:c r="T1779" s="238" t="n">
        <x:f>ROUND(S1779-O1779,4)</x:f>
        <x:v>0</x:v>
      </x:c>
    </x:row>
    <x:row r="1780">
      <x:c r="A1780" s="187" t="str">
        <x:v>SCENARIO_GROWTH_2026_08</x:v>
      </x:c>
      <x:c r="B1780" s="187" t="str">
        <x:v>SCENARIO</x:v>
      </x:c>
      <x:c r="C1780" s="187" t="str">
        <x:v>GROWTH</x:v>
      </x:c>
      <x:c r="D1780" s="217" t="n">
        <x:v>46296</x:v>
      </x:c>
      <x:c r="E1780" s="187" t="str">
        <x:v>R_GB_DE_A_ROAD</x:v>
      </x:c>
      <x:c r="F1780" s="187" t="str">
        <x:v>GB</x:v>
      </x:c>
      <x:c r="G1780" s="187" t="str">
        <x:v>DE_FC</x:v>
      </x:c>
      <x:c r="H1780" s="187" t="str">
        <x:v>CARRIER_A</x:v>
      </x:c>
      <x:c r="I1780" s="187" t="str">
        <x:v>ROAD</x:v>
      </x:c>
      <x:c r="J1780" s="187" t="str">
        <x:v>BILLABLE_EXCEPTION</x:v>
      </x:c>
      <x:c r="K1780" s="187" t="str">
        <x:v>GBP</x:v>
      </x:c>
      <x:c r="L1780" s="232" t="n">
        <x:v>200.687971296384</x:v>
      </x:c>
      <x:c r="M1780" s="232" t="n">
        <x:v>9.1</x:v>
      </x:c>
      <x:c r="N1780" s="187" t="str">
        <x:v>1826.2605387970944000000000000000000000000000000000000000000000000000000000000000</x:v>
      </x:c>
      <x:c r="O1780" s="235" t="n">
        <x:v>1826.2605</x:v>
      </x:c>
      <x:c r="P1780" s="235"/>
      <x:c r="Q1780" s="235"/>
      <x:c r="R1780" s="235" t="str">
        <x:v>INVOICE_OR_PLAN</x:v>
      </x:c>
      <x:c r="S1780" s="238" t="n">
        <x:f>'Model_Calc'!BA300</x:f>
        <x:v>1826.2605387970941</x:v>
      </x:c>
      <x:c r="T1780" s="238" t="n">
        <x:f>ROUND(S1780-O1780,4)</x:f>
        <x:v>0</x:v>
      </x:c>
    </x:row>
    <x:row r="1781">
      <x:c r="A1781" s="187" t="str">
        <x:v>SCENARIO_GROWTH_2026_08</x:v>
      </x:c>
      <x:c r="B1781" s="187" t="str">
        <x:v>SCENARIO</x:v>
      </x:c>
      <x:c r="C1781" s="187" t="str">
        <x:v>GROWTH</x:v>
      </x:c>
      <x:c r="D1781" s="217" t="n">
        <x:v>46296</x:v>
      </x:c>
      <x:c r="E1781" s="187" t="str">
        <x:v>R_GB_DE_B_ROAD</x:v>
      </x:c>
      <x:c r="F1781" s="187" t="str">
        <x:v>GB</x:v>
      </x:c>
      <x:c r="G1781" s="187" t="str">
        <x:v>DE_FC</x:v>
      </x:c>
      <x:c r="H1781" s="187" t="str">
        <x:v>CARRIER_B</x:v>
      </x:c>
      <x:c r="I1781" s="187" t="str">
        <x:v>ROAD</x:v>
      </x:c>
      <x:c r="J1781" s="187" t="str">
        <x:v>BASE_FREIGHT</x:v>
      </x:c>
      <x:c r="K1781" s="187" t="str">
        <x:v>GBP</x:v>
      </x:c>
      <x:c r="L1781" s="232" t="n">
        <x:v>8693.139342805633</x:v>
      </x:c>
      <x:c r="M1781" s="232" t="n">
        <x:v>9.1</x:v>
      </x:c>
      <x:c r="N1781" s="187" t="str">
        <x:v>79107.568019531251200000000000000000000000000000000000000000000000000000000000000</x:v>
      </x:c>
      <x:c r="O1781" s="235" t="n">
        <x:v>79107.568</x:v>
      </x:c>
      <x:c r="P1781" s="235"/>
      <x:c r="Q1781" s="235"/>
      <x:c r="R1781" s="235" t="str">
        <x:v>INVOICE_OR_PLAN</x:v>
      </x:c>
      <x:c r="S1781" s="238" t="n">
        <x:f>'Model_Calc'!AF301</x:f>
        <x:v>79107.56801953123</x:v>
      </x:c>
      <x:c r="T1781" s="238" t="n">
        <x:f>ROUND(S1781-O1781,4)</x:f>
        <x:v>0</x:v>
      </x:c>
    </x:row>
    <x:row r="1782">
      <x:c r="A1782" s="187" t="str">
        <x:v>SCENARIO_GROWTH_2026_08</x:v>
      </x:c>
      <x:c r="B1782" s="187" t="str">
        <x:v>SCENARIO</x:v>
      </x:c>
      <x:c r="C1782" s="187" t="str">
        <x:v>GROWTH</x:v>
      </x:c>
      <x:c r="D1782" s="217" t="n">
        <x:v>46296</x:v>
      </x:c>
      <x:c r="E1782" s="187" t="str">
        <x:v>R_GB_DE_B_ROAD</x:v>
      </x:c>
      <x:c r="F1782" s="187" t="str">
        <x:v>GB</x:v>
      </x:c>
      <x:c r="G1782" s="187" t="str">
        <x:v>DE_FC</x:v>
      </x:c>
      <x:c r="H1782" s="187" t="str">
        <x:v>CARRIER_B</x:v>
      </x:c>
      <x:c r="I1782" s="187" t="str">
        <x:v>ROAD</x:v>
      </x:c>
      <x:c r="J1782" s="187" t="str">
        <x:v>FUEL_SURCHARGE</x:v>
      </x:c>
      <x:c r="K1782" s="187" t="str">
        <x:v>GBP</x:v>
      </x:c>
      <x:c r="L1782" s="232" t="n">
        <x:v>610.3693581118848</x:v>
      </x:c>
      <x:c r="M1782" s="232" t="n">
        <x:v>9.1</x:v>
      </x:c>
      <x:c r="N1782" s="187" t="str">
        <x:v>5554.3611588181516800000000000000000000000000000000000000000000000000000000000000</x:v>
      </x:c>
      <x:c r="O1782" s="235" t="n">
        <x:v>5554.3612</x:v>
      </x:c>
      <x:c r="P1782" s="235"/>
      <x:c r="Q1782" s="235"/>
      <x:c r="R1782" s="235" t="str">
        <x:v>INVOICE_OR_PLAN</x:v>
      </x:c>
      <x:c r="S1782" s="238" t="n">
        <x:f>'Model_Calc'!AG301</x:f>
        <x:v>5554.361158818152</x:v>
      </x:c>
      <x:c r="T1782" s="238" t="n">
        <x:f>ROUND(S1782-O1782,4)</x:f>
        <x:v>0</x:v>
      </x:c>
    </x:row>
    <x:row r="1783">
      <x:c r="A1783" s="187" t="str">
        <x:v>SCENARIO_GROWTH_2026_08</x:v>
      </x:c>
      <x:c r="B1783" s="187" t="str">
        <x:v>SCENARIO</x:v>
      </x:c>
      <x:c r="C1783" s="187" t="str">
        <x:v>GROWTH</x:v>
      </x:c>
      <x:c r="D1783" s="217" t="n">
        <x:v>46296</x:v>
      </x:c>
      <x:c r="E1783" s="187" t="str">
        <x:v>R_GB_DE_B_ROAD</x:v>
      </x:c>
      <x:c r="F1783" s="187" t="str">
        <x:v>GB</x:v>
      </x:c>
      <x:c r="G1783" s="187" t="str">
        <x:v>DE_FC</x:v>
      </x:c>
      <x:c r="H1783" s="187" t="str">
        <x:v>CARRIER_B</x:v>
      </x:c>
      <x:c r="I1783" s="187" t="str">
        <x:v>ROAD</x:v>
      </x:c>
      <x:c r="J1783" s="187" t="str">
        <x:v>WAREHOUSE_OPERATION</x:v>
      </x:c>
      <x:c r="K1783" s="187" t="str">
        <x:v>EUR</x:v>
      </x:c>
      <x:c r="L1783" s="232" t="n">
        <x:v>1810.7286912</x:v>
      </x:c>
      <x:c r="M1783" s="232" t="n">
        <x:v>7.9</x:v>
      </x:c>
      <x:c r="N1783" s="187" t="str">
        <x:v>14304.756660480000000000000000000000000000000000000000000000000000000000000000000</x:v>
      </x:c>
      <x:c r="O1783" s="235" t="n">
        <x:v>14304.7567</x:v>
      </x:c>
      <x:c r="P1783" s="235"/>
      <x:c r="Q1783" s="235"/>
      <x:c r="R1783" s="235" t="str">
        <x:v>INVOICE_OR_PLAN</x:v>
      </x:c>
      <x:c r="S1783" s="238" t="n">
        <x:f>'Model_Calc'!AL301</x:f>
        <x:v>14304.756660480001</x:v>
      </x:c>
      <x:c r="T1783" s="238" t="n">
        <x:f>ROUND(S1783-O1783,4)</x:f>
        <x:v>0</x:v>
      </x:c>
    </x:row>
    <x:row r="1784">
      <x:c r="A1784" s="187" t="str">
        <x:v>SCENARIO_GROWTH_2026_08</x:v>
      </x:c>
      <x:c r="B1784" s="187" t="str">
        <x:v>SCENARIO</x:v>
      </x:c>
      <x:c r="C1784" s="187" t="str">
        <x:v>GROWTH</x:v>
      </x:c>
      <x:c r="D1784" s="217" t="n">
        <x:v>46296</x:v>
      </x:c>
      <x:c r="E1784" s="187" t="str">
        <x:v>R_GB_DE_B_ROAD</x:v>
      </x:c>
      <x:c r="F1784" s="187" t="str">
        <x:v>GB</x:v>
      </x:c>
      <x:c r="G1784" s="187" t="str">
        <x:v>DE_FC</x:v>
      </x:c>
      <x:c r="H1784" s="187" t="str">
        <x:v>CARRIER_B</x:v>
      </x:c>
      <x:c r="I1784" s="187" t="str">
        <x:v>ROAD</x:v>
      </x:c>
      <x:c r="J1784" s="187" t="str">
        <x:v>PACKAGING</x:v>
      </x:c>
      <x:c r="K1784" s="187" t="str">
        <x:v>EUR</x:v>
      </x:c>
      <x:c r="L1784" s="232" t="n">
        <x:v>754.061083776</x:v>
      </x:c>
      <x:c r="M1784" s="232" t="n">
        <x:v>7.9</x:v>
      </x:c>
      <x:c r="N1784" s="187" t="str">
        <x:v>5957.0825618304000000000000000000000000000000000000000000000000000000000000000000</x:v>
      </x:c>
      <x:c r="O1784" s="235" t="n">
        <x:v>5957.0826</x:v>
      </x:c>
      <x:c r="P1784" s="235"/>
      <x:c r="Q1784" s="235"/>
      <x:c r="R1784" s="235" t="str">
        <x:v>INVOICE_OR_PLAN</x:v>
      </x:c>
      <x:c r="S1784" s="238" t="n">
        <x:f>'Model_Calc'!AQ301</x:f>
        <x:v>5957.0825618304</x:v>
      </x:c>
      <x:c r="T1784" s="238" t="n">
        <x:f>ROUND(S1784-O1784,4)</x:f>
        <x:v>0</x:v>
      </x:c>
    </x:row>
    <x:row r="1785">
      <x:c r="A1785" s="187" t="str">
        <x:v>SCENARIO_GROWTH_2026_08</x:v>
      </x:c>
      <x:c r="B1785" s="187" t="str">
        <x:v>SCENARIO</x:v>
      </x:c>
      <x:c r="C1785" s="187" t="str">
        <x:v>GROWTH</x:v>
      </x:c>
      <x:c r="D1785" s="217" t="n">
        <x:v>46296</x:v>
      </x:c>
      <x:c r="E1785" s="187" t="str">
        <x:v>R_GB_DE_B_ROAD</x:v>
      </x:c>
      <x:c r="F1785" s="187" t="str">
        <x:v>GB</x:v>
      </x:c>
      <x:c r="G1785" s="187" t="str">
        <x:v>DE_FC</x:v>
      </x:c>
      <x:c r="H1785" s="187" t="str">
        <x:v>CARRIER_B</x:v>
      </x:c>
      <x:c r="I1785" s="187" t="str">
        <x:v>ROAD</x:v>
      </x:c>
      <x:c r="J1785" s="187" t="str">
        <x:v>RETURN_LOGISTICS</x:v>
      </x:c>
      <x:c r="K1785" s="187" t="str">
        <x:v>GBP</x:v>
      </x:c>
      <x:c r="L1785" s="232" t="n">
        <x:v>662.91084288</x:v>
      </x:c>
      <x:c r="M1785" s="232" t="n">
        <x:v>9.1</x:v>
      </x:c>
      <x:c r="N1785" s="187" t="str">
        <x:v>6032.4886702080000000000000000000000000000000000000000000000000000000000000000000</x:v>
      </x:c>
      <x:c r="O1785" s="235" t="n">
        <x:v>6032.4887</x:v>
      </x:c>
      <x:c r="P1785" s="235"/>
      <x:c r="Q1785" s="235"/>
      <x:c r="R1785" s="235" t="str">
        <x:v>INVOICE_OR_PLAN</x:v>
      </x:c>
      <x:c r="S1785" s="238" t="n">
        <x:f>'Model_Calc'!AV301</x:f>
        <x:v>6032.488670208</x:v>
      </x:c>
      <x:c r="T1785" s="238" t="n">
        <x:f>ROUND(S1785-O1785,4)</x:f>
        <x:v>0</x:v>
      </x:c>
    </x:row>
    <x:row r="1786">
      <x:c r="A1786" s="187" t="str">
        <x:v>SCENARIO_GROWTH_2026_08</x:v>
      </x:c>
      <x:c r="B1786" s="187" t="str">
        <x:v>SCENARIO</x:v>
      </x:c>
      <x:c r="C1786" s="187" t="str">
        <x:v>GROWTH</x:v>
      </x:c>
      <x:c r="D1786" s="217" t="n">
        <x:v>46296</x:v>
      </x:c>
      <x:c r="E1786" s="187" t="str">
        <x:v>R_GB_DE_B_ROAD</x:v>
      </x:c>
      <x:c r="F1786" s="187" t="str">
        <x:v>GB</x:v>
      </x:c>
      <x:c r="G1786" s="187" t="str">
        <x:v>DE_FC</x:v>
      </x:c>
      <x:c r="H1786" s="187" t="str">
        <x:v>CARRIER_B</x:v>
      </x:c>
      <x:c r="I1786" s="187" t="str">
        <x:v>ROAD</x:v>
      </x:c>
      <x:c r="J1786" s="187" t="str">
        <x:v>BILLABLE_EXCEPTION</x:v>
      </x:c>
      <x:c r="K1786" s="187" t="str">
        <x:v>GBP</x:v>
      </x:c>
      <x:c r="L1786" s="232" t="n">
        <x:v>82.5876425088</x:v>
      </x:c>
      <x:c r="M1786" s="232" t="n">
        <x:v>9.1</x:v>
      </x:c>
      <x:c r="N1786" s="187" t="str">
        <x:v>751.54754683008000000000000000000000000000000000000000000000000000000000000000000</x:v>
      </x:c>
      <x:c r="O1786" s="235" t="n">
        <x:v>751.5475</x:v>
      </x:c>
      <x:c r="P1786" s="235"/>
      <x:c r="Q1786" s="235"/>
      <x:c r="R1786" s="235" t="str">
        <x:v>INVOICE_OR_PLAN</x:v>
      </x:c>
      <x:c r="S1786" s="238" t="n">
        <x:f>'Model_Calc'!BA301</x:f>
        <x:v>751.54754683008</x:v>
      </x:c>
      <x:c r="T1786" s="238" t="n">
        <x:f>ROUND(S1786-O1786,4)</x:f>
        <x:v>0</x:v>
      </x:c>
    </x:row>
    <x:row r="1787">
      <x:c r="A1787" s="187" t="str">
        <x:v>SCENARIO_GROWTH_2026_08</x:v>
      </x:c>
      <x:c r="B1787" s="187" t="str">
        <x:v>SCENARIO</x:v>
      </x:c>
      <x:c r="C1787" s="187" t="str">
        <x:v>GROWTH</x:v>
      </x:c>
      <x:c r="D1787" s="217" t="n">
        <x:v>46296</x:v>
      </x:c>
      <x:c r="E1787" s="187" t="str">
        <x:v>R_GB_DE_B_AIR</x:v>
      </x:c>
      <x:c r="F1787" s="187" t="str">
        <x:v>GB</x:v>
      </x:c>
      <x:c r="G1787" s="187" t="str">
        <x:v>DE_FC</x:v>
      </x:c>
      <x:c r="H1787" s="187" t="str">
        <x:v>CARRIER_B</x:v>
      </x:c>
      <x:c r="I1787" s="187" t="str">
        <x:v>AIR</x:v>
      </x:c>
      <x:c r="J1787" s="187" t="str">
        <x:v>BASE_FREIGHT</x:v>
      </x:c>
      <x:c r="K1787" s="187" t="str">
        <x:v>GBP</x:v>
      </x:c>
      <x:c r="L1787" s="232" t="n">
        <x:v>13452.806995778572</x:v>
      </x:c>
      <x:c r="M1787" s="232" t="n">
        <x:v>9.1</x:v>
      </x:c>
      <x:c r="N1787" s="187" t="str">
        <x:v>122420.54366158500185702400000000000000000000000000000000000000000000000000000000</x:v>
      </x:c>
      <x:c r="O1787" s="235" t="n">
        <x:v>122420.5437</x:v>
      </x:c>
      <x:c r="P1787" s="235"/>
      <x:c r="Q1787" s="235"/>
      <x:c r="R1787" s="235" t="str">
        <x:v>INVOICE_OR_PLAN</x:v>
      </x:c>
      <x:c r="S1787" s="238" t="n">
        <x:f>'Model_Calc'!AF302</x:f>
        <x:v>122420.543661585</x:v>
      </x:c>
      <x:c r="T1787" s="238" t="n">
        <x:f>ROUND(S1787-O1787,4)</x:f>
        <x:v>0</x:v>
      </x:c>
    </x:row>
    <x:row r="1788">
      <x:c r="A1788" s="187" t="str">
        <x:v>SCENARIO_GROWTH_2026_08</x:v>
      </x:c>
      <x:c r="B1788" s="187" t="str">
        <x:v>SCENARIO</x:v>
      </x:c>
      <x:c r="C1788" s="187" t="str">
        <x:v>GROWTH</x:v>
      </x:c>
      <x:c r="D1788" s="217" t="n">
        <x:v>46296</x:v>
      </x:c>
      <x:c r="E1788" s="187" t="str">
        <x:v>R_GB_DE_B_AIR</x:v>
      </x:c>
      <x:c r="F1788" s="187" t="str">
        <x:v>GB</x:v>
      </x:c>
      <x:c r="G1788" s="187" t="str">
        <x:v>DE_FC</x:v>
      </x:c>
      <x:c r="H1788" s="187" t="str">
        <x:v>CARRIER_B</x:v>
      </x:c>
      <x:c r="I1788" s="187" t="str">
        <x:v>AIR</x:v>
      </x:c>
      <x:c r="J1788" s="187" t="str">
        <x:v>FUEL_SURCHARGE</x:v>
      </x:c>
      <x:c r="K1788" s="187" t="str">
        <x:v>GBP</x:v>
      </x:c>
      <x:c r="L1788" s="232" t="n">
        <x:v>1665.2691667794463</x:v>
      </x:c>
      <x:c r="M1788" s="232" t="n">
        <x:v>9.1</x:v>
      </x:c>
      <x:c r="N1788" s="187" t="str">
        <x:v>15153.949417692961039873572864000000000000000000000000000000000000000000000000000</x:v>
      </x:c>
      <x:c r="O1788" s="235" t="n">
        <x:v>15153.9494</x:v>
      </x:c>
      <x:c r="P1788" s="235"/>
      <x:c r="Q1788" s="235"/>
      <x:c r="R1788" s="235" t="str">
        <x:v>INVOICE_OR_PLAN</x:v>
      </x:c>
      <x:c r="S1788" s="238" t="n">
        <x:f>'Model_Calc'!AG302</x:f>
        <x:v>15153.94941769296</x:v>
      </x:c>
      <x:c r="T1788" s="238" t="n">
        <x:f>ROUND(S1788-O1788,4)</x:f>
        <x:v>0</x:v>
      </x:c>
    </x:row>
    <x:row r="1789">
      <x:c r="A1789" s="187" t="str">
        <x:v>SCENARIO_GROWTH_2026_08</x:v>
      </x:c>
      <x:c r="B1789" s="187" t="str">
        <x:v>SCENARIO</x:v>
      </x:c>
      <x:c r="C1789" s="187" t="str">
        <x:v>GROWTH</x:v>
      </x:c>
      <x:c r="D1789" s="217" t="n">
        <x:v>46296</x:v>
      </x:c>
      <x:c r="E1789" s="187" t="str">
        <x:v>R_GB_DE_B_AIR</x:v>
      </x:c>
      <x:c r="F1789" s="187" t="str">
        <x:v>GB</x:v>
      </x:c>
      <x:c r="G1789" s="187" t="str">
        <x:v>DE_FC</x:v>
      </x:c>
      <x:c r="H1789" s="187" t="str">
        <x:v>CARRIER_B</x:v>
      </x:c>
      <x:c r="I1789" s="187" t="str">
        <x:v>AIR</x:v>
      </x:c>
      <x:c r="J1789" s="187" t="str">
        <x:v>WAREHOUSE_OPERATION</x:v>
      </x:c>
      <x:c r="K1789" s="187" t="str">
        <x:v>EUR</x:v>
      </x:c>
      <x:c r="L1789" s="232" t="n">
        <x:v>2172.87442944</x:v>
      </x:c>
      <x:c r="M1789" s="232" t="n">
        <x:v>7.9</x:v>
      </x:c>
      <x:c r="N1789" s="187" t="str">
        <x:v>17165.707992576000000000000000000000000000000000000000000000000000000000000000000</x:v>
      </x:c>
      <x:c r="O1789" s="235" t="n">
        <x:v>17165.708</x:v>
      </x:c>
      <x:c r="P1789" s="235"/>
      <x:c r="Q1789" s="235"/>
      <x:c r="R1789" s="235" t="str">
        <x:v>INVOICE_OR_PLAN</x:v>
      </x:c>
      <x:c r="S1789" s="238" t="n">
        <x:f>'Model_Calc'!AL302</x:f>
        <x:v>17165.707992576</x:v>
      </x:c>
      <x:c r="T1789" s="238" t="n">
        <x:f>ROUND(S1789-O1789,4)</x:f>
        <x:v>0</x:v>
      </x:c>
    </x:row>
    <x:row r="1790">
      <x:c r="A1790" s="187" t="str">
        <x:v>SCENARIO_GROWTH_2026_08</x:v>
      </x:c>
      <x:c r="B1790" s="187" t="str">
        <x:v>SCENARIO</x:v>
      </x:c>
      <x:c r="C1790" s="187" t="str">
        <x:v>GROWTH</x:v>
      </x:c>
      <x:c r="D1790" s="217" t="n">
        <x:v>46296</x:v>
      </x:c>
      <x:c r="E1790" s="187" t="str">
        <x:v>R_GB_DE_B_AIR</x:v>
      </x:c>
      <x:c r="F1790" s="187" t="str">
        <x:v>GB</x:v>
      </x:c>
      <x:c r="G1790" s="187" t="str">
        <x:v>DE_FC</x:v>
      </x:c>
      <x:c r="H1790" s="187" t="str">
        <x:v>CARRIER_B</x:v>
      </x:c>
      <x:c r="I1790" s="187" t="str">
        <x:v>AIR</x:v>
      </x:c>
      <x:c r="J1790" s="187" t="str">
        <x:v>PACKAGING</x:v>
      </x:c>
      <x:c r="K1790" s="187" t="str">
        <x:v>EUR</x:v>
      </x:c>
      <x:c r="L1790" s="232" t="n">
        <x:v>904.8733005312</x:v>
      </x:c>
      <x:c r="M1790" s="232" t="n">
        <x:v>7.9</x:v>
      </x:c>
      <x:c r="N1790" s="187" t="str">
        <x:v>7148.4990741964800000000000000000000000000000000000000000000000000000000000000000</x:v>
      </x:c>
      <x:c r="O1790" s="235" t="n">
        <x:v>7148.4991</x:v>
      </x:c>
      <x:c r="P1790" s="235"/>
      <x:c r="Q1790" s="235"/>
      <x:c r="R1790" s="235" t="str">
        <x:v>INVOICE_OR_PLAN</x:v>
      </x:c>
      <x:c r="S1790" s="238" t="n">
        <x:f>'Model_Calc'!AQ302</x:f>
        <x:v>7148.49907419648</x:v>
      </x:c>
      <x:c r="T1790" s="238" t="n">
        <x:f>ROUND(S1790-O1790,4)</x:f>
        <x:v>0</x:v>
      </x:c>
    </x:row>
    <x:row r="1791">
      <x:c r="A1791" s="187" t="str">
        <x:v>SCENARIO_GROWTH_2026_08</x:v>
      </x:c>
      <x:c r="B1791" s="187" t="str">
        <x:v>SCENARIO</x:v>
      </x:c>
      <x:c r="C1791" s="187" t="str">
        <x:v>GROWTH</x:v>
      </x:c>
      <x:c r="D1791" s="217" t="n">
        <x:v>46296</x:v>
      </x:c>
      <x:c r="E1791" s="187" t="str">
        <x:v>R_GB_DE_B_AIR</x:v>
      </x:c>
      <x:c r="F1791" s="187" t="str">
        <x:v>GB</x:v>
      </x:c>
      <x:c r="G1791" s="187" t="str">
        <x:v>DE_FC</x:v>
      </x:c>
      <x:c r="H1791" s="187" t="str">
        <x:v>CARRIER_B</x:v>
      </x:c>
      <x:c r="I1791" s="187" t="str">
        <x:v>AIR</x:v>
      </x:c>
      <x:c r="J1791" s="187" t="str">
        <x:v>RETURN_LOGISTICS</x:v>
      </x:c>
      <x:c r="K1791" s="187" t="str">
        <x:v>GBP</x:v>
      </x:c>
      <x:c r="L1791" s="232" t="n">
        <x:v>795.493011456</x:v>
      </x:c>
      <x:c r="M1791" s="232" t="n">
        <x:v>9.1</x:v>
      </x:c>
      <x:c r="N1791" s="187" t="str">
        <x:v>7238.9864042496000000000000000000000000000000000000000000000000000000000000000000</x:v>
      </x:c>
      <x:c r="O1791" s="235" t="n">
        <x:v>7238.9864</x:v>
      </x:c>
      <x:c r="P1791" s="235"/>
      <x:c r="Q1791" s="235"/>
      <x:c r="R1791" s="235" t="str">
        <x:v>INVOICE_OR_PLAN</x:v>
      </x:c>
      <x:c r="S1791" s="238" t="n">
        <x:f>'Model_Calc'!AV302</x:f>
        <x:v>7238.986404249599</x:v>
      </x:c>
      <x:c r="T1791" s="238" t="n">
        <x:f>ROUND(S1791-O1791,4)</x:f>
        <x:v>0</x:v>
      </x:c>
    </x:row>
    <x:row r="1792">
      <x:c r="A1792" s="187" t="str">
        <x:v>SCENARIO_GROWTH_2026_08</x:v>
      </x:c>
      <x:c r="B1792" s="187" t="str">
        <x:v>SCENARIO</x:v>
      </x:c>
      <x:c r="C1792" s="187" t="str">
        <x:v>GROWTH</x:v>
      </x:c>
      <x:c r="D1792" s="217" t="n">
        <x:v>46296</x:v>
      </x:c>
      <x:c r="E1792" s="187" t="str">
        <x:v>R_GB_DE_B_AIR</x:v>
      </x:c>
      <x:c r="F1792" s="187" t="str">
        <x:v>GB</x:v>
      </x:c>
      <x:c r="G1792" s="187" t="str">
        <x:v>DE_FC</x:v>
      </x:c>
      <x:c r="H1792" s="187" t="str">
        <x:v>CARRIER_B</x:v>
      </x:c>
      <x:c r="I1792" s="187" t="str">
        <x:v>AIR</x:v>
      </x:c>
      <x:c r="J1792" s="187" t="str">
        <x:v>BILLABLE_EXCEPTION</x:v>
      </x:c>
      <x:c r="K1792" s="187" t="str">
        <x:v>GBP</x:v>
      </x:c>
      <x:c r="L1792" s="232" t="n">
        <x:v>96.519818723328</x:v>
      </x:c>
      <x:c r="M1792" s="232" t="n">
        <x:v>9.1</x:v>
      </x:c>
      <x:c r="N1792" s="187" t="str">
        <x:v>878.33035038228480000000000000000000000000000000000000000000000000000000000000000</x:v>
      </x:c>
      <x:c r="O1792" s="235" t="n">
        <x:v>878.3304</x:v>
      </x:c>
      <x:c r="P1792" s="235"/>
      <x:c r="Q1792" s="235"/>
      <x:c r="R1792" s="235" t="str">
        <x:v>INVOICE_OR_PLAN</x:v>
      </x:c>
      <x:c r="S1792" s="238" t="n">
        <x:f>'Model_Calc'!BA302</x:f>
        <x:v>878.3303503822848</x:v>
      </x:c>
      <x:c r="T1792" s="238" t="n">
        <x:f>ROUND(S1792-O1792,4)</x:f>
        <x:v>0</x:v>
      </x:c>
    </x:row>
    <x:row r="1793">
      <x:c r="A1793" s="187" t="str">
        <x:v>SCENARIO_GROWTH_2026_08</x:v>
      </x:c>
      <x:c r="B1793" s="187" t="str">
        <x:v>SCENARIO</x:v>
      </x:c>
      <x:c r="C1793" s="187" t="str">
        <x:v>GROWTH</x:v>
      </x:c>
      <x:c r="D1793" s="217" t="n">
        <x:v>46296</x:v>
      </x:c>
      <x:c r="E1793" s="187" t="str">
        <x:v>R_GB_DE_C_AIR</x:v>
      </x:c>
      <x:c r="F1793" s="187" t="str">
        <x:v>GB</x:v>
      </x:c>
      <x:c r="G1793" s="187" t="str">
        <x:v>DE_FC</x:v>
      </x:c>
      <x:c r="H1793" s="187" t="str">
        <x:v>CARRIER_C</x:v>
      </x:c>
      <x:c r="I1793" s="187" t="str">
        <x:v>AIR</x:v>
      </x:c>
      <x:c r="J1793" s="187" t="str">
        <x:v>BASE_FREIGHT</x:v>
      </x:c>
      <x:c r="K1793" s="187" t="str">
        <x:v>GBP</x:v>
      </x:c>
      <x:c r="L1793" s="232" t="n">
        <x:v>13528.004500697956</x:v>
      </x:c>
      <x:c r="M1793" s="232" t="n">
        <x:v>9.1</x:v>
      </x:c>
      <x:c r="N1793" s="187" t="str">
        <x:v>123104.84095635139814400000000000000000000000000000000000000000000000000000000000</x:v>
      </x:c>
      <x:c r="O1793" s="235" t="n">
        <x:v>123104.841</x:v>
      </x:c>
      <x:c r="P1793" s="235"/>
      <x:c r="Q1793" s="235"/>
      <x:c r="R1793" s="235" t="str">
        <x:v>INVOICE_OR_PLAN</x:v>
      </x:c>
      <x:c r="S1793" s="238" t="n">
        <x:f>'Model_Calc'!AF303</x:f>
        <x:v>123104.84095635139</x:v>
      </x:c>
      <x:c r="T1793" s="238" t="n">
        <x:f>ROUND(S1793-O1793,4)</x:f>
        <x:v>0</x:v>
      </x:c>
    </x:row>
    <x:row r="1794">
      <x:c r="A1794" s="187" t="str">
        <x:v>SCENARIO_GROWTH_2026_08</x:v>
      </x:c>
      <x:c r="B1794" s="187" t="str">
        <x:v>SCENARIO</x:v>
      </x:c>
      <x:c r="C1794" s="187" t="str">
        <x:v>GROWTH</x:v>
      </x:c>
      <x:c r="D1794" s="217" t="n">
        <x:v>46296</x:v>
      </x:c>
      <x:c r="E1794" s="187" t="str">
        <x:v>R_GB_DE_C_AIR</x:v>
      </x:c>
      <x:c r="F1794" s="187" t="str">
        <x:v>GB</x:v>
      </x:c>
      <x:c r="G1794" s="187" t="str">
        <x:v>DE_FC</x:v>
      </x:c>
      <x:c r="H1794" s="187" t="str">
        <x:v>CARRIER_C</x:v>
      </x:c>
      <x:c r="I1794" s="187" t="str">
        <x:v>AIR</x:v>
      </x:c>
      <x:c r="J1794" s="187" t="str">
        <x:v>FUEL_SURCHARGE</x:v>
      </x:c>
      <x:c r="K1794" s="187" t="str">
        <x:v>GBP</x:v>
      </x:c>
      <x:c r="L1794" s="232" t="n">
        <x:v>1046.1656813873085</x:v>
      </x:c>
      <x:c r="M1794" s="232" t="n">
        <x:v>9.1</x:v>
      </x:c>
      <x:c r="N1794" s="187" t="str">
        <x:v>9520.1077006245081231360000000000000000000000000000000000000000000000000000000000</x:v>
      </x:c>
      <x:c r="O1794" s="235" t="n">
        <x:v>9520.1077</x:v>
      </x:c>
      <x:c r="P1794" s="235"/>
      <x:c r="Q1794" s="235"/>
      <x:c r="R1794" s="235" t="str">
        <x:v>INVOICE_OR_PLAN</x:v>
      </x:c>
      <x:c r="S1794" s="238" t="n">
        <x:f>'Model_Calc'!AG303</x:f>
        <x:v>9520.107700624507</x:v>
      </x:c>
      <x:c r="T1794" s="238" t="n">
        <x:f>ROUND(S1794-O1794,4)</x:f>
        <x:v>0</x:v>
      </x:c>
    </x:row>
    <x:row r="1795">
      <x:c r="A1795" s="187" t="str">
        <x:v>SCENARIO_GROWTH_2026_08</x:v>
      </x:c>
      <x:c r="B1795" s="187" t="str">
        <x:v>SCENARIO</x:v>
      </x:c>
      <x:c r="C1795" s="187" t="str">
        <x:v>GROWTH</x:v>
      </x:c>
      <x:c r="D1795" s="217" t="n">
        <x:v>46296</x:v>
      </x:c>
      <x:c r="E1795" s="187" t="str">
        <x:v>R_GB_DE_C_AIR</x:v>
      </x:c>
      <x:c r="F1795" s="187" t="str">
        <x:v>GB</x:v>
      </x:c>
      <x:c r="G1795" s="187" t="str">
        <x:v>DE_FC</x:v>
      </x:c>
      <x:c r="H1795" s="187" t="str">
        <x:v>CARRIER_C</x:v>
      </x:c>
      <x:c r="I1795" s="187" t="str">
        <x:v>AIR</x:v>
      </x:c>
      <x:c r="J1795" s="187" t="str">
        <x:v>WAREHOUSE_OPERATION</x:v>
      </x:c>
      <x:c r="K1795" s="187" t="str">
        <x:v>EUR</x:v>
      </x:c>
      <x:c r="L1795" s="232" t="n">
        <x:v>1810.7286912</x:v>
      </x:c>
      <x:c r="M1795" s="232" t="n">
        <x:v>7.9</x:v>
      </x:c>
      <x:c r="N1795" s="187" t="str">
        <x:v>14304.756660480000000000000000000000000000000000000000000000000000000000000000000</x:v>
      </x:c>
      <x:c r="O1795" s="235" t="n">
        <x:v>14304.7567</x:v>
      </x:c>
      <x:c r="P1795" s="235"/>
      <x:c r="Q1795" s="235"/>
      <x:c r="R1795" s="235" t="str">
        <x:v>INVOICE_OR_PLAN</x:v>
      </x:c>
      <x:c r="S1795" s="238" t="n">
        <x:f>'Model_Calc'!AL303</x:f>
        <x:v>14304.756660480001</x:v>
      </x:c>
      <x:c r="T1795" s="238" t="n">
        <x:f>ROUND(S1795-O1795,4)</x:f>
        <x:v>0</x:v>
      </x:c>
    </x:row>
    <x:row r="1796">
      <x:c r="A1796" s="187" t="str">
        <x:v>SCENARIO_GROWTH_2026_08</x:v>
      </x:c>
      <x:c r="B1796" s="187" t="str">
        <x:v>SCENARIO</x:v>
      </x:c>
      <x:c r="C1796" s="187" t="str">
        <x:v>GROWTH</x:v>
      </x:c>
      <x:c r="D1796" s="217" t="n">
        <x:v>46296</x:v>
      </x:c>
      <x:c r="E1796" s="187" t="str">
        <x:v>R_GB_DE_C_AIR</x:v>
      </x:c>
      <x:c r="F1796" s="187" t="str">
        <x:v>GB</x:v>
      </x:c>
      <x:c r="G1796" s="187" t="str">
        <x:v>DE_FC</x:v>
      </x:c>
      <x:c r="H1796" s="187" t="str">
        <x:v>CARRIER_C</x:v>
      </x:c>
      <x:c r="I1796" s="187" t="str">
        <x:v>AIR</x:v>
      </x:c>
      <x:c r="J1796" s="187" t="str">
        <x:v>PACKAGING</x:v>
      </x:c>
      <x:c r="K1796" s="187" t="str">
        <x:v>EUR</x:v>
      </x:c>
      <x:c r="L1796" s="232" t="n">
        <x:v>754.061083776</x:v>
      </x:c>
      <x:c r="M1796" s="232" t="n">
        <x:v>7.9</x:v>
      </x:c>
      <x:c r="N1796" s="187" t="str">
        <x:v>5957.0825618304000000000000000000000000000000000000000000000000000000000000000000</x:v>
      </x:c>
      <x:c r="O1796" s="235" t="n">
        <x:v>5957.0826</x:v>
      </x:c>
      <x:c r="P1796" s="235"/>
      <x:c r="Q1796" s="235"/>
      <x:c r="R1796" s="235" t="str">
        <x:v>INVOICE_OR_PLAN</x:v>
      </x:c>
      <x:c r="S1796" s="238" t="n">
        <x:f>'Model_Calc'!AQ303</x:f>
        <x:v>5957.0825618304</x:v>
      </x:c>
      <x:c r="T1796" s="238" t="n">
        <x:f>ROUND(S1796-O1796,4)</x:f>
        <x:v>0</x:v>
      </x:c>
    </x:row>
    <x:row r="1797">
      <x:c r="A1797" s="187" t="str">
        <x:v>SCENARIO_GROWTH_2026_08</x:v>
      </x:c>
      <x:c r="B1797" s="187" t="str">
        <x:v>SCENARIO</x:v>
      </x:c>
      <x:c r="C1797" s="187" t="str">
        <x:v>GROWTH</x:v>
      </x:c>
      <x:c r="D1797" s="217" t="n">
        <x:v>46296</x:v>
      </x:c>
      <x:c r="E1797" s="187" t="str">
        <x:v>R_GB_DE_C_AIR</x:v>
      </x:c>
      <x:c r="F1797" s="187" t="str">
        <x:v>GB</x:v>
      </x:c>
      <x:c r="G1797" s="187" t="str">
        <x:v>DE_FC</x:v>
      </x:c>
      <x:c r="H1797" s="187" t="str">
        <x:v>CARRIER_C</x:v>
      </x:c>
      <x:c r="I1797" s="187" t="str">
        <x:v>AIR</x:v>
      </x:c>
      <x:c r="J1797" s="187" t="str">
        <x:v>RETURN_LOGISTICS</x:v>
      </x:c>
      <x:c r="K1797" s="187" t="str">
        <x:v>GBP</x:v>
      </x:c>
      <x:c r="L1797" s="232" t="n">
        <x:v>662.91084288</x:v>
      </x:c>
      <x:c r="M1797" s="232" t="n">
        <x:v>9.1</x:v>
      </x:c>
      <x:c r="N1797" s="187" t="str">
        <x:v>6032.4886702080000000000000000000000000000000000000000000000000000000000000000000</x:v>
      </x:c>
      <x:c r="O1797" s="235" t="n">
        <x:v>6032.4887</x:v>
      </x:c>
      <x:c r="P1797" s="235"/>
      <x:c r="Q1797" s="235"/>
      <x:c r="R1797" s="235" t="str">
        <x:v>INVOICE_OR_PLAN</x:v>
      </x:c>
      <x:c r="S1797" s="238" t="n">
        <x:f>'Model_Calc'!AV303</x:f>
        <x:v>6032.488670208</x:v>
      </x:c>
      <x:c r="T1797" s="238" t="n">
        <x:f>ROUND(S1797-O1797,4)</x:f>
        <x:v>0</x:v>
      </x:c>
    </x:row>
    <x:row r="1798">
      <x:c r="A1798" s="187" t="str">
        <x:v>SCENARIO_GROWTH_2026_08</x:v>
      </x:c>
      <x:c r="B1798" s="187" t="str">
        <x:v>SCENARIO</x:v>
      </x:c>
      <x:c r="C1798" s="187" t="str">
        <x:v>GROWTH</x:v>
      </x:c>
      <x:c r="D1798" s="217" t="n">
        <x:v>46296</x:v>
      </x:c>
      <x:c r="E1798" s="187" t="str">
        <x:v>R_GB_DE_C_AIR</x:v>
      </x:c>
      <x:c r="F1798" s="187" t="str">
        <x:v>GB</x:v>
      </x:c>
      <x:c r="G1798" s="187" t="str">
        <x:v>DE_FC</x:v>
      </x:c>
      <x:c r="H1798" s="187" t="str">
        <x:v>CARRIER_C</x:v>
      </x:c>
      <x:c r="I1798" s="187" t="str">
        <x:v>AIR</x:v>
      </x:c>
      <x:c r="J1798" s="187" t="str">
        <x:v>BILLABLE_EXCEPTION</x:v>
      </x:c>
      <x:c r="K1798" s="187" t="str">
        <x:v>GBP</x:v>
      </x:c>
      <x:c r="L1798" s="232" t="n">
        <x:v>71.09718789888</x:v>
      </x:c>
      <x:c r="M1798" s="232" t="n">
        <x:v>9.1</x:v>
      </x:c>
      <x:c r="N1798" s="187" t="str">
        <x:v>646.98440987980800000000000000000000000000000000000000000000000000000000000000000</x:v>
      </x:c>
      <x:c r="O1798" s="235" t="n">
        <x:v>646.9844</x:v>
      </x:c>
      <x:c r="P1798" s="235"/>
      <x:c r="Q1798" s="235"/>
      <x:c r="R1798" s="235" t="str">
        <x:v>INVOICE_OR_PLAN</x:v>
      </x:c>
      <x:c r="S1798" s="238" t="n">
        <x:f>'Model_Calc'!BA303</x:f>
        <x:v>646.9844098798079</x:v>
      </x:c>
      <x:c r="T1798" s="238" t="n">
        <x:f>ROUND(S1798-O1798,4)</x:f>
        <x:v>0</x:v>
      </x:c>
    </x:row>
    <x:row r="1799">
      <x:c r="A1799" s="187" t="str">
        <x:v>SCENARIO_GROWTH_2026_08</x:v>
      </x:c>
      <x:c r="B1799" s="187" t="str">
        <x:v>SCENARIO</x:v>
      </x:c>
      <x:c r="C1799" s="187" t="str">
        <x:v>GROWTH</x:v>
      </x:c>
      <x:c r="D1799" s="217" t="n">
        <x:v>46296</x:v>
      </x:c>
      <x:c r="E1799" s="187" t="str">
        <x:v>R_GB_FR_B_AIR</x:v>
      </x:c>
      <x:c r="F1799" s="187" t="str">
        <x:v>GB</x:v>
      </x:c>
      <x:c r="G1799" s="187" t="str">
        <x:v>FR_FC</x:v>
      </x:c>
      <x:c r="H1799" s="187" t="str">
        <x:v>CARRIER_B</x:v>
      </x:c>
      <x:c r="I1799" s="187" t="str">
        <x:v>AIR</x:v>
      </x:c>
      <x:c r="J1799" s="187" t="str">
        <x:v>BASE_FREIGHT</x:v>
      </x:c>
      <x:c r="K1799" s="187" t="str">
        <x:v>EUR</x:v>
      </x:c>
      <x:c r="L1799" s="232" t="n">
        <x:v>2323.565170085016</x:v>
      </x:c>
      <x:c r="M1799" s="232" t="n">
        <x:v>7.9</x:v>
      </x:c>
      <x:c r="N1799" s="187" t="str">
        <x:v>18356.164843671626400000000000000000000000000000000000000000000000000000000000000</x:v>
      </x:c>
      <x:c r="O1799" s="235" t="n">
        <x:v>18356.1648</x:v>
      </x:c>
      <x:c r="P1799" s="235"/>
      <x:c r="Q1799" s="235"/>
      <x:c r="R1799" s="235" t="str">
        <x:v>INVOICE_OR_PLAN</x:v>
      </x:c>
      <x:c r="S1799" s="238" t="n">
        <x:f>'Model_Calc'!AF304</x:f>
        <x:v>18356.164843671624</x:v>
      </x:c>
      <x:c r="T1799" s="238" t="n">
        <x:f>ROUND(S1799-O1799,4)</x:f>
        <x:v>0</x:v>
      </x:c>
    </x:row>
    <x:row r="1800">
      <x:c r="A1800" s="187" t="str">
        <x:v>SCENARIO_GROWTH_2026_08</x:v>
      </x:c>
      <x:c r="B1800" s="187" t="str">
        <x:v>SCENARIO</x:v>
      </x:c>
      <x:c r="C1800" s="187" t="str">
        <x:v>GROWTH</x:v>
      </x:c>
      <x:c r="D1800" s="217" t="n">
        <x:v>46296</x:v>
      </x:c>
      <x:c r="E1800" s="187" t="str">
        <x:v>R_GB_FR_B_AIR</x:v>
      </x:c>
      <x:c r="F1800" s="187" t="str">
        <x:v>GB</x:v>
      </x:c>
      <x:c r="G1800" s="187" t="str">
        <x:v>FR_FC</x:v>
      </x:c>
      <x:c r="H1800" s="187" t="str">
        <x:v>CARRIER_B</x:v>
      </x:c>
      <x:c r="I1800" s="187" t="str">
        <x:v>AIR</x:v>
      </x:c>
      <x:c r="J1800" s="187" t="str">
        <x:v>FUEL_SURCHARGE</x:v>
      </x:c>
      <x:c r="K1800" s="187" t="str">
        <x:v>EUR</x:v>
      </x:c>
      <x:c r="L1800" s="232" t="n">
        <x:v>252.51344485898912</x:v>
      </x:c>
      <x:c r="M1800" s="232" t="n">
        <x:v>7.9</x:v>
      </x:c>
      <x:c r="N1800" s="187" t="str">
        <x:v>1994.8562143860139990200000000000000000000000000000000000000000000000000000000000</x:v>
      </x:c>
      <x:c r="O1800" s="235" t="n">
        <x:v>1994.8562</x:v>
      </x:c>
      <x:c r="P1800" s="235"/>
      <x:c r="Q1800" s="235"/>
      <x:c r="R1800" s="235" t="str">
        <x:v>INVOICE_OR_PLAN</x:v>
      </x:c>
      <x:c r="S1800" s="238" t="n">
        <x:f>'Model_Calc'!AG304</x:f>
        <x:v>1994.8562143860138</x:v>
      </x:c>
      <x:c r="T1800" s="238" t="n">
        <x:f>ROUND(S1800-O1800,4)</x:f>
        <x:v>0</x:v>
      </x:c>
    </x:row>
    <x:row r="1801">
      <x:c r="A1801" s="187" t="str">
        <x:v>SCENARIO_GROWTH_2026_08</x:v>
      </x:c>
      <x:c r="B1801" s="187" t="str">
        <x:v>SCENARIO</x:v>
      </x:c>
      <x:c r="C1801" s="187" t="str">
        <x:v>GROWTH</x:v>
      </x:c>
      <x:c r="D1801" s="217" t="n">
        <x:v>46296</x:v>
      </x:c>
      <x:c r="E1801" s="187" t="str">
        <x:v>R_GB_FR_B_AIR</x:v>
      </x:c>
      <x:c r="F1801" s="187" t="str">
        <x:v>GB</x:v>
      </x:c>
      <x:c r="G1801" s="187" t="str">
        <x:v>FR_FC</x:v>
      </x:c>
      <x:c r="H1801" s="187" t="str">
        <x:v>CARRIER_B</x:v>
      </x:c>
      <x:c r="I1801" s="187" t="str">
        <x:v>AIR</x:v>
      </x:c>
      <x:c r="J1801" s="187" t="str">
        <x:v>WAREHOUSE_OPERATION</x:v>
      </x:c>
      <x:c r="K1801" s="187" t="str">
        <x:v>EUR</x:v>
      </x:c>
      <x:c r="L1801" s="232" t="n">
        <x:v>335.67534</x:v>
      </x:c>
      <x:c r="M1801" s="232" t="n">
        <x:v>7.9</x:v>
      </x:c>
      <x:c r="N1801" s="187" t="str">
        <x:v>2651.8351860000000000000000000000000000000000000000000000000000000000000000000000</x:v>
      </x:c>
      <x:c r="O1801" s="235" t="n">
        <x:v>2651.8352</x:v>
      </x:c>
      <x:c r="P1801" s="235"/>
      <x:c r="Q1801" s="235"/>
      <x:c r="R1801" s="235" t="str">
        <x:v>INVOICE_OR_PLAN</x:v>
      </x:c>
      <x:c r="S1801" s="238" t="n">
        <x:f>'Model_Calc'!AL304</x:f>
        <x:v>2651.8351860000002</x:v>
      </x:c>
      <x:c r="T1801" s="238" t="n">
        <x:f>ROUND(S1801-O1801,4)</x:f>
        <x:v>0</x:v>
      </x:c>
    </x:row>
    <x:row r="1802">
      <x:c r="A1802" s="187" t="str">
        <x:v>SCENARIO_GROWTH_2026_08</x:v>
      </x:c>
      <x:c r="B1802" s="187" t="str">
        <x:v>SCENARIO</x:v>
      </x:c>
      <x:c r="C1802" s="187" t="str">
        <x:v>GROWTH</x:v>
      </x:c>
      <x:c r="D1802" s="217" t="n">
        <x:v>46296</x:v>
      </x:c>
      <x:c r="E1802" s="187" t="str">
        <x:v>R_GB_FR_B_AIR</x:v>
      </x:c>
      <x:c r="F1802" s="187" t="str">
        <x:v>GB</x:v>
      </x:c>
      <x:c r="G1802" s="187" t="str">
        <x:v>FR_FC</x:v>
      </x:c>
      <x:c r="H1802" s="187" t="str">
        <x:v>CARRIER_B</x:v>
      </x:c>
      <x:c r="I1802" s="187" t="str">
        <x:v>AIR</x:v>
      </x:c>
      <x:c r="J1802" s="187" t="str">
        <x:v>PACKAGING</x:v>
      </x:c>
      <x:c r="K1802" s="187" t="str">
        <x:v>EUR</x:v>
      </x:c>
      <x:c r="L1802" s="232" t="n">
        <x:v>142.13452968</x:v>
      </x:c>
      <x:c r="M1802" s="232" t="n">
        <x:v>7.9</x:v>
      </x:c>
      <x:c r="N1802" s="187" t="str">
        <x:v>1122.8627844720000000000000000000000000000000000000000000000000000000000000000000</x:v>
      </x:c>
      <x:c r="O1802" s="235" t="n">
        <x:v>1122.8628</x:v>
      </x:c>
      <x:c r="P1802" s="235"/>
      <x:c r="Q1802" s="235"/>
      <x:c r="R1802" s="235" t="str">
        <x:v>INVOICE_OR_PLAN</x:v>
      </x:c>
      <x:c r="S1802" s="238" t="n">
        <x:f>'Model_Calc'!AQ304</x:f>
        <x:v>1122.862784472</x:v>
      </x:c>
      <x:c r="T1802" s="238" t="n">
        <x:f>ROUND(S1802-O1802,4)</x:f>
        <x:v>0</x:v>
      </x:c>
    </x:row>
    <x:row r="1803">
      <x:c r="A1803" s="187" t="str">
        <x:v>SCENARIO_GROWTH_2026_08</x:v>
      </x:c>
      <x:c r="B1803" s="187" t="str">
        <x:v>SCENARIO</x:v>
      </x:c>
      <x:c r="C1803" s="187" t="str">
        <x:v>GROWTH</x:v>
      </x:c>
      <x:c r="D1803" s="217" t="n">
        <x:v>46296</x:v>
      </x:c>
      <x:c r="E1803" s="187" t="str">
        <x:v>R_GB_FR_B_AIR</x:v>
      </x:c>
      <x:c r="F1803" s="187" t="str">
        <x:v>GB</x:v>
      </x:c>
      <x:c r="G1803" s="187" t="str">
        <x:v>FR_FC</x:v>
      </x:c>
      <x:c r="H1803" s="187" t="str">
        <x:v>CARRIER_B</x:v>
      </x:c>
      <x:c r="I1803" s="187" t="str">
        <x:v>AIR</x:v>
      </x:c>
      <x:c r="J1803" s="187" t="str">
        <x:v>RETURN_LOGISTICS</x:v>
      </x:c>
      <x:c r="K1803" s="187" t="str">
        <x:v>EUR</x:v>
      </x:c>
      <x:c r="L1803" s="232" t="n">
        <x:v>149.6152944</x:v>
      </x:c>
      <x:c r="M1803" s="232" t="n">
        <x:v>7.9</x:v>
      </x:c>
      <x:c r="N1803" s="187" t="str">
        <x:v>1181.9608257600000000000000000000000000000000000000000000000000000000000000000000</x:v>
      </x:c>
      <x:c r="O1803" s="235" t="n">
        <x:v>1181.9608</x:v>
      </x:c>
      <x:c r="P1803" s="235"/>
      <x:c r="Q1803" s="235"/>
      <x:c r="R1803" s="235" t="str">
        <x:v>INVOICE_OR_PLAN</x:v>
      </x:c>
      <x:c r="S1803" s="238" t="n">
        <x:f>'Model_Calc'!AV304</x:f>
        <x:v>1181.9608257599998</x:v>
      </x:c>
      <x:c r="T1803" s="238" t="n">
        <x:f>ROUND(S1803-O1803,4)</x:f>
        <x:v>0</x:v>
      </x:c>
    </x:row>
    <x:row r="1804">
      <x:c r="A1804" s="187" t="str">
        <x:v>SCENARIO_GROWTH_2026_08</x:v>
      </x:c>
      <x:c r="B1804" s="187" t="str">
        <x:v>SCENARIO</x:v>
      </x:c>
      <x:c r="C1804" s="187" t="str">
        <x:v>GROWTH</x:v>
      </x:c>
      <x:c r="D1804" s="217" t="n">
        <x:v>46296</x:v>
      </x:c>
      <x:c r="E1804" s="187" t="str">
        <x:v>R_GB_FR_B_AIR</x:v>
      </x:c>
      <x:c r="F1804" s="187" t="str">
        <x:v>GB</x:v>
      </x:c>
      <x:c r="G1804" s="187" t="str">
        <x:v>FR_FC</x:v>
      </x:c>
      <x:c r="H1804" s="187" t="str">
        <x:v>CARRIER_B</x:v>
      </x:c>
      <x:c r="I1804" s="187" t="str">
        <x:v>AIR</x:v>
      </x:c>
      <x:c r="J1804" s="187" t="str">
        <x:v>BILLABLE_EXCEPTION</x:v>
      </x:c>
      <x:c r="K1804" s="187" t="str">
        <x:v>EUR</x:v>
      </x:c>
      <x:c r="L1804" s="232" t="n">
        <x:v>14.6622988512</x:v>
      </x:c>
      <x:c r="M1804" s="232" t="n">
        <x:v>7.9</x:v>
      </x:c>
      <x:c r="N1804" s="187" t="str">
        <x:v>115.83216092448000000000000000000000000000000000000000000000000000000000000000000</x:v>
      </x:c>
      <x:c r="O1804" s="235" t="n">
        <x:v>115.8322</x:v>
      </x:c>
      <x:c r="P1804" s="235"/>
      <x:c r="Q1804" s="235"/>
      <x:c r="R1804" s="235" t="str">
        <x:v>INVOICE_OR_PLAN</x:v>
      </x:c>
      <x:c r="S1804" s="238" t="n">
        <x:f>'Model_Calc'!BA304</x:f>
        <x:v>115.83216092448001</x:v>
      </x:c>
      <x:c r="T1804" s="238" t="n">
        <x:f>ROUND(S1804-O1804,4)</x:f>
        <x:v>0</x:v>
      </x:c>
    </x:row>
    <x:row r="1805">
      <x:c r="A1805" s="187" t="str">
        <x:v>SCENARIO_GROWTH_2026_08</x:v>
      </x:c>
      <x:c r="B1805" s="187" t="str">
        <x:v>SCENARIO</x:v>
      </x:c>
      <x:c r="C1805" s="187" t="str">
        <x:v>GROWTH</x:v>
      </x:c>
      <x:c r="D1805" s="217" t="n">
        <x:v>46327</x:v>
      </x:c>
      <x:c r="E1805" s="187" t="str">
        <x:v>R_DE_DE_A_ROAD</x:v>
      </x:c>
      <x:c r="F1805" s="187" t="str">
        <x:v>DE</x:v>
      </x:c>
      <x:c r="G1805" s="187" t="str">
        <x:v>DE_FC</x:v>
      </x:c>
      <x:c r="H1805" s="187" t="str">
        <x:v>CARRIER_A</x:v>
      </x:c>
      <x:c r="I1805" s="187" t="str">
        <x:v>ROAD</x:v>
      </x:c>
      <x:c r="J1805" s="187" t="str">
        <x:v>BASE_FREIGHT</x:v>
      </x:c>
      <x:c r="K1805" s="187" t="str">
        <x:v>EUR</x:v>
      </x:c>
      <x:c r="L1805" s="232" t="n">
        <x:v>8699.47310808576</x:v>
      </x:c>
      <x:c r="M1805" s="232" t="n">
        <x:v>7.88</x:v>
      </x:c>
      <x:c r="N1805" s="187" t="str">
        <x:v>68551.848091715788799999999999999999999999999999999999999999999999999999999999998</x:v>
      </x:c>
      <x:c r="O1805" s="235" t="n">
        <x:v>68551.8481</x:v>
      </x:c>
      <x:c r="P1805" s="235"/>
      <x:c r="Q1805" s="235"/>
      <x:c r="R1805" s="235" t="str">
        <x:v>INVOICE_OR_PLAN</x:v>
      </x:c>
      <x:c r="S1805" s="238" t="n">
        <x:f>'Model_Calc'!AF305</x:f>
        <x:v>68551.84809171577</x:v>
      </x:c>
      <x:c r="T1805" s="238" t="n">
        <x:f>ROUND(S1805-O1805,4)</x:f>
        <x:v>0</x:v>
      </x:c>
    </x:row>
    <x:row r="1806">
      <x:c r="A1806" s="187" t="str">
        <x:v>SCENARIO_GROWTH_2026_08</x:v>
      </x:c>
      <x:c r="B1806" s="187" t="str">
        <x:v>SCENARIO</x:v>
      </x:c>
      <x:c r="C1806" s="187" t="str">
        <x:v>GROWTH</x:v>
      </x:c>
      <x:c r="D1806" s="217" t="n">
        <x:v>46327</x:v>
      </x:c>
      <x:c r="E1806" s="187" t="str">
        <x:v>R_DE_DE_A_ROAD</x:v>
      </x:c>
      <x:c r="F1806" s="187" t="str">
        <x:v>DE</x:v>
      </x:c>
      <x:c r="G1806" s="187" t="str">
        <x:v>DE_FC</x:v>
      </x:c>
      <x:c r="H1806" s="187" t="str">
        <x:v>CARRIER_A</x:v>
      </x:c>
      <x:c r="I1806" s="187" t="str">
        <x:v>ROAD</x:v>
      </x:c>
      <x:c r="J1806" s="187" t="str">
        <x:v>FUEL_SURCHARGE</x:v>
      </x:c>
      <x:c r="K1806" s="187" t="str">
        <x:v>EUR</x:v>
      </x:c>
      <x:c r="L1806" s="232" t="n">
        <x:v>855.3756933525324</x:v>
      </x:c>
      <x:c r="M1806" s="232" t="n">
        <x:v>7.88</x:v>
      </x:c>
      <x:c r="N1806" s="187" t="str">
        <x:v>6740.3604636179549337599999999999999999999999999999999999999999999999999999999998</x:v>
      </x:c>
      <x:c r="O1806" s="235" t="n">
        <x:v>6740.3605</x:v>
      </x:c>
      <x:c r="P1806" s="235"/>
      <x:c r="Q1806" s="235"/>
      <x:c r="R1806" s="235" t="str">
        <x:v>INVOICE_OR_PLAN</x:v>
      </x:c>
      <x:c r="S1806" s="238" t="n">
        <x:f>'Model_Calc'!AG305</x:f>
        <x:v>6740.360463617953</x:v>
      </x:c>
      <x:c r="T1806" s="238" t="n">
        <x:f>ROUND(S1806-O1806,4)</x:f>
        <x:v>0</x:v>
      </x:c>
    </x:row>
    <x:row r="1807">
      <x:c r="A1807" s="187" t="str">
        <x:v>SCENARIO_GROWTH_2026_08</x:v>
      </x:c>
      <x:c r="B1807" s="187" t="str">
        <x:v>SCENARIO</x:v>
      </x:c>
      <x:c r="C1807" s="187" t="str">
        <x:v>GROWTH</x:v>
      </x:c>
      <x:c r="D1807" s="217" t="n">
        <x:v>46327</x:v>
      </x:c>
      <x:c r="E1807" s="187" t="str">
        <x:v>R_DE_DE_A_ROAD</x:v>
      </x:c>
      <x:c r="F1807" s="187" t="str">
        <x:v>DE</x:v>
      </x:c>
      <x:c r="G1807" s="187" t="str">
        <x:v>DE_FC</x:v>
      </x:c>
      <x:c r="H1807" s="187" t="str">
        <x:v>CARRIER_A</x:v>
      </x:c>
      <x:c r="I1807" s="187" t="str">
        <x:v>ROAD</x:v>
      </x:c>
      <x:c r="J1807" s="187" t="str">
        <x:v>WAREHOUSE_OPERATION</x:v>
      </x:c>
      <x:c r="K1807" s="187" t="str">
        <x:v>EUR</x:v>
      </x:c>
      <x:c r="L1807" s="232" t="n">
        <x:v>5640.8818176</x:v>
      </x:c>
      <x:c r="M1807" s="232" t="n">
        <x:v>7.88</x:v>
      </x:c>
      <x:c r="N1807" s="187" t="str">
        <x:v>44450.148722687999999999999999999999999999999999999999999999999999999999999999999</x:v>
      </x:c>
      <x:c r="O1807" s="235" t="n">
        <x:v>44450.1487</x:v>
      </x:c>
      <x:c r="P1807" s="235"/>
      <x:c r="Q1807" s="235"/>
      <x:c r="R1807" s="235" t="str">
        <x:v>INVOICE_OR_PLAN</x:v>
      </x:c>
      <x:c r="S1807" s="238" t="n">
        <x:f>'Model_Calc'!AL305</x:f>
        <x:v>44450.148722688</x:v>
      </x:c>
      <x:c r="T1807" s="238" t="n">
        <x:f>ROUND(S1807-O1807,4)</x:f>
        <x:v>0</x:v>
      </x:c>
    </x:row>
    <x:row r="1808">
      <x:c r="A1808" s="187" t="str">
        <x:v>SCENARIO_GROWTH_2026_08</x:v>
      </x:c>
      <x:c r="B1808" s="187" t="str">
        <x:v>SCENARIO</x:v>
      </x:c>
      <x:c r="C1808" s="187" t="str">
        <x:v>GROWTH</x:v>
      </x:c>
      <x:c r="D1808" s="217" t="n">
        <x:v>46327</x:v>
      </x:c>
      <x:c r="E1808" s="187" t="str">
        <x:v>R_DE_DE_A_ROAD</x:v>
      </x:c>
      <x:c r="F1808" s="187" t="str">
        <x:v>DE</x:v>
      </x:c>
      <x:c r="G1808" s="187" t="str">
        <x:v>DE_FC</x:v>
      </x:c>
      <x:c r="H1808" s="187" t="str">
        <x:v>CARRIER_A</x:v>
      </x:c>
      <x:c r="I1808" s="187" t="str">
        <x:v>ROAD</x:v>
      </x:c>
      <x:c r="J1808" s="187" t="str">
        <x:v>PACKAGING</x:v>
      </x:c>
      <x:c r="K1808" s="187" t="str">
        <x:v>EUR</x:v>
      </x:c>
      <x:c r="L1808" s="232" t="n">
        <x:v>2108.16006912</x:v>
      </x:c>
      <x:c r="M1808" s="232" t="n">
        <x:v>7.88</x:v>
      </x:c>
      <x:c r="N1808" s="187" t="str">
        <x:v>16612.301344665600000000000000000000000000000000000000000000000000000000000000000</x:v>
      </x:c>
      <x:c r="O1808" s="235" t="n">
        <x:v>16612.3013</x:v>
      </x:c>
      <x:c r="P1808" s="235"/>
      <x:c r="Q1808" s="235"/>
      <x:c r="R1808" s="235" t="str">
        <x:v>INVOICE_OR_PLAN</x:v>
      </x:c>
      <x:c r="S1808" s="238" t="n">
        <x:f>'Model_Calc'!AQ305</x:f>
        <x:v>16612.301344665597</x:v>
      </x:c>
      <x:c r="T1808" s="238" t="n">
        <x:f>ROUND(S1808-O1808,4)</x:f>
        <x:v>0</x:v>
      </x:c>
    </x:row>
    <x:row r="1809">
      <x:c r="A1809" s="187" t="str">
        <x:v>SCENARIO_GROWTH_2026_08</x:v>
      </x:c>
      <x:c r="B1809" s="187" t="str">
        <x:v>SCENARIO</x:v>
      </x:c>
      <x:c r="C1809" s="187" t="str">
        <x:v>GROWTH</x:v>
      </x:c>
      <x:c r="D1809" s="217" t="n">
        <x:v>46327</x:v>
      </x:c>
      <x:c r="E1809" s="187" t="str">
        <x:v>R_DE_DE_A_ROAD</x:v>
      </x:c>
      <x:c r="F1809" s="187" t="str">
        <x:v>DE</x:v>
      </x:c>
      <x:c r="G1809" s="187" t="str">
        <x:v>DE_FC</x:v>
      </x:c>
      <x:c r="H1809" s="187" t="str">
        <x:v>CARRIER_A</x:v>
      </x:c>
      <x:c r="I1809" s="187" t="str">
        <x:v>ROAD</x:v>
      </x:c>
      <x:c r="J1809" s="187" t="str">
        <x:v>RETURN_LOGISTICS</x:v>
      </x:c>
      <x:c r="K1809" s="187" t="str">
        <x:v>EUR</x:v>
      </x:c>
      <x:c r="L1809" s="232" t="n">
        <x:v>764.8653312</x:v>
      </x:c>
      <x:c r="M1809" s="232" t="n">
        <x:v>7.88</x:v>
      </x:c>
      <x:c r="N1809" s="187" t="str">
        <x:v>6027.1388098560000000000000000000000000000000000000000000000000000000000000000000</x:v>
      </x:c>
      <x:c r="O1809" s="235" t="n">
        <x:v>6027.1388</x:v>
      </x:c>
      <x:c r="P1809" s="235"/>
      <x:c r="Q1809" s="235"/>
      <x:c r="R1809" s="235" t="str">
        <x:v>INVOICE_OR_PLAN</x:v>
      </x:c>
      <x:c r="S1809" s="238" t="n">
        <x:f>'Model_Calc'!AV305</x:f>
        <x:v>6027.138809855999</x:v>
      </x:c>
      <x:c r="T1809" s="238" t="n">
        <x:f>ROUND(S1809-O1809,4)</x:f>
        <x:v>0</x:v>
      </x:c>
    </x:row>
    <x:row r="1810">
      <x:c r="A1810" s="187" t="str">
        <x:v>SCENARIO_GROWTH_2026_08</x:v>
      </x:c>
      <x:c r="B1810" s="187" t="str">
        <x:v>SCENARIO</x:v>
      </x:c>
      <x:c r="C1810" s="187" t="str">
        <x:v>GROWTH</x:v>
      </x:c>
      <x:c r="D1810" s="217" t="n">
        <x:v>46327</x:v>
      </x:c>
      <x:c r="E1810" s="187" t="str">
        <x:v>R_DE_DE_A_ROAD</x:v>
      </x:c>
      <x:c r="F1810" s="187" t="str">
        <x:v>DE</x:v>
      </x:c>
      <x:c r="G1810" s="187" t="str">
        <x:v>DE_FC</x:v>
      </x:c>
      <x:c r="H1810" s="187" t="str">
        <x:v>CARRIER_A</x:v>
      </x:c>
      <x:c r="I1810" s="187" t="str">
        <x:v>ROAD</x:v>
      </x:c>
      <x:c r="J1810" s="187" t="str">
        <x:v>BILLABLE_EXCEPTION</x:v>
      </x:c>
      <x:c r="K1810" s="187" t="str">
        <x:v>EUR</x:v>
      </x:c>
      <x:c r="L1810" s="232" t="n">
        <x:v>184.7149774848</x:v>
      </x:c>
      <x:c r="M1810" s="232" t="n">
        <x:v>7.88</x:v>
      </x:c>
      <x:c r="N1810" s="187" t="str">
        <x:v>1455.5540225802240000000000000000000000000000000000000000000000000000000000000000</x:v>
      </x:c>
      <x:c r="O1810" s="235" t="n">
        <x:v>1455.554</x:v>
      </x:c>
      <x:c r="P1810" s="235"/>
      <x:c r="Q1810" s="235"/>
      <x:c r="R1810" s="235" t="str">
        <x:v>INVOICE_OR_PLAN</x:v>
      </x:c>
      <x:c r="S1810" s="238" t="n">
        <x:f>'Model_Calc'!BA305</x:f>
        <x:v>1455.5540225802238</x:v>
      </x:c>
      <x:c r="T1810" s="238" t="n">
        <x:f>ROUND(S1810-O1810,4)</x:f>
        <x:v>0</x:v>
      </x:c>
    </x:row>
    <x:row r="1811">
      <x:c r="A1811" s="187" t="str">
        <x:v>SCENARIO_GROWTH_2026_08</x:v>
      </x:c>
      <x:c r="B1811" s="187" t="str">
        <x:v>SCENARIO</x:v>
      </x:c>
      <x:c r="C1811" s="187" t="str">
        <x:v>GROWTH</x:v>
      </x:c>
      <x:c r="D1811" s="217" t="n">
        <x:v>46327</x:v>
      </x:c>
      <x:c r="E1811" s="187" t="str">
        <x:v>R_DE_DE_B_ROAD</x:v>
      </x:c>
      <x:c r="F1811" s="187" t="str">
        <x:v>DE</x:v>
      </x:c>
      <x:c r="G1811" s="187" t="str">
        <x:v>DE_FC</x:v>
      </x:c>
      <x:c r="H1811" s="187" t="str">
        <x:v>CARRIER_B</x:v>
      </x:c>
      <x:c r="I1811" s="187" t="str">
        <x:v>ROAD</x:v>
      </x:c>
      <x:c r="J1811" s="187" t="str">
        <x:v>BASE_FREIGHT</x:v>
      </x:c>
      <x:c r="K1811" s="187" t="str">
        <x:v>EUR</x:v>
      </x:c>
      <x:c r="L1811" s="232" t="n">
        <x:v>7435.447100928</x:v>
      </x:c>
      <x:c r="M1811" s="232" t="n">
        <x:v>7.88</x:v>
      </x:c>
      <x:c r="N1811" s="187" t="str">
        <x:v>58591.323155312640000000000000000000000000000000000000000000000000000000000000000</x:v>
      </x:c>
      <x:c r="O1811" s="235" t="n">
        <x:v>58591.3232</x:v>
      </x:c>
      <x:c r="P1811" s="235"/>
      <x:c r="Q1811" s="235"/>
      <x:c r="R1811" s="235" t="str">
        <x:v>INVOICE_OR_PLAN</x:v>
      </x:c>
      <x:c r="S1811" s="238" t="n">
        <x:f>'Model_Calc'!AF306</x:f>
        <x:v>58591.323155312646</x:v>
      </x:c>
      <x:c r="T1811" s="238" t="n">
        <x:f>ROUND(S1811-O1811,4)</x:f>
        <x:v>0</x:v>
      </x:c>
    </x:row>
    <x:row r="1812">
      <x:c r="A1812" s="187" t="str">
        <x:v>SCENARIO_GROWTH_2026_08</x:v>
      </x:c>
      <x:c r="B1812" s="187" t="str">
        <x:v>SCENARIO</x:v>
      </x:c>
      <x:c r="C1812" s="187" t="str">
        <x:v>GROWTH</x:v>
      </x:c>
      <x:c r="D1812" s="217" t="n">
        <x:v>46327</x:v>
      </x:c>
      <x:c r="E1812" s="187" t="str">
        <x:v>R_DE_DE_B_ROAD</x:v>
      </x:c>
      <x:c r="F1812" s="187" t="str">
        <x:v>DE</x:v>
      </x:c>
      <x:c r="G1812" s="187" t="str">
        <x:v>DE_FC</x:v>
      </x:c>
      <x:c r="H1812" s="187" t="str">
        <x:v>CARRIER_B</x:v>
      </x:c>
      <x:c r="I1812" s="187" t="str">
        <x:v>ROAD</x:v>
      </x:c>
      <x:c r="J1812" s="187" t="str">
        <x:v>FUEL_SURCHARGE</x:v>
      </x:c>
      <x:c r="K1812" s="187" t="str">
        <x:v>EUR</x:v>
      </x:c>
      <x:c r="L1812" s="232" t="n">
        <x:v>567.79777861632</x:v>
      </x:c>
      <x:c r="M1812" s="232" t="n">
        <x:v>7.88</x:v>
      </x:c>
      <x:c r="N1812" s="187" t="str">
        <x:v>4474.2464954966016000000000000000000000000000000000000000000000000000000000000000</x:v>
      </x:c>
      <x:c r="O1812" s="235" t="n">
        <x:v>4474.2465</x:v>
      </x:c>
      <x:c r="P1812" s="235"/>
      <x:c r="Q1812" s="235"/>
      <x:c r="R1812" s="235" t="str">
        <x:v>INVOICE_OR_PLAN</x:v>
      </x:c>
      <x:c r="S1812" s="238" t="n">
        <x:f>'Model_Calc'!AG306</x:f>
        <x:v>4474.246495496603</x:v>
      </x:c>
      <x:c r="T1812" s="238" t="n">
        <x:f>ROUND(S1812-O1812,4)</x:f>
        <x:v>0</x:v>
      </x:c>
    </x:row>
    <x:row r="1813">
      <x:c r="A1813" s="187" t="str">
        <x:v>SCENARIO_GROWTH_2026_08</x:v>
      </x:c>
      <x:c r="B1813" s="187" t="str">
        <x:v>SCENARIO</x:v>
      </x:c>
      <x:c r="C1813" s="187" t="str">
        <x:v>GROWTH</x:v>
      </x:c>
      <x:c r="D1813" s="217" t="n">
        <x:v>46327</x:v>
      </x:c>
      <x:c r="E1813" s="187" t="str">
        <x:v>R_DE_DE_B_ROAD</x:v>
      </x:c>
      <x:c r="F1813" s="187" t="str">
        <x:v>DE</x:v>
      </x:c>
      <x:c r="G1813" s="187" t="str">
        <x:v>DE_FC</x:v>
      </x:c>
      <x:c r="H1813" s="187" t="str">
        <x:v>CARRIER_B</x:v>
      </x:c>
      <x:c r="I1813" s="187" t="str">
        <x:v>ROAD</x:v>
      </x:c>
      <x:c r="J1813" s="187" t="str">
        <x:v>WAREHOUSE_OPERATION</x:v>
      </x:c>
      <x:c r="K1813" s="187" t="str">
        <x:v>EUR</x:v>
      </x:c>
      <x:c r="L1813" s="232" t="n">
        <x:v>3760.5878784</x:v>
      </x:c>
      <x:c r="M1813" s="232" t="n">
        <x:v>7.88</x:v>
      </x:c>
      <x:c r="N1813" s="187" t="str">
        <x:v>29633.432481792000000000000000000000000000000000000000000000000000000000000000000</x:v>
      </x:c>
      <x:c r="O1813" s="235" t="n">
        <x:v>29633.4325</x:v>
      </x:c>
      <x:c r="P1813" s="235"/>
      <x:c r="Q1813" s="235"/>
      <x:c r="R1813" s="235" t="str">
        <x:v>INVOICE_OR_PLAN</x:v>
      </x:c>
      <x:c r="S1813" s="238" t="n">
        <x:f>'Model_Calc'!AL306</x:f>
        <x:v>29633.432481792002</x:v>
      </x:c>
      <x:c r="T1813" s="238" t="n">
        <x:f>ROUND(S1813-O1813,4)</x:f>
        <x:v>0</x:v>
      </x:c>
    </x:row>
    <x:row r="1814">
      <x:c r="A1814" s="187" t="str">
        <x:v>SCENARIO_GROWTH_2026_08</x:v>
      </x:c>
      <x:c r="B1814" s="187" t="str">
        <x:v>SCENARIO</x:v>
      </x:c>
      <x:c r="C1814" s="187" t="str">
        <x:v>GROWTH</x:v>
      </x:c>
      <x:c r="D1814" s="217" t="n">
        <x:v>46327</x:v>
      </x:c>
      <x:c r="E1814" s="187" t="str">
        <x:v>R_DE_DE_B_ROAD</x:v>
      </x:c>
      <x:c r="F1814" s="187" t="str">
        <x:v>DE</x:v>
      </x:c>
      <x:c r="G1814" s="187" t="str">
        <x:v>DE_FC</x:v>
      </x:c>
      <x:c r="H1814" s="187" t="str">
        <x:v>CARRIER_B</x:v>
      </x:c>
      <x:c r="I1814" s="187" t="str">
        <x:v>ROAD</x:v>
      </x:c>
      <x:c r="J1814" s="187" t="str">
        <x:v>PACKAGING</x:v>
      </x:c>
      <x:c r="K1814" s="187" t="str">
        <x:v>EUR</x:v>
      </x:c>
      <x:c r="L1814" s="232" t="n">
        <x:v>1405.44004608</x:v>
      </x:c>
      <x:c r="M1814" s="232" t="n">
        <x:v>7.88</x:v>
      </x:c>
      <x:c r="N1814" s="187" t="str">
        <x:v>11074.867563110400000000000000000000000000000000000000000000000000000000000000000</x:v>
      </x:c>
      <x:c r="O1814" s="235" t="n">
        <x:v>11074.8676</x:v>
      </x:c>
      <x:c r="P1814" s="235"/>
      <x:c r="Q1814" s="235"/>
      <x:c r="R1814" s="235" t="str">
        <x:v>INVOICE_OR_PLAN</x:v>
      </x:c>
      <x:c r="S1814" s="238" t="n">
        <x:f>'Model_Calc'!AQ306</x:f>
        <x:v>11074.8675631104</x:v>
      </x:c>
      <x:c r="T1814" s="238" t="n">
        <x:f>ROUND(S1814-O1814,4)</x:f>
        <x:v>0</x:v>
      </x:c>
    </x:row>
    <x:row r="1815">
      <x:c r="A1815" s="187" t="str">
        <x:v>SCENARIO_GROWTH_2026_08</x:v>
      </x:c>
      <x:c r="B1815" s="187" t="str">
        <x:v>SCENARIO</x:v>
      </x:c>
      <x:c r="C1815" s="187" t="str">
        <x:v>GROWTH</x:v>
      </x:c>
      <x:c r="D1815" s="217" t="n">
        <x:v>46327</x:v>
      </x:c>
      <x:c r="E1815" s="187" t="str">
        <x:v>R_DE_DE_B_ROAD</x:v>
      </x:c>
      <x:c r="F1815" s="187" t="str">
        <x:v>DE</x:v>
      </x:c>
      <x:c r="G1815" s="187" t="str">
        <x:v>DE_FC</x:v>
      </x:c>
      <x:c r="H1815" s="187" t="str">
        <x:v>CARRIER_B</x:v>
      </x:c>
      <x:c r="I1815" s="187" t="str">
        <x:v>ROAD</x:v>
      </x:c>
      <x:c r="J1815" s="187" t="str">
        <x:v>RETURN_LOGISTICS</x:v>
      </x:c>
      <x:c r="K1815" s="187" t="str">
        <x:v>EUR</x:v>
      </x:c>
      <x:c r="L1815" s="232" t="n">
        <x:v>509.9102208</x:v>
      </x:c>
      <x:c r="M1815" s="232" t="n">
        <x:v>7.88</x:v>
      </x:c>
      <x:c r="N1815" s="187" t="str">
        <x:v>4018.0925399040000000000000000000000000000000000000000000000000000000000000000000</x:v>
      </x:c>
      <x:c r="O1815" s="235" t="n">
        <x:v>4018.0925</x:v>
      </x:c>
      <x:c r="P1815" s="235"/>
      <x:c r="Q1815" s="235"/>
      <x:c r="R1815" s="235" t="str">
        <x:v>INVOICE_OR_PLAN</x:v>
      </x:c>
      <x:c r="S1815" s="238" t="n">
        <x:f>'Model_Calc'!AV306</x:f>
        <x:v>4018.0925399039998</x:v>
      </x:c>
      <x:c r="T1815" s="238" t="n">
        <x:f>ROUND(S1815-O1815,4)</x:f>
        <x:v>0</x:v>
      </x:c>
    </x:row>
    <x:row r="1816">
      <x:c r="A1816" s="187" t="str">
        <x:v>SCENARIO_GROWTH_2026_08</x:v>
      </x:c>
      <x:c r="B1816" s="187" t="str">
        <x:v>SCENARIO</x:v>
      </x:c>
      <x:c r="C1816" s="187" t="str">
        <x:v>GROWTH</x:v>
      </x:c>
      <x:c r="D1816" s="217" t="n">
        <x:v>46327</x:v>
      </x:c>
      <x:c r="E1816" s="187" t="str">
        <x:v>R_DE_DE_B_ROAD</x:v>
      </x:c>
      <x:c r="F1816" s="187" t="str">
        <x:v>DE</x:v>
      </x:c>
      <x:c r="G1816" s="187" t="str">
        <x:v>DE_FC</x:v>
      </x:c>
      <x:c r="H1816" s="187" t="str">
        <x:v>CARRIER_B</x:v>
      </x:c>
      <x:c r="I1816" s="187" t="str">
        <x:v>ROAD</x:v>
      </x:c>
      <x:c r="J1816" s="187" t="str">
        <x:v>BILLABLE_EXCEPTION</x:v>
      </x:c>
      <x:c r="K1816" s="187" t="str">
        <x:v>EUR</x:v>
      </x:c>
      <x:c r="L1816" s="232" t="n">
        <x:v>100.0539461376</x:v>
      </x:c>
      <x:c r="M1816" s="232" t="n">
        <x:v>7.88</x:v>
      </x:c>
      <x:c r="N1816" s="187" t="str">
        <x:v>788.42509556428800000000000000000000000000000000000000000000000000000000000000000</x:v>
      </x:c>
      <x:c r="O1816" s="235" t="n">
        <x:v>788.4251</x:v>
      </x:c>
      <x:c r="P1816" s="235"/>
      <x:c r="Q1816" s="235"/>
      <x:c r="R1816" s="235" t="str">
        <x:v>INVOICE_OR_PLAN</x:v>
      </x:c>
      <x:c r="S1816" s="238" t="n">
        <x:f>'Model_Calc'!BA306</x:f>
        <x:v>788.4250955642881</x:v>
      </x:c>
      <x:c r="T1816" s="238" t="n">
        <x:f>ROUND(S1816-O1816,4)</x:f>
        <x:v>0</x:v>
      </x:c>
    </x:row>
    <x:row r="1817">
      <x:c r="A1817" s="187" t="str">
        <x:v>SCENARIO_GROWTH_2026_08</x:v>
      </x:c>
      <x:c r="B1817" s="187" t="str">
        <x:v>SCENARIO</x:v>
      </x:c>
      <x:c r="C1817" s="187" t="str">
        <x:v>GROWTH</x:v>
      </x:c>
      <x:c r="D1817" s="217" t="n">
        <x:v>46327</x:v>
      </x:c>
      <x:c r="E1817" s="187" t="str">
        <x:v>R_DE_FR_B_ROAD</x:v>
      </x:c>
      <x:c r="F1817" s="187" t="str">
        <x:v>DE</x:v>
      </x:c>
      <x:c r="G1817" s="187" t="str">
        <x:v>FR_FC</x:v>
      </x:c>
      <x:c r="H1817" s="187" t="str">
        <x:v>CARRIER_B</x:v>
      </x:c>
      <x:c r="I1817" s="187" t="str">
        <x:v>ROAD</x:v>
      </x:c>
      <x:c r="J1817" s="187" t="str">
        <x:v>BASE_FREIGHT</x:v>
      </x:c>
      <x:c r="K1817" s="187" t="str">
        <x:v>EUR</x:v>
      </x:c>
      <x:c r="L1817" s="232" t="n">
        <x:v>762.81773939712</x:v>
      </x:c>
      <x:c r="M1817" s="232" t="n">
        <x:v>7.88</x:v>
      </x:c>
      <x:c r="N1817" s="187" t="str">
        <x:v>6011.0037864493056000000000000000000000000000000000000000000000000000000000000000</x:v>
      </x:c>
      <x:c r="O1817" s="235" t="n">
        <x:v>6011.0038</x:v>
      </x:c>
      <x:c r="P1817" s="235"/>
      <x:c r="Q1817" s="235"/>
      <x:c r="R1817" s="235" t="str">
        <x:v>INVOICE_OR_PLAN</x:v>
      </x:c>
      <x:c r="S1817" s="238" t="n">
        <x:f>'Model_Calc'!AF307</x:f>
        <x:v>6011.003786449306</x:v>
      </x:c>
      <x:c r="T1817" s="238" t="n">
        <x:f>ROUND(S1817-O1817,4)</x:f>
        <x:v>0</x:v>
      </x:c>
    </x:row>
    <x:row r="1818">
      <x:c r="A1818" s="187" t="str">
        <x:v>SCENARIO_GROWTH_2026_08</x:v>
      </x:c>
      <x:c r="B1818" s="187" t="str">
        <x:v>SCENARIO</x:v>
      </x:c>
      <x:c r="C1818" s="187" t="str">
        <x:v>GROWTH</x:v>
      </x:c>
      <x:c r="D1818" s="217" t="n">
        <x:v>46327</x:v>
      </x:c>
      <x:c r="E1818" s="187" t="str">
        <x:v>R_DE_FR_B_ROAD</x:v>
      </x:c>
      <x:c r="F1818" s="187" t="str">
        <x:v>DE</x:v>
      </x:c>
      <x:c r="G1818" s="187" t="str">
        <x:v>FR_FC</x:v>
      </x:c>
      <x:c r="H1818" s="187" t="str">
        <x:v>CARRIER_B</x:v>
      </x:c>
      <x:c r="I1818" s="187" t="str">
        <x:v>ROAD</x:v>
      </x:c>
      <x:c r="J1818" s="187" t="str">
        <x:v>FUEL_SURCHARGE</x:v>
      </x:c>
      <x:c r="K1818" s="187" t="str">
        <x:v>EUR</x:v>
      </x:c>
      <x:c r="L1818" s="232" t="n">
        <x:v>55.477653774336</x:v>
      </x:c>
      <x:c r="M1818" s="232" t="n">
        <x:v>7.88</x:v>
      </x:c>
      <x:c r="N1818" s="187" t="str">
        <x:v>437.16391174176768000000000000000000000000000000000000000000000000000000000000000</x:v>
      </x:c>
      <x:c r="O1818" s="235" t="n">
        <x:v>437.1639</x:v>
      </x:c>
      <x:c r="P1818" s="235"/>
      <x:c r="Q1818" s="235"/>
      <x:c r="R1818" s="235" t="str">
        <x:v>INVOICE_OR_PLAN</x:v>
      </x:c>
      <x:c r="S1818" s="238" t="n">
        <x:f>'Model_Calc'!AG307</x:f>
        <x:v>437.1639117417677</x:v>
      </x:c>
      <x:c r="T1818" s="238" t="n">
        <x:f>ROUND(S1818-O1818,4)</x:f>
        <x:v>0</x:v>
      </x:c>
    </x:row>
    <x:row r="1819">
      <x:c r="A1819" s="187" t="str">
        <x:v>SCENARIO_GROWTH_2026_08</x:v>
      </x:c>
      <x:c r="B1819" s="187" t="str">
        <x:v>SCENARIO</x:v>
      </x:c>
      <x:c r="C1819" s="187" t="str">
        <x:v>GROWTH</x:v>
      </x:c>
      <x:c r="D1819" s="217" t="n">
        <x:v>46327</x:v>
      </x:c>
      <x:c r="E1819" s="187" t="str">
        <x:v>R_DE_FR_B_ROAD</x:v>
      </x:c>
      <x:c r="F1819" s="187" t="str">
        <x:v>DE</x:v>
      </x:c>
      <x:c r="G1819" s="187" t="str">
        <x:v>FR_FC</x:v>
      </x:c>
      <x:c r="H1819" s="187" t="str">
        <x:v>CARRIER_B</x:v>
      </x:c>
      <x:c r="I1819" s="187" t="str">
        <x:v>ROAD</x:v>
      </x:c>
      <x:c r="J1819" s="187" t="str">
        <x:v>WAREHOUSE_OPERATION</x:v>
      </x:c>
      <x:c r="K1819" s="187" t="str">
        <x:v>EUR</x:v>
      </x:c>
      <x:c r="L1819" s="232" t="n">
        <x:v>258.73344</x:v>
      </x:c>
      <x:c r="M1819" s="232" t="n">
        <x:v>7.88</x:v>
      </x:c>
      <x:c r="N1819" s="187" t="str">
        <x:v>2038.8195072000000000000000000000000000000000000000000000000000000000000000000000</x:v>
      </x:c>
      <x:c r="O1819" s="235" t="n">
        <x:v>2038.8195</x:v>
      </x:c>
      <x:c r="P1819" s="235"/>
      <x:c r="Q1819" s="235"/>
      <x:c r="R1819" s="235" t="str">
        <x:v>INVOICE_OR_PLAN</x:v>
      </x:c>
      <x:c r="S1819" s="238" t="n">
        <x:f>'Model_Calc'!AL307</x:f>
        <x:v>2038.8195072000003</x:v>
      </x:c>
      <x:c r="T1819" s="238" t="n">
        <x:f>ROUND(S1819-O1819,4)</x:f>
        <x:v>0</x:v>
      </x:c>
    </x:row>
    <x:row r="1820">
      <x:c r="A1820" s="187" t="str">
        <x:v>SCENARIO_GROWTH_2026_08</x:v>
      </x:c>
      <x:c r="B1820" s="187" t="str">
        <x:v>SCENARIO</x:v>
      </x:c>
      <x:c r="C1820" s="187" t="str">
        <x:v>GROWTH</x:v>
      </x:c>
      <x:c r="D1820" s="217" t="n">
        <x:v>46327</x:v>
      </x:c>
      <x:c r="E1820" s="187" t="str">
        <x:v>R_DE_FR_B_ROAD</x:v>
      </x:c>
      <x:c r="F1820" s="187" t="str">
        <x:v>DE</x:v>
      </x:c>
      <x:c r="G1820" s="187" t="str">
        <x:v>FR_FC</x:v>
      </x:c>
      <x:c r="H1820" s="187" t="str">
        <x:v>CARRIER_B</x:v>
      </x:c>
      <x:c r="I1820" s="187" t="str">
        <x:v>ROAD</x:v>
      </x:c>
      <x:c r="J1820" s="187" t="str">
        <x:v>PACKAGING</x:v>
      </x:c>
      <x:c r="K1820" s="187" t="str">
        <x:v>EUR</x:v>
      </x:c>
      <x:c r="L1820" s="232" t="n">
        <x:v>101.12781312</x:v>
      </x:c>
      <x:c r="M1820" s="232" t="n">
        <x:v>7.88</x:v>
      </x:c>
      <x:c r="N1820" s="187" t="str">
        <x:v>796.88716738560000000000000000000000000000000000000000000000000000000000000000000</x:v>
      </x:c>
      <x:c r="O1820" s="235" t="n">
        <x:v>796.8872</x:v>
      </x:c>
      <x:c r="P1820" s="235"/>
      <x:c r="Q1820" s="235"/>
      <x:c r="R1820" s="235" t="str">
        <x:v>INVOICE_OR_PLAN</x:v>
      </x:c>
      <x:c r="S1820" s="238" t="n">
        <x:f>'Model_Calc'!AQ307</x:f>
        <x:v>796.8871673855999</x:v>
      </x:c>
      <x:c r="T1820" s="238" t="n">
        <x:f>ROUND(S1820-O1820,4)</x:f>
        <x:v>0</x:v>
      </x:c>
    </x:row>
    <x:row r="1821">
      <x:c r="A1821" s="187" t="str">
        <x:v>SCENARIO_GROWTH_2026_08</x:v>
      </x:c>
      <x:c r="B1821" s="187" t="str">
        <x:v>SCENARIO</x:v>
      </x:c>
      <x:c r="C1821" s="187" t="str">
        <x:v>GROWTH</x:v>
      </x:c>
      <x:c r="D1821" s="217" t="n">
        <x:v>46327</x:v>
      </x:c>
      <x:c r="E1821" s="187" t="str">
        <x:v>R_DE_FR_B_ROAD</x:v>
      </x:c>
      <x:c r="F1821" s="187" t="str">
        <x:v>DE</x:v>
      </x:c>
      <x:c r="G1821" s="187" t="str">
        <x:v>FR_FC</x:v>
      </x:c>
      <x:c r="H1821" s="187" t="str">
        <x:v>CARRIER_B</x:v>
      </x:c>
      <x:c r="I1821" s="187" t="str">
        <x:v>ROAD</x:v>
      </x:c>
      <x:c r="J1821" s="187" t="str">
        <x:v>RETURN_LOGISTICS</x:v>
      </x:c>
      <x:c r="K1821" s="187" t="str">
        <x:v>EUR</x:v>
      </x:c>
      <x:c r="L1821" s="232" t="n">
        <x:v>46.818432</x:v>
      </x:c>
      <x:c r="M1821" s="232" t="n">
        <x:v>7.88</x:v>
      </x:c>
      <x:c r="N1821" s="187" t="str">
        <x:v>368.92924416000000000000000000000000000000000000000000000000000000000000000000000</x:v>
      </x:c>
      <x:c r="O1821" s="235" t="n">
        <x:v>368.9292</x:v>
      </x:c>
      <x:c r="P1821" s="235"/>
      <x:c r="Q1821" s="235"/>
      <x:c r="R1821" s="235" t="str">
        <x:v>INVOICE_OR_PLAN</x:v>
      </x:c>
      <x:c r="S1821" s="238" t="n">
        <x:f>'Model_Calc'!AV307</x:f>
        <x:v>368.92924415999994</x:v>
      </x:c>
      <x:c r="T1821" s="238" t="n">
        <x:f>ROUND(S1821-O1821,4)</x:f>
        <x:v>0</x:v>
      </x:c>
    </x:row>
    <x:row r="1822">
      <x:c r="A1822" s="187" t="str">
        <x:v>SCENARIO_GROWTH_2026_08</x:v>
      </x:c>
      <x:c r="B1822" s="187" t="str">
        <x:v>SCENARIO</x:v>
      </x:c>
      <x:c r="C1822" s="187" t="str">
        <x:v>GROWTH</x:v>
      </x:c>
      <x:c r="D1822" s="217" t="n">
        <x:v>46327</x:v>
      </x:c>
      <x:c r="E1822" s="187" t="str">
        <x:v>R_DE_FR_B_ROAD</x:v>
      </x:c>
      <x:c r="F1822" s="187" t="str">
        <x:v>DE</x:v>
      </x:c>
      <x:c r="G1822" s="187" t="str">
        <x:v>FR_FC</x:v>
      </x:c>
      <x:c r="H1822" s="187" t="str">
        <x:v>CARRIER_B</x:v>
      </x:c>
      <x:c r="I1822" s="187" t="str">
        <x:v>ROAD</x:v>
      </x:c>
      <x:c r="J1822" s="187" t="str">
        <x:v>BILLABLE_EXCEPTION</x:v>
      </x:c>
      <x:c r="K1822" s="187" t="str">
        <x:v>EUR</x:v>
      </x:c>
      <x:c r="L1822" s="232" t="n">
        <x:v>8.5692515328</x:v>
      </x:c>
      <x:c r="M1822" s="232" t="n">
        <x:v>7.88</x:v>
      </x:c>
      <x:c r="N1822" s="187" t="str">
        <x:v>67.525702078464000000000000000000000000000000000000000000000000000000000000000000</x:v>
      </x:c>
      <x:c r="O1822" s="235" t="n">
        <x:v>67.5257</x:v>
      </x:c>
      <x:c r="P1822" s="235"/>
      <x:c r="Q1822" s="235"/>
      <x:c r="R1822" s="235" t="str">
        <x:v>INVOICE_OR_PLAN</x:v>
      </x:c>
      <x:c r="S1822" s="238" t="n">
        <x:f>'Model_Calc'!BA307</x:f>
        <x:v>67.52570207846401</x:v>
      </x:c>
      <x:c r="T1822" s="238" t="n">
        <x:f>ROUND(S1822-O1822,4)</x:f>
        <x:v>0</x:v>
      </x:c>
    </x:row>
    <x:row r="1823">
      <x:c r="A1823" s="187" t="str">
        <x:v>SCENARIO_GROWTH_2026_08</x:v>
      </x:c>
      <x:c r="B1823" s="187" t="str">
        <x:v>SCENARIO</x:v>
      </x:c>
      <x:c r="C1823" s="187" t="str">
        <x:v>GROWTH</x:v>
      </x:c>
      <x:c r="D1823" s="217" t="n">
        <x:v>46327</x:v>
      </x:c>
      <x:c r="E1823" s="187" t="str">
        <x:v>R_FR_FR_A_ROAD</x:v>
      </x:c>
      <x:c r="F1823" s="187" t="str">
        <x:v>FR</x:v>
      </x:c>
      <x:c r="G1823" s="187" t="str">
        <x:v>FR_FC</x:v>
      </x:c>
      <x:c r="H1823" s="187" t="str">
        <x:v>CARRIER_A</x:v>
      </x:c>
      <x:c r="I1823" s="187" t="str">
        <x:v>ROAD</x:v>
      </x:c>
      <x:c r="J1823" s="187" t="str">
        <x:v>BASE_FREIGHT</x:v>
      </x:c>
      <x:c r="K1823" s="187" t="str">
        <x:v>EUR</x:v>
      </x:c>
      <x:c r="L1823" s="232" t="n">
        <x:v>4451.6211686352</x:v>
      </x:c>
      <x:c r="M1823" s="232" t="n">
        <x:v>7.88</x:v>
      </x:c>
      <x:c r="N1823" s="187" t="str">
        <x:v>35078.774808845376000000000000000000000000000000000000000000000000000000000000000</x:v>
      </x:c>
      <x:c r="O1823" s="235" t="n">
        <x:v>35078.7748</x:v>
      </x:c>
      <x:c r="P1823" s="235"/>
      <x:c r="Q1823" s="235"/>
      <x:c r="R1823" s="235" t="str">
        <x:v>INVOICE_OR_PLAN</x:v>
      </x:c>
      <x:c r="S1823" s="238" t="n">
        <x:f>'Model_Calc'!AF308</x:f>
        <x:v>35078.77480884537</x:v>
      </x:c>
      <x:c r="T1823" s="238" t="n">
        <x:f>ROUND(S1823-O1823,4)</x:f>
        <x:v>0</x:v>
      </x:c>
    </x:row>
    <x:row r="1824">
      <x:c r="A1824" s="187" t="str">
        <x:v>SCENARIO_GROWTH_2026_08</x:v>
      </x:c>
      <x:c r="B1824" s="187" t="str">
        <x:v>SCENARIO</x:v>
      </x:c>
      <x:c r="C1824" s="187" t="str">
        <x:v>GROWTH</x:v>
      </x:c>
      <x:c r="D1824" s="217" t="n">
        <x:v>46327</x:v>
      </x:c>
      <x:c r="E1824" s="187" t="str">
        <x:v>R_FR_FR_A_ROAD</x:v>
      </x:c>
      <x:c r="F1824" s="187" t="str">
        <x:v>FR</x:v>
      </x:c>
      <x:c r="G1824" s="187" t="str">
        <x:v>FR_FC</x:v>
      </x:c>
      <x:c r="H1824" s="187" t="str">
        <x:v>CARRIER_A</x:v>
      </x:c>
      <x:c r="I1824" s="187" t="str">
        <x:v>ROAD</x:v>
      </x:c>
      <x:c r="J1824" s="187" t="str">
        <x:v>FUEL_SURCHARGE</x:v>
      </x:c>
      <x:c r="K1824" s="187" t="str">
        <x:v>EUR</x:v>
      </x:c>
      <x:c r="L1824" s="232" t="n">
        <x:v>414.6685118583689</x:v>
      </x:c>
      <x:c r="M1824" s="232" t="n">
        <x:v>7.88</x:v>
      </x:c>
      <x:c r="N1824" s="187" t="str">
        <x:v>3267.5878734439467744000000000000000000000000000000000000000000000000000000000000</x:v>
      </x:c>
      <x:c r="O1824" s="235" t="n">
        <x:v>3267.5879</x:v>
      </x:c>
      <x:c r="P1824" s="235"/>
      <x:c r="Q1824" s="235"/>
      <x:c r="R1824" s="235" t="str">
        <x:v>INVOICE_OR_PLAN</x:v>
      </x:c>
      <x:c r="S1824" s="238" t="n">
        <x:f>'Model_Calc'!AG308</x:f>
        <x:v>3267.5878734439466</x:v>
      </x:c>
      <x:c r="T1824" s="238" t="n">
        <x:f>ROUND(S1824-O1824,4)</x:f>
        <x:v>0</x:v>
      </x:c>
    </x:row>
    <x:row r="1825">
      <x:c r="A1825" s="187" t="str">
        <x:v>SCENARIO_GROWTH_2026_08</x:v>
      </x:c>
      <x:c r="B1825" s="187" t="str">
        <x:v>SCENARIO</x:v>
      </x:c>
      <x:c r="C1825" s="187" t="str">
        <x:v>GROWTH</x:v>
      </x:c>
      <x:c r="D1825" s="217" t="n">
        <x:v>46327</x:v>
      </x:c>
      <x:c r="E1825" s="187" t="str">
        <x:v>R_FR_FR_A_ROAD</x:v>
      </x:c>
      <x:c r="F1825" s="187" t="str">
        <x:v>FR</x:v>
      </x:c>
      <x:c r="G1825" s="187" t="str">
        <x:v>FR_FC</x:v>
      </x:c>
      <x:c r="H1825" s="187" t="str">
        <x:v>CARRIER_A</x:v>
      </x:c>
      <x:c r="I1825" s="187" t="str">
        <x:v>ROAD</x:v>
      </x:c>
      <x:c r="J1825" s="187" t="str">
        <x:v>WAREHOUSE_OPERATION</x:v>
      </x:c>
      <x:c r="K1825" s="187" t="str">
        <x:v>EUR</x:v>
      </x:c>
      <x:c r="L1825" s="232" t="n">
        <x:v>2735.5671</x:v>
      </x:c>
      <x:c r="M1825" s="232" t="n">
        <x:v>7.88</x:v>
      </x:c>
      <x:c r="N1825" s="187" t="str">
        <x:v>21556.268748000000000000000000000000000000000000000000000000000000000000000000000</x:v>
      </x:c>
      <x:c r="O1825" s="235" t="n">
        <x:v>21556.2687</x:v>
      </x:c>
      <x:c r="P1825" s="235"/>
      <x:c r="Q1825" s="235"/>
      <x:c r="R1825" s="235" t="str">
        <x:v>INVOICE_OR_PLAN</x:v>
      </x:c>
      <x:c r="S1825" s="238" t="n">
        <x:f>'Model_Calc'!AL308</x:f>
        <x:v>21556.268748000002</x:v>
      </x:c>
      <x:c r="T1825" s="238" t="n">
        <x:f>ROUND(S1825-O1825,4)</x:f>
        <x:v>0</x:v>
      </x:c>
    </x:row>
    <x:row r="1826">
      <x:c r="A1826" s="187" t="str">
        <x:v>SCENARIO_GROWTH_2026_08</x:v>
      </x:c>
      <x:c r="B1826" s="187" t="str">
        <x:v>SCENARIO</x:v>
      </x:c>
      <x:c r="C1826" s="187" t="str">
        <x:v>GROWTH</x:v>
      </x:c>
      <x:c r="D1826" s="217" t="n">
        <x:v>46327</x:v>
      </x:c>
      <x:c r="E1826" s="187" t="str">
        <x:v>R_FR_FR_A_ROAD</x:v>
      </x:c>
      <x:c r="F1826" s="187" t="str">
        <x:v>FR</x:v>
      </x:c>
      <x:c r="G1826" s="187" t="str">
        <x:v>FR_FC</x:v>
      </x:c>
      <x:c r="H1826" s="187" t="str">
        <x:v>CARRIER_A</x:v>
      </x:c>
      <x:c r="I1826" s="187" t="str">
        <x:v>ROAD</x:v>
      </x:c>
      <x:c r="J1826" s="187" t="str">
        <x:v>PACKAGING</x:v>
      </x:c>
      <x:c r="K1826" s="187" t="str">
        <x:v>EUR</x:v>
      </x:c>
      <x:c r="L1826" s="232" t="n">
        <x:v>1049.4156456</x:v>
      </x:c>
      <x:c r="M1826" s="232" t="n">
        <x:v>7.88</x:v>
      </x:c>
      <x:c r="N1826" s="187" t="str">
        <x:v>8269.3952873280000000000000000000000000000000000000000000000000000000000000000000</x:v>
      </x:c>
      <x:c r="O1826" s="235" t="n">
        <x:v>8269.3953</x:v>
      </x:c>
      <x:c r="P1826" s="235"/>
      <x:c r="Q1826" s="235"/>
      <x:c r="R1826" s="235" t="str">
        <x:v>INVOICE_OR_PLAN</x:v>
      </x:c>
      <x:c r="S1826" s="238" t="n">
        <x:f>'Model_Calc'!AQ308</x:f>
        <x:v>8269.395287327998</x:v>
      </x:c>
      <x:c r="T1826" s="238" t="n">
        <x:f>ROUND(S1826-O1826,4)</x:f>
        <x:v>0</x:v>
      </x:c>
    </x:row>
    <x:row r="1827">
      <x:c r="A1827" s="187" t="str">
        <x:v>SCENARIO_GROWTH_2026_08</x:v>
      </x:c>
      <x:c r="B1827" s="187" t="str">
        <x:v>SCENARIO</x:v>
      </x:c>
      <x:c r="C1827" s="187" t="str">
        <x:v>GROWTH</x:v>
      </x:c>
      <x:c r="D1827" s="217" t="n">
        <x:v>46327</x:v>
      </x:c>
      <x:c r="E1827" s="187" t="str">
        <x:v>R_FR_FR_A_ROAD</x:v>
      </x:c>
      <x:c r="F1827" s="187" t="str">
        <x:v>FR</x:v>
      </x:c>
      <x:c r="G1827" s="187" t="str">
        <x:v>FR_FC</x:v>
      </x:c>
      <x:c r="H1827" s="187" t="str">
        <x:v>CARRIER_A</x:v>
      </x:c>
      <x:c r="I1827" s="187" t="str">
        <x:v>ROAD</x:v>
      </x:c>
      <x:c r="J1827" s="187" t="str">
        <x:v>RETURN_LOGISTICS</x:v>
      </x:c>
      <x:c r="K1827" s="187" t="str">
        <x:v>EUR</x:v>
      </x:c>
      <x:c r="L1827" s="232" t="n">
        <x:v>468.95436</x:v>
      </x:c>
      <x:c r="M1827" s="232" t="n">
        <x:v>7.88</x:v>
      </x:c>
      <x:c r="N1827" s="187" t="str">
        <x:v>3695.3603568000000000000000000000000000000000000000000000000000000000000000000000</x:v>
      </x:c>
      <x:c r="O1827" s="235" t="n">
        <x:v>3695.3604</x:v>
      </x:c>
      <x:c r="P1827" s="235"/>
      <x:c r="Q1827" s="235"/>
      <x:c r="R1827" s="235" t="str">
        <x:v>INVOICE_OR_PLAN</x:v>
      </x:c>
      <x:c r="S1827" s="238" t="n">
        <x:f>'Model_Calc'!AV308</x:f>
        <x:v>3695.3603567999994</x:v>
      </x:c>
      <x:c r="T1827" s="238" t="n">
        <x:f>ROUND(S1827-O1827,4)</x:f>
        <x:v>0</x:v>
      </x:c>
    </x:row>
    <x:row r="1828">
      <x:c r="A1828" s="187" t="str">
        <x:v>SCENARIO_GROWTH_2026_08</x:v>
      </x:c>
      <x:c r="B1828" s="187" t="str">
        <x:v>SCENARIO</x:v>
      </x:c>
      <x:c r="C1828" s="187" t="str">
        <x:v>GROWTH</x:v>
      </x:c>
      <x:c r="D1828" s="217" t="n">
        <x:v>46327</x:v>
      </x:c>
      <x:c r="E1828" s="187" t="str">
        <x:v>R_FR_FR_A_ROAD</x:v>
      </x:c>
      <x:c r="F1828" s="187" t="str">
        <x:v>FR</x:v>
      </x:c>
      <x:c r="G1828" s="187" t="str">
        <x:v>FR_FC</x:v>
      </x:c>
      <x:c r="H1828" s="187" t="str">
        <x:v>CARRIER_A</x:v>
      </x:c>
      <x:c r="I1828" s="187" t="str">
        <x:v>ROAD</x:v>
      </x:c>
      <x:c r="J1828" s="187" t="str">
        <x:v>BILLABLE_EXCEPTION</x:v>
      </x:c>
      <x:c r="K1828" s="187" t="str">
        <x:v>EUR</x:v>
      </x:c>
      <x:c r="L1828" s="232" t="n">
        <x:v>107.979346692</x:v>
      </x:c>
      <x:c r="M1828" s="232" t="n">
        <x:v>7.88</x:v>
      </x:c>
      <x:c r="N1828" s="187" t="str">
        <x:v>850.87725193296000000000000000000000000000000000000000000000000000000000000000000</x:v>
      </x:c>
      <x:c r="O1828" s="235" t="n">
        <x:v>850.8773</x:v>
      </x:c>
      <x:c r="P1828" s="235"/>
      <x:c r="Q1828" s="235"/>
      <x:c r="R1828" s="235" t="str">
        <x:v>INVOICE_OR_PLAN</x:v>
      </x:c>
      <x:c r="S1828" s="238" t="n">
        <x:f>'Model_Calc'!BA308</x:f>
        <x:v>850.8772519329601</x:v>
      </x:c>
      <x:c r="T1828" s="238" t="n">
        <x:f>ROUND(S1828-O1828,4)</x:f>
        <x:v>0</x:v>
      </x:c>
    </x:row>
    <x:row r="1829">
      <x:c r="A1829" s="187" t="str">
        <x:v>SCENARIO_GROWTH_2026_08</x:v>
      </x:c>
      <x:c r="B1829" s="187" t="str">
        <x:v>SCENARIO</x:v>
      </x:c>
      <x:c r="C1829" s="187" t="str">
        <x:v>GROWTH</x:v>
      </x:c>
      <x:c r="D1829" s="217" t="n">
        <x:v>46327</x:v>
      </x:c>
      <x:c r="E1829" s="187" t="str">
        <x:v>R_FR_FR_B_ROAD</x:v>
      </x:c>
      <x:c r="F1829" s="187" t="str">
        <x:v>FR</x:v>
      </x:c>
      <x:c r="G1829" s="187" t="str">
        <x:v>FR_FC</x:v>
      </x:c>
      <x:c r="H1829" s="187" t="str">
        <x:v>CARRIER_B</x:v>
      </x:c>
      <x:c r="I1829" s="187" t="str">
        <x:v>ROAD</x:v>
      </x:c>
      <x:c r="J1829" s="187" t="str">
        <x:v>BASE_FREIGHT</x:v>
      </x:c>
      <x:c r="K1829" s="187" t="str">
        <x:v>EUR</x:v>
      </x:c>
      <x:c r="L1829" s="232" t="n">
        <x:v>10639.7411783832</x:v>
      </x:c>
      <x:c r="M1829" s="232" t="n">
        <x:v>7.88</x:v>
      </x:c>
      <x:c r="N1829" s="187" t="str">
        <x:v>83841.160485659616000000000000000000000000000000000000000000000000000000000000000</x:v>
      </x:c>
      <x:c r="O1829" s="235" t="n">
        <x:v>83841.1605</x:v>
      </x:c>
      <x:c r="P1829" s="235"/>
      <x:c r="Q1829" s="235"/>
      <x:c r="R1829" s="235" t="str">
        <x:v>INVOICE_OR_PLAN</x:v>
      </x:c>
      <x:c r="S1829" s="238" t="n">
        <x:f>'Model_Calc'!AF309</x:f>
        <x:v>83841.16048565962</x:v>
      </x:c>
      <x:c r="T1829" s="238" t="n">
        <x:f>ROUND(S1829-O1829,4)</x:f>
        <x:v>0</x:v>
      </x:c>
    </x:row>
    <x:row r="1830">
      <x:c r="A1830" s="187" t="str">
        <x:v>SCENARIO_GROWTH_2026_08</x:v>
      </x:c>
      <x:c r="B1830" s="187" t="str">
        <x:v>SCENARIO</x:v>
      </x:c>
      <x:c r="C1830" s="187" t="str">
        <x:v>GROWTH</x:v>
      </x:c>
      <x:c r="D1830" s="217" t="n">
        <x:v>46327</x:v>
      </x:c>
      <x:c r="E1830" s="187" t="str">
        <x:v>R_FR_FR_B_ROAD</x:v>
      </x:c>
      <x:c r="F1830" s="187" t="str">
        <x:v>FR</x:v>
      </x:c>
      <x:c r="G1830" s="187" t="str">
        <x:v>FR_FC</x:v>
      </x:c>
      <x:c r="H1830" s="187" t="str">
        <x:v>CARRIER_B</x:v>
      </x:c>
      <x:c r="I1830" s="187" t="str">
        <x:v>ROAD</x:v>
      </x:c>
      <x:c r="J1830" s="187" t="str">
        <x:v>FUEL_SURCHARGE</x:v>
      </x:c>
      <x:c r="K1830" s="187" t="str">
        <x:v>EUR</x:v>
      </x:c>
      <x:c r="L1830" s="232" t="n">
        <x:v>818.4416291064</x:v>
      </x:c>
      <x:c r="M1830" s="232" t="n">
        <x:v>7.88</x:v>
      </x:c>
      <x:c r="N1830" s="187" t="str">
        <x:v>6449.3200373584320000000000000000000000000000000000000000000000000000000000000000</x:v>
      </x:c>
      <x:c r="O1830" s="235" t="n">
        <x:v>6449.32</x:v>
      </x:c>
      <x:c r="P1830" s="235"/>
      <x:c r="Q1830" s="235"/>
      <x:c r="R1830" s="235" t="str">
        <x:v>INVOICE_OR_PLAN</x:v>
      </x:c>
      <x:c r="S1830" s="238" t="n">
        <x:f>'Model_Calc'!AG309</x:f>
        <x:v>6449.320037358433</x:v>
      </x:c>
      <x:c r="T1830" s="238" t="n">
        <x:f>ROUND(S1830-O1830,4)</x:f>
        <x:v>0</x:v>
      </x:c>
    </x:row>
    <x:row r="1831">
      <x:c r="A1831" s="187" t="str">
        <x:v>SCENARIO_GROWTH_2026_08</x:v>
      </x:c>
      <x:c r="B1831" s="187" t="str">
        <x:v>SCENARIO</x:v>
      </x:c>
      <x:c r="C1831" s="187" t="str">
        <x:v>GROWTH</x:v>
      </x:c>
      <x:c r="D1831" s="217" t="n">
        <x:v>46327</x:v>
      </x:c>
      <x:c r="E1831" s="187" t="str">
        <x:v>R_FR_FR_B_ROAD</x:v>
      </x:c>
      <x:c r="F1831" s="187" t="str">
        <x:v>FR</x:v>
      </x:c>
      <x:c r="G1831" s="187" t="str">
        <x:v>FR_FC</x:v>
      </x:c>
      <x:c r="H1831" s="187" t="str">
        <x:v>CARRIER_B</x:v>
      </x:c>
      <x:c r="I1831" s="187" t="str">
        <x:v>ROAD</x:v>
      </x:c>
      <x:c r="J1831" s="187" t="str">
        <x:v>WAREHOUSE_OPERATION</x:v>
      </x:c>
      <x:c r="K1831" s="187" t="str">
        <x:v>EUR</x:v>
      </x:c>
      <x:c r="L1831" s="232" t="n">
        <x:v>5080.3389</x:v>
      </x:c>
      <x:c r="M1831" s="232" t="n">
        <x:v>7.88</x:v>
      </x:c>
      <x:c r="N1831" s="187" t="str">
        <x:v>40033.070532000000000000000000000000000000000000000000000000000000000000000000000</x:v>
      </x:c>
      <x:c r="O1831" s="235" t="n">
        <x:v>40033.0705</x:v>
      </x:c>
      <x:c r="P1831" s="235"/>
      <x:c r="Q1831" s="235"/>
      <x:c r="R1831" s="235" t="str">
        <x:v>INVOICE_OR_PLAN</x:v>
      </x:c>
      <x:c r="S1831" s="238" t="n">
        <x:f>'Model_Calc'!AL309</x:f>
        <x:v>40033.070532000005</x:v>
      </x:c>
      <x:c r="T1831" s="238" t="n">
        <x:f>ROUND(S1831-O1831,4)</x:f>
        <x:v>0</x:v>
      </x:c>
    </x:row>
    <x:row r="1832">
      <x:c r="A1832" s="187" t="str">
        <x:v>SCENARIO_GROWTH_2026_08</x:v>
      </x:c>
      <x:c r="B1832" s="187" t="str">
        <x:v>SCENARIO</x:v>
      </x:c>
      <x:c r="C1832" s="187" t="str">
        <x:v>GROWTH</x:v>
      </x:c>
      <x:c r="D1832" s="217" t="n">
        <x:v>46327</x:v>
      </x:c>
      <x:c r="E1832" s="187" t="str">
        <x:v>R_FR_FR_B_ROAD</x:v>
      </x:c>
      <x:c r="F1832" s="187" t="str">
        <x:v>FR</x:v>
      </x:c>
      <x:c r="G1832" s="187" t="str">
        <x:v>FR_FC</x:v>
      </x:c>
      <x:c r="H1832" s="187" t="str">
        <x:v>CARRIER_B</x:v>
      </x:c>
      <x:c r="I1832" s="187" t="str">
        <x:v>ROAD</x:v>
      </x:c>
      <x:c r="J1832" s="187" t="str">
        <x:v>PACKAGING</x:v>
      </x:c>
      <x:c r="K1832" s="187" t="str">
        <x:v>EUR</x:v>
      </x:c>
      <x:c r="L1832" s="232" t="n">
        <x:v>1948.9147704</x:v>
      </x:c>
      <x:c r="M1832" s="232" t="n">
        <x:v>7.88</x:v>
      </x:c>
      <x:c r="N1832" s="187" t="str">
        <x:v>15357.448390752000000000000000000000000000000000000000000000000000000000000000000</x:v>
      </x:c>
      <x:c r="O1832" s="235" t="n">
        <x:v>15357.4484</x:v>
      </x:c>
      <x:c r="P1832" s="235"/>
      <x:c r="Q1832" s="235"/>
      <x:c r="R1832" s="235" t="str">
        <x:v>INVOICE_OR_PLAN</x:v>
      </x:c>
      <x:c r="S1832" s="238" t="n">
        <x:f>'Model_Calc'!AQ309</x:f>
        <x:v>15357.448390752</x:v>
      </x:c>
      <x:c r="T1832" s="238" t="n">
        <x:f>ROUND(S1832-O1832,4)</x:f>
        <x:v>0</x:v>
      </x:c>
    </x:row>
    <x:row r="1833">
      <x:c r="A1833" s="187" t="str">
        <x:v>SCENARIO_GROWTH_2026_08</x:v>
      </x:c>
      <x:c r="B1833" s="187" t="str">
        <x:v>SCENARIO</x:v>
      </x:c>
      <x:c r="C1833" s="187" t="str">
        <x:v>GROWTH</x:v>
      </x:c>
      <x:c r="D1833" s="217" t="n">
        <x:v>46327</x:v>
      </x:c>
      <x:c r="E1833" s="187" t="str">
        <x:v>R_FR_FR_B_ROAD</x:v>
      </x:c>
      <x:c r="F1833" s="187" t="str">
        <x:v>FR</x:v>
      </x:c>
      <x:c r="G1833" s="187" t="str">
        <x:v>FR_FC</x:v>
      </x:c>
      <x:c r="H1833" s="187" t="str">
        <x:v>CARRIER_B</x:v>
      </x:c>
      <x:c r="I1833" s="187" t="str">
        <x:v>ROAD</x:v>
      </x:c>
      <x:c r="J1833" s="187" t="str">
        <x:v>RETURN_LOGISTICS</x:v>
      </x:c>
      <x:c r="K1833" s="187" t="str">
        <x:v>EUR</x:v>
      </x:c>
      <x:c r="L1833" s="232" t="n">
        <x:v>870.91524</x:v>
      </x:c>
      <x:c r="M1833" s="232" t="n">
        <x:v>7.88</x:v>
      </x:c>
      <x:c r="N1833" s="187" t="str">
        <x:v>6862.8120912000000000000000000000000000000000000000000000000000000000000000000000</x:v>
      </x:c>
      <x:c r="O1833" s="235" t="n">
        <x:v>6862.8121</x:v>
      </x:c>
      <x:c r="P1833" s="235"/>
      <x:c r="Q1833" s="235"/>
      <x:c r="R1833" s="235" t="str">
        <x:v>INVOICE_OR_PLAN</x:v>
      </x:c>
      <x:c r="S1833" s="238" t="n">
        <x:f>'Model_Calc'!AV309</x:f>
        <x:v>6862.8120912</x:v>
      </x:c>
      <x:c r="T1833" s="238" t="n">
        <x:f>ROUND(S1833-O1833,4)</x:f>
        <x:v>0</x:v>
      </x:c>
    </x:row>
    <x:row r="1834">
      <x:c r="A1834" s="187" t="str">
        <x:v>SCENARIO_GROWTH_2026_08</x:v>
      </x:c>
      <x:c r="B1834" s="187" t="str">
        <x:v>SCENARIO</x:v>
      </x:c>
      <x:c r="C1834" s="187" t="str">
        <x:v>GROWTH</x:v>
      </x:c>
      <x:c r="D1834" s="217" t="n">
        <x:v>46327</x:v>
      </x:c>
      <x:c r="E1834" s="187" t="str">
        <x:v>R_FR_FR_B_ROAD</x:v>
      </x:c>
      <x:c r="F1834" s="187" t="str">
        <x:v>FR</x:v>
      </x:c>
      <x:c r="G1834" s="187" t="str">
        <x:v>FR_FC</x:v>
      </x:c>
      <x:c r="H1834" s="187" t="str">
        <x:v>CARRIER_B</x:v>
      </x:c>
      <x:c r="I1834" s="187" t="str">
        <x:v>ROAD</x:v>
      </x:c>
      <x:c r="J1834" s="187" t="str">
        <x:v>BILLABLE_EXCEPTION</x:v>
      </x:c>
      <x:c r="K1834" s="187" t="str">
        <x:v>EUR</x:v>
      </x:c>
      <x:c r="L1834" s="232" t="n">
        <x:v>165.144883176</x:v>
      </x:c>
      <x:c r="M1834" s="232" t="n">
        <x:v>7.88</x:v>
      </x:c>
      <x:c r="N1834" s="187" t="str">
        <x:v>1301.3416794268800000000000000000000000000000000000000000000000000000000000000000</x:v>
      </x:c>
      <x:c r="O1834" s="235" t="n">
        <x:v>1301.3417</x:v>
      </x:c>
      <x:c r="P1834" s="235"/>
      <x:c r="Q1834" s="235"/>
      <x:c r="R1834" s="235" t="str">
        <x:v>INVOICE_OR_PLAN</x:v>
      </x:c>
      <x:c r="S1834" s="238" t="n">
        <x:f>'Model_Calc'!BA309</x:f>
        <x:v>1301.3416794268803</x:v>
      </x:c>
      <x:c r="T1834" s="238" t="n">
        <x:f>ROUND(S1834-O1834,4)</x:f>
        <x:v>0</x:v>
      </x:c>
    </x:row>
    <x:row r="1835">
      <x:c r="A1835" s="187" t="str">
        <x:v>SCENARIO_GROWTH_2026_08</x:v>
      </x:c>
      <x:c r="B1835" s="187" t="str">
        <x:v>SCENARIO</x:v>
      </x:c>
      <x:c r="C1835" s="187" t="str">
        <x:v>GROWTH</x:v>
      </x:c>
      <x:c r="D1835" s="217" t="n">
        <x:v>46327</x:v>
      </x:c>
      <x:c r="E1835" s="187" t="str">
        <x:v>R_GB_DE_A_ROAD</x:v>
      </x:c>
      <x:c r="F1835" s="187" t="str">
        <x:v>GB</x:v>
      </x:c>
      <x:c r="G1835" s="187" t="str">
        <x:v>DE_FC</x:v>
      </x:c>
      <x:c r="H1835" s="187" t="str">
        <x:v>CARRIER_A</x:v>
      </x:c>
      <x:c r="I1835" s="187" t="str">
        <x:v>ROAD</x:v>
      </x:c>
      <x:c r="J1835" s="187" t="str">
        <x:v>BASE_FREIGHT</x:v>
      </x:c>
      <x:c r="K1835" s="187" t="str">
        <x:v>GBP</x:v>
      </x:c>
      <x:c r="L1835" s="232" t="n">
        <x:v>21834.20666254296</x:v>
      </x:c>
      <x:c r="M1835" s="232" t="n">
        <x:v>9.05</x:v>
      </x:c>
      <x:c r="N1835" s="187" t="str">
        <x:v>197599.57029601381232640000000000000000000000000000000000000000000000000000000000</x:v>
      </x:c>
      <x:c r="O1835" s="235" t="n">
        <x:v>197599.5703</x:v>
      </x:c>
      <x:c r="P1835" s="235"/>
      <x:c r="Q1835" s="235"/>
      <x:c r="R1835" s="235" t="str">
        <x:v>INVOICE_OR_PLAN</x:v>
      </x:c>
      <x:c r="S1835" s="238" t="n">
        <x:f>'Model_Calc'!AF310</x:f>
        <x:v>197599.5702960138</x:v>
      </x:c>
      <x:c r="T1835" s="238" t="n">
        <x:f>ROUND(S1835-O1835,4)</x:f>
        <x:v>0</x:v>
      </x:c>
    </x:row>
    <x:row r="1836">
      <x:c r="A1836" s="187" t="str">
        <x:v>SCENARIO_GROWTH_2026_08</x:v>
      </x:c>
      <x:c r="B1836" s="187" t="str">
        <x:v>SCENARIO</x:v>
      </x:c>
      <x:c r="C1836" s="187" t="str">
        <x:v>GROWTH</x:v>
      </x:c>
      <x:c r="D1836" s="217" t="n">
        <x:v>46327</x:v>
      </x:c>
      <x:c r="E1836" s="187" t="str">
        <x:v>R_GB_DE_A_ROAD</x:v>
      </x:c>
      <x:c r="F1836" s="187" t="str">
        <x:v>GB</x:v>
      </x:c>
      <x:c r="G1836" s="187" t="str">
        <x:v>DE_FC</x:v>
      </x:c>
      <x:c r="H1836" s="187" t="str">
        <x:v>CARRIER_A</x:v>
      </x:c>
      <x:c r="I1836" s="187" t="str">
        <x:v>ROAD</x:v>
      </x:c>
      <x:c r="J1836" s="187" t="str">
        <x:v>FUEL_SURCHARGE</x:v>
      </x:c>
      <x:c r="K1836" s="187" t="str">
        <x:v>GBP</x:v>
      </x:c>
      <x:c r="L1836" s="232" t="n">
        <x:v>2259.8403895731967</x:v>
      </x:c>
      <x:c r="M1836" s="232" t="n">
        <x:v>9.05</x:v>
      </x:c>
      <x:c r="N1836" s="187" t="str">
        <x:v>20451.555525637429575782400000000000000000000000000000000000000000000000000000000</x:v>
      </x:c>
      <x:c r="O1836" s="235" t="n">
        <x:v>20451.5555</x:v>
      </x:c>
      <x:c r="P1836" s="235"/>
      <x:c r="Q1836" s="235"/>
      <x:c r="R1836" s="235" t="str">
        <x:v>INVOICE_OR_PLAN</x:v>
      </x:c>
      <x:c r="S1836" s="238" t="n">
        <x:f>'Model_Calc'!AG310</x:f>
        <x:v>20451.555525637425</x:v>
      </x:c>
      <x:c r="T1836" s="238" t="n">
        <x:f>ROUND(S1836-O1836,4)</x:f>
        <x:v>0</x:v>
      </x:c>
    </x:row>
    <x:row r="1837">
      <x:c r="A1837" s="187" t="str">
        <x:v>SCENARIO_GROWTH_2026_08</x:v>
      </x:c>
      <x:c r="B1837" s="187" t="str">
        <x:v>SCENARIO</x:v>
      </x:c>
      <x:c r="C1837" s="187" t="str">
        <x:v>GROWTH</x:v>
      </x:c>
      <x:c r="D1837" s="217" t="n">
        <x:v>46327</x:v>
      </x:c>
      <x:c r="E1837" s="187" t="str">
        <x:v>R_GB_DE_A_ROAD</x:v>
      </x:c>
      <x:c r="F1837" s="187" t="str">
        <x:v>GB</x:v>
      </x:c>
      <x:c r="G1837" s="187" t="str">
        <x:v>DE_FC</x:v>
      </x:c>
      <x:c r="H1837" s="187" t="str">
        <x:v>CARRIER_A</x:v>
      </x:c>
      <x:c r="I1837" s="187" t="str">
        <x:v>ROAD</x:v>
      </x:c>
      <x:c r="J1837" s="187" t="str">
        <x:v>WAREHOUSE_OPERATION</x:v>
      </x:c>
      <x:c r="K1837" s="187" t="str">
        <x:v>EUR</x:v>
      </x:c>
      <x:c r="L1837" s="232" t="n">
        <x:v>5239.041679872</x:v>
      </x:c>
      <x:c r="M1837" s="232" t="n">
        <x:v>7.88</x:v>
      </x:c>
      <x:c r="N1837" s="187" t="str">
        <x:v>41283.648437391360000000000000000000000000000000000000000000000000000000000000000</x:v>
      </x:c>
      <x:c r="O1837" s="235" t="n">
        <x:v>41283.6484</x:v>
      </x:c>
      <x:c r="P1837" s="235"/>
      <x:c r="Q1837" s="235"/>
      <x:c r="R1837" s="235" t="str">
        <x:v>INVOICE_OR_PLAN</x:v>
      </x:c>
      <x:c r="S1837" s="238" t="n">
        <x:f>'Model_Calc'!AL310</x:f>
        <x:v>41283.64843739135</x:v>
      </x:c>
      <x:c r="T1837" s="238" t="n">
        <x:f>ROUND(S1837-O1837,4)</x:f>
        <x:v>0</x:v>
      </x:c>
    </x:row>
    <x:row r="1838">
      <x:c r="A1838" s="187" t="str">
        <x:v>SCENARIO_GROWTH_2026_08</x:v>
      </x:c>
      <x:c r="B1838" s="187" t="str">
        <x:v>SCENARIO</x:v>
      </x:c>
      <x:c r="C1838" s="187" t="str">
        <x:v>GROWTH</x:v>
      </x:c>
      <x:c r="D1838" s="217" t="n">
        <x:v>46327</x:v>
      </x:c>
      <x:c r="E1838" s="187" t="str">
        <x:v>R_GB_DE_A_ROAD</x:v>
      </x:c>
      <x:c r="F1838" s="187" t="str">
        <x:v>GB</x:v>
      </x:c>
      <x:c r="G1838" s="187" t="str">
        <x:v>DE_FC</x:v>
      </x:c>
      <x:c r="H1838" s="187" t="str">
        <x:v>CARRIER_A</x:v>
      </x:c>
      <x:c r="I1838" s="187" t="str">
        <x:v>ROAD</x:v>
      </x:c>
      <x:c r="J1838" s="187" t="str">
        <x:v>PACKAGING</x:v>
      </x:c>
      <x:c r="K1838" s="187" t="str">
        <x:v>EUR</x:v>
      </x:c>
      <x:c r="L1838" s="232" t="n">
        <x:v>2181.75006905856</x:v>
      </x:c>
      <x:c r="M1838" s="232" t="n">
        <x:v>7.88</x:v>
      </x:c>
      <x:c r="N1838" s="187" t="str">
        <x:v>17192.190544181452800000000000000000000000000000000000000000000000000000000000000</x:v>
      </x:c>
      <x:c r="O1838" s="235" t="n">
        <x:v>17192.1905</x:v>
      </x:c>
      <x:c r="P1838" s="235"/>
      <x:c r="Q1838" s="235"/>
      <x:c r="R1838" s="235" t="str">
        <x:v>INVOICE_OR_PLAN</x:v>
      </x:c>
      <x:c r="S1838" s="238" t="n">
        <x:f>'Model_Calc'!AQ310</x:f>
        <x:v>17192.19054418145</x:v>
      </x:c>
      <x:c r="T1838" s="238" t="n">
        <x:f>ROUND(S1838-O1838,4)</x:f>
        <x:v>0</x:v>
      </x:c>
    </x:row>
    <x:row r="1839">
      <x:c r="A1839" s="187" t="str">
        <x:v>SCENARIO_GROWTH_2026_08</x:v>
      </x:c>
      <x:c r="B1839" s="187" t="str">
        <x:v>SCENARIO</x:v>
      </x:c>
      <x:c r="C1839" s="187" t="str">
        <x:v>GROWTH</x:v>
      </x:c>
      <x:c r="D1839" s="217" t="n">
        <x:v>46327</x:v>
      </x:c>
      <x:c r="E1839" s="187" t="str">
        <x:v>R_GB_DE_A_ROAD</x:v>
      </x:c>
      <x:c r="F1839" s="187" t="str">
        <x:v>GB</x:v>
      </x:c>
      <x:c r="G1839" s="187" t="str">
        <x:v>DE_FC</x:v>
      </x:c>
      <x:c r="H1839" s="187" t="str">
        <x:v>CARRIER_A</x:v>
      </x:c>
      <x:c r="I1839" s="187" t="str">
        <x:v>ROAD</x:v>
      </x:c>
      <x:c r="J1839" s="187" t="str">
        <x:v>RETURN_LOGISTICS</x:v>
      </x:c>
      <x:c r="K1839" s="187" t="str">
        <x:v>GBP</x:v>
      </x:c>
      <x:c r="L1839" s="232" t="n">
        <x:v>1918.0220387328</x:v>
      </x:c>
      <x:c r="M1839" s="232" t="n">
        <x:v>9.05</x:v>
      </x:c>
      <x:c r="N1839" s="187" t="str">
        <x:v>17358.099450531840000000000000000000000000000000000000000000000000000000000000000</x:v>
      </x:c>
      <x:c r="O1839" s="235" t="n">
        <x:v>17358.0995</x:v>
      </x:c>
      <x:c r="P1839" s="235"/>
      <x:c r="Q1839" s="235"/>
      <x:c r="R1839" s="235" t="str">
        <x:v>INVOICE_OR_PLAN</x:v>
      </x:c>
      <x:c r="S1839" s="238" t="n">
        <x:f>'Model_Calc'!AV310</x:f>
        <x:v>17358.099450531838</x:v>
      </x:c>
      <x:c r="T1839" s="238" t="n">
        <x:f>ROUND(S1839-O1839,4)</x:f>
        <x:v>0</x:v>
      </x:c>
    </x:row>
    <x:row r="1840">
      <x:c r="A1840" s="187" t="str">
        <x:v>SCENARIO_GROWTH_2026_08</x:v>
      </x:c>
      <x:c r="B1840" s="187" t="str">
        <x:v>SCENARIO</x:v>
      </x:c>
      <x:c r="C1840" s="187" t="str">
        <x:v>GROWTH</x:v>
      </x:c>
      <x:c r="D1840" s="217" t="n">
        <x:v>46327</x:v>
      </x:c>
      <x:c r="E1840" s="187" t="str">
        <x:v>R_GB_DE_A_ROAD</x:v>
      </x:c>
      <x:c r="F1840" s="187" t="str">
        <x:v>GB</x:v>
      </x:c>
      <x:c r="G1840" s="187" t="str">
        <x:v>DE_FC</x:v>
      </x:c>
      <x:c r="H1840" s="187" t="str">
        <x:v>CARRIER_A</x:v>
      </x:c>
      <x:c r="I1840" s="187" t="str">
        <x:v>ROAD</x:v>
      </x:c>
      <x:c r="J1840" s="187" t="str">
        <x:v>BILLABLE_EXCEPTION</x:v>
      </x:c>
      <x:c r="K1840" s="187" t="str">
        <x:v>GBP</x:v>
      </x:c>
      <x:c r="L1840" s="232" t="n">
        <x:v>322.5873316393728</x:v>
      </x:c>
      <x:c r="M1840" s="232" t="n">
        <x:v>9.05</x:v>
      </x:c>
      <x:c r="N1840" s="187" t="str">
        <x:v>2919.4153513363238400000000000000000000000000000000000000000000000000000000000000</x:v>
      </x:c>
      <x:c r="O1840" s="235" t="n">
        <x:v>2919.4154</x:v>
      </x:c>
      <x:c r="P1840" s="235"/>
      <x:c r="Q1840" s="235"/>
      <x:c r="R1840" s="235" t="str">
        <x:v>INVOICE_OR_PLAN</x:v>
      </x:c>
      <x:c r="S1840" s="238" t="n">
        <x:f>'Model_Calc'!BA310</x:f>
        <x:v>2919.4153513363235</x:v>
      </x:c>
      <x:c r="T1840" s="238" t="n">
        <x:f>ROUND(S1840-O1840,4)</x:f>
        <x:v>0</x:v>
      </x:c>
    </x:row>
    <x:row r="1841">
      <x:c r="A1841" s="187" t="str">
        <x:v>SCENARIO_GROWTH_2026_08</x:v>
      </x:c>
      <x:c r="B1841" s="187" t="str">
        <x:v>SCENARIO</x:v>
      </x:c>
      <x:c r="C1841" s="187" t="str">
        <x:v>GROWTH</x:v>
      </x:c>
      <x:c r="D1841" s="217" t="n">
        <x:v>46327</x:v>
      </x:c>
      <x:c r="E1841" s="187" t="str">
        <x:v>R_GB_DE_B_ROAD</x:v>
      </x:c>
      <x:c r="F1841" s="187" t="str">
        <x:v>GB</x:v>
      </x:c>
      <x:c r="G1841" s="187" t="str">
        <x:v>DE_FC</x:v>
      </x:c>
      <x:c r="H1841" s="187" t="str">
        <x:v>CARRIER_B</x:v>
      </x:c>
      <x:c r="I1841" s="187" t="str">
        <x:v>ROAD</x:v>
      </x:c>
      <x:c r="J1841" s="187" t="str">
        <x:v>BASE_FREIGHT</x:v>
      </x:c>
      <x:c r="K1841" s="187" t="str">
        <x:v>GBP</x:v>
      </x:c>
      <x:c r="L1841" s="232" t="n">
        <x:v>13773.796336489813</x:v>
      </x:c>
      <x:c r="M1841" s="232" t="n">
        <x:v>9.05</x:v>
      </x:c>
      <x:c r="N1841" s="187" t="str">
        <x:v>124652.85684523280294400000000000000000000000000000000000000000000000000000000000</x:v>
      </x:c>
      <x:c r="O1841" s="235" t="n">
        <x:v>124652.8568</x:v>
      </x:c>
      <x:c r="P1841" s="235"/>
      <x:c r="Q1841" s="235"/>
      <x:c r="R1841" s="235" t="str">
        <x:v>INVOICE_OR_PLAN</x:v>
      </x:c>
      <x:c r="S1841" s="238" t="n">
        <x:f>'Model_Calc'!AF311</x:f>
        <x:v>124652.8568452328</x:v>
      </x:c>
      <x:c r="T1841" s="238" t="n">
        <x:f>ROUND(S1841-O1841,4)</x:f>
        <x:v>0</x:v>
      </x:c>
    </x:row>
    <x:row r="1842">
      <x:c r="A1842" s="187" t="str">
        <x:v>SCENARIO_GROWTH_2026_08</x:v>
      </x:c>
      <x:c r="B1842" s="187" t="str">
        <x:v>SCENARIO</x:v>
      </x:c>
      <x:c r="C1842" s="187" t="str">
        <x:v>GROWTH</x:v>
      </x:c>
      <x:c r="D1842" s="217" t="n">
        <x:v>46327</x:v>
      </x:c>
      <x:c r="E1842" s="187" t="str">
        <x:v>R_GB_DE_B_ROAD</x:v>
      </x:c>
      <x:c r="F1842" s="187" t="str">
        <x:v>GB</x:v>
      </x:c>
      <x:c r="G1842" s="187" t="str">
        <x:v>DE_FC</x:v>
      </x:c>
      <x:c r="H1842" s="187" t="str">
        <x:v>CARRIER_B</x:v>
      </x:c>
      <x:c r="I1842" s="187" t="str">
        <x:v>ROAD</x:v>
      </x:c>
      <x:c r="J1842" s="187" t="str">
        <x:v>FUEL_SURCHARGE</x:v>
      </x:c>
      <x:c r="K1842" s="187" t="str">
        <x:v>GBP</x:v>
      </x:c>
      <x:c r="L1842" s="232" t="n">
        <x:v>967.0963385194975</x:v>
      </x:c>
      <x:c r="M1842" s="232" t="n">
        <x:v>9.05</x:v>
      </x:c>
      <x:c r="N1842" s="187" t="str">
        <x:v>8752.2218636014521216000000000000000000000000000000000000000000000000000000000000</x:v>
      </x:c>
      <x:c r="O1842" s="235" t="n">
        <x:v>8752.2219</x:v>
      </x:c>
      <x:c r="P1842" s="235"/>
      <x:c r="Q1842" s="235"/>
      <x:c r="R1842" s="235" t="str">
        <x:v>INVOICE_OR_PLAN</x:v>
      </x:c>
      <x:c r="S1842" s="238" t="n">
        <x:f>'Model_Calc'!AG311</x:f>
        <x:v>8752.221863601455</x:v>
      </x:c>
      <x:c r="T1842" s="238" t="n">
        <x:f>ROUND(S1842-O1842,4)</x:f>
        <x:v>0</x:v>
      </x:c>
    </x:row>
    <x:row r="1843">
      <x:c r="A1843" s="187" t="str">
        <x:v>SCENARIO_GROWTH_2026_08</x:v>
      </x:c>
      <x:c r="B1843" s="187" t="str">
        <x:v>SCENARIO</x:v>
      </x:c>
      <x:c r="C1843" s="187" t="str">
        <x:v>GROWTH</x:v>
      </x:c>
      <x:c r="D1843" s="217" t="n">
        <x:v>46327</x:v>
      </x:c>
      <x:c r="E1843" s="187" t="str">
        <x:v>R_GB_DE_B_ROAD</x:v>
      </x:c>
      <x:c r="F1843" s="187" t="str">
        <x:v>GB</x:v>
      </x:c>
      <x:c r="G1843" s="187" t="str">
        <x:v>DE_FC</x:v>
      </x:c>
      <x:c r="H1843" s="187" t="str">
        <x:v>CARRIER_B</x:v>
      </x:c>
      <x:c r="I1843" s="187" t="str">
        <x:v>ROAD</x:v>
      </x:c>
      <x:c r="J1843" s="187" t="str">
        <x:v>WAREHOUSE_OPERATION</x:v>
      </x:c>
      <x:c r="K1843" s="187" t="str">
        <x:v>EUR</x:v>
      </x:c>
      <x:c r="L1843" s="232" t="n">
        <x:v>2868.999015168</x:v>
      </x:c>
      <x:c r="M1843" s="232" t="n">
        <x:v>7.88</x:v>
      </x:c>
      <x:c r="N1843" s="187" t="str">
        <x:v>22607.712239523840000000000000000000000000000000000000000000000000000000000000000</x:v>
      </x:c>
      <x:c r="O1843" s="235" t="n">
        <x:v>22607.7122</x:v>
      </x:c>
      <x:c r="P1843" s="235"/>
      <x:c r="Q1843" s="235"/>
      <x:c r="R1843" s="235" t="str">
        <x:v>INVOICE_OR_PLAN</x:v>
      </x:c>
      <x:c r="S1843" s="238" t="n">
        <x:f>'Model_Calc'!AL311</x:f>
        <x:v>22607.712239523844</x:v>
      </x:c>
      <x:c r="T1843" s="238" t="n">
        <x:f>ROUND(S1843-O1843,4)</x:f>
        <x:v>0</x:v>
      </x:c>
    </x:row>
    <x:row r="1844">
      <x:c r="A1844" s="187" t="str">
        <x:v>SCENARIO_GROWTH_2026_08</x:v>
      </x:c>
      <x:c r="B1844" s="187" t="str">
        <x:v>SCENARIO</x:v>
      </x:c>
      <x:c r="C1844" s="187" t="str">
        <x:v>GROWTH</x:v>
      </x:c>
      <x:c r="D1844" s="217" t="n">
        <x:v>46327</x:v>
      </x:c>
      <x:c r="E1844" s="187" t="str">
        <x:v>R_GB_DE_B_ROAD</x:v>
      </x:c>
      <x:c r="F1844" s="187" t="str">
        <x:v>GB</x:v>
      </x:c>
      <x:c r="G1844" s="187" t="str">
        <x:v>DE_FC</x:v>
      </x:c>
      <x:c r="H1844" s="187" t="str">
        <x:v>CARRIER_B</x:v>
      </x:c>
      <x:c r="I1844" s="187" t="str">
        <x:v>ROAD</x:v>
      </x:c>
      <x:c r="J1844" s="187" t="str">
        <x:v>PACKAGING</x:v>
      </x:c>
      <x:c r="K1844" s="187" t="str">
        <x:v>EUR</x:v>
      </x:c>
      <x:c r="L1844" s="232" t="n">
        <x:v>1194.76789496064</x:v>
      </x:c>
      <x:c r="M1844" s="232" t="n">
        <x:v>7.88</x:v>
      </x:c>
      <x:c r="N1844" s="187" t="str">
        <x:v>9414.7710122898432000000000000000000000000000000000000000000000000000000000000000</x:v>
      </x:c>
      <x:c r="O1844" s="235" t="n">
        <x:v>9414.771</x:v>
      </x:c>
      <x:c r="P1844" s="235"/>
      <x:c r="Q1844" s="235"/>
      <x:c r="R1844" s="235" t="str">
        <x:v>INVOICE_OR_PLAN</x:v>
      </x:c>
      <x:c r="S1844" s="238" t="n">
        <x:f>'Model_Calc'!AQ311</x:f>
        <x:v>9414.771012289842</x:v>
      </x:c>
      <x:c r="T1844" s="238" t="n">
        <x:f>ROUND(S1844-O1844,4)</x:f>
        <x:v>0</x:v>
      </x:c>
    </x:row>
    <x:row r="1845">
      <x:c r="A1845" s="187" t="str">
        <x:v>SCENARIO_GROWTH_2026_08</x:v>
      </x:c>
      <x:c r="B1845" s="187" t="str">
        <x:v>SCENARIO</x:v>
      </x:c>
      <x:c r="C1845" s="187" t="str">
        <x:v>GROWTH</x:v>
      </x:c>
      <x:c r="D1845" s="217" t="n">
        <x:v>46327</x:v>
      </x:c>
      <x:c r="E1845" s="187" t="str">
        <x:v>R_GB_DE_B_ROAD</x:v>
      </x:c>
      <x:c r="F1845" s="187" t="str">
        <x:v>GB</x:v>
      </x:c>
      <x:c r="G1845" s="187" t="str">
        <x:v>DE_FC</x:v>
      </x:c>
      <x:c r="H1845" s="187" t="str">
        <x:v>CARRIER_B</x:v>
      </x:c>
      <x:c r="I1845" s="187" t="str">
        <x:v>ROAD</x:v>
      </x:c>
      <x:c r="J1845" s="187" t="str">
        <x:v>RETURN_LOGISTICS</x:v>
      </x:c>
      <x:c r="K1845" s="187" t="str">
        <x:v>GBP</x:v>
      </x:c>
      <x:c r="L1845" s="232" t="n">
        <x:v>1050.3454021632</x:v>
      </x:c>
      <x:c r="M1845" s="232" t="n">
        <x:v>9.05</x:v>
      </x:c>
      <x:c r="N1845" s="187" t="str">
        <x:v>9505.6258895769600000000000000000000000000000000000000000000000000000000000000000</x:v>
      </x:c>
      <x:c r="O1845" s="235" t="n">
        <x:v>9505.6259</x:v>
      </x:c>
      <x:c r="P1845" s="235"/>
      <x:c r="Q1845" s="235"/>
      <x:c r="R1845" s="235" t="str">
        <x:v>INVOICE_OR_PLAN</x:v>
      </x:c>
      <x:c r="S1845" s="238" t="n">
        <x:f>'Model_Calc'!AV311</x:f>
        <x:v>9505.625889576962</x:v>
      </x:c>
      <x:c r="T1845" s="238" t="n">
        <x:f>ROUND(S1845-O1845,4)</x:f>
        <x:v>0</x:v>
      </x:c>
    </x:row>
    <x:row r="1846">
      <x:c r="A1846" s="187" t="str">
        <x:v>SCENARIO_GROWTH_2026_08</x:v>
      </x:c>
      <x:c r="B1846" s="187" t="str">
        <x:v>SCENARIO</x:v>
      </x:c>
      <x:c r="C1846" s="187" t="str">
        <x:v>GROWTH</x:v>
      </x:c>
      <x:c r="D1846" s="217" t="n">
        <x:v>46327</x:v>
      </x:c>
      <x:c r="E1846" s="187" t="str">
        <x:v>R_GB_DE_B_ROAD</x:v>
      </x:c>
      <x:c r="F1846" s="187" t="str">
        <x:v>GB</x:v>
      </x:c>
      <x:c r="G1846" s="187" t="str">
        <x:v>DE_FC</x:v>
      </x:c>
      <x:c r="H1846" s="187" t="str">
        <x:v>CARRIER_B</x:v>
      </x:c>
      <x:c r="I1846" s="187" t="str">
        <x:v>ROAD</x:v>
      </x:c>
      <x:c r="J1846" s="187" t="str">
        <x:v>BILLABLE_EXCEPTION</x:v>
      </x:c>
      <x:c r="K1846" s="187" t="str">
        <x:v>GBP</x:v>
      </x:c>
      <x:c r="L1846" s="232" t="n">
        <x:v>130.855531352832</x:v>
      </x:c>
      <x:c r="M1846" s="232" t="n">
        <x:v>9.05</x:v>
      </x:c>
      <x:c r="N1846" s="187" t="str">
        <x:v>1184.2425587431296000000000000000000000000000000000000000000000000000000000000000</x:v>
      </x:c>
      <x:c r="O1846" s="235" t="n">
        <x:v>1184.2426</x:v>
      </x:c>
      <x:c r="P1846" s="235"/>
      <x:c r="Q1846" s="235"/>
      <x:c r="R1846" s="235" t="str">
        <x:v>INVOICE_OR_PLAN</x:v>
      </x:c>
      <x:c r="S1846" s="238" t="n">
        <x:f>'Model_Calc'!BA311</x:f>
        <x:v>1184.2425587431296</x:v>
      </x:c>
      <x:c r="T1846" s="238" t="n">
        <x:f>ROUND(S1846-O1846,4)</x:f>
        <x:v>0</x:v>
      </x:c>
    </x:row>
    <x:row r="1847">
      <x:c r="A1847" s="187" t="str">
        <x:v>SCENARIO_GROWTH_2026_08</x:v>
      </x:c>
      <x:c r="B1847" s="187" t="str">
        <x:v>SCENARIO</x:v>
      </x:c>
      <x:c r="C1847" s="187" t="str">
        <x:v>GROWTH</x:v>
      </x:c>
      <x:c r="D1847" s="217" t="n">
        <x:v>46327</x:v>
      </x:c>
      <x:c r="E1847" s="187" t="str">
        <x:v>R_GB_DE_B_AIR</x:v>
      </x:c>
      <x:c r="F1847" s="187" t="str">
        <x:v>GB</x:v>
      </x:c>
      <x:c r="G1847" s="187" t="str">
        <x:v>DE_FC</x:v>
      </x:c>
      <x:c r="H1847" s="187" t="str">
        <x:v>CARRIER_B</x:v>
      </x:c>
      <x:c r="I1847" s="187" t="str">
        <x:v>AIR</x:v>
      </x:c>
      <x:c r="J1847" s="187" t="str">
        <x:v>BASE_FREIGHT</x:v>
      </x:c>
      <x:c r="K1847" s="187" t="str">
        <x:v>GBP</x:v>
      </x:c>
      <x:c r="L1847" s="232" t="n">
        <x:v>16990.39698355738</x:v>
      </x:c>
      <x:c r="M1847" s="232" t="n">
        <x:v>9.05</x:v>
      </x:c>
      <x:c r="N1847" s="187" t="str">
        <x:v>153763.09270119429995151360000000000000000000000000000000000000000000000000000000</x:v>
      </x:c>
      <x:c r="O1847" s="235" t="n">
        <x:v>153763.0927</x:v>
      </x:c>
      <x:c r="P1847" s="235"/>
      <x:c r="Q1847" s="235"/>
      <x:c r="R1847" s="235" t="str">
        <x:v>INVOICE_OR_PLAN</x:v>
      </x:c>
      <x:c r="S1847" s="238" t="n">
        <x:f>'Model_Calc'!AF312</x:f>
        <x:v>153763.0927011943</x:v>
      </x:c>
      <x:c r="T1847" s="238" t="n">
        <x:f>ROUND(S1847-O1847,4)</x:f>
        <x:v>0</x:v>
      </x:c>
    </x:row>
    <x:row r="1848">
      <x:c r="A1848" s="187" t="str">
        <x:v>SCENARIO_GROWTH_2026_08</x:v>
      </x:c>
      <x:c r="B1848" s="187" t="str">
        <x:v>SCENARIO</x:v>
      </x:c>
      <x:c r="C1848" s="187" t="str">
        <x:v>GROWTH</x:v>
      </x:c>
      <x:c r="D1848" s="217" t="n">
        <x:v>46327</x:v>
      </x:c>
      <x:c r="E1848" s="187" t="str">
        <x:v>R_GB_DE_B_AIR</x:v>
      </x:c>
      <x:c r="F1848" s="187" t="str">
        <x:v>GB</x:v>
      </x:c>
      <x:c r="G1848" s="187" t="str">
        <x:v>DE_FC</x:v>
      </x:c>
      <x:c r="H1848" s="187" t="str">
        <x:v>CARRIER_B</x:v>
      </x:c>
      <x:c r="I1848" s="187" t="str">
        <x:v>AIR</x:v>
      </x:c>
      <x:c r="J1848" s="187" t="str">
        <x:v>FUEL_SURCHARGE</x:v>
      </x:c>
      <x:c r="K1848" s="187" t="str">
        <x:v>GBP</x:v>
      </x:c>
      <x:c r="L1848" s="232" t="n">
        <x:v>2103.173281006634</x:v>
      </x:c>
      <x:c r="M1848" s="232" t="n">
        <x:v>9.05</x:v>
      </x:c>
      <x:c r="N1848" s="187" t="str">
        <x:v>19033.718193110037613798062489600000000000000000000000000000000000000000000000000</x:v>
      </x:c>
      <x:c r="O1848" s="235" t="n">
        <x:v>19033.7182</x:v>
      </x:c>
      <x:c r="P1848" s="235"/>
      <x:c r="Q1848" s="235"/>
      <x:c r="R1848" s="235" t="str">
        <x:v>INVOICE_OR_PLAN</x:v>
      </x:c>
      <x:c r="S1848" s="238" t="n">
        <x:f>'Model_Calc'!AG312</x:f>
        <x:v>19033.718193110035</x:v>
      </x:c>
      <x:c r="T1848" s="238" t="n">
        <x:f>ROUND(S1848-O1848,4)</x:f>
        <x:v>0</x:v>
      </x:c>
    </x:row>
    <x:row r="1849">
      <x:c r="A1849" s="187" t="str">
        <x:v>SCENARIO_GROWTH_2026_08</x:v>
      </x:c>
      <x:c r="B1849" s="187" t="str">
        <x:v>SCENARIO</x:v>
      </x:c>
      <x:c r="C1849" s="187" t="str">
        <x:v>GROWTH</x:v>
      </x:c>
      <x:c r="D1849" s="217" t="n">
        <x:v>46327</x:v>
      </x:c>
      <x:c r="E1849" s="187" t="str">
        <x:v>R_GB_DE_B_AIR</x:v>
      </x:c>
      <x:c r="F1849" s="187" t="str">
        <x:v>GB</x:v>
      </x:c>
      <x:c r="G1849" s="187" t="str">
        <x:v>DE_FC</x:v>
      </x:c>
      <x:c r="H1849" s="187" t="str">
        <x:v>CARRIER_B</x:v>
      </x:c>
      <x:c r="I1849" s="187" t="str">
        <x:v>AIR</x:v>
      </x:c>
      <x:c r="J1849" s="187" t="str">
        <x:v>WAREHOUSE_OPERATION</x:v>
      </x:c>
      <x:c r="K1849" s="187" t="str">
        <x:v>EUR</x:v>
      </x:c>
      <x:c r="L1849" s="232" t="n">
        <x:v>2744.259927552</x:v>
      </x:c>
      <x:c r="M1849" s="232" t="n">
        <x:v>7.88</x:v>
      </x:c>
      <x:c r="N1849" s="187" t="str">
        <x:v>21624.768229109760000000000000000000000000000000000000000000000000000000000000000</x:v>
      </x:c>
      <x:c r="O1849" s="235" t="n">
        <x:v>21624.7682</x:v>
      </x:c>
      <x:c r="P1849" s="235"/>
      <x:c r="Q1849" s="235"/>
      <x:c r="R1849" s="235" t="str">
        <x:v>INVOICE_OR_PLAN</x:v>
      </x:c>
      <x:c r="S1849" s="238" t="n">
        <x:f>'Model_Calc'!AL312</x:f>
        <x:v>21624.76822910976</x:v>
      </x:c>
      <x:c r="T1849" s="238" t="n">
        <x:f>ROUND(S1849-O1849,4)</x:f>
        <x:v>0</x:v>
      </x:c>
    </x:row>
    <x:row r="1850">
      <x:c r="A1850" s="187" t="str">
        <x:v>SCENARIO_GROWTH_2026_08</x:v>
      </x:c>
      <x:c r="B1850" s="187" t="str">
        <x:v>SCENARIO</x:v>
      </x:c>
      <x:c r="C1850" s="187" t="str">
        <x:v>GROWTH</x:v>
      </x:c>
      <x:c r="D1850" s="217" t="n">
        <x:v>46327</x:v>
      </x:c>
      <x:c r="E1850" s="187" t="str">
        <x:v>R_GB_DE_B_AIR</x:v>
      </x:c>
      <x:c r="F1850" s="187" t="str">
        <x:v>GB</x:v>
      </x:c>
      <x:c r="G1850" s="187" t="str">
        <x:v>DE_FC</x:v>
      </x:c>
      <x:c r="H1850" s="187" t="str">
        <x:v>CARRIER_B</x:v>
      </x:c>
      <x:c r="I1850" s="187" t="str">
        <x:v>AIR</x:v>
      </x:c>
      <x:c r="J1850" s="187" t="str">
        <x:v>PACKAGING</x:v>
      </x:c>
      <x:c r="K1850" s="187" t="str">
        <x:v>EUR</x:v>
      </x:c>
      <x:c r="L1850" s="232" t="n">
        <x:v>1142.82146474496</x:v>
      </x:c>
      <x:c r="M1850" s="232" t="n">
        <x:v>7.88</x:v>
      </x:c>
      <x:c r="N1850" s="187" t="str">
        <x:v>9005.4331421902848000000000000000000000000000000000000000000000000000000000000000</x:v>
      </x:c>
      <x:c r="O1850" s="235" t="n">
        <x:v>9005.4331</x:v>
      </x:c>
      <x:c r="P1850" s="235"/>
      <x:c r="Q1850" s="235"/>
      <x:c r="R1850" s="235" t="str">
        <x:v>INVOICE_OR_PLAN</x:v>
      </x:c>
      <x:c r="S1850" s="238" t="n">
        <x:f>'Model_Calc'!AQ312</x:f>
        <x:v>9005.433142190284</x:v>
      </x:c>
      <x:c r="T1850" s="238" t="n">
        <x:f>ROUND(S1850-O1850,4)</x:f>
        <x:v>0</x:v>
      </x:c>
    </x:row>
    <x:row r="1851">
      <x:c r="A1851" s="187" t="str">
        <x:v>SCENARIO_GROWTH_2026_08</x:v>
      </x:c>
      <x:c r="B1851" s="187" t="str">
        <x:v>SCENARIO</x:v>
      </x:c>
      <x:c r="C1851" s="187" t="str">
        <x:v>GROWTH</x:v>
      </x:c>
      <x:c r="D1851" s="217" t="n">
        <x:v>46327</x:v>
      </x:c>
      <x:c r="E1851" s="187" t="str">
        <x:v>R_GB_DE_B_AIR</x:v>
      </x:c>
      <x:c r="F1851" s="187" t="str">
        <x:v>GB</x:v>
      </x:c>
      <x:c r="G1851" s="187" t="str">
        <x:v>DE_FC</x:v>
      </x:c>
      <x:c r="H1851" s="187" t="str">
        <x:v>CARRIER_B</x:v>
      </x:c>
      <x:c r="I1851" s="187" t="str">
        <x:v>AIR</x:v>
      </x:c>
      <x:c r="J1851" s="187" t="str">
        <x:v>RETURN_LOGISTICS</x:v>
      </x:c>
      <x:c r="K1851" s="187" t="str">
        <x:v>GBP</x:v>
      </x:c>
      <x:c r="L1851" s="232" t="n">
        <x:v>1004.6782107648</x:v>
      </x:c>
      <x:c r="M1851" s="232" t="n">
        <x:v>9.05</x:v>
      </x:c>
      <x:c r="N1851" s="187" t="str">
        <x:v>9092.3378074214400000000000000000000000000000000000000000000000000000000000000000</x:v>
      </x:c>
      <x:c r="O1851" s="235" t="n">
        <x:v>9092.3378</x:v>
      </x:c>
      <x:c r="P1851" s="235"/>
      <x:c r="Q1851" s="235"/>
      <x:c r="R1851" s="235" t="str">
        <x:v>INVOICE_OR_PLAN</x:v>
      </x:c>
      <x:c r="S1851" s="238" t="n">
        <x:f>'Model_Calc'!AV312</x:f>
        <x:v>9092.337807421442</x:v>
      </x:c>
      <x:c r="T1851" s="238" t="n">
        <x:f>ROUND(S1851-O1851,4)</x:f>
        <x:v>0</x:v>
      </x:c>
    </x:row>
    <x:row r="1852">
      <x:c r="A1852" s="187" t="str">
        <x:v>SCENARIO_GROWTH_2026_08</x:v>
      </x:c>
      <x:c r="B1852" s="187" t="str">
        <x:v>SCENARIO</x:v>
      </x:c>
      <x:c r="C1852" s="187" t="str">
        <x:v>GROWTH</x:v>
      </x:c>
      <x:c r="D1852" s="217" t="n">
        <x:v>46327</x:v>
      </x:c>
      <x:c r="E1852" s="187" t="str">
        <x:v>R_GB_DE_B_AIR</x:v>
      </x:c>
      <x:c r="F1852" s="187" t="str">
        <x:v>GB</x:v>
      </x:c>
      <x:c r="G1852" s="187" t="str">
        <x:v>DE_FC</x:v>
      </x:c>
      <x:c r="H1852" s="187" t="str">
        <x:v>CARRIER_B</x:v>
      </x:c>
      <x:c r="I1852" s="187" t="str">
        <x:v>AIR</x:v>
      </x:c>
      <x:c r="J1852" s="187" t="str">
        <x:v>BILLABLE_EXCEPTION</x:v>
      </x:c>
      <x:c r="K1852" s="187" t="str">
        <x:v>GBP</x:v>
      </x:c>
      <x:c r="L1852" s="232" t="n">
        <x:v>121.9009562394624</x:v>
      </x:c>
      <x:c r="M1852" s="232" t="n">
        <x:v>9.05</x:v>
      </x:c>
      <x:c r="N1852" s="187" t="str">
        <x:v>1103.2036539671347200000000000000000000000000000000000000000000000000000000000000</x:v>
      </x:c>
      <x:c r="O1852" s="235" t="n">
        <x:v>1103.2037</x:v>
      </x:c>
      <x:c r="P1852" s="235"/>
      <x:c r="Q1852" s="235"/>
      <x:c r="R1852" s="235" t="str">
        <x:v>INVOICE_OR_PLAN</x:v>
      </x:c>
      <x:c r="S1852" s="238" t="n">
        <x:f>'Model_Calc'!BA312</x:f>
        <x:v>1103.2036539671349</x:v>
      </x:c>
      <x:c r="T1852" s="238" t="n">
        <x:f>ROUND(S1852-O1852,4)</x:f>
        <x:v>0</x:v>
      </x:c>
    </x:row>
    <x:row r="1853">
      <x:c r="A1853" s="187" t="str">
        <x:v>SCENARIO_GROWTH_2026_08</x:v>
      </x:c>
      <x:c r="B1853" s="187" t="str">
        <x:v>SCENARIO</x:v>
      </x:c>
      <x:c r="C1853" s="187" t="str">
        <x:v>GROWTH</x:v>
      </x:c>
      <x:c r="D1853" s="217" t="n">
        <x:v>46327</x:v>
      </x:c>
      <x:c r="E1853" s="187" t="str">
        <x:v>R_GB_DE_C_AIR</x:v>
      </x:c>
      <x:c r="F1853" s="187" t="str">
        <x:v>GB</x:v>
      </x:c>
      <x:c r="G1853" s="187" t="str">
        <x:v>DE_FC</x:v>
      </x:c>
      <x:c r="H1853" s="187" t="str">
        <x:v>CARRIER_C</x:v>
      </x:c>
      <x:c r="I1853" s="187" t="str">
        <x:v>AIR</x:v>
      </x:c>
      <x:c r="J1853" s="187" t="str">
        <x:v>BASE_FREIGHT</x:v>
      </x:c>
      <x:c r="K1853" s="187" t="str">
        <x:v>GBP</x:v>
      </x:c>
      <x:c r="L1853" s="232" t="n">
        <x:v>12115.079586180615</x:v>
      </x:c>
      <x:c r="M1853" s="232" t="n">
        <x:v>9.05</x:v>
      </x:c>
      <x:c r="N1853" s="187" t="str">
        <x:v>109641.47025493455475968000000000000000000000000000000000000000000000000000000000</x:v>
      </x:c>
      <x:c r="O1853" s="235" t="n">
        <x:v>109641.4703</x:v>
      </x:c>
      <x:c r="P1853" s="235"/>
      <x:c r="Q1853" s="235"/>
      <x:c r="R1853" s="235" t="str">
        <x:v>INVOICE_OR_PLAN</x:v>
      </x:c>
      <x:c r="S1853" s="238" t="n">
        <x:f>'Model_Calc'!AF313</x:f>
        <x:v>109641.47025493454</x:v>
      </x:c>
      <x:c r="T1853" s="238" t="n">
        <x:f>ROUND(S1853-O1853,4)</x:f>
        <x:v>0</x:v>
      </x:c>
    </x:row>
    <x:row r="1854">
      <x:c r="A1854" s="187" t="str">
        <x:v>SCENARIO_GROWTH_2026_08</x:v>
      </x:c>
      <x:c r="B1854" s="187" t="str">
        <x:v>SCENARIO</x:v>
      </x:c>
      <x:c r="C1854" s="187" t="str">
        <x:v>GROWTH</x:v>
      </x:c>
      <x:c r="D1854" s="217" t="n">
        <x:v>46327</x:v>
      </x:c>
      <x:c r="E1854" s="187" t="str">
        <x:v>R_GB_DE_C_AIR</x:v>
      </x:c>
      <x:c r="F1854" s="187" t="str">
        <x:v>GB</x:v>
      </x:c>
      <x:c r="G1854" s="187" t="str">
        <x:v>DE_FC</x:v>
      </x:c>
      <x:c r="H1854" s="187" t="str">
        <x:v>CARRIER_C</x:v>
      </x:c>
      <x:c r="I1854" s="187" t="str">
        <x:v>AIR</x:v>
      </x:c>
      <x:c r="J1854" s="187" t="str">
        <x:v>FUEL_SURCHARGE</x:v>
      </x:c>
      <x:c r="K1854" s="187" t="str">
        <x:v>GBP</x:v>
      </x:c>
      <x:c r="L1854" s="232" t="n">
        <x:v>936.8994879979674</x:v>
      </x:c>
      <x:c r="M1854" s="232" t="n">
        <x:v>9.05</x:v>
      </x:c>
      <x:c r="N1854" s="187" t="str">
        <x:v>8478.9403663816055680819200000000000000000000000000000000000000000000000000000000</x:v>
      </x:c>
      <x:c r="O1854" s="235" t="n">
        <x:v>8478.9404</x:v>
      </x:c>
      <x:c r="P1854" s="235"/>
      <x:c r="Q1854" s="235"/>
      <x:c r="R1854" s="235" t="str">
        <x:v>INVOICE_OR_PLAN</x:v>
      </x:c>
      <x:c r="S1854" s="238" t="n">
        <x:f>'Model_Calc'!AG313</x:f>
        <x:v>8478.940366381607</x:v>
      </x:c>
      <x:c r="T1854" s="238" t="n">
        <x:f>ROUND(S1854-O1854,4)</x:f>
        <x:v>0</x:v>
      </x:c>
    </x:row>
    <x:row r="1855">
      <x:c r="A1855" s="187" t="str">
        <x:v>SCENARIO_GROWTH_2026_08</x:v>
      </x:c>
      <x:c r="B1855" s="187" t="str">
        <x:v>SCENARIO</x:v>
      </x:c>
      <x:c r="C1855" s="187" t="str">
        <x:v>GROWTH</x:v>
      </x:c>
      <x:c r="D1855" s="217" t="n">
        <x:v>46327</x:v>
      </x:c>
      <x:c r="E1855" s="187" t="str">
        <x:v>R_GB_DE_C_AIR</x:v>
      </x:c>
      <x:c r="F1855" s="187" t="str">
        <x:v>GB</x:v>
      </x:c>
      <x:c r="G1855" s="187" t="str">
        <x:v>DE_FC</x:v>
      </x:c>
      <x:c r="H1855" s="187" t="str">
        <x:v>CARRIER_C</x:v>
      </x:c>
      <x:c r="I1855" s="187" t="str">
        <x:v>AIR</x:v>
      </x:c>
      <x:c r="J1855" s="187" t="str">
        <x:v>WAREHOUSE_OPERATION</x:v>
      </x:c>
      <x:c r="K1855" s="187" t="str">
        <x:v>EUR</x:v>
      </x:c>
      <x:c r="L1855" s="232" t="n">
        <x:v>1621.608139008</x:v>
      </x:c>
      <x:c r="M1855" s="232" t="n">
        <x:v>7.88</x:v>
      </x:c>
      <x:c r="N1855" s="187" t="str">
        <x:v>12778.272135383040000000000000000000000000000000000000000000000000000000000000000</x:v>
      </x:c>
      <x:c r="O1855" s="235" t="n">
        <x:v>12778.2721</x:v>
      </x:c>
      <x:c r="P1855" s="235"/>
      <x:c r="Q1855" s="235"/>
      <x:c r="R1855" s="235" t="str">
        <x:v>INVOICE_OR_PLAN</x:v>
      </x:c>
      <x:c r="S1855" s="238" t="n">
        <x:f>'Model_Calc'!AL313</x:f>
        <x:v>12778.27213538304</x:v>
      </x:c>
      <x:c r="T1855" s="238" t="n">
        <x:f>ROUND(S1855-O1855,4)</x:f>
        <x:v>0</x:v>
      </x:c>
    </x:row>
    <x:row r="1856">
      <x:c r="A1856" s="187" t="str">
        <x:v>SCENARIO_GROWTH_2026_08</x:v>
      </x:c>
      <x:c r="B1856" s="187" t="str">
        <x:v>SCENARIO</x:v>
      </x:c>
      <x:c r="C1856" s="187" t="str">
        <x:v>GROWTH</x:v>
      </x:c>
      <x:c r="D1856" s="217" t="n">
        <x:v>46327</x:v>
      </x:c>
      <x:c r="E1856" s="187" t="str">
        <x:v>R_GB_DE_C_AIR</x:v>
      </x:c>
      <x:c r="F1856" s="187" t="str">
        <x:v>GB</x:v>
      </x:c>
      <x:c r="G1856" s="187" t="str">
        <x:v>DE_FC</x:v>
      </x:c>
      <x:c r="H1856" s="187" t="str">
        <x:v>CARRIER_C</x:v>
      </x:c>
      <x:c r="I1856" s="187" t="str">
        <x:v>AIR</x:v>
      </x:c>
      <x:c r="J1856" s="187" t="str">
        <x:v>PACKAGING</x:v>
      </x:c>
      <x:c r="K1856" s="187" t="str">
        <x:v>EUR</x:v>
      </x:c>
      <x:c r="L1856" s="232" t="n">
        <x:v>675.30359280384</x:v>
      </x:c>
      <x:c r="M1856" s="232" t="n">
        <x:v>7.88</x:v>
      </x:c>
      <x:c r="N1856" s="187" t="str">
        <x:v>5321.3923112942592000000000000000000000000000000000000000000000000000000000000000</x:v>
      </x:c>
      <x:c r="O1856" s="235" t="n">
        <x:v>5321.3923</x:v>
      </x:c>
      <x:c r="P1856" s="235"/>
      <x:c r="Q1856" s="235"/>
      <x:c r="R1856" s="235" t="str">
        <x:v>INVOICE_OR_PLAN</x:v>
      </x:c>
      <x:c r="S1856" s="238" t="n">
        <x:f>'Model_Calc'!AQ313</x:f>
        <x:v>5321.392311294258</x:v>
      </x:c>
      <x:c r="T1856" s="238" t="n">
        <x:f>ROUND(S1856-O1856,4)</x:f>
        <x:v>0</x:v>
      </x:c>
    </x:row>
    <x:row r="1857">
      <x:c r="A1857" s="187" t="str">
        <x:v>SCENARIO_GROWTH_2026_08</x:v>
      </x:c>
      <x:c r="B1857" s="187" t="str">
        <x:v>SCENARIO</x:v>
      </x:c>
      <x:c r="C1857" s="187" t="str">
        <x:v>GROWTH</x:v>
      </x:c>
      <x:c r="D1857" s="217" t="n">
        <x:v>46327</x:v>
      </x:c>
      <x:c r="E1857" s="187" t="str">
        <x:v>R_GB_DE_C_AIR</x:v>
      </x:c>
      <x:c r="F1857" s="187" t="str">
        <x:v>GB</x:v>
      </x:c>
      <x:c r="G1857" s="187" t="str">
        <x:v>DE_FC</x:v>
      </x:c>
      <x:c r="H1857" s="187" t="str">
        <x:v>CARRIER_C</x:v>
      </x:c>
      <x:c r="I1857" s="187" t="str">
        <x:v>AIR</x:v>
      </x:c>
      <x:c r="J1857" s="187" t="str">
        <x:v>RETURN_LOGISTICS</x:v>
      </x:c>
      <x:c r="K1857" s="187" t="str">
        <x:v>GBP</x:v>
      </x:c>
      <x:c r="L1857" s="232" t="n">
        <x:v>593.6734881792</x:v>
      </x:c>
      <x:c r="M1857" s="232" t="n">
        <x:v>9.05</x:v>
      </x:c>
      <x:c r="N1857" s="187" t="str">
        <x:v>5372.7450680217600000000000000000000000000000000000000000000000000000000000000000</x:v>
      </x:c>
      <x:c r="O1857" s="235" t="n">
        <x:v>5372.7451</x:v>
      </x:c>
      <x:c r="P1857" s="235"/>
      <x:c r="Q1857" s="235"/>
      <x:c r="R1857" s="235" t="str">
        <x:v>INVOICE_OR_PLAN</x:v>
      </x:c>
      <x:c r="S1857" s="238" t="n">
        <x:f>'Model_Calc'!AV313</x:f>
        <x:v>5372.74506802176</x:v>
      </x:c>
      <x:c r="T1857" s="238" t="n">
        <x:f>ROUND(S1857-O1857,4)</x:f>
        <x:v>0</x:v>
      </x:c>
    </x:row>
    <x:row r="1858">
      <x:c r="A1858" s="187" t="str">
        <x:v>SCENARIO_GROWTH_2026_08</x:v>
      </x:c>
      <x:c r="B1858" s="187" t="str">
        <x:v>SCENARIO</x:v>
      </x:c>
      <x:c r="C1858" s="187" t="str">
        <x:v>GROWTH</x:v>
      </x:c>
      <x:c r="D1858" s="217" t="n">
        <x:v>46327</x:v>
      </x:c>
      <x:c r="E1858" s="187" t="str">
        <x:v>R_GB_DE_C_AIR</x:v>
      </x:c>
      <x:c r="F1858" s="187" t="str">
        <x:v>GB</x:v>
      </x:c>
      <x:c r="G1858" s="187" t="str">
        <x:v>DE_FC</x:v>
      </x:c>
      <x:c r="H1858" s="187" t="str">
        <x:v>CARRIER_C</x:v>
      </x:c>
      <x:c r="I1858" s="187" t="str">
        <x:v>AIR</x:v>
      </x:c>
      <x:c r="J1858" s="187" t="str">
        <x:v>BILLABLE_EXCEPTION</x:v>
      </x:c>
      <x:c r="K1858" s="187" t="str">
        <x:v>GBP</x:v>
      </x:c>
      <x:c r="L1858" s="232" t="n">
        <x:v>63.6714816072192</x:v>
      </x:c>
      <x:c r="M1858" s="232" t="n">
        <x:v>9.05</x:v>
      </x:c>
      <x:c r="N1858" s="187" t="str">
        <x:v>576.22690854533376000000000000000000000000000000000000000000000000000000000000000</x:v>
      </x:c>
      <x:c r="O1858" s="235" t="n">
        <x:v>576.2269</x:v>
      </x:c>
      <x:c r="P1858" s="235"/>
      <x:c r="Q1858" s="235"/>
      <x:c r="R1858" s="235" t="str">
        <x:v>INVOICE_OR_PLAN</x:v>
      </x:c>
      <x:c r="S1858" s="238" t="n">
        <x:f>'Model_Calc'!BA313</x:f>
        <x:v>576.2269085453337</x:v>
      </x:c>
      <x:c r="T1858" s="238" t="n">
        <x:f>ROUND(S1858-O1858,4)</x:f>
        <x:v>0</x:v>
      </x:c>
    </x:row>
    <x:row r="1859">
      <x:c r="A1859" s="187" t="str">
        <x:v>SCENARIO_GROWTH_2026_08</x:v>
      </x:c>
      <x:c r="B1859" s="187" t="str">
        <x:v>SCENARIO</x:v>
      </x:c>
      <x:c r="C1859" s="187" t="str">
        <x:v>GROWTH</x:v>
      </x:c>
      <x:c r="D1859" s="217" t="n">
        <x:v>46327</x:v>
      </x:c>
      <x:c r="E1859" s="187" t="str">
        <x:v>R_GB_FR_B_AIR</x:v>
      </x:c>
      <x:c r="F1859" s="187" t="str">
        <x:v>GB</x:v>
      </x:c>
      <x:c r="G1859" s="187" t="str">
        <x:v>FR_FC</x:v>
      </x:c>
      <x:c r="H1859" s="187" t="str">
        <x:v>CARRIER_B</x:v>
      </x:c>
      <x:c r="I1859" s="187" t="str">
        <x:v>AIR</x:v>
      </x:c>
      <x:c r="J1859" s="187" t="str">
        <x:v>BASE_FREIGHT</x:v>
      </x:c>
      <x:c r="K1859" s="187" t="str">
        <x:v>EUR</x:v>
      </x:c>
      <x:c r="L1859" s="232" t="n">
        <x:v>3201.3564565615775</x:v>
      </x:c>
      <x:c r="M1859" s="232" t="n">
        <x:v>7.88</x:v>
      </x:c>
      <x:c r="N1859" s="187" t="str">
        <x:v>25226.688877705231488000000000000000000000000000000000000000000000000000000000000</x:v>
      </x:c>
      <x:c r="O1859" s="235" t="n">
        <x:v>25226.6889</x:v>
      </x:c>
      <x:c r="P1859" s="235"/>
      <x:c r="Q1859" s="235"/>
      <x:c r="R1859" s="235" t="str">
        <x:v>INVOICE_OR_PLAN</x:v>
      </x:c>
      <x:c r="S1859" s="238" t="n">
        <x:f>'Model_Calc'!AF314</x:f>
        <x:v>25226.68887770523</x:v>
      </x:c>
      <x:c r="T1859" s="238" t="n">
        <x:f>ROUND(S1859-O1859,4)</x:f>
        <x:v>0</x:v>
      </x:c>
    </x:row>
    <x:row r="1860">
      <x:c r="A1860" s="187" t="str">
        <x:v>SCENARIO_GROWTH_2026_08</x:v>
      </x:c>
      <x:c r="B1860" s="187" t="str">
        <x:v>SCENARIO</x:v>
      </x:c>
      <x:c r="C1860" s="187" t="str">
        <x:v>GROWTH</x:v>
      </x:c>
      <x:c r="D1860" s="217" t="n">
        <x:v>46327</x:v>
      </x:c>
      <x:c r="E1860" s="187" t="str">
        <x:v>R_GB_FR_B_AIR</x:v>
      </x:c>
      <x:c r="F1860" s="187" t="str">
        <x:v>GB</x:v>
      </x:c>
      <x:c r="G1860" s="187" t="str">
        <x:v>FR_FC</x:v>
      </x:c>
      <x:c r="H1860" s="187" t="str">
        <x:v>CARRIER_B</x:v>
      </x:c>
      <x:c r="I1860" s="187" t="str">
        <x:v>AIR</x:v>
      </x:c>
      <x:c r="J1860" s="187" t="str">
        <x:v>FUEL_SURCHARGE</x:v>
      </x:c>
      <x:c r="K1860" s="187" t="str">
        <x:v>EUR</x:v>
      </x:c>
      <x:c r="L1860" s="232" t="n">
        <x:v>347.90741291682946</x:v>
      </x:c>
      <x:c r="M1860" s="232" t="n">
        <x:v>7.88</x:v>
      </x:c>
      <x:c r="N1860" s="187" t="str">
        <x:v>2741.5104137846160319584000000000000000000000000000000000000000000000000000000000</x:v>
      </x:c>
      <x:c r="O1860" s="235" t="n">
        <x:v>2741.5104</x:v>
      </x:c>
      <x:c r="P1860" s="235"/>
      <x:c r="Q1860" s="235"/>
      <x:c r="R1860" s="235" t="str">
        <x:v>INVOICE_OR_PLAN</x:v>
      </x:c>
      <x:c r="S1860" s="238" t="n">
        <x:f>'Model_Calc'!AG314</x:f>
        <x:v>2741.5104137846156</x:v>
      </x:c>
      <x:c r="T1860" s="238" t="n">
        <x:f>ROUND(S1860-O1860,4)</x:f>
        <x:v>0</x:v>
      </x:c>
    </x:row>
    <x:row r="1861">
      <x:c r="A1861" s="187" t="str">
        <x:v>SCENARIO_GROWTH_2026_08</x:v>
      </x:c>
      <x:c r="B1861" s="187" t="str">
        <x:v>SCENARIO</x:v>
      </x:c>
      <x:c r="C1861" s="187" t="str">
        <x:v>GROWTH</x:v>
      </x:c>
      <x:c r="D1861" s="217" t="n">
        <x:v>46327</x:v>
      </x:c>
      <x:c r="E1861" s="187" t="str">
        <x:v>R_GB_FR_B_AIR</x:v>
      </x:c>
      <x:c r="F1861" s="187" t="str">
        <x:v>GB</x:v>
      </x:c>
      <x:c r="G1861" s="187" t="str">
        <x:v>FR_FC</x:v>
      </x:c>
      <x:c r="H1861" s="187" t="str">
        <x:v>CARRIER_B</x:v>
      </x:c>
      <x:c r="I1861" s="187" t="str">
        <x:v>AIR</x:v>
      </x:c>
      <x:c r="J1861" s="187" t="str">
        <x:v>WAREHOUSE_OPERATION</x:v>
      </x:c>
      <x:c r="K1861" s="187" t="str">
        <x:v>EUR</x:v>
      </x:c>
      <x:c r="L1861" s="232" t="n">
        <x:v>462.486024</x:v>
      </x:c>
      <x:c r="M1861" s="232" t="n">
        <x:v>7.88</x:v>
      </x:c>
      <x:c r="N1861" s="187" t="str">
        <x:v>3644.3898691200000000000000000000000000000000000000000000000000000000000000000000</x:v>
      </x:c>
      <x:c r="O1861" s="235" t="n">
        <x:v>3644.3899</x:v>
      </x:c>
      <x:c r="P1861" s="235"/>
      <x:c r="Q1861" s="235"/>
      <x:c r="R1861" s="235" t="str">
        <x:v>INVOICE_OR_PLAN</x:v>
      </x:c>
      <x:c r="S1861" s="238" t="n">
        <x:f>'Model_Calc'!AL314</x:f>
        <x:v>3644.3898691200006</x:v>
      </x:c>
      <x:c r="T1861" s="238" t="n">
        <x:f>ROUND(S1861-O1861,4)</x:f>
        <x:v>0</x:v>
      </x:c>
    </x:row>
    <x:row r="1862">
      <x:c r="A1862" s="187" t="str">
        <x:v>SCENARIO_GROWTH_2026_08</x:v>
      </x:c>
      <x:c r="B1862" s="187" t="str">
        <x:v>SCENARIO</x:v>
      </x:c>
      <x:c r="C1862" s="187" t="str">
        <x:v>GROWTH</x:v>
      </x:c>
      <x:c r="D1862" s="217" t="n">
        <x:v>46327</x:v>
      </x:c>
      <x:c r="E1862" s="187" t="str">
        <x:v>R_GB_FR_B_AIR</x:v>
      </x:c>
      <x:c r="F1862" s="187" t="str">
        <x:v>GB</x:v>
      </x:c>
      <x:c r="G1862" s="187" t="str">
        <x:v>FR_FC</x:v>
      </x:c>
      <x:c r="H1862" s="187" t="str">
        <x:v>CARRIER_B</x:v>
      </x:c>
      <x:c r="I1862" s="187" t="str">
        <x:v>AIR</x:v>
      </x:c>
      <x:c r="J1862" s="187" t="str">
        <x:v>PACKAGING</x:v>
      </x:c>
      <x:c r="K1862" s="187" t="str">
        <x:v>EUR</x:v>
      </x:c>
      <x:c r="L1862" s="232" t="n">
        <x:v>195.829796448</x:v>
      </x:c>
      <x:c r="M1862" s="232" t="n">
        <x:v>7.88</x:v>
      </x:c>
      <x:c r="N1862" s="187" t="str">
        <x:v>1543.1387960102400000000000000000000000000000000000000000000000000000000000000000</x:v>
      </x:c>
      <x:c r="O1862" s="235" t="n">
        <x:v>1543.1388</x:v>
      </x:c>
      <x:c r="P1862" s="235"/>
      <x:c r="Q1862" s="235"/>
      <x:c r="R1862" s="235" t="str">
        <x:v>INVOICE_OR_PLAN</x:v>
      </x:c>
      <x:c r="S1862" s="238" t="n">
        <x:f>'Model_Calc'!AQ314</x:f>
        <x:v>1543.13879601024</x:v>
      </x:c>
      <x:c r="T1862" s="238" t="n">
        <x:f>ROUND(S1862-O1862,4)</x:f>
        <x:v>0</x:v>
      </x:c>
    </x:row>
    <x:row r="1863">
      <x:c r="A1863" s="187" t="str">
        <x:v>SCENARIO_GROWTH_2026_08</x:v>
      </x:c>
      <x:c r="B1863" s="187" t="str">
        <x:v>SCENARIO</x:v>
      </x:c>
      <x:c r="C1863" s="187" t="str">
        <x:v>GROWTH</x:v>
      </x:c>
      <x:c r="D1863" s="217" t="n">
        <x:v>46327</x:v>
      </x:c>
      <x:c r="E1863" s="187" t="str">
        <x:v>R_GB_FR_B_AIR</x:v>
      </x:c>
      <x:c r="F1863" s="187" t="str">
        <x:v>GB</x:v>
      </x:c>
      <x:c r="G1863" s="187" t="str">
        <x:v>FR_FC</x:v>
      </x:c>
      <x:c r="H1863" s="187" t="str">
        <x:v>CARRIER_B</x:v>
      </x:c>
      <x:c r="I1863" s="187" t="str">
        <x:v>AIR</x:v>
      </x:c>
      <x:c r="J1863" s="187" t="str">
        <x:v>RETURN_LOGISTICS</x:v>
      </x:c>
      <x:c r="K1863" s="187" t="str">
        <x:v>EUR</x:v>
      </x:c>
      <x:c r="L1863" s="232" t="n">
        <x:v>206.13662784</x:v>
      </x:c>
      <x:c r="M1863" s="232" t="n">
        <x:v>7.88</x:v>
      </x:c>
      <x:c r="N1863" s="187" t="str">
        <x:v>1624.3566273792000000000000000000000000000000000000000000000000000000000000000000</x:v>
      </x:c>
      <x:c r="O1863" s="235" t="n">
        <x:v>1624.3566</x:v>
      </x:c>
      <x:c r="P1863" s="235"/>
      <x:c r="Q1863" s="235"/>
      <x:c r="R1863" s="235" t="str">
        <x:v>INVOICE_OR_PLAN</x:v>
      </x:c>
      <x:c r="S1863" s="238" t="n">
        <x:f>'Model_Calc'!AV314</x:f>
        <x:v>1624.3566273792</x:v>
      </x:c>
      <x:c r="T1863" s="238" t="n">
        <x:f>ROUND(S1863-O1863,4)</x:f>
        <x:v>0</x:v>
      </x:c>
    </x:row>
    <x:row r="1864">
      <x:c r="A1864" s="187" t="str">
        <x:v>SCENARIO_GROWTH_2026_08</x:v>
      </x:c>
      <x:c r="B1864" s="187" t="str">
        <x:v>SCENARIO</x:v>
      </x:c>
      <x:c r="C1864" s="187" t="str">
        <x:v>GROWTH</x:v>
      </x:c>
      <x:c r="D1864" s="217" t="n">
        <x:v>46327</x:v>
      </x:c>
      <x:c r="E1864" s="187" t="str">
        <x:v>R_GB_FR_B_AIR</x:v>
      </x:c>
      <x:c r="F1864" s="187" t="str">
        <x:v>GB</x:v>
      </x:c>
      <x:c r="G1864" s="187" t="str">
        <x:v>FR_FC</x:v>
      </x:c>
      <x:c r="H1864" s="187" t="str">
        <x:v>CARRIER_B</x:v>
      </x:c>
      <x:c r="I1864" s="187" t="str">
        <x:v>AIR</x:v>
      </x:c>
      <x:c r="J1864" s="187" t="str">
        <x:v>BILLABLE_EXCEPTION</x:v>
      </x:c>
      <x:c r="K1864" s="187" t="str">
        <x:v>EUR</x:v>
      </x:c>
      <x:c r="L1864" s="232" t="n">
        <x:v>20.20138952832</x:v>
      </x:c>
      <x:c r="M1864" s="232" t="n">
        <x:v>7.88</x:v>
      </x:c>
      <x:c r="N1864" s="187" t="str">
        <x:v>159.18694948316160000000000000000000000000000000000000000000000000000000000000000</x:v>
      </x:c>
      <x:c r="O1864" s="235" t="n">
        <x:v>159.1869</x:v>
      </x:c>
      <x:c r="P1864" s="235"/>
      <x:c r="Q1864" s="235"/>
      <x:c r="R1864" s="235" t="str">
        <x:v>INVOICE_OR_PLAN</x:v>
      </x:c>
      <x:c r="S1864" s="238" t="n">
        <x:f>'Model_Calc'!BA314</x:f>
        <x:v>159.1869494831616</x:v>
      </x:c>
      <x:c r="T1864" s="238" t="n">
        <x:f>ROUND(S1864-O1864,4)</x:f>
        <x:v>0</x:v>
      </x:c>
    </x:row>
    <x:row r="1865">
      <x:c r="A1865" s="187" t="str">
        <x:v>SCENARIO_GROWTH_2026_08</x:v>
      </x:c>
      <x:c r="B1865" s="187" t="str">
        <x:v>SCENARIO</x:v>
      </x:c>
      <x:c r="C1865" s="187" t="str">
        <x:v>GROWTH</x:v>
      </x:c>
      <x:c r="D1865" s="217" t="n">
        <x:v>46357</x:v>
      </x:c>
      <x:c r="E1865" s="187" t="str">
        <x:v>R_DE_DE_A_ROAD</x:v>
      </x:c>
      <x:c r="F1865" s="187" t="str">
        <x:v>DE</x:v>
      </x:c>
      <x:c r="G1865" s="187" t="str">
        <x:v>DE_FC</x:v>
      </x:c>
      <x:c r="H1865" s="187" t="str">
        <x:v>CARRIER_A</x:v>
      </x:c>
      <x:c r="I1865" s="187" t="str">
        <x:v>ROAD</x:v>
      </x:c>
      <x:c r="J1865" s="187" t="str">
        <x:v>BASE_FREIGHT</x:v>
      </x:c>
      <x:c r="K1865" s="187" t="str">
        <x:v>EUR</x:v>
      </x:c>
      <x:c r="L1865" s="232" t="n">
        <x:v>10032.45689077632</x:v>
      </x:c>
      <x:c r="M1865" s="232" t="n">
        <x:v>7.86</x:v>
      </x:c>
      <x:c r="N1865" s="187" t="str">
        <x:v>78855.111161501875200000000000000000000000000000000000000000000000000000000000000</x:v>
      </x:c>
      <x:c r="O1865" s="235" t="n">
        <x:v>78855.1112</x:v>
      </x:c>
      <x:c r="P1865" s="235"/>
      <x:c r="Q1865" s="235"/>
      <x:c r="R1865" s="235" t="str">
        <x:v>INVOICE_OR_PLAN</x:v>
      </x:c>
      <x:c r="S1865" s="238" t="n">
        <x:f>'Model_Calc'!AF315</x:f>
        <x:v>78855.11116150189</x:v>
      </x:c>
      <x:c r="T1865" s="238" t="n">
        <x:f>ROUND(S1865-O1865,4)</x:f>
        <x:v>0</x:v>
      </x:c>
    </x:row>
    <x:row r="1866">
      <x:c r="A1866" s="187" t="str">
        <x:v>SCENARIO_GROWTH_2026_08</x:v>
      </x:c>
      <x:c r="B1866" s="187" t="str">
        <x:v>SCENARIO</x:v>
      </x:c>
      <x:c r="C1866" s="187" t="str">
        <x:v>GROWTH</x:v>
      </x:c>
      <x:c r="D1866" s="217" t="n">
        <x:v>46357</x:v>
      </x:c>
      <x:c r="E1866" s="187" t="str">
        <x:v>R_DE_DE_A_ROAD</x:v>
      </x:c>
      <x:c r="F1866" s="187" t="str">
        <x:v>DE</x:v>
      </x:c>
      <x:c r="G1866" s="187" t="str">
        <x:v>DE_FC</x:v>
      </x:c>
      <x:c r="H1866" s="187" t="str">
        <x:v>CARRIER_A</x:v>
      </x:c>
      <x:c r="I1866" s="187" t="str">
        <x:v>ROAD</x:v>
      </x:c>
      <x:c r="J1866" s="187" t="str">
        <x:v>FUEL_SURCHARGE</x:v>
      </x:c>
      <x:c r="K1866" s="187" t="str">
        <x:v>EUR</x:v>
      </x:c>
      <x:c r="L1866" s="232" t="n">
        <x:v>986.4413237855816</x:v>
      </x:c>
      <x:c r="M1866" s="232" t="n">
        <x:v>7.86</x:v>
      </x:c>
      <x:c r="N1866" s="187" t="str">
        <x:v>7753.4288049546718790400000000000000000000000000000000000000000000000000000000000</x:v>
      </x:c>
      <x:c r="O1866" s="235" t="n">
        <x:v>7753.4288</x:v>
      </x:c>
      <x:c r="P1866" s="235"/>
      <x:c r="Q1866" s="235"/>
      <x:c r="R1866" s="235" t="str">
        <x:v>INVOICE_OR_PLAN</x:v>
      </x:c>
      <x:c r="S1866" s="238" t="n">
        <x:f>'Model_Calc'!AG315</x:f>
        <x:v>7753.428804954672</x:v>
      </x:c>
      <x:c r="T1866" s="238" t="n">
        <x:f>ROUND(S1866-O1866,4)</x:f>
        <x:v>0</x:v>
      </x:c>
    </x:row>
    <x:row r="1867">
      <x:c r="A1867" s="187" t="str">
        <x:v>SCENARIO_GROWTH_2026_08</x:v>
      </x:c>
      <x:c r="B1867" s="187" t="str">
        <x:v>SCENARIO</x:v>
      </x:c>
      <x:c r="C1867" s="187" t="str">
        <x:v>GROWTH</x:v>
      </x:c>
      <x:c r="D1867" s="217" t="n">
        <x:v>46357</x:v>
      </x:c>
      <x:c r="E1867" s="187" t="str">
        <x:v>R_DE_DE_A_ROAD</x:v>
      </x:c>
      <x:c r="F1867" s="187" t="str">
        <x:v>DE</x:v>
      </x:c>
      <x:c r="G1867" s="187" t="str">
        <x:v>DE_FC</x:v>
      </x:c>
      <x:c r="H1867" s="187" t="str">
        <x:v>CARRIER_A</x:v>
      </x:c>
      <x:c r="I1867" s="187" t="str">
        <x:v>ROAD</x:v>
      </x:c>
      <x:c r="J1867" s="187" t="str">
        <x:v>WAREHOUSE_OPERATION</x:v>
      </x:c>
      <x:c r="K1867" s="187" t="str">
        <x:v>EUR</x:v>
      </x:c>
      <x:c r="L1867" s="232" t="n">
        <x:v>6505.2104832</x:v>
      </x:c>
      <x:c r="M1867" s="232" t="n">
        <x:v>7.86</x:v>
      </x:c>
      <x:c r="N1867" s="187" t="str">
        <x:v>51130.954397952000000000000000000000000000000000000000000000000000000000000000001</x:v>
      </x:c>
      <x:c r="O1867" s="235" t="n">
        <x:v>51130.9544</x:v>
      </x:c>
      <x:c r="P1867" s="235"/>
      <x:c r="Q1867" s="235"/>
      <x:c r="R1867" s="235" t="str">
        <x:v>INVOICE_OR_PLAN</x:v>
      </x:c>
      <x:c r="S1867" s="238" t="n">
        <x:f>'Model_Calc'!AL315</x:f>
        <x:v>51130.954397952</x:v>
      </x:c>
      <x:c r="T1867" s="238" t="n">
        <x:f>ROUND(S1867-O1867,4)</x:f>
        <x:v>0</x:v>
      </x:c>
    </x:row>
    <x:row r="1868">
      <x:c r="A1868" s="187" t="str">
        <x:v>SCENARIO_GROWTH_2026_08</x:v>
      </x:c>
      <x:c r="B1868" s="187" t="str">
        <x:v>SCENARIO</x:v>
      </x:c>
      <x:c r="C1868" s="187" t="str">
        <x:v>GROWTH</x:v>
      </x:c>
      <x:c r="D1868" s="217" t="n">
        <x:v>46357</x:v>
      </x:c>
      <x:c r="E1868" s="187" t="str">
        <x:v>R_DE_DE_A_ROAD</x:v>
      </x:c>
      <x:c r="F1868" s="187" t="str">
        <x:v>DE</x:v>
      </x:c>
      <x:c r="G1868" s="187" t="str">
        <x:v>DE_FC</x:v>
      </x:c>
      <x:c r="H1868" s="187" t="str">
        <x:v>CARRIER_A</x:v>
      </x:c>
      <x:c r="I1868" s="187" t="str">
        <x:v>ROAD</x:v>
      </x:c>
      <x:c r="J1868" s="187" t="str">
        <x:v>PACKAGING</x:v>
      </x:c>
      <x:c r="K1868" s="187" t="str">
        <x:v>EUR</x:v>
      </x:c>
      <x:c r="L1868" s="232" t="n">
        <x:v>2431.18459584</x:v>
      </x:c>
      <x:c r="M1868" s="232" t="n">
        <x:v>7.86</x:v>
      </x:c>
      <x:c r="N1868" s="187" t="str">
        <x:v>19109.110923302400000000000000000000000000000000000000000000000000000000000000000</x:v>
      </x:c>
      <x:c r="O1868" s="235" t="n">
        <x:v>19109.1109</x:v>
      </x:c>
      <x:c r="P1868" s="235"/>
      <x:c r="Q1868" s="235"/>
      <x:c r="R1868" s="235" t="str">
        <x:v>INVOICE_OR_PLAN</x:v>
      </x:c>
      <x:c r="S1868" s="238" t="n">
        <x:f>'Model_Calc'!AQ315</x:f>
        <x:v>19109.1109233024</x:v>
      </x:c>
      <x:c r="T1868" s="238" t="n">
        <x:f>ROUND(S1868-O1868,4)</x:f>
        <x:v>0</x:v>
      </x:c>
    </x:row>
    <x:row r="1869">
      <x:c r="A1869" s="187" t="str">
        <x:v>SCENARIO_GROWTH_2026_08</x:v>
      </x:c>
      <x:c r="B1869" s="187" t="str">
        <x:v>SCENARIO</x:v>
      </x:c>
      <x:c r="C1869" s="187" t="str">
        <x:v>GROWTH</x:v>
      </x:c>
      <x:c r="D1869" s="217" t="n">
        <x:v>46357</x:v>
      </x:c>
      <x:c r="E1869" s="187" t="str">
        <x:v>R_DE_DE_A_ROAD</x:v>
      </x:c>
      <x:c r="F1869" s="187" t="str">
        <x:v>DE</x:v>
      </x:c>
      <x:c r="G1869" s="187" t="str">
        <x:v>DE_FC</x:v>
      </x:c>
      <x:c r="H1869" s="187" t="str">
        <x:v>CARRIER_A</x:v>
      </x:c>
      <x:c r="I1869" s="187" t="str">
        <x:v>ROAD</x:v>
      </x:c>
      <x:c r="J1869" s="187" t="str">
        <x:v>RETURN_LOGISTICS</x:v>
      </x:c>
      <x:c r="K1869" s="187" t="str">
        <x:v>EUR</x:v>
      </x:c>
      <x:c r="L1869" s="232" t="n">
        <x:v>882.0624384</x:v>
      </x:c>
      <x:c r="M1869" s="232" t="n">
        <x:v>7.86</x:v>
      </x:c>
      <x:c r="N1869" s="187" t="str">
        <x:v>6933.0107658240000000000000000000000000000000000000000000000000000000000000000000</x:v>
      </x:c>
      <x:c r="O1869" s="235" t="n">
        <x:v>6933.0108</x:v>
      </x:c>
      <x:c r="P1869" s="235"/>
      <x:c r="Q1869" s="235"/>
      <x:c r="R1869" s="235" t="str">
        <x:v>INVOICE_OR_PLAN</x:v>
      </x:c>
      <x:c r="S1869" s="238" t="n">
        <x:f>'Model_Calc'!AV315</x:f>
        <x:v>6933.0107658239995</x:v>
      </x:c>
      <x:c r="T1869" s="238" t="n">
        <x:f>ROUND(S1869-O1869,4)</x:f>
        <x:v>0</x:v>
      </x:c>
    </x:row>
    <x:row r="1870">
      <x:c r="A1870" s="187" t="str">
        <x:v>SCENARIO_GROWTH_2026_08</x:v>
      </x:c>
      <x:c r="B1870" s="187" t="str">
        <x:v>SCENARIO</x:v>
      </x:c>
      <x:c r="C1870" s="187" t="str">
        <x:v>GROWTH</x:v>
      </x:c>
      <x:c r="D1870" s="217" t="n">
        <x:v>46357</x:v>
      </x:c>
      <x:c r="E1870" s="187" t="str">
        <x:v>R_DE_DE_A_ROAD</x:v>
      </x:c>
      <x:c r="F1870" s="187" t="str">
        <x:v>DE</x:v>
      </x:c>
      <x:c r="G1870" s="187" t="str">
        <x:v>DE_FC</x:v>
      </x:c>
      <x:c r="H1870" s="187" t="str">
        <x:v>CARRIER_A</x:v>
      </x:c>
      <x:c r="I1870" s="187" t="str">
        <x:v>ROAD</x:v>
      </x:c>
      <x:c r="J1870" s="187" t="str">
        <x:v>BILLABLE_EXCEPTION</x:v>
      </x:c>
      <x:c r="K1870" s="187" t="str">
        <x:v>EUR</x:v>
      </x:c>
      <x:c r="L1870" s="232" t="n">
        <x:v>213.0180788736</x:v>
      </x:c>
      <x:c r="M1870" s="232" t="n">
        <x:v>7.86</x:v>
      </x:c>
      <x:c r="N1870" s="187" t="str">
        <x:v>1674.3220999464960000000000000000000000000000000000000000000000000000000000000000</x:v>
      </x:c>
      <x:c r="O1870" s="235" t="n">
        <x:v>1674.3221</x:v>
      </x:c>
      <x:c r="P1870" s="235"/>
      <x:c r="Q1870" s="235"/>
      <x:c r="R1870" s="235" t="str">
        <x:v>INVOICE_OR_PLAN</x:v>
      </x:c>
      <x:c r="S1870" s="238" t="n">
        <x:f>'Model_Calc'!BA315</x:f>
        <x:v>1674.322099946496</x:v>
      </x:c>
      <x:c r="T1870" s="238" t="n">
        <x:f>ROUND(S1870-O1870,4)</x:f>
        <x:v>0</x:v>
      </x:c>
    </x:row>
    <x:row r="1871">
      <x:c r="A1871" s="187" t="str">
        <x:v>SCENARIO_GROWTH_2026_08</x:v>
      </x:c>
      <x:c r="B1871" s="187" t="str">
        <x:v>SCENARIO</x:v>
      </x:c>
      <x:c r="C1871" s="187" t="str">
        <x:v>GROWTH</x:v>
      </x:c>
      <x:c r="D1871" s="217" t="n">
        <x:v>46357</x:v>
      </x:c>
      <x:c r="E1871" s="187" t="str">
        <x:v>R_DE_DE_B_ROAD</x:v>
      </x:c>
      <x:c r="F1871" s="187" t="str">
        <x:v>DE</x:v>
      </x:c>
      <x:c r="G1871" s="187" t="str">
        <x:v>DE_FC</x:v>
      </x:c>
      <x:c r="H1871" s="187" t="str">
        <x:v>CARRIER_B</x:v>
      </x:c>
      <x:c r="I1871" s="187" t="str">
        <x:v>ROAD</x:v>
      </x:c>
      <x:c r="J1871" s="187" t="str">
        <x:v>BASE_FREIGHT</x:v>
      </x:c>
      <x:c r="K1871" s="187" t="str">
        <x:v>EUR</x:v>
      </x:c>
      <x:c r="L1871" s="232" t="n">
        <x:v>8574.749479296</x:v>
      </x:c>
      <x:c r="M1871" s="232" t="n">
        <x:v>7.86</x:v>
      </x:c>
      <x:c r="N1871" s="187" t="str">
        <x:v>67397.530907266560000000000000000000000000000000000000000000000000000000000000000</x:v>
      </x:c>
      <x:c r="O1871" s="235" t="n">
        <x:v>67397.5309</x:v>
      </x:c>
      <x:c r="P1871" s="235"/>
      <x:c r="Q1871" s="235"/>
      <x:c r="R1871" s="235" t="str">
        <x:v>INVOICE_OR_PLAN</x:v>
      </x:c>
      <x:c r="S1871" s="238" t="n">
        <x:f>'Model_Calc'!AF316</x:f>
        <x:v>67397.53090726658</x:v>
      </x:c>
      <x:c r="T1871" s="238" t="n">
        <x:f>ROUND(S1871-O1871,4)</x:f>
        <x:v>0</x:v>
      </x:c>
    </x:row>
    <x:row r="1872">
      <x:c r="A1872" s="187" t="str">
        <x:v>SCENARIO_GROWTH_2026_08</x:v>
      </x:c>
      <x:c r="B1872" s="187" t="str">
        <x:v>SCENARIO</x:v>
      </x:c>
      <x:c r="C1872" s="187" t="str">
        <x:v>GROWTH</x:v>
      </x:c>
      <x:c r="D1872" s="217" t="n">
        <x:v>46357</x:v>
      </x:c>
      <x:c r="E1872" s="187" t="str">
        <x:v>R_DE_DE_B_ROAD</x:v>
      </x:c>
      <x:c r="F1872" s="187" t="str">
        <x:v>DE</x:v>
      </x:c>
      <x:c r="G1872" s="187" t="str">
        <x:v>DE_FC</x:v>
      </x:c>
      <x:c r="H1872" s="187" t="str">
        <x:v>CARRIER_B</x:v>
      </x:c>
      <x:c r="I1872" s="187" t="str">
        <x:v>ROAD</x:v>
      </x:c>
      <x:c r="J1872" s="187" t="str">
        <x:v>FUEL_SURCHARGE</x:v>
      </x:c>
      <x:c r="K1872" s="187" t="str">
        <x:v>EUR</x:v>
      </x:c>
      <x:c r="L1872" s="232" t="n">
        <x:v>654.79905114624</x:v>
      </x:c>
      <x:c r="M1872" s="232" t="n">
        <x:v>7.86</x:v>
      </x:c>
      <x:c r="N1872" s="187" t="str">
        <x:v>5146.7205420094464000000000000000000000000000000000000000000000000000000000000000</x:v>
      </x:c>
      <x:c r="O1872" s="235" t="n">
        <x:v>5146.7205</x:v>
      </x:c>
      <x:c r="P1872" s="235"/>
      <x:c r="Q1872" s="235"/>
      <x:c r="R1872" s="235" t="str">
        <x:v>INVOICE_OR_PLAN</x:v>
      </x:c>
      <x:c r="S1872" s="238" t="n">
        <x:f>'Model_Calc'!AG316</x:f>
        <x:v>5146.720542009448</x:v>
      </x:c>
      <x:c r="T1872" s="238" t="n">
        <x:f>ROUND(S1872-O1872,4)</x:f>
        <x:v>0</x:v>
      </x:c>
    </x:row>
    <x:row r="1873">
      <x:c r="A1873" s="187" t="str">
        <x:v>SCENARIO_GROWTH_2026_08</x:v>
      </x:c>
      <x:c r="B1873" s="187" t="str">
        <x:v>SCENARIO</x:v>
      </x:c>
      <x:c r="C1873" s="187" t="str">
        <x:v>GROWTH</x:v>
      </x:c>
      <x:c r="D1873" s="217" t="n">
        <x:v>46357</x:v>
      </x:c>
      <x:c r="E1873" s="187" t="str">
        <x:v>R_DE_DE_B_ROAD</x:v>
      </x:c>
      <x:c r="F1873" s="187" t="str">
        <x:v>DE</x:v>
      </x:c>
      <x:c r="G1873" s="187" t="str">
        <x:v>DE_FC</x:v>
      </x:c>
      <x:c r="H1873" s="187" t="str">
        <x:v>CARRIER_B</x:v>
      </x:c>
      <x:c r="I1873" s="187" t="str">
        <x:v>ROAD</x:v>
      </x:c>
      <x:c r="J1873" s="187" t="str">
        <x:v>WAREHOUSE_OPERATION</x:v>
      </x:c>
      <x:c r="K1873" s="187" t="str">
        <x:v>EUR</x:v>
      </x:c>
      <x:c r="L1873" s="232" t="n">
        <x:v>4336.8069888</x:v>
      </x:c>
      <x:c r="M1873" s="232" t="n">
        <x:v>7.86</x:v>
      </x:c>
      <x:c r="N1873" s="187" t="str">
        <x:v>34087.302931968000000000000000000000000000000000000000000000000000000000000000000</x:v>
      </x:c>
      <x:c r="O1873" s="235" t="n">
        <x:v>34087.3029</x:v>
      </x:c>
      <x:c r="P1873" s="235"/>
      <x:c r="Q1873" s="235"/>
      <x:c r="R1873" s="235" t="str">
        <x:v>INVOICE_OR_PLAN</x:v>
      </x:c>
      <x:c r="S1873" s="238" t="n">
        <x:f>'Model_Calc'!AL316</x:f>
        <x:v>34087.302931968006</x:v>
      </x:c>
      <x:c r="T1873" s="238" t="n">
        <x:f>ROUND(S1873-O1873,4)</x:f>
        <x:v>0</x:v>
      </x:c>
    </x:row>
    <x:row r="1874">
      <x:c r="A1874" s="187" t="str">
        <x:v>SCENARIO_GROWTH_2026_08</x:v>
      </x:c>
      <x:c r="B1874" s="187" t="str">
        <x:v>SCENARIO</x:v>
      </x:c>
      <x:c r="C1874" s="187" t="str">
        <x:v>GROWTH</x:v>
      </x:c>
      <x:c r="D1874" s="217" t="n">
        <x:v>46357</x:v>
      </x:c>
      <x:c r="E1874" s="187" t="str">
        <x:v>R_DE_DE_B_ROAD</x:v>
      </x:c>
      <x:c r="F1874" s="187" t="str">
        <x:v>DE</x:v>
      </x:c>
      <x:c r="G1874" s="187" t="str">
        <x:v>DE_FC</x:v>
      </x:c>
      <x:c r="H1874" s="187" t="str">
        <x:v>CARRIER_B</x:v>
      </x:c>
      <x:c r="I1874" s="187" t="str">
        <x:v>ROAD</x:v>
      </x:c>
      <x:c r="J1874" s="187" t="str">
        <x:v>PACKAGING</x:v>
      </x:c>
      <x:c r="K1874" s="187" t="str">
        <x:v>EUR</x:v>
      </x:c>
      <x:c r="L1874" s="232" t="n">
        <x:v>1620.78973056</x:v>
      </x:c>
      <x:c r="M1874" s="232" t="n">
        <x:v>7.86</x:v>
      </x:c>
      <x:c r="N1874" s="187" t="str">
        <x:v>12739.407282201600000000000000000000000000000000000000000000000000000000000000000</x:v>
      </x:c>
      <x:c r="O1874" s="235" t="n">
        <x:v>12739.4073</x:v>
      </x:c>
      <x:c r="P1874" s="235"/>
      <x:c r="Q1874" s="235"/>
      <x:c r="R1874" s="235" t="str">
        <x:v>INVOICE_OR_PLAN</x:v>
      </x:c>
      <x:c r="S1874" s="238" t="n">
        <x:f>'Model_Calc'!AQ316</x:f>
        <x:v>12739.407282201602</x:v>
      </x:c>
      <x:c r="T1874" s="238" t="n">
        <x:f>ROUND(S1874-O1874,4)</x:f>
        <x:v>0</x:v>
      </x:c>
    </x:row>
    <x:row r="1875">
      <x:c r="A1875" s="187" t="str">
        <x:v>SCENARIO_GROWTH_2026_08</x:v>
      </x:c>
      <x:c r="B1875" s="187" t="str">
        <x:v>SCENARIO</x:v>
      </x:c>
      <x:c r="C1875" s="187" t="str">
        <x:v>GROWTH</x:v>
      </x:c>
      <x:c r="D1875" s="217" t="n">
        <x:v>46357</x:v>
      </x:c>
      <x:c r="E1875" s="187" t="str">
        <x:v>R_DE_DE_B_ROAD</x:v>
      </x:c>
      <x:c r="F1875" s="187" t="str">
        <x:v>DE</x:v>
      </x:c>
      <x:c r="G1875" s="187" t="str">
        <x:v>DE_FC</x:v>
      </x:c>
      <x:c r="H1875" s="187" t="str">
        <x:v>CARRIER_B</x:v>
      </x:c>
      <x:c r="I1875" s="187" t="str">
        <x:v>ROAD</x:v>
      </x:c>
      <x:c r="J1875" s="187" t="str">
        <x:v>RETURN_LOGISTICS</x:v>
      </x:c>
      <x:c r="K1875" s="187" t="str">
        <x:v>EUR</x:v>
      </x:c>
      <x:c r="L1875" s="232" t="n">
        <x:v>588.0416256</x:v>
      </x:c>
      <x:c r="M1875" s="232" t="n">
        <x:v>7.86</x:v>
      </x:c>
      <x:c r="N1875" s="187" t="str">
        <x:v>4622.0071772160000000000000000000000000000000000000000000000000000000000000000000</x:v>
      </x:c>
      <x:c r="O1875" s="235" t="n">
        <x:v>4622.0072</x:v>
      </x:c>
      <x:c r="P1875" s="235"/>
      <x:c r="Q1875" s="235"/>
      <x:c r="R1875" s="235" t="str">
        <x:v>INVOICE_OR_PLAN</x:v>
      </x:c>
      <x:c r="S1875" s="238" t="n">
        <x:f>'Model_Calc'!AV316</x:f>
        <x:v>4622.007177216001</x:v>
      </x:c>
      <x:c r="T1875" s="238" t="n">
        <x:f>ROUND(S1875-O1875,4)</x:f>
        <x:v>0</x:v>
      </x:c>
    </x:row>
    <x:row r="1876">
      <x:c r="A1876" s="187" t="str">
        <x:v>SCENARIO_GROWTH_2026_08</x:v>
      </x:c>
      <x:c r="B1876" s="187" t="str">
        <x:v>SCENARIO</x:v>
      </x:c>
      <x:c r="C1876" s="187" t="str">
        <x:v>GROWTH</x:v>
      </x:c>
      <x:c r="D1876" s="217" t="n">
        <x:v>46357</x:v>
      </x:c>
      <x:c r="E1876" s="187" t="str">
        <x:v>R_DE_DE_B_ROAD</x:v>
      </x:c>
      <x:c r="F1876" s="187" t="str">
        <x:v>DE</x:v>
      </x:c>
      <x:c r="G1876" s="187" t="str">
        <x:v>DE_FC</x:v>
      </x:c>
      <x:c r="H1876" s="187" t="str">
        <x:v>CARRIER_B</x:v>
      </x:c>
      <x:c r="I1876" s="187" t="str">
        <x:v>ROAD</x:v>
      </x:c>
      <x:c r="J1876" s="187" t="str">
        <x:v>BILLABLE_EXCEPTION</x:v>
      </x:c>
      <x:c r="K1876" s="187" t="str">
        <x:v>EUR</x:v>
      </x:c>
      <x:c r="L1876" s="232" t="n">
        <x:v>115.3847927232</x:v>
      </x:c>
      <x:c r="M1876" s="232" t="n">
        <x:v>7.86</x:v>
      </x:c>
      <x:c r="N1876" s="187" t="str">
        <x:v>906.92447080435200000000000000000000000000000000000000000000000000000000000000000</x:v>
      </x:c>
      <x:c r="O1876" s="235" t="n">
        <x:v>906.9245</x:v>
      </x:c>
      <x:c r="P1876" s="235"/>
      <x:c r="Q1876" s="235"/>
      <x:c r="R1876" s="235" t="str">
        <x:v>INVOICE_OR_PLAN</x:v>
      </x:c>
      <x:c r="S1876" s="238" t="n">
        <x:f>'Model_Calc'!BA316</x:f>
        <x:v>906.924470804352</x:v>
      </x:c>
      <x:c r="T1876" s="238" t="n">
        <x:f>ROUND(S1876-O1876,4)</x:f>
        <x:v>0</x:v>
      </x:c>
    </x:row>
    <x:row r="1877">
      <x:c r="A1877" s="187" t="str">
        <x:v>SCENARIO_GROWTH_2026_08</x:v>
      </x:c>
      <x:c r="B1877" s="187" t="str">
        <x:v>SCENARIO</x:v>
      </x:c>
      <x:c r="C1877" s="187" t="str">
        <x:v>GROWTH</x:v>
      </x:c>
      <x:c r="D1877" s="217" t="n">
        <x:v>46357</x:v>
      </x:c>
      <x:c r="E1877" s="187" t="str">
        <x:v>R_DE_FR_B_ROAD</x:v>
      </x:c>
      <x:c r="F1877" s="187" t="str">
        <x:v>DE</x:v>
      </x:c>
      <x:c r="G1877" s="187" t="str">
        <x:v>FR_FC</x:v>
      </x:c>
      <x:c r="H1877" s="187" t="str">
        <x:v>CARRIER_B</x:v>
      </x:c>
      <x:c r="I1877" s="187" t="str">
        <x:v>ROAD</x:v>
      </x:c>
      <x:c r="J1877" s="187" t="str">
        <x:v>BASE_FREIGHT</x:v>
      </x:c>
      <x:c r="K1877" s="187" t="str">
        <x:v>EUR</x:v>
      </x:c>
      <x:c r="L1877" s="232" t="n">
        <x:v>879.70110269184</x:v>
      </x:c>
      <x:c r="M1877" s="232" t="n">
        <x:v>7.86</x:v>
      </x:c>
      <x:c r="N1877" s="187" t="str">
        <x:v>6914.4506671578624000000000000000000000000000000000000000000000000000000000000000</x:v>
      </x:c>
      <x:c r="O1877" s="235" t="n">
        <x:v>6914.4507</x:v>
      </x:c>
      <x:c r="P1877" s="235"/>
      <x:c r="Q1877" s="235"/>
      <x:c r="R1877" s="235" t="str">
        <x:v>INVOICE_OR_PLAN</x:v>
      </x:c>
      <x:c r="S1877" s="238" t="n">
        <x:f>'Model_Calc'!AF317</x:f>
        <x:v>6914.450667157865</x:v>
      </x:c>
      <x:c r="T1877" s="238" t="n">
        <x:f>ROUND(S1877-O1877,4)</x:f>
        <x:v>0</x:v>
      </x:c>
    </x:row>
    <x:row r="1878">
      <x:c r="A1878" s="187" t="str">
        <x:v>SCENARIO_GROWTH_2026_08</x:v>
      </x:c>
      <x:c r="B1878" s="187" t="str">
        <x:v>SCENARIO</x:v>
      </x:c>
      <x:c r="C1878" s="187" t="str">
        <x:v>GROWTH</x:v>
      </x:c>
      <x:c r="D1878" s="217" t="n">
        <x:v>46357</x:v>
      </x:c>
      <x:c r="E1878" s="187" t="str">
        <x:v>R_DE_FR_B_ROAD</x:v>
      </x:c>
      <x:c r="F1878" s="187" t="str">
        <x:v>DE</x:v>
      </x:c>
      <x:c r="G1878" s="187" t="str">
        <x:v>FR_FC</x:v>
      </x:c>
      <x:c r="H1878" s="187" t="str">
        <x:v>CARRIER_B</x:v>
      </x:c>
      <x:c r="I1878" s="187" t="str">
        <x:v>ROAD</x:v>
      </x:c>
      <x:c r="J1878" s="187" t="str">
        <x:v>FUEL_SURCHARGE</x:v>
      </x:c>
      <x:c r="K1878" s="187" t="str">
        <x:v>EUR</x:v>
      </x:c>
      <x:c r="L1878" s="232" t="n">
        <x:v>63.978262013952</x:v>
      </x:c>
      <x:c r="M1878" s="232" t="n">
        <x:v>7.86</x:v>
      </x:c>
      <x:c r="N1878" s="187" t="str">
        <x:v>502.86913942966272000000000000000000000000000000000000000000000000000000000000000</x:v>
      </x:c>
      <x:c r="O1878" s="235" t="n">
        <x:v>502.8691</x:v>
      </x:c>
      <x:c r="P1878" s="235"/>
      <x:c r="Q1878" s="235"/>
      <x:c r="R1878" s="235" t="str">
        <x:v>INVOICE_OR_PLAN</x:v>
      </x:c>
      <x:c r="S1878" s="238" t="n">
        <x:f>'Model_Calc'!AG317</x:f>
        <x:v>502.8691394296629</x:v>
      </x:c>
      <x:c r="T1878" s="238" t="n">
        <x:f>ROUND(S1878-O1878,4)</x:f>
        <x:v>0</x:v>
      </x:c>
    </x:row>
    <x:row r="1879">
      <x:c r="A1879" s="187" t="str">
        <x:v>SCENARIO_GROWTH_2026_08</x:v>
      </x:c>
      <x:c r="B1879" s="187" t="str">
        <x:v>SCENARIO</x:v>
      </x:c>
      <x:c r="C1879" s="187" t="str">
        <x:v>GROWTH</x:v>
      </x:c>
      <x:c r="D1879" s="217" t="n">
        <x:v>46357</x:v>
      </x:c>
      <x:c r="E1879" s="187" t="str">
        <x:v>R_DE_FR_B_ROAD</x:v>
      </x:c>
      <x:c r="F1879" s="187" t="str">
        <x:v>DE</x:v>
      </x:c>
      <x:c r="G1879" s="187" t="str">
        <x:v>FR_FC</x:v>
      </x:c>
      <x:c r="H1879" s="187" t="str">
        <x:v>CARRIER_B</x:v>
      </x:c>
      <x:c r="I1879" s="187" t="str">
        <x:v>ROAD</x:v>
      </x:c>
      <x:c r="J1879" s="187" t="str">
        <x:v>WAREHOUSE_OPERATION</x:v>
      </x:c>
      <x:c r="K1879" s="187" t="str">
        <x:v>EUR</x:v>
      </x:c>
      <x:c r="L1879" s="232" t="n">
        <x:v>298.37808</x:v>
      </x:c>
      <x:c r="M1879" s="232" t="n">
        <x:v>7.86</x:v>
      </x:c>
      <x:c r="N1879" s="187" t="str">
        <x:v>2345.2517088000000000000000000000000000000000000000000000000000000000000000000000</x:v>
      </x:c>
      <x:c r="O1879" s="235" t="n">
        <x:v>2345.2517</x:v>
      </x:c>
      <x:c r="P1879" s="235"/>
      <x:c r="Q1879" s="235"/>
      <x:c r="R1879" s="235" t="str">
        <x:v>INVOICE_OR_PLAN</x:v>
      </x:c>
      <x:c r="S1879" s="238" t="n">
        <x:f>'Model_Calc'!AL317</x:f>
        <x:v>2345.2517088</x:v>
      </x:c>
      <x:c r="T1879" s="238" t="n">
        <x:f>ROUND(S1879-O1879,4)</x:f>
        <x:v>0</x:v>
      </x:c>
    </x:row>
    <x:row r="1880">
      <x:c r="A1880" s="187" t="str">
        <x:v>SCENARIO_GROWTH_2026_08</x:v>
      </x:c>
      <x:c r="B1880" s="187" t="str">
        <x:v>SCENARIO</x:v>
      </x:c>
      <x:c r="C1880" s="187" t="str">
        <x:v>GROWTH</x:v>
      </x:c>
      <x:c r="D1880" s="217" t="n">
        <x:v>46357</x:v>
      </x:c>
      <x:c r="E1880" s="187" t="str">
        <x:v>R_DE_FR_B_ROAD</x:v>
      </x:c>
      <x:c r="F1880" s="187" t="str">
        <x:v>DE</x:v>
      </x:c>
      <x:c r="G1880" s="187" t="str">
        <x:v>FR_FC</x:v>
      </x:c>
      <x:c r="H1880" s="187" t="str">
        <x:v>CARRIER_B</x:v>
      </x:c>
      <x:c r="I1880" s="187" t="str">
        <x:v>ROAD</x:v>
      </x:c>
      <x:c r="J1880" s="187" t="str">
        <x:v>PACKAGING</x:v>
      </x:c>
      <x:c r="K1880" s="187" t="str">
        <x:v>EUR</x:v>
      </x:c>
      <x:c r="L1880" s="232" t="n">
        <x:v>116.62320384</x:v>
      </x:c>
      <x:c r="M1880" s="232" t="n">
        <x:v>7.86</x:v>
      </x:c>
      <x:c r="N1880" s="187" t="str">
        <x:v>916.65838218240000000000000000000000000000000000000000000000000000000000000000000</x:v>
      </x:c>
      <x:c r="O1880" s="235" t="n">
        <x:v>916.6584</x:v>
      </x:c>
      <x:c r="P1880" s="235"/>
      <x:c r="Q1880" s="235"/>
      <x:c r="R1880" s="235" t="str">
        <x:v>INVOICE_OR_PLAN</x:v>
      </x:c>
      <x:c r="S1880" s="238" t="n">
        <x:f>'Model_Calc'!AQ317</x:f>
        <x:v>916.6583821824</x:v>
      </x:c>
      <x:c r="T1880" s="238" t="n">
        <x:f>ROUND(S1880-O1880,4)</x:f>
        <x:v>0</x:v>
      </x:c>
    </x:row>
    <x:row r="1881">
      <x:c r="A1881" s="187" t="str">
        <x:v>SCENARIO_GROWTH_2026_08</x:v>
      </x:c>
      <x:c r="B1881" s="187" t="str">
        <x:v>SCENARIO</x:v>
      </x:c>
      <x:c r="C1881" s="187" t="str">
        <x:v>GROWTH</x:v>
      </x:c>
      <x:c r="D1881" s="217" t="n">
        <x:v>46357</x:v>
      </x:c>
      <x:c r="E1881" s="187" t="str">
        <x:v>R_DE_FR_B_ROAD</x:v>
      </x:c>
      <x:c r="F1881" s="187" t="str">
        <x:v>DE</x:v>
      </x:c>
      <x:c r="G1881" s="187" t="str">
        <x:v>FR_FC</x:v>
      </x:c>
      <x:c r="H1881" s="187" t="str">
        <x:v>CARRIER_B</x:v>
      </x:c>
      <x:c r="I1881" s="187" t="str">
        <x:v>ROAD</x:v>
      </x:c>
      <x:c r="J1881" s="187" t="str">
        <x:v>RETURN_LOGISTICS</x:v>
      </x:c>
      <x:c r="K1881" s="187" t="str">
        <x:v>EUR</x:v>
      </x:c>
      <x:c r="L1881" s="232" t="n">
        <x:v>53.992224</x:v>
      </x:c>
      <x:c r="M1881" s="232" t="n">
        <x:v>7.86</x:v>
      </x:c>
      <x:c r="N1881" s="187" t="str">
        <x:v>424.37888064000000000000000000000000000000000000000000000000000000000000000000000</x:v>
      </x:c>
      <x:c r="O1881" s="235" t="n">
        <x:v>424.3789</x:v>
      </x:c>
      <x:c r="P1881" s="235"/>
      <x:c r="Q1881" s="235"/>
      <x:c r="R1881" s="235" t="str">
        <x:v>INVOICE_OR_PLAN</x:v>
      </x:c>
      <x:c r="S1881" s="238" t="n">
        <x:f>'Model_Calc'!AV317</x:f>
        <x:v>424.37888064000003</x:v>
      </x:c>
      <x:c r="T1881" s="238" t="n">
        <x:f>ROUND(S1881-O1881,4)</x:f>
        <x:v>0</x:v>
      </x:c>
    </x:row>
    <x:row r="1882">
      <x:c r="A1882" s="187" t="str">
        <x:v>SCENARIO_GROWTH_2026_08</x:v>
      </x:c>
      <x:c r="B1882" s="187" t="str">
        <x:v>SCENARIO</x:v>
      </x:c>
      <x:c r="C1882" s="187" t="str">
        <x:v>GROWTH</x:v>
      </x:c>
      <x:c r="D1882" s="217" t="n">
        <x:v>46357</x:v>
      </x:c>
      <x:c r="E1882" s="187" t="str">
        <x:v>R_DE_FR_B_ROAD</x:v>
      </x:c>
      <x:c r="F1882" s="187" t="str">
        <x:v>DE</x:v>
      </x:c>
      <x:c r="G1882" s="187" t="str">
        <x:v>FR_FC</x:v>
      </x:c>
      <x:c r="H1882" s="187" t="str">
        <x:v>CARRIER_B</x:v>
      </x:c>
      <x:c r="I1882" s="187" t="str">
        <x:v>ROAD</x:v>
      </x:c>
      <x:c r="J1882" s="187" t="str">
        <x:v>BILLABLE_EXCEPTION</x:v>
      </x:c>
      <x:c r="K1882" s="187" t="str">
        <x:v>EUR</x:v>
      </x:c>
      <x:c r="L1882" s="232" t="n">
        <x:v>9.8822820096</x:v>
      </x:c>
      <x:c r="M1882" s="232" t="n">
        <x:v>7.86</x:v>
      </x:c>
      <x:c r="N1882" s="187" t="str">
        <x:v>77.674736595456000000000000000000000000000000000000000000000000000000000000000000</x:v>
      </x:c>
      <x:c r="O1882" s="235" t="n">
        <x:v>77.6747</x:v>
      </x:c>
      <x:c r="P1882" s="235"/>
      <x:c r="Q1882" s="235"/>
      <x:c r="R1882" s="235" t="str">
        <x:v>INVOICE_OR_PLAN</x:v>
      </x:c>
      <x:c r="S1882" s="238" t="n">
        <x:f>'Model_Calc'!BA317</x:f>
        <x:v>77.67473659545603</x:v>
      </x:c>
      <x:c r="T1882" s="238" t="n">
        <x:f>ROUND(S1882-O1882,4)</x:f>
        <x:v>0</x:v>
      </x:c>
    </x:row>
    <x:row r="1883">
      <x:c r="A1883" s="187" t="str">
        <x:v>SCENARIO_GROWTH_2026_08</x:v>
      </x:c>
      <x:c r="B1883" s="187" t="str">
        <x:v>SCENARIO</x:v>
      </x:c>
      <x:c r="C1883" s="187" t="str">
        <x:v>GROWTH</x:v>
      </x:c>
      <x:c r="D1883" s="217" t="n">
        <x:v>46357</x:v>
      </x:c>
      <x:c r="E1883" s="187" t="str">
        <x:v>R_FR_FR_A_ROAD</x:v>
      </x:c>
      <x:c r="F1883" s="187" t="str">
        <x:v>FR</x:v>
      </x:c>
      <x:c r="G1883" s="187" t="str">
        <x:v>FR_FC</x:v>
      </x:c>
      <x:c r="H1883" s="187" t="str">
        <x:v>CARRIER_A</x:v>
      </x:c>
      <x:c r="I1883" s="187" t="str">
        <x:v>ROAD</x:v>
      </x:c>
      <x:c r="J1883" s="187" t="str">
        <x:v>BASE_FREIGHT</x:v>
      </x:c>
      <x:c r="K1883" s="187" t="str">
        <x:v>EUR</x:v>
      </x:c>
      <x:c r="L1883" s="232" t="n">
        <x:v>4956.6994324848</x:v>
      </x:c>
      <x:c r="M1883" s="232" t="n">
        <x:v>7.86</x:v>
      </x:c>
      <x:c r="N1883" s="187" t="str">
        <x:v>38959.657539330528000000000000000000000000000000000000000000000000000000000000000</x:v>
      </x:c>
      <x:c r="O1883" s="235" t="n">
        <x:v>38959.6575</x:v>
      </x:c>
      <x:c r="P1883" s="235"/>
      <x:c r="Q1883" s="235"/>
      <x:c r="R1883" s="235" t="str">
        <x:v>INVOICE_OR_PLAN</x:v>
      </x:c>
      <x:c r="S1883" s="238" t="n">
        <x:f>'Model_Calc'!AF318</x:f>
        <x:v>38959.657539330525</x:v>
      </x:c>
      <x:c r="T1883" s="238" t="n">
        <x:f>ROUND(S1883-O1883,4)</x:f>
        <x:v>0</x:v>
      </x:c>
    </x:row>
    <x:row r="1884">
      <x:c r="A1884" s="187" t="str">
        <x:v>SCENARIO_GROWTH_2026_08</x:v>
      </x:c>
      <x:c r="B1884" s="187" t="str">
        <x:v>SCENARIO</x:v>
      </x:c>
      <x:c r="C1884" s="187" t="str">
        <x:v>GROWTH</x:v>
      </x:c>
      <x:c r="D1884" s="217" t="n">
        <x:v>46357</x:v>
      </x:c>
      <x:c r="E1884" s="187" t="str">
        <x:v>R_FR_FR_A_ROAD</x:v>
      </x:c>
      <x:c r="F1884" s="187" t="str">
        <x:v>FR</x:v>
      </x:c>
      <x:c r="G1884" s="187" t="str">
        <x:v>FR_FC</x:v>
      </x:c>
      <x:c r="H1884" s="187" t="str">
        <x:v>CARRIER_A</x:v>
      </x:c>
      <x:c r="I1884" s="187" t="str">
        <x:v>ROAD</x:v>
      </x:c>
      <x:c r="J1884" s="187" t="str">
        <x:v>FUEL_SURCHARGE</x:v>
      </x:c>
      <x:c r="K1884" s="187" t="str">
        <x:v>EUR</x:v>
      </x:c>
      <x:c r="L1884" s="232" t="n">
        <x:v>461.71655213595915</x:v>
      </x:c>
      <x:c r="M1884" s="232" t="n">
        <x:v>7.86</x:v>
      </x:c>
      <x:c r="N1884" s="187" t="str">
        <x:v>3629.0920997886386832000000000000000000000000000000000000000000000000000000000000</x:v>
      </x:c>
      <x:c r="O1884" s="235" t="n">
        <x:v>3629.0921</x:v>
      </x:c>
      <x:c r="P1884" s="235"/>
      <x:c r="Q1884" s="235"/>
      <x:c r="R1884" s="235" t="str">
        <x:v>INVOICE_OR_PLAN</x:v>
      </x:c>
      <x:c r="S1884" s="238" t="n">
        <x:f>'Model_Calc'!AG318</x:f>
        <x:v>3629.0920997886383</x:v>
      </x:c>
      <x:c r="T1884" s="238" t="n">
        <x:f>ROUND(S1884-O1884,4)</x:f>
        <x:v>0</x:v>
      </x:c>
    </x:row>
    <x:row r="1885">
      <x:c r="A1885" s="187" t="str">
        <x:v>SCENARIO_GROWTH_2026_08</x:v>
      </x:c>
      <x:c r="B1885" s="187" t="str">
        <x:v>SCENARIO</x:v>
      </x:c>
      <x:c r="C1885" s="187" t="str">
        <x:v>GROWTH</x:v>
      </x:c>
      <x:c r="D1885" s="217" t="n">
        <x:v>46357</x:v>
      </x:c>
      <x:c r="E1885" s="187" t="str">
        <x:v>R_FR_FR_A_ROAD</x:v>
      </x:c>
      <x:c r="F1885" s="187" t="str">
        <x:v>FR</x:v>
      </x:c>
      <x:c r="G1885" s="187" t="str">
        <x:v>FR_FC</x:v>
      </x:c>
      <x:c r="H1885" s="187" t="str">
        <x:v>CARRIER_A</x:v>
      </x:c>
      <x:c r="I1885" s="187" t="str">
        <x:v>ROAD</x:v>
      </x:c>
      <x:c r="J1885" s="187" t="str">
        <x:v>WAREHOUSE_OPERATION</x:v>
      </x:c>
      <x:c r="K1885" s="187" t="str">
        <x:v>EUR</x:v>
      </x:c>
      <x:c r="L1885" s="232" t="n">
        <x:v>3045.9429</x:v>
      </x:c>
      <x:c r="M1885" s="232" t="n">
        <x:v>7.86</x:v>
      </x:c>
      <x:c r="N1885" s="187" t="str">
        <x:v>23941.111194000000000000000000000000000000000000000000000000000000000000000000000</x:v>
      </x:c>
      <x:c r="O1885" s="235" t="n">
        <x:v>23941.1112</x:v>
      </x:c>
      <x:c r="P1885" s="235"/>
      <x:c r="Q1885" s="235"/>
      <x:c r="R1885" s="235" t="str">
        <x:v>INVOICE_OR_PLAN</x:v>
      </x:c>
      <x:c r="S1885" s="238" t="n">
        <x:f>'Model_Calc'!AL318</x:f>
        <x:v>23941.111194</x:v>
      </x:c>
      <x:c r="T1885" s="238" t="n">
        <x:f>ROUND(S1885-O1885,4)</x:f>
        <x:v>0</x:v>
      </x:c>
    </x:row>
    <x:row r="1886">
      <x:c r="A1886" s="187" t="str">
        <x:v>SCENARIO_GROWTH_2026_08</x:v>
      </x:c>
      <x:c r="B1886" s="187" t="str">
        <x:v>SCENARIO</x:v>
      </x:c>
      <x:c r="C1886" s="187" t="str">
        <x:v>GROWTH</x:v>
      </x:c>
      <x:c r="D1886" s="217" t="n">
        <x:v>46357</x:v>
      </x:c>
      <x:c r="E1886" s="187" t="str">
        <x:v>R_FR_FR_A_ROAD</x:v>
      </x:c>
      <x:c r="F1886" s="187" t="str">
        <x:v>FR</x:v>
      </x:c>
      <x:c r="G1886" s="187" t="str">
        <x:v>FR_FC</x:v>
      </x:c>
      <x:c r="H1886" s="187" t="str">
        <x:v>CARRIER_A</x:v>
      </x:c>
      <x:c r="I1886" s="187" t="str">
        <x:v>ROAD</x:v>
      </x:c>
      <x:c r="J1886" s="187" t="str">
        <x:v>PACKAGING</x:v>
      </x:c>
      <x:c r="K1886" s="187" t="str">
        <x:v>EUR</x:v>
      </x:c>
      <x:c r="L1886" s="232" t="n">
        <x:v>1168.4817144</x:v>
      </x:c>
      <x:c r="M1886" s="232" t="n">
        <x:v>7.86</x:v>
      </x:c>
      <x:c r="N1886" s="187" t="str">
        <x:v>9184.2662751840000000000000000000000000000000000000000000000000000000000000000000</x:v>
      </x:c>
      <x:c r="O1886" s="235" t="n">
        <x:v>9184.2663</x:v>
      </x:c>
      <x:c r="P1886" s="235"/>
      <x:c r="Q1886" s="235"/>
      <x:c r="R1886" s="235" t="str">
        <x:v>INVOICE_OR_PLAN</x:v>
      </x:c>
      <x:c r="S1886" s="238" t="n">
        <x:f>'Model_Calc'!AQ318</x:f>
        <x:v>9184.266275184</x:v>
      </x:c>
      <x:c r="T1886" s="238" t="n">
        <x:f>ROUND(S1886-O1886,4)</x:f>
        <x:v>0</x:v>
      </x:c>
    </x:row>
    <x:row r="1887">
      <x:c r="A1887" s="187" t="str">
        <x:v>SCENARIO_GROWTH_2026_08</x:v>
      </x:c>
      <x:c r="B1887" s="187" t="str">
        <x:v>SCENARIO</x:v>
      </x:c>
      <x:c r="C1887" s="187" t="str">
        <x:v>GROWTH</x:v>
      </x:c>
      <x:c r="D1887" s="217" t="n">
        <x:v>46357</x:v>
      </x:c>
      <x:c r="E1887" s="187" t="str">
        <x:v>R_FR_FR_A_ROAD</x:v>
      </x:c>
      <x:c r="F1887" s="187" t="str">
        <x:v>FR</x:v>
      </x:c>
      <x:c r="G1887" s="187" t="str">
        <x:v>FR_FC</x:v>
      </x:c>
      <x:c r="H1887" s="187" t="str">
        <x:v>CARRIER_A</x:v>
      </x:c>
      <x:c r="I1887" s="187" t="str">
        <x:v>ROAD</x:v>
      </x:c>
      <x:c r="J1887" s="187" t="str">
        <x:v>RETURN_LOGISTICS</x:v>
      </x:c>
      <x:c r="K1887" s="187" t="str">
        <x:v>EUR</x:v>
      </x:c>
      <x:c r="L1887" s="232" t="n">
        <x:v>522.16164</x:v>
      </x:c>
      <x:c r="M1887" s="232" t="n">
        <x:v>7.86</x:v>
      </x:c>
      <x:c r="N1887" s="187" t="str">
        <x:v>4104.1904904000000000000000000000000000000000000000000000000000000000000000000000</x:v>
      </x:c>
      <x:c r="O1887" s="235" t="n">
        <x:v>4104.1905</x:v>
      </x:c>
      <x:c r="P1887" s="235"/>
      <x:c r="Q1887" s="235"/>
      <x:c r="R1887" s="235" t="str">
        <x:v>INVOICE_OR_PLAN</x:v>
      </x:c>
      <x:c r="S1887" s="238" t="n">
        <x:f>'Model_Calc'!AV318</x:f>
        <x:v>4104.190490399999</x:v>
      </x:c>
      <x:c r="T1887" s="238" t="n">
        <x:f>ROUND(S1887-O1887,4)</x:f>
        <x:v>0</x:v>
      </x:c>
    </x:row>
    <x:row r="1888">
      <x:c r="A1888" s="187" t="str">
        <x:v>SCENARIO_GROWTH_2026_08</x:v>
      </x:c>
      <x:c r="B1888" s="187" t="str">
        <x:v>SCENARIO</x:v>
      </x:c>
      <x:c r="C1888" s="187" t="str">
        <x:v>GROWTH</x:v>
      </x:c>
      <x:c r="D1888" s="217" t="n">
        <x:v>46357</x:v>
      </x:c>
      <x:c r="E1888" s="187" t="str">
        <x:v>R_FR_FR_A_ROAD</x:v>
      </x:c>
      <x:c r="F1888" s="187" t="str">
        <x:v>FR</x:v>
      </x:c>
      <x:c r="G1888" s="187" t="str">
        <x:v>FR_FC</x:v>
      </x:c>
      <x:c r="H1888" s="187" t="str">
        <x:v>CARRIER_A</x:v>
      </x:c>
      <x:c r="I1888" s="187" t="str">
        <x:v>ROAD</x:v>
      </x:c>
      <x:c r="J1888" s="187" t="str">
        <x:v>BILLABLE_EXCEPTION</x:v>
      </x:c>
      <x:c r="K1888" s="187" t="str">
        <x:v>EUR</x:v>
      </x:c>
      <x:c r="L1888" s="232" t="n">
        <x:v>120.230618508</x:v>
      </x:c>
      <x:c r="M1888" s="232" t="n">
        <x:v>7.86</x:v>
      </x:c>
      <x:c r="N1888" s="187" t="str">
        <x:v>945.01266147288000000000000000000000000000000000000000000000000000000000000000000</x:v>
      </x:c>
      <x:c r="O1888" s="235" t="n">
        <x:v>945.0127</x:v>
      </x:c>
      <x:c r="P1888" s="235"/>
      <x:c r="Q1888" s="235"/>
      <x:c r="R1888" s="235" t="str">
        <x:v>INVOICE_OR_PLAN</x:v>
      </x:c>
      <x:c r="S1888" s="238" t="n">
        <x:f>'Model_Calc'!BA318</x:f>
        <x:v>945.01266147288</x:v>
      </x:c>
      <x:c r="T1888" s="238" t="n">
        <x:f>ROUND(S1888-O1888,4)</x:f>
        <x:v>0</x:v>
      </x:c>
    </x:row>
    <x:row r="1889">
      <x:c r="A1889" s="187" t="str">
        <x:v>SCENARIO_GROWTH_2026_08</x:v>
      </x:c>
      <x:c r="B1889" s="187" t="str">
        <x:v>SCENARIO</x:v>
      </x:c>
      <x:c r="C1889" s="187" t="str">
        <x:v>GROWTH</x:v>
      </x:c>
      <x:c r="D1889" s="217" t="n">
        <x:v>46357</x:v>
      </x:c>
      <x:c r="E1889" s="187" t="str">
        <x:v>R_FR_FR_B_ROAD</x:v>
      </x:c>
      <x:c r="F1889" s="187" t="str">
        <x:v>FR</x:v>
      </x:c>
      <x:c r="G1889" s="187" t="str">
        <x:v>FR_FC</x:v>
      </x:c>
      <x:c r="H1889" s="187" t="str">
        <x:v>CARRIER_B</x:v>
      </x:c>
      <x:c r="I1889" s="187" t="str">
        <x:v>ROAD</x:v>
      </x:c>
      <x:c r="J1889" s="187" t="str">
        <x:v>BASE_FREIGHT</x:v>
      </x:c>
      <x:c r="K1889" s="187" t="str">
        <x:v>EUR</x:v>
      </x:c>
      <x:c r="L1889" s="232" t="n">
        <x:v>11846.9198215368</x:v>
      </x:c>
      <x:c r="M1889" s="232" t="n">
        <x:v>7.86</x:v>
      </x:c>
      <x:c r="N1889" s="187" t="str">
        <x:v>93116.789797279248000000000000000000000000000000000000000000000000000000000000000</x:v>
      </x:c>
      <x:c r="O1889" s="235" t="n">
        <x:v>93116.7898</x:v>
      </x:c>
      <x:c r="P1889" s="235"/>
      <x:c r="Q1889" s="235"/>
      <x:c r="R1889" s="235" t="str">
        <x:v>INVOICE_OR_PLAN</x:v>
      </x:c>
      <x:c r="S1889" s="238" t="n">
        <x:f>'Model_Calc'!AF319</x:f>
        <x:v>93116.78979727926</x:v>
      </x:c>
      <x:c r="T1889" s="238" t="n">
        <x:f>ROUND(S1889-O1889,4)</x:f>
        <x:v>0</x:v>
      </x:c>
    </x:row>
    <x:row r="1890">
      <x:c r="A1890" s="187" t="str">
        <x:v>SCENARIO_GROWTH_2026_08</x:v>
      </x:c>
      <x:c r="B1890" s="187" t="str">
        <x:v>SCENARIO</x:v>
      </x:c>
      <x:c r="C1890" s="187" t="str">
        <x:v>GROWTH</x:v>
      </x:c>
      <x:c r="D1890" s="217" t="n">
        <x:v>46357</x:v>
      </x:c>
      <x:c r="E1890" s="187" t="str">
        <x:v>R_FR_FR_B_ROAD</x:v>
      </x:c>
      <x:c r="F1890" s="187" t="str">
        <x:v>FR</x:v>
      </x:c>
      <x:c r="G1890" s="187" t="str">
        <x:v>FR_FC</x:v>
      </x:c>
      <x:c r="H1890" s="187" t="str">
        <x:v>CARRIER_B</x:v>
      </x:c>
      <x:c r="I1890" s="187" t="str">
        <x:v>ROAD</x:v>
      </x:c>
      <x:c r="J1890" s="187" t="str">
        <x:v>FUEL_SURCHARGE</x:v>
      </x:c>
      <x:c r="K1890" s="187" t="str">
        <x:v>EUR</x:v>
      </x:c>
      <x:c r="L1890" s="232" t="n">
        <x:v>911.3015247336</x:v>
      </x:c>
      <x:c r="M1890" s="232" t="n">
        <x:v>7.86</x:v>
      </x:c>
      <x:c r="N1890" s="187" t="str">
        <x:v>7162.8299844060960000000000000000000000000000000000000000000000000000000000000000</x:v>
      </x:c>
      <x:c r="O1890" s="235" t="n">
        <x:v>7162.83</x:v>
      </x:c>
      <x:c r="P1890" s="235"/>
      <x:c r="Q1890" s="235"/>
      <x:c r="R1890" s="235" t="str">
        <x:v>INVOICE_OR_PLAN</x:v>
      </x:c>
      <x:c r="S1890" s="238" t="n">
        <x:f>'Model_Calc'!AG319</x:f>
        <x:v>7162.829984406097</x:v>
      </x:c>
      <x:c r="T1890" s="238" t="n">
        <x:f>ROUND(S1890-O1890,4)</x:f>
        <x:v>0</x:v>
      </x:c>
    </x:row>
    <x:row r="1891">
      <x:c r="A1891" s="187" t="str">
        <x:v>SCENARIO_GROWTH_2026_08</x:v>
      </x:c>
      <x:c r="B1891" s="187" t="str">
        <x:v>SCENARIO</x:v>
      </x:c>
      <x:c r="C1891" s="187" t="str">
        <x:v>GROWTH</x:v>
      </x:c>
      <x:c r="D1891" s="217" t="n">
        <x:v>46357</x:v>
      </x:c>
      <x:c r="E1891" s="187" t="str">
        <x:v>R_FR_FR_B_ROAD</x:v>
      </x:c>
      <x:c r="F1891" s="187" t="str">
        <x:v>FR</x:v>
      </x:c>
      <x:c r="G1891" s="187" t="str">
        <x:v>FR_FC</x:v>
      </x:c>
      <x:c r="H1891" s="187" t="str">
        <x:v>CARRIER_B</x:v>
      </x:c>
      <x:c r="I1891" s="187" t="str">
        <x:v>ROAD</x:v>
      </x:c>
      <x:c r="J1891" s="187" t="str">
        <x:v>WAREHOUSE_OPERATION</x:v>
      </x:c>
      <x:c r="K1891" s="187" t="str">
        <x:v>EUR</x:v>
      </x:c>
      <x:c r="L1891" s="232" t="n">
        <x:v>5656.7511</x:v>
      </x:c>
      <x:c r="M1891" s="232" t="n">
        <x:v>7.86</x:v>
      </x:c>
      <x:c r="N1891" s="187" t="str">
        <x:v>44462.063646000000000000000000000000000000000000000000000000000000000000000000000</x:v>
      </x:c>
      <x:c r="O1891" s="235" t="n">
        <x:v>44462.0636</x:v>
      </x:c>
      <x:c r="P1891" s="235"/>
      <x:c r="Q1891" s="235"/>
      <x:c r="R1891" s="235" t="str">
        <x:v>INVOICE_OR_PLAN</x:v>
      </x:c>
      <x:c r="S1891" s="238" t="n">
        <x:f>'Model_Calc'!AL319</x:f>
        <x:v>44462.063646</x:v>
      </x:c>
      <x:c r="T1891" s="238" t="n">
        <x:f>ROUND(S1891-O1891,4)</x:f>
        <x:v>0</x:v>
      </x:c>
    </x:row>
    <x:row r="1892">
      <x:c r="A1892" s="187" t="str">
        <x:v>SCENARIO_GROWTH_2026_08</x:v>
      </x:c>
      <x:c r="B1892" s="187" t="str">
        <x:v>SCENARIO</x:v>
      </x:c>
      <x:c r="C1892" s="187" t="str">
        <x:v>GROWTH</x:v>
      </x:c>
      <x:c r="D1892" s="217" t="n">
        <x:v>46357</x:v>
      </x:c>
      <x:c r="E1892" s="187" t="str">
        <x:v>R_FR_FR_B_ROAD</x:v>
      </x:c>
      <x:c r="F1892" s="187" t="str">
        <x:v>FR</x:v>
      </x:c>
      <x:c r="G1892" s="187" t="str">
        <x:v>FR_FC</x:v>
      </x:c>
      <x:c r="H1892" s="187" t="str">
        <x:v>CARRIER_B</x:v>
      </x:c>
      <x:c r="I1892" s="187" t="str">
        <x:v>ROAD</x:v>
      </x:c>
      <x:c r="J1892" s="187" t="str">
        <x:v>PACKAGING</x:v>
      </x:c>
      <x:c r="K1892" s="187" t="str">
        <x:v>EUR</x:v>
      </x:c>
      <x:c r="L1892" s="232" t="n">
        <x:v>2170.0374696</x:v>
      </x:c>
      <x:c r="M1892" s="232" t="n">
        <x:v>7.86</x:v>
      </x:c>
      <x:c r="N1892" s="187" t="str">
        <x:v>17056.494511056000000000000000000000000000000000000000000000000000000000000000000</x:v>
      </x:c>
      <x:c r="O1892" s="235" t="n">
        <x:v>17056.4945</x:v>
      </x:c>
      <x:c r="P1892" s="235"/>
      <x:c r="Q1892" s="235"/>
      <x:c r="R1892" s="235" t="str">
        <x:v>INVOICE_OR_PLAN</x:v>
      </x:c>
      <x:c r="S1892" s="238" t="n">
        <x:f>'Model_Calc'!AQ319</x:f>
        <x:v>17056.494511056</x:v>
      </x:c>
      <x:c r="T1892" s="238" t="n">
        <x:f>ROUND(S1892-O1892,4)</x:f>
        <x:v>0</x:v>
      </x:c>
    </x:row>
    <x:row r="1893">
      <x:c r="A1893" s="187" t="str">
        <x:v>SCENARIO_GROWTH_2026_08</x:v>
      </x:c>
      <x:c r="B1893" s="187" t="str">
        <x:v>SCENARIO</x:v>
      </x:c>
      <x:c r="C1893" s="187" t="str">
        <x:v>GROWTH</x:v>
      </x:c>
      <x:c r="D1893" s="217" t="n">
        <x:v>46357</x:v>
      </x:c>
      <x:c r="E1893" s="187" t="str">
        <x:v>R_FR_FR_B_ROAD</x:v>
      </x:c>
      <x:c r="F1893" s="187" t="str">
        <x:v>FR</x:v>
      </x:c>
      <x:c r="G1893" s="187" t="str">
        <x:v>FR_FC</x:v>
      </x:c>
      <x:c r="H1893" s="187" t="str">
        <x:v>CARRIER_B</x:v>
      </x:c>
      <x:c r="I1893" s="187" t="str">
        <x:v>ROAD</x:v>
      </x:c>
      <x:c r="J1893" s="187" t="str">
        <x:v>RETURN_LOGISTICS</x:v>
      </x:c>
      <x:c r="K1893" s="187" t="str">
        <x:v>EUR</x:v>
      </x:c>
      <x:c r="L1893" s="232" t="n">
        <x:v>969.72876</x:v>
      </x:c>
      <x:c r="M1893" s="232" t="n">
        <x:v>7.86</x:v>
      </x:c>
      <x:c r="N1893" s="187" t="str">
        <x:v>7622.0680536000000000000000000000000000000000000000000000000000000000000000000000</x:v>
      </x:c>
      <x:c r="O1893" s="235" t="n">
        <x:v>7622.0681</x:v>
      </x:c>
      <x:c r="P1893" s="235"/>
      <x:c r="Q1893" s="235"/>
      <x:c r="R1893" s="235" t="str">
        <x:v>INVOICE_OR_PLAN</x:v>
      </x:c>
      <x:c r="S1893" s="238" t="n">
        <x:f>'Model_Calc'!AV319</x:f>
        <x:v>7622.068053599999</x:v>
      </x:c>
      <x:c r="T1893" s="238" t="n">
        <x:f>ROUND(S1893-O1893,4)</x:f>
        <x:v>0</x:v>
      </x:c>
    </x:row>
    <x:row r="1894">
      <x:c r="A1894" s="187" t="str">
        <x:v>SCENARIO_GROWTH_2026_08</x:v>
      </x:c>
      <x:c r="B1894" s="187" t="str">
        <x:v>SCENARIO</x:v>
      </x:c>
      <x:c r="C1894" s="187" t="str">
        <x:v>GROWTH</x:v>
      </x:c>
      <x:c r="D1894" s="217" t="n">
        <x:v>46357</x:v>
      </x:c>
      <x:c r="E1894" s="187" t="str">
        <x:v>R_FR_FR_B_ROAD</x:v>
      </x:c>
      <x:c r="F1894" s="187" t="str">
        <x:v>FR</x:v>
      </x:c>
      <x:c r="G1894" s="187" t="str">
        <x:v>FR_FC</x:v>
      </x:c>
      <x:c r="H1894" s="187" t="str">
        <x:v>CARRIER_B</x:v>
      </x:c>
      <x:c r="I1894" s="187" t="str">
        <x:v>ROAD</x:v>
      </x:c>
      <x:c r="J1894" s="187" t="str">
        <x:v>BILLABLE_EXCEPTION</x:v>
      </x:c>
      <x:c r="K1894" s="187" t="str">
        <x:v>EUR</x:v>
      </x:c>
      <x:c r="L1894" s="232" t="n">
        <x:v>183.882122424</x:v>
      </x:c>
      <x:c r="M1894" s="232" t="n">
        <x:v>7.86</x:v>
      </x:c>
      <x:c r="N1894" s="187" t="str">
        <x:v>1445.3134822526400000000000000000000000000000000000000000000000000000000000000000</x:v>
      </x:c>
      <x:c r="O1894" s="235" t="n">
        <x:v>1445.3135</x:v>
      </x:c>
      <x:c r="P1894" s="235"/>
      <x:c r="Q1894" s="235"/>
      <x:c r="R1894" s="235" t="str">
        <x:v>INVOICE_OR_PLAN</x:v>
      </x:c>
      <x:c r="S1894" s="238" t="n">
        <x:f>'Model_Calc'!BA319</x:f>
        <x:v>1445.31348225264</x:v>
      </x:c>
      <x:c r="T1894" s="238" t="n">
        <x:f>ROUND(S1894-O1894,4)</x:f>
        <x:v>0</x:v>
      </x:c>
    </x:row>
    <x:row r="1895">
      <x:c r="A1895" s="187" t="str">
        <x:v>SCENARIO_GROWTH_2026_08</x:v>
      </x:c>
      <x:c r="B1895" s="187" t="str">
        <x:v>SCENARIO</x:v>
      </x:c>
      <x:c r="C1895" s="187" t="str">
        <x:v>GROWTH</x:v>
      </x:c>
      <x:c r="D1895" s="217" t="n">
        <x:v>46357</x:v>
      </x:c>
      <x:c r="E1895" s="187" t="str">
        <x:v>R_GB_DE_A_ROAD</x:v>
      </x:c>
      <x:c r="F1895" s="187" t="str">
        <x:v>GB</x:v>
      </x:c>
      <x:c r="G1895" s="187" t="str">
        <x:v>DE_FC</x:v>
      </x:c>
      <x:c r="H1895" s="187" t="str">
        <x:v>CARRIER_A</x:v>
      </x:c>
      <x:c r="I1895" s="187" t="str">
        <x:v>ROAD</x:v>
      </x:c>
      <x:c r="J1895" s="187" t="str">
        <x:v>BASE_FREIGHT</x:v>
      </x:c>
      <x:c r="K1895" s="187" t="str">
        <x:v>GBP</x:v>
      </x:c>
      <x:c r="L1895" s="232" t="n">
        <x:v>29514.74940558803</x:v>
      </x:c>
      <x:c r="M1895" s="232" t="n">
        <x:v>9</x:v>
      </x:c>
      <x:c r="N1895" s="187" t="str">
        <x:v>265632.74465029226496000000000000000000000000000000000000000000000000000000000000</x:v>
      </x:c>
      <x:c r="O1895" s="235" t="n">
        <x:v>265632.7447</x:v>
      </x:c>
      <x:c r="P1895" s="235"/>
      <x:c r="Q1895" s="235"/>
      <x:c r="R1895" s="235" t="str">
        <x:v>INVOICE_OR_PLAN</x:v>
      </x:c>
      <x:c r="S1895" s="238" t="n">
        <x:f>'Model_Calc'!AF320</x:f>
        <x:v>265632.74465029227</x:v>
      </x:c>
      <x:c r="T1895" s="238" t="n">
        <x:f>ROUND(S1895-O1895,4)</x:f>
        <x:v>0</x:v>
      </x:c>
    </x:row>
    <x:row r="1896">
      <x:c r="A1896" s="187" t="str">
        <x:v>SCENARIO_GROWTH_2026_08</x:v>
      </x:c>
      <x:c r="B1896" s="187" t="str">
        <x:v>SCENARIO</x:v>
      </x:c>
      <x:c r="C1896" s="187" t="str">
        <x:v>GROWTH</x:v>
      </x:c>
      <x:c r="D1896" s="217" t="n">
        <x:v>46357</x:v>
      </x:c>
      <x:c r="E1896" s="187" t="str">
        <x:v>R_GB_DE_A_ROAD</x:v>
      </x:c>
      <x:c r="F1896" s="187" t="str">
        <x:v>GB</x:v>
      </x:c>
      <x:c r="G1896" s="187" t="str">
        <x:v>DE_FC</x:v>
      </x:c>
      <x:c r="H1896" s="187" t="str">
        <x:v>CARRIER_A</x:v>
      </x:c>
      <x:c r="I1896" s="187" t="str">
        <x:v>ROAD</x:v>
      </x:c>
      <x:c r="J1896" s="187" t="str">
        <x:v>FUEL_SURCHARGE</x:v>
      </x:c>
      <x:c r="K1896" s="187" t="str">
        <x:v>GBP</x:v>
      </x:c>
      <x:c r="L1896" s="232" t="n">
        <x:v>3054.776563478361</x:v>
      </x:c>
      <x:c r="M1896" s="232" t="n">
        <x:v>9</x:v>
      </x:c>
      <x:c r="N1896" s="187" t="str">
        <x:v>27492.989071305249423360000000000000000000000000000000000000000000000000000000000</x:v>
      </x:c>
      <x:c r="O1896" s="235" t="n">
        <x:v>27492.9891</x:v>
      </x:c>
      <x:c r="P1896" s="235"/>
      <x:c r="Q1896" s="235"/>
      <x:c r="R1896" s="235" t="str">
        <x:v>INVOICE_OR_PLAN</x:v>
      </x:c>
      <x:c r="S1896" s="238" t="n">
        <x:f>'Model_Calc'!AG320</x:f>
        <x:v>27492.989071305245</x:v>
      </x:c>
      <x:c r="T1896" s="238" t="n">
        <x:f>ROUND(S1896-O1896,4)</x:f>
        <x:v>0</x:v>
      </x:c>
    </x:row>
    <x:row r="1897">
      <x:c r="A1897" s="187" t="str">
        <x:v>SCENARIO_GROWTH_2026_08</x:v>
      </x:c>
      <x:c r="B1897" s="187" t="str">
        <x:v>SCENARIO</x:v>
      </x:c>
      <x:c r="C1897" s="187" t="str">
        <x:v>GROWTH</x:v>
      </x:c>
      <x:c r="D1897" s="217" t="n">
        <x:v>46357</x:v>
      </x:c>
      <x:c r="E1897" s="187" t="str">
        <x:v>R_GB_DE_A_ROAD</x:v>
      </x:c>
      <x:c r="F1897" s="187" t="str">
        <x:v>GB</x:v>
      </x:c>
      <x:c r="G1897" s="187" t="str">
        <x:v>DE_FC</x:v>
      </x:c>
      <x:c r="H1897" s="187" t="str">
        <x:v>CARRIER_A</x:v>
      </x:c>
      <x:c r="I1897" s="187" t="str">
        <x:v>ROAD</x:v>
      </x:c>
      <x:c r="J1897" s="187" t="str">
        <x:v>WAREHOUSE_OPERATION</x:v>
      </x:c>
      <x:c r="K1897" s="187" t="str">
        <x:v>EUR</x:v>
      </x:c>
      <x:c r="L1897" s="232" t="n">
        <x:v>7081.96110336</x:v>
      </x:c>
      <x:c r="M1897" s="232" t="n">
        <x:v>7.86</x:v>
      </x:c>
      <x:c r="N1897" s="187" t="str">
        <x:v>55664.214272409600000000000000000000000000000000000000000000000000000000000000000</x:v>
      </x:c>
      <x:c r="O1897" s="235" t="n">
        <x:v>55664.2143</x:v>
      </x:c>
      <x:c r="P1897" s="235"/>
      <x:c r="Q1897" s="235"/>
      <x:c r="R1897" s="235" t="str">
        <x:v>INVOICE_OR_PLAN</x:v>
      </x:c>
      <x:c r="S1897" s="238" t="n">
        <x:f>'Model_Calc'!AL320</x:f>
        <x:v>55664.214272409605</x:v>
      </x:c>
      <x:c r="T1897" s="238" t="n">
        <x:f>ROUND(S1897-O1897,4)</x:f>
        <x:v>0</x:v>
      </x:c>
    </x:row>
    <x:row r="1898">
      <x:c r="A1898" s="187" t="str">
        <x:v>SCENARIO_GROWTH_2026_08</x:v>
      </x:c>
      <x:c r="B1898" s="187" t="str">
        <x:v>SCENARIO</x:v>
      </x:c>
      <x:c r="C1898" s="187" t="str">
        <x:v>GROWTH</x:v>
      </x:c>
      <x:c r="D1898" s="217" t="n">
        <x:v>46357</x:v>
      </x:c>
      <x:c r="E1898" s="187" t="str">
        <x:v>R_GB_DE_A_ROAD</x:v>
      </x:c>
      <x:c r="F1898" s="187" t="str">
        <x:v>GB</x:v>
      </x:c>
      <x:c r="G1898" s="187" t="str">
        <x:v>DE_FC</x:v>
      </x:c>
      <x:c r="H1898" s="187" t="str">
        <x:v>CARRIER_A</x:v>
      </x:c>
      <x:c r="I1898" s="187" t="str">
        <x:v>ROAD</x:v>
      </x:c>
      <x:c r="J1898" s="187" t="str">
        <x:v>PACKAGING</x:v>
      </x:c>
      <x:c r="K1898" s="187" t="str">
        <x:v>EUR</x:v>
      </x:c>
      <x:c r="L1898" s="232" t="n">
        <x:v>2949.2166832128</x:v>
      </x:c>
      <x:c r="M1898" s="232" t="n">
        <x:v>7.86</x:v>
      </x:c>
      <x:c r="N1898" s="187" t="str">
        <x:v>23180.843130052608000000000000000000000000000000000000000000000000000000000000000</x:v>
      </x:c>
      <x:c r="O1898" s="235" t="n">
        <x:v>23180.8431</x:v>
      </x:c>
      <x:c r="P1898" s="235"/>
      <x:c r="Q1898" s="235"/>
      <x:c r="R1898" s="235" t="str">
        <x:v>INVOICE_OR_PLAN</x:v>
      </x:c>
      <x:c r="S1898" s="238" t="n">
        <x:f>'Model_Calc'!AQ320</x:f>
        <x:v>23180.843130052606</x:v>
      </x:c>
      <x:c r="T1898" s="238" t="n">
        <x:f>ROUND(S1898-O1898,4)</x:f>
        <x:v>0</x:v>
      </x:c>
    </x:row>
    <x:row r="1899">
      <x:c r="A1899" s="187" t="str">
        <x:v>SCENARIO_GROWTH_2026_08</x:v>
      </x:c>
      <x:c r="B1899" s="187" t="str">
        <x:v>SCENARIO</x:v>
      </x:c>
      <x:c r="C1899" s="187" t="str">
        <x:v>GROWTH</x:v>
      </x:c>
      <x:c r="D1899" s="217" t="n">
        <x:v>46357</x:v>
      </x:c>
      <x:c r="E1899" s="187" t="str">
        <x:v>R_GB_DE_A_ROAD</x:v>
      </x:c>
      <x:c r="F1899" s="187" t="str">
        <x:v>GB</x:v>
      </x:c>
      <x:c r="G1899" s="187" t="str">
        <x:v>DE_FC</x:v>
      </x:c>
      <x:c r="H1899" s="187" t="str">
        <x:v>CARRIER_A</x:v>
      </x:c>
      <x:c r="I1899" s="187" t="str">
        <x:v>ROAD</x:v>
      </x:c>
      <x:c r="J1899" s="187" t="str">
        <x:v>RETURN_LOGISTICS</x:v>
      </x:c>
      <x:c r="K1899" s="187" t="str">
        <x:v>GBP</x:v>
      </x:c>
      <x:c r="L1899" s="232" t="n">
        <x:v>2592.717963264</x:v>
      </x:c>
      <x:c r="M1899" s="232" t="n">
        <x:v>9</x:v>
      </x:c>
      <x:c r="N1899" s="187" t="str">
        <x:v>23334.461669376000000000000000000000000000000000000000000000000000000000000000000</x:v>
      </x:c>
      <x:c r="O1899" s="235" t="n">
        <x:v>23334.4617</x:v>
      </x:c>
      <x:c r="P1899" s="235"/>
      <x:c r="Q1899" s="235"/>
      <x:c r="R1899" s="235" t="str">
        <x:v>INVOICE_OR_PLAN</x:v>
      </x:c>
      <x:c r="S1899" s="238" t="n">
        <x:f>'Model_Calc'!AV320</x:f>
        <x:v>23334.461669376</x:v>
      </x:c>
      <x:c r="T1899" s="238" t="n">
        <x:f>ROUND(S1899-O1899,4)</x:f>
        <x:v>0</x:v>
      </x:c>
    </x:row>
    <x:row r="1900">
      <x:c r="A1900" s="187" t="str">
        <x:v>SCENARIO_GROWTH_2026_08</x:v>
      </x:c>
      <x:c r="B1900" s="187" t="str">
        <x:v>SCENARIO</x:v>
      </x:c>
      <x:c r="C1900" s="187" t="str">
        <x:v>GROWTH</x:v>
      </x:c>
      <x:c r="D1900" s="217" t="n">
        <x:v>46357</x:v>
      </x:c>
      <x:c r="E1900" s="187" t="str">
        <x:v>R_GB_DE_A_ROAD</x:v>
      </x:c>
      <x:c r="F1900" s="187" t="str">
        <x:v>GB</x:v>
      </x:c>
      <x:c r="G1900" s="187" t="str">
        <x:v>DE_FC</x:v>
      </x:c>
      <x:c r="H1900" s="187" t="str">
        <x:v>CARRIER_A</x:v>
      </x:c>
      <x:c r="I1900" s="187" t="str">
        <x:v>ROAD</x:v>
      </x:c>
      <x:c r="J1900" s="187" t="str">
        <x:v>BILLABLE_EXCEPTION</x:v>
      </x:c>
      <x:c r="K1900" s="187" t="str">
        <x:v>GBP</x:v>
      </x:c>
      <x:c r="L1900" s="232" t="n">
        <x:v>436.062752446464</x:v>
      </x:c>
      <x:c r="M1900" s="232" t="n">
        <x:v>9</x:v>
      </x:c>
      <x:c r="N1900" s="187" t="str">
        <x:v>3924.5647720181760000000000000000000000000000000000000000000000000000000000000000</x:v>
      </x:c>
      <x:c r="O1900" s="235" t="n">
        <x:v>3924.5648</x:v>
      </x:c>
      <x:c r="P1900" s="235"/>
      <x:c r="Q1900" s="235"/>
      <x:c r="R1900" s="235" t="str">
        <x:v>INVOICE_OR_PLAN</x:v>
      </x:c>
      <x:c r="S1900" s="238" t="n">
        <x:f>'Model_Calc'!BA320</x:f>
        <x:v>3924.564772018175</x:v>
      </x:c>
      <x:c r="T1900" s="238" t="n">
        <x:f>ROUND(S1900-O1900,4)</x:f>
        <x:v>0</x:v>
      </x:c>
    </x:row>
    <x:row r="1901">
      <x:c r="A1901" s="187" t="str">
        <x:v>SCENARIO_GROWTH_2026_08</x:v>
      </x:c>
      <x:c r="B1901" s="187" t="str">
        <x:v>SCENARIO</x:v>
      </x:c>
      <x:c r="C1901" s="187" t="str">
        <x:v>GROWTH</x:v>
      </x:c>
      <x:c r="D1901" s="217" t="n">
        <x:v>46357</x:v>
      </x:c>
      <x:c r="E1901" s="187" t="str">
        <x:v>R_GB_DE_B_ROAD</x:v>
      </x:c>
      <x:c r="F1901" s="187" t="str">
        <x:v>GB</x:v>
      </x:c>
      <x:c r="G1901" s="187" t="str">
        <x:v>DE_FC</x:v>
      </x:c>
      <x:c r="H1901" s="187" t="str">
        <x:v>CARRIER_B</x:v>
      </x:c>
      <x:c r="I1901" s="187" t="str">
        <x:v>ROAD</x:v>
      </x:c>
      <x:c r="J1901" s="187" t="str">
        <x:v>BASE_FREIGHT</x:v>
      </x:c>
      <x:c r="K1901" s="187" t="str">
        <x:v>GBP</x:v>
      </x:c>
      <x:c r="L1901" s="232" t="n">
        <x:v>17708.24680941888</x:v>
      </x:c>
      <x:c r="M1901" s="232" t="n">
        <x:v>9</x:v>
      </x:c>
      <x:c r="N1901" s="187" t="str">
        <x:v>159374.22128476992000000000000000000000000000000000000000000000000000000000000000</x:v>
      </x:c>
      <x:c r="O1901" s="235" t="n">
        <x:v>159374.2213</x:v>
      </x:c>
      <x:c r="P1901" s="235"/>
      <x:c r="Q1901" s="235"/>
      <x:c r="R1901" s="235" t="str">
        <x:v>INVOICE_OR_PLAN</x:v>
      </x:c>
      <x:c r="S1901" s="238" t="n">
        <x:f>'Model_Calc'!AF321</x:f>
        <x:v>159374.22128476985</x:v>
      </x:c>
      <x:c r="T1901" s="238" t="n">
        <x:f>ROUND(S1901-O1901,4)</x:f>
        <x:v>0</x:v>
      </x:c>
    </x:row>
    <x:row r="1902">
      <x:c r="A1902" s="187" t="str">
        <x:v>SCENARIO_GROWTH_2026_08</x:v>
      </x:c>
      <x:c r="B1902" s="187" t="str">
        <x:v>SCENARIO</x:v>
      </x:c>
      <x:c r="C1902" s="187" t="str">
        <x:v>GROWTH</x:v>
      </x:c>
      <x:c r="D1902" s="217" t="n">
        <x:v>46357</x:v>
      </x:c>
      <x:c r="E1902" s="187" t="str">
        <x:v>R_GB_DE_B_ROAD</x:v>
      </x:c>
      <x:c r="F1902" s="187" t="str">
        <x:v>GB</x:v>
      </x:c>
      <x:c r="G1902" s="187" t="str">
        <x:v>DE_FC</x:v>
      </x:c>
      <x:c r="H1902" s="187" t="str">
        <x:v>CARRIER_B</x:v>
      </x:c>
      <x:c r="I1902" s="187" t="str">
        <x:v>ROAD</x:v>
      </x:c>
      <x:c r="J1902" s="187" t="str">
        <x:v>FUEL_SURCHARGE</x:v>
      </x:c>
      <x:c r="K1902" s="187" t="str">
        <x:v>GBP</x:v>
      </x:c>
      <x:c r="L1902" s="232" t="n">
        <x:v>1243.344988746432</x:v>
      </x:c>
      <x:c r="M1902" s="232" t="n">
        <x:v>9</x:v>
      </x:c>
      <x:c r="N1902" s="187" t="str">
        <x:v>11190.104898717888000000000000000000000000000000000000000000000000000000000000000</x:v>
      </x:c>
      <x:c r="O1902" s="235" t="n">
        <x:v>11190.1049</x:v>
      </x:c>
      <x:c r="P1902" s="235"/>
      <x:c r="Q1902" s="235"/>
      <x:c r="R1902" s="235" t="str">
        <x:v>INVOICE_OR_PLAN</x:v>
      </x:c>
      <x:c r="S1902" s="238" t="n">
        <x:f>'Model_Calc'!AG321</x:f>
        <x:v>11190.104898717887</x:v>
      </x:c>
      <x:c r="T1902" s="238" t="n">
        <x:f>ROUND(S1902-O1902,4)</x:f>
        <x:v>0</x:v>
      </x:c>
    </x:row>
    <x:row r="1903">
      <x:c r="A1903" s="187" t="str">
        <x:v>SCENARIO_GROWTH_2026_08</x:v>
      </x:c>
      <x:c r="B1903" s="187" t="str">
        <x:v>SCENARIO</x:v>
      </x:c>
      <x:c r="C1903" s="187" t="str">
        <x:v>GROWTH</x:v>
      </x:c>
      <x:c r="D1903" s="217" t="n">
        <x:v>46357</x:v>
      </x:c>
      <x:c r="E1903" s="187" t="str">
        <x:v>R_GB_DE_B_ROAD</x:v>
      </x:c>
      <x:c r="F1903" s="187" t="str">
        <x:v>GB</x:v>
      </x:c>
      <x:c r="G1903" s="187" t="str">
        <x:v>DE_FC</x:v>
      </x:c>
      <x:c r="H1903" s="187" t="str">
        <x:v>CARRIER_B</x:v>
      </x:c>
      <x:c r="I1903" s="187" t="str">
        <x:v>ROAD</x:v>
      </x:c>
      <x:c r="J1903" s="187" t="str">
        <x:v>WAREHOUSE_OPERATION</x:v>
      </x:c>
      <x:c r="K1903" s="187" t="str">
        <x:v>EUR</x:v>
      </x:c>
      <x:c r="L1903" s="232" t="n">
        <x:v>3688.521408</x:v>
      </x:c>
      <x:c r="M1903" s="232" t="n">
        <x:v>7.86</x:v>
      </x:c>
      <x:c r="N1903" s="187" t="str">
        <x:v>28991.778266880000000000000000000000000000000000000000000000000000000000000000000</x:v>
      </x:c>
      <x:c r="O1903" s="235" t="n">
        <x:v>28991.7783</x:v>
      </x:c>
      <x:c r="P1903" s="235"/>
      <x:c r="Q1903" s="235"/>
      <x:c r="R1903" s="235" t="str">
        <x:v>INVOICE_OR_PLAN</x:v>
      </x:c>
      <x:c r="S1903" s="238" t="n">
        <x:f>'Model_Calc'!AL321</x:f>
        <x:v>28991.778266880003</x:v>
      </x:c>
      <x:c r="T1903" s="238" t="n">
        <x:f>ROUND(S1903-O1903,4)</x:f>
        <x:v>0</x:v>
      </x:c>
    </x:row>
    <x:row r="1904">
      <x:c r="A1904" s="187" t="str">
        <x:v>SCENARIO_GROWTH_2026_08</x:v>
      </x:c>
      <x:c r="B1904" s="187" t="str">
        <x:v>SCENARIO</x:v>
      </x:c>
      <x:c r="C1904" s="187" t="str">
        <x:v>GROWTH</x:v>
      </x:c>
      <x:c r="D1904" s="217" t="n">
        <x:v>46357</x:v>
      </x:c>
      <x:c r="E1904" s="187" t="str">
        <x:v>R_GB_DE_B_ROAD</x:v>
      </x:c>
      <x:c r="F1904" s="187" t="str">
        <x:v>GB</x:v>
      </x:c>
      <x:c r="G1904" s="187" t="str">
        <x:v>DE_FC</x:v>
      </x:c>
      <x:c r="H1904" s="187" t="str">
        <x:v>CARRIER_B</x:v>
      </x:c>
      <x:c r="I1904" s="187" t="str">
        <x:v>ROAD</x:v>
      </x:c>
      <x:c r="J1904" s="187" t="str">
        <x:v>PACKAGING</x:v>
      </x:c>
      <x:c r="K1904" s="187" t="str">
        <x:v>EUR</x:v>
      </x:c>
      <x:c r="L1904" s="232" t="n">
        <x:v>1536.05035584</x:v>
      </x:c>
      <x:c r="M1904" s="232" t="n">
        <x:v>7.86</x:v>
      </x:c>
      <x:c r="N1904" s="187" t="str">
        <x:v>12073.355796902400000000000000000000000000000000000000000000000000000000000000000</x:v>
      </x:c>
      <x:c r="O1904" s="235" t="n">
        <x:v>12073.3558</x:v>
      </x:c>
      <x:c r="P1904" s="235"/>
      <x:c r="Q1904" s="235"/>
      <x:c r="R1904" s="235" t="str">
        <x:v>INVOICE_OR_PLAN</x:v>
      </x:c>
      <x:c r="S1904" s="238" t="n">
        <x:f>'Model_Calc'!AQ321</x:f>
        <x:v>12073.355796902397</x:v>
      </x:c>
      <x:c r="T1904" s="238" t="n">
        <x:f>ROUND(S1904-O1904,4)</x:f>
        <x:v>0</x:v>
      </x:c>
    </x:row>
    <x:row r="1905">
      <x:c r="A1905" s="187" t="str">
        <x:v>SCENARIO_GROWTH_2026_08</x:v>
      </x:c>
      <x:c r="B1905" s="187" t="str">
        <x:v>SCENARIO</x:v>
      </x:c>
      <x:c r="C1905" s="187" t="str">
        <x:v>GROWTH</x:v>
      </x:c>
      <x:c r="D1905" s="217" t="n">
        <x:v>46357</x:v>
      </x:c>
      <x:c r="E1905" s="187" t="str">
        <x:v>R_GB_DE_B_ROAD</x:v>
      </x:c>
      <x:c r="F1905" s="187" t="str">
        <x:v>GB</x:v>
      </x:c>
      <x:c r="G1905" s="187" t="str">
        <x:v>DE_FC</x:v>
      </x:c>
      <x:c r="H1905" s="187" t="str">
        <x:v>CARRIER_B</x:v>
      </x:c>
      <x:c r="I1905" s="187" t="str">
        <x:v>ROAD</x:v>
      </x:c>
      <x:c r="J1905" s="187" t="str">
        <x:v>RETURN_LOGISTICS</x:v>
      </x:c>
      <x:c r="K1905" s="187" t="str">
        <x:v>GBP</x:v>
      </x:c>
      <x:c r="L1905" s="232" t="n">
        <x:v>1350.3739392</x:v>
      </x:c>
      <x:c r="M1905" s="232" t="n">
        <x:v>9</x:v>
      </x:c>
      <x:c r="N1905" s="187" t="str">
        <x:v>12153.365452800000000000000000000000000000000000000000000000000000000000000000000</x:v>
      </x:c>
      <x:c r="O1905" s="235" t="n">
        <x:v>12153.3655</x:v>
      </x:c>
      <x:c r="P1905" s="235"/>
      <x:c r="Q1905" s="235"/>
      <x:c r="R1905" s="235" t="str">
        <x:v>INVOICE_OR_PLAN</x:v>
      </x:c>
      <x:c r="S1905" s="238" t="n">
        <x:f>'Model_Calc'!AV321</x:f>
        <x:v>12153.3654528</x:v>
      </x:c>
      <x:c r="T1905" s="238" t="n">
        <x:f>ROUND(S1905-O1905,4)</x:f>
        <x:v>0</x:v>
      </x:c>
    </x:row>
    <x:row r="1906">
      <x:c r="A1906" s="187" t="str">
        <x:v>SCENARIO_GROWTH_2026_08</x:v>
      </x:c>
      <x:c r="B1906" s="187" t="str">
        <x:v>SCENARIO</x:v>
      </x:c>
      <x:c r="C1906" s="187" t="str">
        <x:v>GROWTH</x:v>
      </x:c>
      <x:c r="D1906" s="217" t="n">
        <x:v>46357</x:v>
      </x:c>
      <x:c r="E1906" s="187" t="str">
        <x:v>R_GB_DE_B_ROAD</x:v>
      </x:c>
      <x:c r="F1906" s="187" t="str">
        <x:v>GB</x:v>
      </x:c>
      <x:c r="G1906" s="187" t="str">
        <x:v>DE_FC</x:v>
      </x:c>
      <x:c r="H1906" s="187" t="str">
        <x:v>CARRIER_B</x:v>
      </x:c>
      <x:c r="I1906" s="187" t="str">
        <x:v>ROAD</x:v>
      </x:c>
      <x:c r="J1906" s="187" t="str">
        <x:v>BILLABLE_EXCEPTION</x:v>
      </x:c>
      <x:c r="K1906" s="187" t="str">
        <x:v>GBP</x:v>
      </x:c>
      <x:c r="L1906" s="232" t="n">
        <x:v>168.234086592</x:v>
      </x:c>
      <x:c r="M1906" s="232" t="n">
        <x:v>9</x:v>
      </x:c>
      <x:c r="N1906" s="187" t="str">
        <x:v>1514.1067793280000000000000000000000000000000000000000000000000000000000000000000</x:v>
      </x:c>
      <x:c r="O1906" s="235" t="n">
        <x:v>1514.1068</x:v>
      </x:c>
      <x:c r="P1906" s="235"/>
      <x:c r="Q1906" s="235"/>
      <x:c r="R1906" s="235" t="str">
        <x:v>INVOICE_OR_PLAN</x:v>
      </x:c>
      <x:c r="S1906" s="238" t="n">
        <x:f>'Model_Calc'!BA321</x:f>
        <x:v>1514.106779328</x:v>
      </x:c>
      <x:c r="T1906" s="238" t="n">
        <x:f>ROUND(S1906-O1906,4)</x:f>
        <x:v>0</x:v>
      </x:c>
    </x:row>
    <x:row r="1907">
      <x:c r="A1907" s="187" t="str">
        <x:v>SCENARIO_GROWTH_2026_08</x:v>
      </x:c>
      <x:c r="B1907" s="187" t="str">
        <x:v>SCENARIO</x:v>
      </x:c>
      <x:c r="C1907" s="187" t="str">
        <x:v>GROWTH</x:v>
      </x:c>
      <x:c r="D1907" s="217" t="n">
        <x:v>46357</x:v>
      </x:c>
      <x:c r="E1907" s="187" t="str">
        <x:v>R_GB_DE_B_AIR</x:v>
      </x:c>
      <x:c r="F1907" s="187" t="str">
        <x:v>GB</x:v>
      </x:c>
      <x:c r="G1907" s="187" t="str">
        <x:v>DE_FC</x:v>
      </x:c>
      <x:c r="H1907" s="187" t="str">
        <x:v>CARRIER_B</x:v>
      </x:c>
      <x:c r="I1907" s="187" t="str">
        <x:v>AIR</x:v>
      </x:c>
      <x:c r="J1907" s="187" t="str">
        <x:v>BASE_FREIGHT</x:v>
      </x:c>
      <x:c r="K1907" s="187" t="str">
        <x:v>GBP</x:v>
      </x:c>
      <x:c r="L1907" s="232" t="n">
        <x:v>17355.781864924207</x:v>
      </x:c>
      <x:c r="M1907" s="232" t="n">
        <x:v>9</x:v>
      </x:c>
      <x:c r="N1907" s="187" t="str">
        <x:v>156202.03678431785951232000000000000000000000000000000000000000000000000000000000</x:v>
      </x:c>
      <x:c r="O1907" s="235" t="n">
        <x:v>156202.0368</x:v>
      </x:c>
      <x:c r="P1907" s="235"/>
      <x:c r="Q1907" s="235"/>
      <x:c r="R1907" s="235" t="str">
        <x:v>INVOICE_OR_PLAN</x:v>
      </x:c>
      <x:c r="S1907" s="238" t="n">
        <x:f>'Model_Calc'!AF322</x:f>
        <x:v>156202.03678431787</x:v>
      </x:c>
      <x:c r="T1907" s="238" t="n">
        <x:f>ROUND(S1907-O1907,4)</x:f>
        <x:v>0</x:v>
      </x:c>
    </x:row>
    <x:row r="1908">
      <x:c r="A1908" s="187" t="str">
        <x:v>SCENARIO_GROWTH_2026_08</x:v>
      </x:c>
      <x:c r="B1908" s="187" t="str">
        <x:v>SCENARIO</x:v>
      </x:c>
      <x:c r="C1908" s="187" t="str">
        <x:v>GROWTH</x:v>
      </x:c>
      <x:c r="D1908" s="217" t="n">
        <x:v>46357</x:v>
      </x:c>
      <x:c r="E1908" s="187" t="str">
        <x:v>R_GB_DE_B_AIR</x:v>
      </x:c>
      <x:c r="F1908" s="187" t="str">
        <x:v>GB</x:v>
      </x:c>
      <x:c r="G1908" s="187" t="str">
        <x:v>DE_FC</x:v>
      </x:c>
      <x:c r="H1908" s="187" t="str">
        <x:v>CARRIER_B</x:v>
      </x:c>
      <x:c r="I1908" s="187" t="str">
        <x:v>AIR</x:v>
      </x:c>
      <x:c r="J1908" s="187" t="str">
        <x:v>FUEL_SURCHARGE</x:v>
      </x:c>
      <x:c r="K1908" s="187" t="str">
        <x:v>GBP</x:v>
      </x:c>
      <x:c r="L1908" s="232" t="n">
        <x:v>2148.402813931508</x:v>
      </x:c>
      <x:c r="M1908" s="232" t="n">
        <x:v>9</x:v>
      </x:c>
      <x:c r="N1908" s="187" t="str">
        <x:v>19335.625325383570557592043520000000000000000000000000000000000000000000000000000</x:v>
      </x:c>
      <x:c r="O1908" s="235" t="n">
        <x:v>19335.6253</x:v>
      </x:c>
      <x:c r="P1908" s="235"/>
      <x:c r="Q1908" s="235"/>
      <x:c r="R1908" s="235" t="str">
        <x:v>INVOICE_OR_PLAN</x:v>
      </x:c>
      <x:c r="S1908" s="238" t="n">
        <x:f>'Model_Calc'!AG322</x:f>
        <x:v>19335.62532538357</x:v>
      </x:c>
      <x:c r="T1908" s="238" t="n">
        <x:f>ROUND(S1908-O1908,4)</x:f>
        <x:v>0</x:v>
      </x:c>
    </x:row>
    <x:row r="1909">
      <x:c r="A1909" s="187" t="str">
        <x:v>SCENARIO_GROWTH_2026_08</x:v>
      </x:c>
      <x:c r="B1909" s="187" t="str">
        <x:v>SCENARIO</x:v>
      </x:c>
      <x:c r="C1909" s="187" t="str">
        <x:v>GROWTH</x:v>
      </x:c>
      <x:c r="D1909" s="217" t="n">
        <x:v>46357</x:v>
      </x:c>
      <x:c r="E1909" s="187" t="str">
        <x:v>R_GB_DE_B_AIR</x:v>
      </x:c>
      <x:c r="F1909" s="187" t="str">
        <x:v>GB</x:v>
      </x:c>
      <x:c r="G1909" s="187" t="str">
        <x:v>DE_FC</x:v>
      </x:c>
      <x:c r="H1909" s="187" t="str">
        <x:v>CARRIER_B</x:v>
      </x:c>
      <x:c r="I1909" s="187" t="str">
        <x:v>AIR</x:v>
      </x:c>
      <x:c r="J1909" s="187" t="str">
        <x:v>WAREHOUSE_OPERATION</x:v>
      </x:c>
      <x:c r="K1909" s="187" t="str">
        <x:v>EUR</x:v>
      </x:c>
      <x:c r="L1909" s="232" t="n">
        <x:v>2803.27627008</x:v>
      </x:c>
      <x:c r="M1909" s="232" t="n">
        <x:v>7.86</x:v>
      </x:c>
      <x:c r="N1909" s="187" t="str">
        <x:v>22033.751482828800000000000000000000000000000000000000000000000000000000000000000</x:v>
      </x:c>
      <x:c r="O1909" s="235" t="n">
        <x:v>22033.7515</x:v>
      </x:c>
      <x:c r="P1909" s="235"/>
      <x:c r="Q1909" s="235"/>
      <x:c r="R1909" s="235" t="str">
        <x:v>INVOICE_OR_PLAN</x:v>
      </x:c>
      <x:c r="S1909" s="238" t="n">
        <x:f>'Model_Calc'!AL322</x:f>
        <x:v>22033.7514828288</x:v>
      </x:c>
      <x:c r="T1909" s="238" t="n">
        <x:f>ROUND(S1909-O1909,4)</x:f>
        <x:v>0</x:v>
      </x:c>
    </x:row>
    <x:row r="1910">
      <x:c r="A1910" s="187" t="str">
        <x:v>SCENARIO_GROWTH_2026_08</x:v>
      </x:c>
      <x:c r="B1910" s="187" t="str">
        <x:v>SCENARIO</x:v>
      </x:c>
      <x:c r="C1910" s="187" t="str">
        <x:v>GROWTH</x:v>
      </x:c>
      <x:c r="D1910" s="217" t="n">
        <x:v>46357</x:v>
      </x:c>
      <x:c r="E1910" s="187" t="str">
        <x:v>R_GB_DE_B_AIR</x:v>
      </x:c>
      <x:c r="F1910" s="187" t="str">
        <x:v>GB</x:v>
      </x:c>
      <x:c r="G1910" s="187" t="str">
        <x:v>DE_FC</x:v>
      </x:c>
      <x:c r="H1910" s="187" t="str">
        <x:v>CARRIER_B</x:v>
      </x:c>
      <x:c r="I1910" s="187" t="str">
        <x:v>AIR</x:v>
      </x:c>
      <x:c r="J1910" s="187" t="str">
        <x:v>PACKAGING</x:v>
      </x:c>
      <x:c r="K1910" s="187" t="str">
        <x:v>EUR</x:v>
      </x:c>
      <x:c r="L1910" s="232" t="n">
        <x:v>1167.3982704384</x:v>
      </x:c>
      <x:c r="M1910" s="232" t="n">
        <x:v>7.86</x:v>
      </x:c>
      <x:c r="N1910" s="187" t="str">
        <x:v>9175.7504056458240000000000000000000000000000000000000000000000000000000000000000</x:v>
      </x:c>
      <x:c r="O1910" s="235" t="n">
        <x:v>9175.7504</x:v>
      </x:c>
      <x:c r="P1910" s="235"/>
      <x:c r="Q1910" s="235"/>
      <x:c r="R1910" s="235" t="str">
        <x:v>INVOICE_OR_PLAN</x:v>
      </x:c>
      <x:c r="S1910" s="238" t="n">
        <x:f>'Model_Calc'!AQ322</x:f>
        <x:v>9175.750405645822</x:v>
      </x:c>
      <x:c r="T1910" s="238" t="n">
        <x:f>ROUND(S1910-O1910,4)</x:f>
        <x:v>0</x:v>
      </x:c>
    </x:row>
    <x:row r="1911">
      <x:c r="A1911" s="187" t="str">
        <x:v>SCENARIO_GROWTH_2026_08</x:v>
      </x:c>
      <x:c r="B1911" s="187" t="str">
        <x:v>SCENARIO</x:v>
      </x:c>
      <x:c r="C1911" s="187" t="str">
        <x:v>GROWTH</x:v>
      </x:c>
      <x:c r="D1911" s="217" t="n">
        <x:v>46357</x:v>
      </x:c>
      <x:c r="E1911" s="187" t="str">
        <x:v>R_GB_DE_B_AIR</x:v>
      </x:c>
      <x:c r="F1911" s="187" t="str">
        <x:v>GB</x:v>
      </x:c>
      <x:c r="G1911" s="187" t="str">
        <x:v>DE_FC</x:v>
      </x:c>
      <x:c r="H1911" s="187" t="str">
        <x:v>CARRIER_B</x:v>
      </x:c>
      <x:c r="I1911" s="187" t="str">
        <x:v>AIR</x:v>
      </x:c>
      <x:c r="J1911" s="187" t="str">
        <x:v>RETURN_LOGISTICS</x:v>
      </x:c>
      <x:c r="K1911" s="187" t="str">
        <x:v>GBP</x:v>
      </x:c>
      <x:c r="L1911" s="232" t="n">
        <x:v>1026.284193792</x:v>
      </x:c>
      <x:c r="M1911" s="232" t="n">
        <x:v>9</x:v>
      </x:c>
      <x:c r="N1911" s="187" t="str">
        <x:v>9236.5577441280000000000000000000000000000000000000000000000000000000000000000000</x:v>
      </x:c>
      <x:c r="O1911" s="235" t="n">
        <x:v>9236.5577</x:v>
      </x:c>
      <x:c r="P1911" s="235"/>
      <x:c r="Q1911" s="235"/>
      <x:c r="R1911" s="235" t="str">
        <x:v>INVOICE_OR_PLAN</x:v>
      </x:c>
      <x:c r="S1911" s="238" t="n">
        <x:f>'Model_Calc'!AV322</x:f>
        <x:v>9236.557744128</x:v>
      </x:c>
      <x:c r="T1911" s="238" t="n">
        <x:f>ROUND(S1911-O1911,4)</x:f>
        <x:v>0</x:v>
      </x:c>
    </x:row>
    <x:row r="1912">
      <x:c r="A1912" s="187" t="str">
        <x:v>SCENARIO_GROWTH_2026_08</x:v>
      </x:c>
      <x:c r="B1912" s="187" t="str">
        <x:v>SCENARIO</x:v>
      </x:c>
      <x:c r="C1912" s="187" t="str">
        <x:v>GROWTH</x:v>
      </x:c>
      <x:c r="D1912" s="217" t="n">
        <x:v>46357</x:v>
      </x:c>
      <x:c r="E1912" s="187" t="str">
        <x:v>R_GB_DE_B_AIR</x:v>
      </x:c>
      <x:c r="F1912" s="187" t="str">
        <x:v>GB</x:v>
      </x:c>
      <x:c r="G1912" s="187" t="str">
        <x:v>DE_FC</x:v>
      </x:c>
      <x:c r="H1912" s="187" t="str">
        <x:v>CARRIER_B</x:v>
      </x:c>
      <x:c r="I1912" s="187" t="str">
        <x:v>AIR</x:v>
      </x:c>
      <x:c r="J1912" s="187" t="str">
        <x:v>BILLABLE_EXCEPTION</x:v>
      </x:c>
      <x:c r="K1912" s="187" t="str">
        <x:v>GBP</x:v>
      </x:c>
      <x:c r="L1912" s="232" t="n">
        <x:v>124.522482180096</x:v>
      </x:c>
      <x:c r="M1912" s="232" t="n">
        <x:v>9</x:v>
      </x:c>
      <x:c r="N1912" s="187" t="str">
        <x:v>1120.7023396208640000000000000000000000000000000000000000000000000000000000000000</x:v>
      </x:c>
      <x:c r="O1912" s="235" t="n">
        <x:v>1120.7023</x:v>
      </x:c>
      <x:c r="P1912" s="235"/>
      <x:c r="Q1912" s="235"/>
      <x:c r="R1912" s="235" t="str">
        <x:v>INVOICE_OR_PLAN</x:v>
      </x:c>
      <x:c r="S1912" s="238" t="n">
        <x:f>'Model_Calc'!BA322</x:f>
        <x:v>1120.702339620864</x:v>
      </x:c>
      <x:c r="T1912" s="238" t="n">
        <x:f>ROUND(S1912-O1912,4)</x:f>
        <x:v>0</x:v>
      </x:c>
    </x:row>
    <x:row r="1913">
      <x:c r="A1913" s="187" t="str">
        <x:v>SCENARIO_GROWTH_2026_08</x:v>
      </x:c>
      <x:c r="B1913" s="187" t="str">
        <x:v>SCENARIO</x:v>
      </x:c>
      <x:c r="C1913" s="187" t="str">
        <x:v>GROWTH</x:v>
      </x:c>
      <x:c r="D1913" s="217" t="n">
        <x:v>46357</x:v>
      </x:c>
      <x:c r="E1913" s="187" t="str">
        <x:v>R_GB_DE_C_AIR</x:v>
      </x:c>
      <x:c r="F1913" s="187" t="str">
        <x:v>GB</x:v>
      </x:c>
      <x:c r="G1913" s="187" t="str">
        <x:v>DE_FC</x:v>
      </x:c>
      <x:c r="H1913" s="187" t="str">
        <x:v>CARRIER_C</x:v>
      </x:c>
      <x:c r="I1913" s="187" t="str">
        <x:v>AIR</x:v>
      </x:c>
      <x:c r="J1913" s="187" t="str">
        <x:v>BASE_FREIGHT</x:v>
      </x:c>
      <x:c r="K1913" s="187" t="str">
        <x:v>GBP</x:v>
      </x:c>
      <x:c r="L1913" s="232" t="n">
        <x:v>8818.254785640149</x:v>
      </x:c>
      <x:c r="M1913" s="232" t="n">
        <x:v>9</x:v>
      </x:c>
      <x:c r="N1913" s="187" t="str">
        <x:v>79364.293070761340928000000000000000000000000000000000000000000000000000000000000</x:v>
      </x:c>
      <x:c r="O1913" s="235" t="n">
        <x:v>79364.2931</x:v>
      </x:c>
      <x:c r="P1913" s="235"/>
      <x:c r="Q1913" s="235"/>
      <x:c r="R1913" s="235" t="str">
        <x:v>INVOICE_OR_PLAN</x:v>
      </x:c>
      <x:c r="S1913" s="238" t="n">
        <x:f>'Model_Calc'!AF323</x:f>
        <x:v>79364.29307076133</x:v>
      </x:c>
      <x:c r="T1913" s="238" t="n">
        <x:f>ROUND(S1913-O1913,4)</x:f>
        <x:v>0</x:v>
      </x:c>
    </x:row>
    <x:row r="1914">
      <x:c r="A1914" s="187" t="str">
        <x:v>SCENARIO_GROWTH_2026_08</x:v>
      </x:c>
      <x:c r="B1914" s="187" t="str">
        <x:v>SCENARIO</x:v>
      </x:c>
      <x:c r="C1914" s="187" t="str">
        <x:v>GROWTH</x:v>
      </x:c>
      <x:c r="D1914" s="217" t="n">
        <x:v>46357</x:v>
      </x:c>
      <x:c r="E1914" s="187" t="str">
        <x:v>R_GB_DE_C_AIR</x:v>
      </x:c>
      <x:c r="F1914" s="187" t="str">
        <x:v>GB</x:v>
      </x:c>
      <x:c r="G1914" s="187" t="str">
        <x:v>DE_FC</x:v>
      </x:c>
      <x:c r="H1914" s="187" t="str">
        <x:v>CARRIER_C</x:v>
      </x:c>
      <x:c r="I1914" s="187" t="str">
        <x:v>AIR</x:v>
      </x:c>
      <x:c r="J1914" s="187" t="str">
        <x:v>FUEL_SURCHARGE</x:v>
      </x:c>
      <x:c r="K1914" s="187" t="str">
        <x:v>GBP</x:v>
      </x:c>
      <x:c r="L1914" s="232" t="n">
        <x:v>681.9450367561715</x:v>
      </x:c>
      <x:c r="M1914" s="232" t="n">
        <x:v>9</x:v>
      </x:c>
      <x:c r="N1914" s="187" t="str">
        <x:v>6137.5053308055436984320000000000000000000000000000000000000000000000000000000000</x:v>
      </x:c>
      <x:c r="O1914" s="235" t="n">
        <x:v>6137.5053</x:v>
      </x:c>
      <x:c r="P1914" s="235"/>
      <x:c r="Q1914" s="235"/>
      <x:c r="R1914" s="235" t="str">
        <x:v>INVOICE_OR_PLAN</x:v>
      </x:c>
      <x:c r="S1914" s="238" t="n">
        <x:f>'Model_Calc'!AG323</x:f>
        <x:v>6137.505330805543</x:v>
      </x:c>
      <x:c r="T1914" s="238" t="n">
        <x:f>ROUND(S1914-O1914,4)</x:f>
        <x:v>0</x:v>
      </x:c>
    </x:row>
    <x:row r="1915">
      <x:c r="A1915" s="187" t="str">
        <x:v>SCENARIO_GROWTH_2026_08</x:v>
      </x:c>
      <x:c r="B1915" s="187" t="str">
        <x:v>SCENARIO</x:v>
      </x:c>
      <x:c r="C1915" s="187" t="str">
        <x:v>GROWTH</x:v>
      </x:c>
      <x:c r="D1915" s="217" t="n">
        <x:v>46357</x:v>
      </x:c>
      <x:c r="E1915" s="187" t="str">
        <x:v>R_GB_DE_C_AIR</x:v>
      </x:c>
      <x:c r="F1915" s="187" t="str">
        <x:v>GB</x:v>
      </x:c>
      <x:c r="G1915" s="187" t="str">
        <x:v>DE_FC</x:v>
      </x:c>
      <x:c r="H1915" s="187" t="str">
        <x:v>CARRIER_C</x:v>
      </x:c>
      <x:c r="I1915" s="187" t="str">
        <x:v>AIR</x:v>
      </x:c>
      <x:c r="J1915" s="187" t="str">
        <x:v>WAREHOUSE_OPERATION</x:v>
      </x:c>
      <x:c r="K1915" s="187" t="str">
        <x:v>EUR</x:v>
      </x:c>
      <x:c r="L1915" s="232" t="n">
        <x:v>1180.32685056</x:v>
      </x:c>
      <x:c r="M1915" s="232" t="n">
        <x:v>7.86</x:v>
      </x:c>
      <x:c r="N1915" s="187" t="str">
        <x:v>9277.3690454016000000000000000000000000000000000000000000000000000000000000000000</x:v>
      </x:c>
      <x:c r="O1915" s="235" t="n">
        <x:v>9277.369</x:v>
      </x:c>
      <x:c r="P1915" s="235"/>
      <x:c r="Q1915" s="235"/>
      <x:c r="R1915" s="235" t="str">
        <x:v>INVOICE_OR_PLAN</x:v>
      </x:c>
      <x:c r="S1915" s="238" t="n">
        <x:f>'Model_Calc'!AL323</x:f>
        <x:v>9277.3690454016</x:v>
      </x:c>
      <x:c r="T1915" s="238" t="n">
        <x:f>ROUND(S1915-O1915,4)</x:f>
        <x:v>0</x:v>
      </x:c>
    </x:row>
    <x:row r="1916">
      <x:c r="A1916" s="187" t="str">
        <x:v>SCENARIO_GROWTH_2026_08</x:v>
      </x:c>
      <x:c r="B1916" s="187" t="str">
        <x:v>SCENARIO</x:v>
      </x:c>
      <x:c r="C1916" s="187" t="str">
        <x:v>GROWTH</x:v>
      </x:c>
      <x:c r="D1916" s="217" t="n">
        <x:v>46357</x:v>
      </x:c>
      <x:c r="E1916" s="187" t="str">
        <x:v>R_GB_DE_C_AIR</x:v>
      </x:c>
      <x:c r="F1916" s="187" t="str">
        <x:v>GB</x:v>
      </x:c>
      <x:c r="G1916" s="187" t="str">
        <x:v>DE_FC</x:v>
      </x:c>
      <x:c r="H1916" s="187" t="str">
        <x:v>CARRIER_C</x:v>
      </x:c>
      <x:c r="I1916" s="187" t="str">
        <x:v>AIR</x:v>
      </x:c>
      <x:c r="J1916" s="187" t="str">
        <x:v>PACKAGING</x:v>
      </x:c>
      <x:c r="K1916" s="187" t="str">
        <x:v>EUR</x:v>
      </x:c>
      <x:c r="L1916" s="232" t="n">
        <x:v>491.5361138688</x:v>
      </x:c>
      <x:c r="M1916" s="232" t="n">
        <x:v>7.86</x:v>
      </x:c>
      <x:c r="N1916" s="187" t="str">
        <x:v>3863.4738550087680000000000000000000000000000000000000000000000000000000000000000</x:v>
      </x:c>
      <x:c r="O1916" s="235" t="n">
        <x:v>3863.4739</x:v>
      </x:c>
      <x:c r="P1916" s="235"/>
      <x:c r="Q1916" s="235"/>
      <x:c r="R1916" s="235" t="str">
        <x:v>INVOICE_OR_PLAN</x:v>
      </x:c>
      <x:c r="S1916" s="238" t="n">
        <x:f>'Model_Calc'!AQ323</x:f>
        <x:v>3863.4738550087673</x:v>
      </x:c>
      <x:c r="T1916" s="238" t="n">
        <x:f>ROUND(S1916-O1916,4)</x:f>
        <x:v>0</x:v>
      </x:c>
    </x:row>
    <x:row r="1917">
      <x:c r="A1917" s="187" t="str">
        <x:v>SCENARIO_GROWTH_2026_08</x:v>
      </x:c>
      <x:c r="B1917" s="187" t="str">
        <x:v>SCENARIO</x:v>
      </x:c>
      <x:c r="C1917" s="187" t="str">
        <x:v>GROWTH</x:v>
      </x:c>
      <x:c r="D1917" s="217" t="n">
        <x:v>46357</x:v>
      </x:c>
      <x:c r="E1917" s="187" t="str">
        <x:v>R_GB_DE_C_AIR</x:v>
      </x:c>
      <x:c r="F1917" s="187" t="str">
        <x:v>GB</x:v>
      </x:c>
      <x:c r="G1917" s="187" t="str">
        <x:v>DE_FC</x:v>
      </x:c>
      <x:c r="H1917" s="187" t="str">
        <x:v>CARRIER_C</x:v>
      </x:c>
      <x:c r="I1917" s="187" t="str">
        <x:v>AIR</x:v>
      </x:c>
      <x:c r="J1917" s="187" t="str">
        <x:v>RETURN_LOGISTICS</x:v>
      </x:c>
      <x:c r="K1917" s="187" t="str">
        <x:v>GBP</x:v>
      </x:c>
      <x:c r="L1917" s="232" t="n">
        <x:v>432.119660544</x:v>
      </x:c>
      <x:c r="M1917" s="232" t="n">
        <x:v>9</x:v>
      </x:c>
      <x:c r="N1917" s="187" t="str">
        <x:v>3889.0769448960000000000000000000000000000000000000000000000000000000000000000000</x:v>
      </x:c>
      <x:c r="O1917" s="235" t="n">
        <x:v>3889.0769</x:v>
      </x:c>
      <x:c r="P1917" s="235"/>
      <x:c r="Q1917" s="235"/>
      <x:c r="R1917" s="235" t="str">
        <x:v>INVOICE_OR_PLAN</x:v>
      </x:c>
      <x:c r="S1917" s="238" t="n">
        <x:f>'Model_Calc'!AV323</x:f>
        <x:v>3889.0769448959995</x:v>
      </x:c>
      <x:c r="T1917" s="238" t="n">
        <x:f>ROUND(S1917-O1917,4)</x:f>
        <x:v>0</x:v>
      </x:c>
    </x:row>
    <x:row r="1918">
      <x:c r="A1918" s="187" t="str">
        <x:v>SCENARIO_GROWTH_2026_08</x:v>
      </x:c>
      <x:c r="B1918" s="187" t="str">
        <x:v>SCENARIO</x:v>
      </x:c>
      <x:c r="C1918" s="187" t="str">
        <x:v>GROWTH</x:v>
      </x:c>
      <x:c r="D1918" s="217" t="n">
        <x:v>46357</x:v>
      </x:c>
      <x:c r="E1918" s="187" t="str">
        <x:v>R_GB_DE_C_AIR</x:v>
      </x:c>
      <x:c r="F1918" s="187" t="str">
        <x:v>GB</x:v>
      </x:c>
      <x:c r="G1918" s="187" t="str">
        <x:v>DE_FC</x:v>
      </x:c>
      <x:c r="H1918" s="187" t="str">
        <x:v>CARRIER_C</x:v>
      </x:c>
      <x:c r="I1918" s="187" t="str">
        <x:v>AIR</x:v>
      </x:c>
      <x:c r="J1918" s="187" t="str">
        <x:v>BILLABLE_EXCEPTION</x:v>
      </x:c>
      <x:c r="K1918" s="187" t="str">
        <x:v>GBP</x:v>
      </x:c>
      <x:c r="L1918" s="232" t="n">
        <x:v>46.344833593344</x:v>
      </x:c>
      <x:c r="M1918" s="232" t="n">
        <x:v>9</x:v>
      </x:c>
      <x:c r="N1918" s="187" t="str">
        <x:v>417.10350234009600000000000000000000000000000000000000000000000000000000000000000</x:v>
      </x:c>
      <x:c r="O1918" s="235" t="n">
        <x:v>417.1035</x:v>
      </x:c>
      <x:c r="P1918" s="235"/>
      <x:c r="Q1918" s="235"/>
      <x:c r="R1918" s="235" t="str">
        <x:v>INVOICE_OR_PLAN</x:v>
      </x:c>
      <x:c r="S1918" s="238" t="n">
        <x:f>'Model_Calc'!BA323</x:f>
        <x:v>417.1035023400959</x:v>
      </x:c>
      <x:c r="T1918" s="238" t="n">
        <x:f>ROUND(S1918-O1918,4)</x:f>
        <x:v>0</x:v>
      </x:c>
    </x:row>
    <x:row r="1919">
      <x:c r="A1919" s="187" t="str">
        <x:v>SCENARIO_GROWTH_2026_08</x:v>
      </x:c>
      <x:c r="B1919" s="187" t="str">
        <x:v>SCENARIO</x:v>
      </x:c>
      <x:c r="C1919" s="187" t="str">
        <x:v>GROWTH</x:v>
      </x:c>
      <x:c r="D1919" s="217" t="n">
        <x:v>46357</x:v>
      </x:c>
      <x:c r="E1919" s="187" t="str">
        <x:v>R_GB_FR_B_AIR</x:v>
      </x:c>
      <x:c r="F1919" s="187" t="str">
        <x:v>GB</x:v>
      </x:c>
      <x:c r="G1919" s="187" t="str">
        <x:v>FR_FC</x:v>
      </x:c>
      <x:c r="H1919" s="187" t="str">
        <x:v>CARRIER_B</x:v>
      </x:c>
      <x:c r="I1919" s="187" t="str">
        <x:v>AIR</x:v>
      </x:c>
      <x:c r="J1919" s="187" t="str">
        <x:v>BASE_FREIGHT</x:v>
      </x:c>
      <x:c r="K1919" s="187" t="str">
        <x:v>EUR</x:v>
      </x:c>
      <x:c r="L1919" s="232" t="n">
        <x:v>3786.550647545952</x:v>
      </x:c>
      <x:c r="M1919" s="232" t="n">
        <x:v>7.86</x:v>
      </x:c>
      <x:c r="N1919" s="187" t="str">
        <x:v>29762.288089711182720000000000000000000000000000000000000000000000000000000000000</x:v>
      </x:c>
      <x:c r="O1919" s="235" t="n">
        <x:v>29762.2881</x:v>
      </x:c>
      <x:c r="P1919" s="235"/>
      <x:c r="Q1919" s="235"/>
      <x:c r="R1919" s="235" t="str">
        <x:v>INVOICE_OR_PLAN</x:v>
      </x:c>
      <x:c r="S1919" s="238" t="n">
        <x:f>'Model_Calc'!AF324</x:f>
        <x:v>29762.288089711183</x:v>
      </x:c>
      <x:c r="T1919" s="238" t="n">
        <x:f>ROUND(S1919-O1919,4)</x:f>
        <x:v>0</x:v>
      </x:c>
    </x:row>
    <x:row r="1920">
      <x:c r="A1920" s="187" t="str">
        <x:v>SCENARIO_GROWTH_2026_08</x:v>
      </x:c>
      <x:c r="B1920" s="187" t="str">
        <x:v>SCENARIO</x:v>
      </x:c>
      <x:c r="C1920" s="187" t="str">
        <x:v>GROWTH</x:v>
      </x:c>
      <x:c r="D1920" s="217" t="n">
        <x:v>46357</x:v>
      </x:c>
      <x:c r="E1920" s="187" t="str">
        <x:v>R_GB_FR_B_AIR</x:v>
      </x:c>
      <x:c r="F1920" s="187" t="str">
        <x:v>GB</x:v>
      </x:c>
      <x:c r="G1920" s="187" t="str">
        <x:v>FR_FC</x:v>
      </x:c>
      <x:c r="H1920" s="187" t="str">
        <x:v>CARRIER_B</x:v>
      </x:c>
      <x:c r="I1920" s="187" t="str">
        <x:v>AIR</x:v>
      </x:c>
      <x:c r="J1920" s="187" t="str">
        <x:v>FUEL_SURCHARGE</x:v>
      </x:c>
      <x:c r="K1920" s="187" t="str">
        <x:v>EUR</x:v>
      </x:c>
      <x:c r="L1920" s="232" t="n">
        <x:v>411.5033916220563</x:v>
      </x:c>
      <x:c r="M1920" s="232" t="n">
        <x:v>7.86</x:v>
      </x:c>
      <x:c r="N1920" s="187" t="str">
        <x:v>3234.4166581493627820960000000000000000000000000000000000000000000000000000000000</x:v>
      </x:c>
      <x:c r="O1920" s="235" t="n">
        <x:v>3234.4167</x:v>
      </x:c>
      <x:c r="P1920" s="235"/>
      <x:c r="Q1920" s="235"/>
      <x:c r="R1920" s="235" t="str">
        <x:v>INVOICE_OR_PLAN</x:v>
      </x:c>
      <x:c r="S1920" s="238" t="n">
        <x:f>'Model_Calc'!AG324</x:f>
        <x:v>3234.416658149363</x:v>
      </x:c>
      <x:c r="T1920" s="238" t="n">
        <x:f>ROUND(S1920-O1920,4)</x:f>
        <x:v>0</x:v>
      </x:c>
    </x:row>
    <x:row r="1921">
      <x:c r="A1921" s="187" t="str">
        <x:v>SCENARIO_GROWTH_2026_08</x:v>
      </x:c>
      <x:c r="B1921" s="187" t="str">
        <x:v>SCENARIO</x:v>
      </x:c>
      <x:c r="C1921" s="187" t="str">
        <x:v>GROWTH</x:v>
      </x:c>
      <x:c r="D1921" s="217" t="n">
        <x:v>46357</x:v>
      </x:c>
      <x:c r="E1921" s="187" t="str">
        <x:v>R_GB_FR_B_AIR</x:v>
      </x:c>
      <x:c r="F1921" s="187" t="str">
        <x:v>GB</x:v>
      </x:c>
      <x:c r="G1921" s="187" t="str">
        <x:v>FR_FC</x:v>
      </x:c>
      <x:c r="H1921" s="187" t="str">
        <x:v>CARRIER_B</x:v>
      </x:c>
      <x:c r="I1921" s="187" t="str">
        <x:v>AIR</x:v>
      </x:c>
      <x:c r="J1921" s="187" t="str">
        <x:v>WAREHOUSE_OPERATION</x:v>
      </x:c>
      <x:c r="K1921" s="187" t="str">
        <x:v>EUR</x:v>
      </x:c>
      <x:c r="L1921" s="232" t="n">
        <x:v>547.02648</x:v>
      </x:c>
      <x:c r="M1921" s="232" t="n">
        <x:v>7.86</x:v>
      </x:c>
      <x:c r="N1921" s="187" t="str">
        <x:v>4299.6281328000000000000000000000000000000000000000000000000000000000000000000000</x:v>
      </x:c>
      <x:c r="O1921" s="235" t="n">
        <x:v>4299.6281</x:v>
      </x:c>
      <x:c r="P1921" s="235"/>
      <x:c r="Q1921" s="235"/>
      <x:c r="R1921" s="235" t="str">
        <x:v>INVOICE_OR_PLAN</x:v>
      </x:c>
      <x:c r="S1921" s="238" t="n">
        <x:f>'Model_Calc'!AL324</x:f>
        <x:v>4299.628132800001</x:v>
      </x:c>
      <x:c r="T1921" s="238" t="n">
        <x:f>ROUND(S1921-O1921,4)</x:f>
        <x:v>0</x:v>
      </x:c>
    </x:row>
    <x:row r="1922">
      <x:c r="A1922" s="187" t="str">
        <x:v>SCENARIO_GROWTH_2026_08</x:v>
      </x:c>
      <x:c r="B1922" s="187" t="str">
        <x:v>SCENARIO</x:v>
      </x:c>
      <x:c r="C1922" s="187" t="str">
        <x:v>GROWTH</x:v>
      </x:c>
      <x:c r="D1922" s="217" t="n">
        <x:v>46357</x:v>
      </x:c>
      <x:c r="E1922" s="187" t="str">
        <x:v>R_GB_FR_B_AIR</x:v>
      </x:c>
      <x:c r="F1922" s="187" t="str">
        <x:v>GB</x:v>
      </x:c>
      <x:c r="G1922" s="187" t="str">
        <x:v>FR_FC</x:v>
      </x:c>
      <x:c r="H1922" s="187" t="str">
        <x:v>CARRIER_B</x:v>
      </x:c>
      <x:c r="I1922" s="187" t="str">
        <x:v>AIR</x:v>
      </x:c>
      <x:c r="J1922" s="187" t="str">
        <x:v>PACKAGING</x:v>
      </x:c>
      <x:c r="K1922" s="187" t="str">
        <x:v>EUR</x:v>
      </x:c>
      <x:c r="L1922" s="232" t="n">
        <x:v>231.62664096</x:v>
      </x:c>
      <x:c r="M1922" s="232" t="n">
        <x:v>7.86</x:v>
      </x:c>
      <x:c r="N1922" s="187" t="str">
        <x:v>1820.5853979456000000000000000000000000000000000000000000000000000000000000000000</x:v>
      </x:c>
      <x:c r="O1922" s="235" t="n">
        <x:v>1820.5854</x:v>
      </x:c>
      <x:c r="P1922" s="235"/>
      <x:c r="Q1922" s="235"/>
      <x:c r="R1922" s="235" t="str">
        <x:v>INVOICE_OR_PLAN</x:v>
      </x:c>
      <x:c r="S1922" s="238" t="n">
        <x:f>'Model_Calc'!AQ324</x:f>
        <x:v>1820.5853979455999</x:v>
      </x:c>
      <x:c r="T1922" s="238" t="n">
        <x:f>ROUND(S1922-O1922,4)</x:f>
        <x:v>0</x:v>
      </x:c>
    </x:row>
    <x:row r="1923">
      <x:c r="A1923" s="187" t="str">
        <x:v>SCENARIO_GROWTH_2026_08</x:v>
      </x:c>
      <x:c r="B1923" s="187" t="str">
        <x:v>SCENARIO</x:v>
      </x:c>
      <x:c r="C1923" s="187" t="str">
        <x:v>GROWTH</x:v>
      </x:c>
      <x:c r="D1923" s="217" t="n">
        <x:v>46357</x:v>
      </x:c>
      <x:c r="E1923" s="187" t="str">
        <x:v>R_GB_FR_B_AIR</x:v>
      </x:c>
      <x:c r="F1923" s="187" t="str">
        <x:v>GB</x:v>
      </x:c>
      <x:c r="G1923" s="187" t="str">
        <x:v>FR_FC</x:v>
      </x:c>
      <x:c r="H1923" s="187" t="str">
        <x:v>CARRIER_B</x:v>
      </x:c>
      <x:c r="I1923" s="187" t="str">
        <x:v>AIR</x:v>
      </x:c>
      <x:c r="J1923" s="187" t="str">
        <x:v>RETURN_LOGISTICS</x:v>
      </x:c>
      <x:c r="K1923" s="187" t="str">
        <x:v>EUR</x:v>
      </x:c>
      <x:c r="L1923" s="232" t="n">
        <x:v>243.8175168</x:v>
      </x:c>
      <x:c r="M1923" s="232" t="n">
        <x:v>7.86</x:v>
      </x:c>
      <x:c r="N1923" s="187" t="str">
        <x:v>1916.4056820480000000000000000000000000000000000000000000000000000000000000000000</x:v>
      </x:c>
      <x:c r="O1923" s="235" t="n">
        <x:v>1916.4057</x:v>
      </x:c>
      <x:c r="P1923" s="235"/>
      <x:c r="Q1923" s="235"/>
      <x:c r="R1923" s="235" t="str">
        <x:v>INVOICE_OR_PLAN</x:v>
      </x:c>
      <x:c r="S1923" s="238" t="n">
        <x:f>'Model_Calc'!AV324</x:f>
        <x:v>1916.4056820479998</x:v>
      </x:c>
      <x:c r="T1923" s="238" t="n">
        <x:f>ROUND(S1923-O1923,4)</x:f>
        <x:v>0</x:v>
      </x:c>
    </x:row>
    <x:row r="1924">
      <x:c r="A1924" s="187" t="str">
        <x:v>SCENARIO_GROWTH_2026_08</x:v>
      </x:c>
      <x:c r="B1924" s="187" t="str">
        <x:v>SCENARIO</x:v>
      </x:c>
      <x:c r="C1924" s="187" t="str">
        <x:v>GROWTH</x:v>
      </x:c>
      <x:c r="D1924" s="217" t="n">
        <x:v>46357</x:v>
      </x:c>
      <x:c r="E1924" s="187" t="str">
        <x:v>R_GB_FR_B_AIR</x:v>
      </x:c>
      <x:c r="F1924" s="187" t="str">
        <x:v>GB</x:v>
      </x:c>
      <x:c r="G1924" s="187" t="str">
        <x:v>FR_FC</x:v>
      </x:c>
      <x:c r="H1924" s="187" t="str">
        <x:v>CARRIER_B</x:v>
      </x:c>
      <x:c r="I1924" s="187" t="str">
        <x:v>AIR</x:v>
      </x:c>
      <x:c r="J1924" s="187" t="str">
        <x:v>BILLABLE_EXCEPTION</x:v>
      </x:c>
      <x:c r="K1924" s="187" t="str">
        <x:v>EUR</x:v>
      </x:c>
      <x:c r="L1924" s="232" t="n">
        <x:v>23.8941166464</x:v>
      </x:c>
      <x:c r="M1924" s="232" t="n">
        <x:v>7.86</x:v>
      </x:c>
      <x:c r="N1924" s="187" t="str">
        <x:v>187.80775684070400000000000000000000000000000000000000000000000000000000000000000</x:v>
      </x:c>
      <x:c r="O1924" s="235" t="n">
        <x:v>187.8078</x:v>
      </x:c>
      <x:c r="P1924" s="235"/>
      <x:c r="Q1924" s="235"/>
      <x:c r="R1924" s="235" t="str">
        <x:v>INVOICE_OR_PLAN</x:v>
      </x:c>
      <x:c r="S1924" s="238" t="n">
        <x:f>'Model_Calc'!BA324</x:f>
        <x:v>187.807756840704</x:v>
      </x:c>
      <x:c r="T1924" s="238" t="n">
        <x:f>ROUND(S1924-O1924,4)</x:f>
        <x:v>0</x:v>
      </x:c>
    </x:row>
    <x:row r="1925">
      <x:c r="A1925" s="187" t="str">
        <x:v>SCENARIO_COST_SAVING_2026_08</x:v>
      </x:c>
      <x:c r="B1925" s="187" t="str">
        <x:v>SCENARIO</x:v>
      </x:c>
      <x:c r="C1925" s="187" t="str">
        <x:v>COST_SAVING</x:v>
      </x:c>
      <x:c r="D1925" s="217" t="n">
        <x:v>46266</x:v>
      </x:c>
      <x:c r="E1925" s="187" t="str">
        <x:v>R_DE_DE_A_ROAD</x:v>
      </x:c>
      <x:c r="F1925" s="187" t="str">
        <x:v>DE</x:v>
      </x:c>
      <x:c r="G1925" s="187" t="str">
        <x:v>DE_FC</x:v>
      </x:c>
      <x:c r="H1925" s="187" t="str">
        <x:v>CARRIER_A</x:v>
      </x:c>
      <x:c r="I1925" s="187" t="str">
        <x:v>ROAD</x:v>
      </x:c>
      <x:c r="J1925" s="187" t="str">
        <x:v>BASE_FREIGHT</x:v>
      </x:c>
      <x:c r="K1925" s="187" t="str">
        <x:v>EUR</x:v>
      </x:c>
      <x:c r="L1925" s="232" t="n">
        <x:v>6720.488847072</x:v>
      </x:c>
      <x:c r="M1925" s="232" t="n">
        <x:v>7.92</x:v>
      </x:c>
      <x:c r="N1925" s="187" t="str">
        <x:v>53226.27166881024000000</x:v>
      </x:c>
      <x:c r="O1925" s="235" t="n">
        <x:v>53226.2717</x:v>
      </x:c>
      <x:c r="P1925" s="235"/>
      <x:c r="Q1925" s="235"/>
      <x:c r="R1925" s="235" t="str">
        <x:v>INVOICE_OR_PLAN</x:v>
      </x:c>
      <x:c r="S1925" s="238" t="n">
        <x:f>'Model_Calc'!AF325</x:f>
        <x:v>53226.271668810245</x:v>
      </x:c>
      <x:c r="T1925" s="238" t="n">
        <x:f>ROUND(S1925-O1925,4)</x:f>
        <x:v>0</x:v>
      </x:c>
    </x:row>
    <x:row r="1926">
      <x:c r="A1926" s="187" t="str">
        <x:v>SCENARIO_COST_SAVING_2026_08</x:v>
      </x:c>
      <x:c r="B1926" s="187" t="str">
        <x:v>SCENARIO</x:v>
      </x:c>
      <x:c r="C1926" s="187" t="str">
        <x:v>COST_SAVING</x:v>
      </x:c>
      <x:c r="D1926" s="217" t="n">
        <x:v>46266</x:v>
      </x:c>
      <x:c r="E1926" s="187" t="str">
        <x:v>R_DE_DE_A_ROAD</x:v>
      </x:c>
      <x:c r="F1926" s="187" t="str">
        <x:v>DE</x:v>
      </x:c>
      <x:c r="G1926" s="187" t="str">
        <x:v>DE_FC</x:v>
      </x:c>
      <x:c r="H1926" s="187" t="str">
        <x:v>CARRIER_A</x:v>
      </x:c>
      <x:c r="I1926" s="187" t="str">
        <x:v>ROAD</x:v>
      </x:c>
      <x:c r="J1926" s="187" t="str">
        <x:v>FUEL_SURCHARGE</x:v>
      </x:c>
      <x:c r="K1926" s="187" t="str">
        <x:v>EUR</x:v>
      </x:c>
      <x:c r="L1926" s="232" t="n">
        <x:v>660.7920658883544</x:v>
      </x:c>
      <x:c r="M1926" s="232" t="n">
        <x:v>7.92</x:v>
      </x:c>
      <x:c r="N1926" s="187" t="str">
        <x:v>5233.47316183576684800000000</x:v>
      </x:c>
      <x:c r="O1926" s="235" t="n">
        <x:v>5233.4732</x:v>
      </x:c>
      <x:c r="P1926" s="235"/>
      <x:c r="Q1926" s="235"/>
      <x:c r="R1926" s="235" t="str">
        <x:v>INVOICE_OR_PLAN</x:v>
      </x:c>
      <x:c r="S1926" s="238" t="n">
        <x:f>'Model_Calc'!AG325</x:f>
        <x:v>5233.473161835766</x:v>
      </x:c>
      <x:c r="T1926" s="238" t="n">
        <x:f>ROUND(S1926-O1926,4)</x:f>
        <x:v>0</x:v>
      </x:c>
    </x:row>
    <x:row r="1927">
      <x:c r="A1927" s="187" t="str">
        <x:v>SCENARIO_COST_SAVING_2026_08</x:v>
      </x:c>
      <x:c r="B1927" s="187" t="str">
        <x:v>SCENARIO</x:v>
      </x:c>
      <x:c r="C1927" s="187" t="str">
        <x:v>COST_SAVING</x:v>
      </x:c>
      <x:c r="D1927" s="217" t="n">
        <x:v>46266</x:v>
      </x:c>
      <x:c r="E1927" s="187" t="str">
        <x:v>R_DE_DE_A_ROAD</x:v>
      </x:c>
      <x:c r="F1927" s="187" t="str">
        <x:v>DE</x:v>
      </x:c>
      <x:c r="G1927" s="187" t="str">
        <x:v>DE_FC</x:v>
      </x:c>
      <x:c r="H1927" s="187" t="str">
        <x:v>CARRIER_A</x:v>
      </x:c>
      <x:c r="I1927" s="187" t="str">
        <x:v>ROAD</x:v>
      </x:c>
      <x:c r="J1927" s="187" t="str">
        <x:v>WAREHOUSE_OPERATION</x:v>
      </x:c>
      <x:c r="K1927" s="187" t="str">
        <x:v>EUR</x:v>
      </x:c>
      <x:c r="L1927" s="232" t="n">
        <x:v>4401.2525472</x:v>
      </x:c>
      <x:c r="M1927" s="232" t="n">
        <x:v>7.92</x:v>
      </x:c>
      <x:c r="N1927" s="187" t="str">
        <x:v>34857.9201738240000</x:v>
      </x:c>
      <x:c r="O1927" s="235" t="n">
        <x:v>34857.9202</x:v>
      </x:c>
      <x:c r="P1927" s="235"/>
      <x:c r="Q1927" s="235"/>
      <x:c r="R1927" s="235" t="str">
        <x:v>INVOICE_OR_PLAN</x:v>
      </x:c>
      <x:c r="S1927" s="238" t="n">
        <x:f>'Model_Calc'!AL325</x:f>
        <x:v>34857.920173824</x:v>
      </x:c>
      <x:c r="T1927" s="238" t="n">
        <x:f>ROUND(S1927-O1927,4)</x:f>
        <x:v>0</x:v>
      </x:c>
    </x:row>
    <x:row r="1928">
      <x:c r="A1928" s="187" t="str">
        <x:v>SCENARIO_COST_SAVING_2026_08</x:v>
      </x:c>
      <x:c r="B1928" s="187" t="str">
        <x:v>SCENARIO</x:v>
      </x:c>
      <x:c r="C1928" s="187" t="str">
        <x:v>COST_SAVING</x:v>
      </x:c>
      <x:c r="D1928" s="217" t="n">
        <x:v>46266</x:v>
      </x:c>
      <x:c r="E1928" s="187" t="str">
        <x:v>R_DE_DE_A_ROAD</x:v>
      </x:c>
      <x:c r="F1928" s="187" t="str">
        <x:v>DE</x:v>
      </x:c>
      <x:c r="G1928" s="187" t="str">
        <x:v>DE_FC</x:v>
      </x:c>
      <x:c r="H1928" s="187" t="str">
        <x:v>CARRIER_A</x:v>
      </x:c>
      <x:c r="I1928" s="187" t="str">
        <x:v>ROAD</x:v>
      </x:c>
      <x:c r="J1928" s="187" t="str">
        <x:v>PACKAGING</x:v>
      </x:c>
      <x:c r="K1928" s="187" t="str">
        <x:v>EUR</x:v>
      </x:c>
      <x:c r="L1928" s="232" t="n">
        <x:v>1644.87489264</x:v>
      </x:c>
      <x:c r="M1928" s="232" t="n">
        <x:v>7.92</x:v>
      </x:c>
      <x:c r="N1928" s="187" t="str">
        <x:v>13027.409149708800000</x:v>
      </x:c>
      <x:c r="O1928" s="235" t="n">
        <x:v>13027.4091</x:v>
      </x:c>
      <x:c r="P1928" s="235"/>
      <x:c r="Q1928" s="235"/>
      <x:c r="R1928" s="235" t="str">
        <x:v>INVOICE_OR_PLAN</x:v>
      </x:c>
      <x:c r="S1928" s="238" t="n">
        <x:f>'Model_Calc'!AQ325</x:f>
        <x:v>13027.4091497088</x:v>
      </x:c>
      <x:c r="T1928" s="238" t="n">
        <x:f>ROUND(S1928-O1928,4)</x:f>
        <x:v>0</x:v>
      </x:c>
    </x:row>
    <x:row r="1929">
      <x:c r="A1929" s="187" t="str">
        <x:v>SCENARIO_COST_SAVING_2026_08</x:v>
      </x:c>
      <x:c r="B1929" s="187" t="str">
        <x:v>SCENARIO</x:v>
      </x:c>
      <x:c r="C1929" s="187" t="str">
        <x:v>COST_SAVING</x:v>
      </x:c>
      <x:c r="D1929" s="217" t="n">
        <x:v>46266</x:v>
      </x:c>
      <x:c r="E1929" s="187" t="str">
        <x:v>R_DE_DE_A_ROAD</x:v>
      </x:c>
      <x:c r="F1929" s="187" t="str">
        <x:v>DE</x:v>
      </x:c>
      <x:c r="G1929" s="187" t="str">
        <x:v>DE_FC</x:v>
      </x:c>
      <x:c r="H1929" s="187" t="str">
        <x:v>CARRIER_A</x:v>
      </x:c>
      <x:c r="I1929" s="187" t="str">
        <x:v>ROAD</x:v>
      </x:c>
      <x:c r="J1929" s="187" t="str">
        <x:v>RETURN_LOGISTICS</x:v>
      </x:c>
      <x:c r="K1929" s="187" t="str">
        <x:v>EUR</x:v>
      </x:c>
      <x:c r="L1929" s="232" t="n">
        <x:v>596.7800064</x:v>
      </x:c>
      <x:c r="M1929" s="232" t="n">
        <x:v>7.92</x:v>
      </x:c>
      <x:c r="N1929" s="187" t="str">
        <x:v>4726.4976506880000000</x:v>
      </x:c>
      <x:c r="O1929" s="235" t="n">
        <x:v>4726.4977</x:v>
      </x:c>
      <x:c r="P1929" s="235"/>
      <x:c r="Q1929" s="235"/>
      <x:c r="R1929" s="235" t="str">
        <x:v>INVOICE_OR_PLAN</x:v>
      </x:c>
      <x:c r="S1929" s="238" t="n">
        <x:f>'Model_Calc'!AV325</x:f>
        <x:v>4726.497650687999</x:v>
      </x:c>
      <x:c r="T1929" s="238" t="n">
        <x:f>ROUND(S1929-O1929,4)</x:f>
        <x:v>0</x:v>
      </x:c>
    </x:row>
    <x:row r="1930">
      <x:c r="A1930" s="187" t="str">
        <x:v>SCENARIO_COST_SAVING_2026_08</x:v>
      </x:c>
      <x:c r="B1930" s="187" t="str">
        <x:v>SCENARIO</x:v>
      </x:c>
      <x:c r="C1930" s="187" t="str">
        <x:v>COST_SAVING</x:v>
      </x:c>
      <x:c r="D1930" s="217" t="n">
        <x:v>46266</x:v>
      </x:c>
      <x:c r="E1930" s="187" t="str">
        <x:v>R_DE_DE_A_ROAD</x:v>
      </x:c>
      <x:c r="F1930" s="187" t="str">
        <x:v>DE</x:v>
      </x:c>
      <x:c r="G1930" s="187" t="str">
        <x:v>DE_FC</x:v>
      </x:c>
      <x:c r="H1930" s="187" t="str">
        <x:v>CARRIER_A</x:v>
      </x:c>
      <x:c r="I1930" s="187" t="str">
        <x:v>ROAD</x:v>
      </x:c>
      <x:c r="J1930" s="187" t="str">
        <x:v>BILLABLE_EXCEPTION</x:v>
      </x:c>
      <x:c r="K1930" s="187" t="str">
        <x:v>EUR</x:v>
      </x:c>
      <x:c r="L1930" s="232" t="n">
        <x:v>144.1223715456</x:v>
      </x:c>
      <x:c r="M1930" s="232" t="n">
        <x:v>7.92</x:v>
      </x:c>
      <x:c r="N1930" s="187" t="str">
        <x:v>1141.449182641152000000</x:v>
      </x:c>
      <x:c r="O1930" s="235" t="n">
        <x:v>1141.4492</x:v>
      </x:c>
      <x:c r="P1930" s="235"/>
      <x:c r="Q1930" s="235"/>
      <x:c r="R1930" s="235" t="str">
        <x:v>INVOICE_OR_PLAN</x:v>
      </x:c>
      <x:c r="S1930" s="238" t="n">
        <x:f>'Model_Calc'!BA325</x:f>
        <x:v>1141.449182641152</x:v>
      </x:c>
      <x:c r="T1930" s="238" t="n">
        <x:f>ROUND(S1930-O1930,4)</x:f>
        <x:v>0</x:v>
      </x:c>
    </x:row>
    <x:row r="1931">
      <x:c r="A1931" s="187" t="str">
        <x:v>SCENARIO_COST_SAVING_2026_08</x:v>
      </x:c>
      <x:c r="B1931" s="187" t="str">
        <x:v>SCENARIO</x:v>
      </x:c>
      <x:c r="C1931" s="187" t="str">
        <x:v>COST_SAVING</x:v>
      </x:c>
      <x:c r="D1931" s="217" t="n">
        <x:v>46266</x:v>
      </x:c>
      <x:c r="E1931" s="187" t="str">
        <x:v>R_DE_DE_B_ROAD</x:v>
      </x:c>
      <x:c r="F1931" s="187" t="str">
        <x:v>DE</x:v>
      </x:c>
      <x:c r="G1931" s="187" t="str">
        <x:v>DE_FC</x:v>
      </x:c>
      <x:c r="H1931" s="187" t="str">
        <x:v>CARRIER_B</x:v>
      </x:c>
      <x:c r="I1931" s="187" t="str">
        <x:v>ROAD</x:v>
      </x:c>
      <x:c r="J1931" s="187" t="str">
        <x:v>BASE_FREIGHT</x:v>
      </x:c>
      <x:c r="K1931" s="187" t="str">
        <x:v>EUR</x:v>
      </x:c>
      <x:c r="L1931" s="232" t="n">
        <x:v>5744.0075616</x:v>
      </x:c>
      <x:c r="M1931" s="232" t="n">
        <x:v>7.92</x:v>
      </x:c>
      <x:c r="N1931" s="187" t="str">
        <x:v>45492.53988787200000000</x:v>
      </x:c>
      <x:c r="O1931" s="235" t="n">
        <x:v>45492.5399</x:v>
      </x:c>
      <x:c r="P1931" s="235"/>
      <x:c r="Q1931" s="235"/>
      <x:c r="R1931" s="235" t="str">
        <x:v>INVOICE_OR_PLAN</x:v>
      </x:c>
      <x:c r="S1931" s="238" t="n">
        <x:f>'Model_Calc'!AF326</x:f>
        <x:v>45492.539887872</x:v>
      </x:c>
      <x:c r="T1931" s="238" t="n">
        <x:f>ROUND(S1931-O1931,4)</x:f>
        <x:v>0</x:v>
      </x:c>
    </x:row>
    <x:row r="1932">
      <x:c r="A1932" s="187" t="str">
        <x:v>SCENARIO_COST_SAVING_2026_08</x:v>
      </x:c>
      <x:c r="B1932" s="187" t="str">
        <x:v>SCENARIO</x:v>
      </x:c>
      <x:c r="C1932" s="187" t="str">
        <x:v>COST_SAVING</x:v>
      </x:c>
      <x:c r="D1932" s="217" t="n">
        <x:v>46266</x:v>
      </x:c>
      <x:c r="E1932" s="187" t="str">
        <x:v>R_DE_DE_B_ROAD</x:v>
      </x:c>
      <x:c r="F1932" s="187" t="str">
        <x:v>DE</x:v>
      </x:c>
      <x:c r="G1932" s="187" t="str">
        <x:v>DE_FC</x:v>
      </x:c>
      <x:c r="H1932" s="187" t="str">
        <x:v>CARRIER_B</x:v>
      </x:c>
      <x:c r="I1932" s="187" t="str">
        <x:v>ROAD</x:v>
      </x:c>
      <x:c r="J1932" s="187" t="str">
        <x:v>FUEL_SURCHARGE</x:v>
      </x:c>
      <x:c r="K1932" s="187" t="str">
        <x:v>EUR</x:v>
      </x:c>
      <x:c r="L1932" s="232" t="n">
        <x:v>438.633304704</x:v>
      </x:c>
      <x:c r="M1932" s="232" t="n">
        <x:v>7.92</x:v>
      </x:c>
      <x:c r="N1932" s="187" t="str">
        <x:v>3473.97577325568000000</x:v>
      </x:c>
      <x:c r="O1932" s="235" t="n">
        <x:v>3473.9758</x:v>
      </x:c>
      <x:c r="P1932" s="235"/>
      <x:c r="Q1932" s="235"/>
      <x:c r="R1932" s="235" t="str">
        <x:v>INVOICE_OR_PLAN</x:v>
      </x:c>
      <x:c r="S1932" s="238" t="n">
        <x:f>'Model_Calc'!AG326</x:f>
        <x:v>3473.97577325568</x:v>
      </x:c>
      <x:c r="T1932" s="238" t="n">
        <x:f>ROUND(S1932-O1932,4)</x:f>
        <x:v>0</x:v>
      </x:c>
    </x:row>
    <x:row r="1933">
      <x:c r="A1933" s="187" t="str">
        <x:v>SCENARIO_COST_SAVING_2026_08</x:v>
      </x:c>
      <x:c r="B1933" s="187" t="str">
        <x:v>SCENARIO</x:v>
      </x:c>
      <x:c r="C1933" s="187" t="str">
        <x:v>COST_SAVING</x:v>
      </x:c>
      <x:c r="D1933" s="217" t="n">
        <x:v>46266</x:v>
      </x:c>
      <x:c r="E1933" s="187" t="str">
        <x:v>R_DE_DE_B_ROAD</x:v>
      </x:c>
      <x:c r="F1933" s="187" t="str">
        <x:v>DE</x:v>
      </x:c>
      <x:c r="G1933" s="187" t="str">
        <x:v>DE_FC</x:v>
      </x:c>
      <x:c r="H1933" s="187" t="str">
        <x:v>CARRIER_B</x:v>
      </x:c>
      <x:c r="I1933" s="187" t="str">
        <x:v>ROAD</x:v>
      </x:c>
      <x:c r="J1933" s="187" t="str">
        <x:v>WAREHOUSE_OPERATION</x:v>
      </x:c>
      <x:c r="K1933" s="187" t="str">
        <x:v>EUR</x:v>
      </x:c>
      <x:c r="L1933" s="232" t="n">
        <x:v>2934.1683648</x:v>
      </x:c>
      <x:c r="M1933" s="232" t="n">
        <x:v>7.92</x:v>
      </x:c>
      <x:c r="N1933" s="187" t="str">
        <x:v>23238.6134492160000</x:v>
      </x:c>
      <x:c r="O1933" s="235" t="n">
        <x:v>23238.6134</x:v>
      </x:c>
      <x:c r="P1933" s="235"/>
      <x:c r="Q1933" s="235"/>
      <x:c r="R1933" s="235" t="str">
        <x:v>INVOICE_OR_PLAN</x:v>
      </x:c>
      <x:c r="S1933" s="238" t="n">
        <x:f>'Model_Calc'!AL326</x:f>
        <x:v>23238.613449216</x:v>
      </x:c>
      <x:c r="T1933" s="238" t="n">
        <x:f>ROUND(S1933-O1933,4)</x:f>
        <x:v>0</x:v>
      </x:c>
    </x:row>
    <x:row r="1934">
      <x:c r="A1934" s="187" t="str">
        <x:v>SCENARIO_COST_SAVING_2026_08</x:v>
      </x:c>
      <x:c r="B1934" s="187" t="str">
        <x:v>SCENARIO</x:v>
      </x:c>
      <x:c r="C1934" s="187" t="str">
        <x:v>COST_SAVING</x:v>
      </x:c>
      <x:c r="D1934" s="217" t="n">
        <x:v>46266</x:v>
      </x:c>
      <x:c r="E1934" s="187" t="str">
        <x:v>R_DE_DE_B_ROAD</x:v>
      </x:c>
      <x:c r="F1934" s="187" t="str">
        <x:v>DE</x:v>
      </x:c>
      <x:c r="G1934" s="187" t="str">
        <x:v>DE_FC</x:v>
      </x:c>
      <x:c r="H1934" s="187" t="str">
        <x:v>CARRIER_B</x:v>
      </x:c>
      <x:c r="I1934" s="187" t="str">
        <x:v>ROAD</x:v>
      </x:c>
      <x:c r="J1934" s="187" t="str">
        <x:v>PACKAGING</x:v>
      </x:c>
      <x:c r="K1934" s="187" t="str">
        <x:v>EUR</x:v>
      </x:c>
      <x:c r="L1934" s="232" t="n">
        <x:v>1096.58326176</x:v>
      </x:c>
      <x:c r="M1934" s="232" t="n">
        <x:v>7.92</x:v>
      </x:c>
      <x:c r="N1934" s="187" t="str">
        <x:v>8684.939433139200000</x:v>
      </x:c>
      <x:c r="O1934" s="235" t="n">
        <x:v>8684.9394</x:v>
      </x:c>
      <x:c r="P1934" s="235"/>
      <x:c r="Q1934" s="235"/>
      <x:c r="R1934" s="235" t="str">
        <x:v>INVOICE_OR_PLAN</x:v>
      </x:c>
      <x:c r="S1934" s="238" t="n">
        <x:f>'Model_Calc'!AQ326</x:f>
        <x:v>8684.9394331392</x:v>
      </x:c>
      <x:c r="T1934" s="238" t="n">
        <x:f>ROUND(S1934-O1934,4)</x:f>
        <x:v>0</x:v>
      </x:c>
    </x:row>
    <x:row r="1935">
      <x:c r="A1935" s="187" t="str">
        <x:v>SCENARIO_COST_SAVING_2026_08</x:v>
      </x:c>
      <x:c r="B1935" s="187" t="str">
        <x:v>SCENARIO</x:v>
      </x:c>
      <x:c r="C1935" s="187" t="str">
        <x:v>COST_SAVING</x:v>
      </x:c>
      <x:c r="D1935" s="217" t="n">
        <x:v>46266</x:v>
      </x:c>
      <x:c r="E1935" s="187" t="str">
        <x:v>R_DE_DE_B_ROAD</x:v>
      </x:c>
      <x:c r="F1935" s="187" t="str">
        <x:v>DE</x:v>
      </x:c>
      <x:c r="G1935" s="187" t="str">
        <x:v>DE_FC</x:v>
      </x:c>
      <x:c r="H1935" s="187" t="str">
        <x:v>CARRIER_B</x:v>
      </x:c>
      <x:c r="I1935" s="187" t="str">
        <x:v>ROAD</x:v>
      </x:c>
      <x:c r="J1935" s="187" t="str">
        <x:v>RETURN_LOGISTICS</x:v>
      </x:c>
      <x:c r="K1935" s="187" t="str">
        <x:v>EUR</x:v>
      </x:c>
      <x:c r="L1935" s="232" t="n">
        <x:v>397.8533376</x:v>
      </x:c>
      <x:c r="M1935" s="232" t="n">
        <x:v>7.92</x:v>
      </x:c>
      <x:c r="N1935" s="187" t="str">
        <x:v>3150.9984337920000000</x:v>
      </x:c>
      <x:c r="O1935" s="235" t="n">
        <x:v>3150.9984</x:v>
      </x:c>
      <x:c r="P1935" s="235"/>
      <x:c r="Q1935" s="235"/>
      <x:c r="R1935" s="235" t="str">
        <x:v>INVOICE_OR_PLAN</x:v>
      </x:c>
      <x:c r="S1935" s="238" t="n">
        <x:f>'Model_Calc'!AV326</x:f>
        <x:v>3150.998433792</x:v>
      </x:c>
      <x:c r="T1935" s="238" t="n">
        <x:f>ROUND(S1935-O1935,4)</x:f>
        <x:v>0</x:v>
      </x:c>
    </x:row>
    <x:row r="1936">
      <x:c r="A1936" s="187" t="str">
        <x:v>SCENARIO_COST_SAVING_2026_08</x:v>
      </x:c>
      <x:c r="B1936" s="187" t="str">
        <x:v>SCENARIO</x:v>
      </x:c>
      <x:c r="C1936" s="187" t="str">
        <x:v>COST_SAVING</x:v>
      </x:c>
      <x:c r="D1936" s="217" t="n">
        <x:v>46266</x:v>
      </x:c>
      <x:c r="E1936" s="187" t="str">
        <x:v>R_DE_DE_B_ROAD</x:v>
      </x:c>
      <x:c r="F1936" s="187" t="str">
        <x:v>DE</x:v>
      </x:c>
      <x:c r="G1936" s="187" t="str">
        <x:v>DE_FC</x:v>
      </x:c>
      <x:c r="H1936" s="187" t="str">
        <x:v>CARRIER_B</x:v>
      </x:c>
      <x:c r="I1936" s="187" t="str">
        <x:v>ROAD</x:v>
      </x:c>
      <x:c r="J1936" s="187" t="str">
        <x:v>BILLABLE_EXCEPTION</x:v>
      </x:c>
      <x:c r="K1936" s="187" t="str">
        <x:v>EUR</x:v>
      </x:c>
      <x:c r="L1936" s="232" t="n">
        <x:v>78.0662845872</x:v>
      </x:c>
      <x:c r="M1936" s="232" t="n">
        <x:v>7.92</x:v>
      </x:c>
      <x:c r="N1936" s="187" t="str">
        <x:v>618.284973930624000000</x:v>
      </x:c>
      <x:c r="O1936" s="235" t="n">
        <x:v>618.285</x:v>
      </x:c>
      <x:c r="P1936" s="235"/>
      <x:c r="Q1936" s="235"/>
      <x:c r="R1936" s="235" t="str">
        <x:v>INVOICE_OR_PLAN</x:v>
      </x:c>
      <x:c r="S1936" s="238" t="n">
        <x:f>'Model_Calc'!BA326</x:f>
        <x:v>618.284973930624</x:v>
      </x:c>
      <x:c r="T1936" s="238" t="n">
        <x:f>ROUND(S1936-O1936,4)</x:f>
        <x:v>0</x:v>
      </x:c>
    </x:row>
    <x:row r="1937">
      <x:c r="A1937" s="187" t="str">
        <x:v>SCENARIO_COST_SAVING_2026_08</x:v>
      </x:c>
      <x:c r="B1937" s="187" t="str">
        <x:v>SCENARIO</x:v>
      </x:c>
      <x:c r="C1937" s="187" t="str">
        <x:v>COST_SAVING</x:v>
      </x:c>
      <x:c r="D1937" s="217" t="n">
        <x:v>46266</x:v>
      </x:c>
      <x:c r="E1937" s="187" t="str">
        <x:v>R_DE_FR_B_ROAD</x:v>
      </x:c>
      <x:c r="F1937" s="187" t="str">
        <x:v>DE</x:v>
      </x:c>
      <x:c r="G1937" s="187" t="str">
        <x:v>FR_FC</x:v>
      </x:c>
      <x:c r="H1937" s="187" t="str">
        <x:v>CARRIER_B</x:v>
      </x:c>
      <x:c r="I1937" s="187" t="str">
        <x:v>ROAD</x:v>
      </x:c>
      <x:c r="J1937" s="187" t="str">
        <x:v>BASE_FREIGHT</x:v>
      </x:c>
      <x:c r="K1937" s="187" t="str">
        <x:v>EUR</x:v>
      </x:c>
      <x:c r="L1937" s="232" t="n">
        <x:v>589.289494464</x:v>
      </x:c>
      <x:c r="M1937" s="232" t="n">
        <x:v>7.92</x:v>
      </x:c>
      <x:c r="N1937" s="187" t="str">
        <x:v>4667.172796154880000</x:v>
      </x:c>
      <x:c r="O1937" s="235" t="n">
        <x:v>4667.1728</x:v>
      </x:c>
      <x:c r="P1937" s="235"/>
      <x:c r="Q1937" s="235"/>
      <x:c r="R1937" s="235" t="str">
        <x:v>INVOICE_OR_PLAN</x:v>
      </x:c>
      <x:c r="S1937" s="238" t="n">
        <x:f>'Model_Calc'!AF327</x:f>
        <x:v>4667.1727961548795</x:v>
      </x:c>
      <x:c r="T1937" s="238" t="n">
        <x:f>ROUND(S1937-O1937,4)</x:f>
        <x:v>0</x:v>
      </x:c>
    </x:row>
    <x:row r="1938">
      <x:c r="A1938" s="187" t="str">
        <x:v>SCENARIO_COST_SAVING_2026_08</x:v>
      </x:c>
      <x:c r="B1938" s="187" t="str">
        <x:v>SCENARIO</x:v>
      </x:c>
      <x:c r="C1938" s="187" t="str">
        <x:v>COST_SAVING</x:v>
      </x:c>
      <x:c r="D1938" s="217" t="n">
        <x:v>46266</x:v>
      </x:c>
      <x:c r="E1938" s="187" t="str">
        <x:v>R_DE_FR_B_ROAD</x:v>
      </x:c>
      <x:c r="F1938" s="187" t="str">
        <x:v>DE</x:v>
      </x:c>
      <x:c r="G1938" s="187" t="str">
        <x:v>FR_FC</x:v>
      </x:c>
      <x:c r="H1938" s="187" t="str">
        <x:v>CARRIER_B</x:v>
      </x:c>
      <x:c r="I1938" s="187" t="str">
        <x:v>ROAD</x:v>
      </x:c>
      <x:c r="J1938" s="187" t="str">
        <x:v>FUEL_SURCHARGE</x:v>
      </x:c>
      <x:c r="K1938" s="187" t="str">
        <x:v>EUR</x:v>
      </x:c>
      <x:c r="L1938" s="232" t="n">
        <x:v>42.8574177792</x:v>
      </x:c>
      <x:c r="M1938" s="232" t="n">
        <x:v>7.92</x:v>
      </x:c>
      <x:c r="N1938" s="187" t="str">
        <x:v>339.430748811264000</x:v>
      </x:c>
      <x:c r="O1938" s="235" t="n">
        <x:v>339.4307</x:v>
      </x:c>
      <x:c r="P1938" s="235"/>
      <x:c r="Q1938" s="235"/>
      <x:c r="R1938" s="235" t="str">
        <x:v>INVOICE_OR_PLAN</x:v>
      </x:c>
      <x:c r="S1938" s="238" t="n">
        <x:f>'Model_Calc'!AG327</x:f>
        <x:v>339.430748811264</x:v>
      </x:c>
      <x:c r="T1938" s="238" t="n">
        <x:f>ROUND(S1938-O1938,4)</x:f>
        <x:v>0</x:v>
      </x:c>
    </x:row>
    <x:row r="1939">
      <x:c r="A1939" s="187" t="str">
        <x:v>SCENARIO_COST_SAVING_2026_08</x:v>
      </x:c>
      <x:c r="B1939" s="187" t="str">
        <x:v>SCENARIO</x:v>
      </x:c>
      <x:c r="C1939" s="187" t="str">
        <x:v>COST_SAVING</x:v>
      </x:c>
      <x:c r="D1939" s="217" t="n">
        <x:v>46266</x:v>
      </x:c>
      <x:c r="E1939" s="187" t="str">
        <x:v>R_DE_FR_B_ROAD</x:v>
      </x:c>
      <x:c r="F1939" s="187" t="str">
        <x:v>DE</x:v>
      </x:c>
      <x:c r="G1939" s="187" t="str">
        <x:v>FR_FC</x:v>
      </x:c>
      <x:c r="H1939" s="187" t="str">
        <x:v>CARRIER_B</x:v>
      </x:c>
      <x:c r="I1939" s="187" t="str">
        <x:v>ROAD</x:v>
      </x:c>
      <x:c r="J1939" s="187" t="str">
        <x:v>WAREHOUSE_OPERATION</x:v>
      </x:c>
      <x:c r="K1939" s="187" t="str">
        <x:v>EUR</x:v>
      </x:c>
      <x:c r="L1939" s="232" t="n">
        <x:v>201.87468</x:v>
      </x:c>
      <x:c r="M1939" s="232" t="n">
        <x:v>7.92</x:v>
      </x:c>
      <x:c r="N1939" s="187" t="str">
        <x:v>1598.84746560000</x:v>
      </x:c>
      <x:c r="O1939" s="235" t="n">
        <x:v>1598.8475</x:v>
      </x:c>
      <x:c r="P1939" s="235"/>
      <x:c r="Q1939" s="235"/>
      <x:c r="R1939" s="235" t="str">
        <x:v>INVOICE_OR_PLAN</x:v>
      </x:c>
      <x:c r="S1939" s="238" t="n">
        <x:f>'Model_Calc'!AL327</x:f>
        <x:v>1598.8474656</x:v>
      </x:c>
      <x:c r="T1939" s="238" t="n">
        <x:f>ROUND(S1939-O1939,4)</x:f>
        <x:v>0</x:v>
      </x:c>
    </x:row>
    <x:row r="1940">
      <x:c r="A1940" s="187" t="str">
        <x:v>SCENARIO_COST_SAVING_2026_08</x:v>
      </x:c>
      <x:c r="B1940" s="187" t="str">
        <x:v>SCENARIO</x:v>
      </x:c>
      <x:c r="C1940" s="187" t="str">
        <x:v>COST_SAVING</x:v>
      </x:c>
      <x:c r="D1940" s="217" t="n">
        <x:v>46266</x:v>
      </x:c>
      <x:c r="E1940" s="187" t="str">
        <x:v>R_DE_FR_B_ROAD</x:v>
      </x:c>
      <x:c r="F1940" s="187" t="str">
        <x:v>DE</x:v>
      </x:c>
      <x:c r="G1940" s="187" t="str">
        <x:v>FR_FC</x:v>
      </x:c>
      <x:c r="H1940" s="187" t="str">
        <x:v>CARRIER_B</x:v>
      </x:c>
      <x:c r="I1940" s="187" t="str">
        <x:v>ROAD</x:v>
      </x:c>
      <x:c r="J1940" s="187" t="str">
        <x:v>PACKAGING</x:v>
      </x:c>
      <x:c r="K1940" s="187" t="str">
        <x:v>EUR</x:v>
      </x:c>
      <x:c r="L1940" s="232" t="n">
        <x:v>78.90416064</x:v>
      </x:c>
      <x:c r="M1940" s="232" t="n">
        <x:v>7.92</x:v>
      </x:c>
      <x:c r="N1940" s="187" t="str">
        <x:v>624.9209522688000</x:v>
      </x:c>
      <x:c r="O1940" s="235" t="n">
        <x:v>624.921</x:v>
      </x:c>
      <x:c r="P1940" s="235"/>
      <x:c r="Q1940" s="235"/>
      <x:c r="R1940" s="235" t="str">
        <x:v>INVOICE_OR_PLAN</x:v>
      </x:c>
      <x:c r="S1940" s="238" t="n">
        <x:f>'Model_Calc'!AQ327</x:f>
        <x:v>624.9209522688</x:v>
      </x:c>
      <x:c r="T1940" s="238" t="n">
        <x:f>ROUND(S1940-O1940,4)</x:f>
        <x:v>0</x:v>
      </x:c>
    </x:row>
    <x:row r="1941">
      <x:c r="A1941" s="187" t="str">
        <x:v>SCENARIO_COST_SAVING_2026_08</x:v>
      </x:c>
      <x:c r="B1941" s="187" t="str">
        <x:v>SCENARIO</x:v>
      </x:c>
      <x:c r="C1941" s="187" t="str">
        <x:v>COST_SAVING</x:v>
      </x:c>
      <x:c r="D1941" s="217" t="n">
        <x:v>46266</x:v>
      </x:c>
      <x:c r="E1941" s="187" t="str">
        <x:v>R_DE_FR_B_ROAD</x:v>
      </x:c>
      <x:c r="F1941" s="187" t="str">
        <x:v>DE</x:v>
      </x:c>
      <x:c r="G1941" s="187" t="str">
        <x:v>FR_FC</x:v>
      </x:c>
      <x:c r="H1941" s="187" t="str">
        <x:v>CARRIER_B</x:v>
      </x:c>
      <x:c r="I1941" s="187" t="str">
        <x:v>ROAD</x:v>
      </x:c>
      <x:c r="J1941" s="187" t="str">
        <x:v>RETURN_LOGISTICS</x:v>
      </x:c>
      <x:c r="K1941" s="187" t="str">
        <x:v>EUR</x:v>
      </x:c>
      <x:c r="L1941" s="232" t="n">
        <x:v>36.529704</x:v>
      </x:c>
      <x:c r="M1941" s="232" t="n">
        <x:v>7.92</x:v>
      </x:c>
      <x:c r="N1941" s="187" t="str">
        <x:v>289.31525568000000</x:v>
      </x:c>
      <x:c r="O1941" s="235" t="n">
        <x:v>289.3153</x:v>
      </x:c>
      <x:c r="P1941" s="235"/>
      <x:c r="Q1941" s="235"/>
      <x:c r="R1941" s="235" t="str">
        <x:v>INVOICE_OR_PLAN</x:v>
      </x:c>
      <x:c r="S1941" s="238" t="n">
        <x:f>'Model_Calc'!AV327</x:f>
        <x:v>289.31525568</x:v>
      </x:c>
      <x:c r="T1941" s="238" t="n">
        <x:f>ROUND(S1941-O1941,4)</x:f>
        <x:v>0</x:v>
      </x:c>
    </x:row>
    <x:row r="1942">
      <x:c r="A1942" s="187" t="str">
        <x:v>SCENARIO_COST_SAVING_2026_08</x:v>
      </x:c>
      <x:c r="B1942" s="187" t="str">
        <x:v>SCENARIO</x:v>
      </x:c>
      <x:c r="C1942" s="187" t="str">
        <x:v>COST_SAVING</x:v>
      </x:c>
      <x:c r="D1942" s="217" t="n">
        <x:v>46266</x:v>
      </x:c>
      <x:c r="E1942" s="187" t="str">
        <x:v>R_DE_FR_B_ROAD</x:v>
      </x:c>
      <x:c r="F1942" s="187" t="str">
        <x:v>DE</x:v>
      </x:c>
      <x:c r="G1942" s="187" t="str">
        <x:v>FR_FC</x:v>
      </x:c>
      <x:c r="H1942" s="187" t="str">
        <x:v>CARRIER_B</x:v>
      </x:c>
      <x:c r="I1942" s="187" t="str">
        <x:v>ROAD</x:v>
      </x:c>
      <x:c r="J1942" s="187" t="str">
        <x:v>BILLABLE_EXCEPTION</x:v>
      </x:c>
      <x:c r="K1942" s="187" t="str">
        <x:v>EUR</x:v>
      </x:c>
      <x:c r="L1942" s="232" t="n">
        <x:v>6.6860894016</x:v>
      </x:c>
      <x:c r="M1942" s="232" t="n">
        <x:v>7.92</x:v>
      </x:c>
      <x:c r="N1942" s="187" t="str">
        <x:v>52.9538280606720000</x:v>
      </x:c>
      <x:c r="O1942" s="235" t="n">
        <x:v>52.9538</x:v>
      </x:c>
      <x:c r="P1942" s="235"/>
      <x:c r="Q1942" s="235"/>
      <x:c r="R1942" s="235" t="str">
        <x:v>INVOICE_OR_PLAN</x:v>
      </x:c>
      <x:c r="S1942" s="238" t="n">
        <x:f>'Model_Calc'!BA327</x:f>
        <x:v>52.953828060672</x:v>
      </x:c>
      <x:c r="T1942" s="238" t="n">
        <x:f>ROUND(S1942-O1942,4)</x:f>
        <x:v>0</x:v>
      </x:c>
    </x:row>
    <x:row r="1943">
      <x:c r="A1943" s="187" t="str">
        <x:v>SCENARIO_COST_SAVING_2026_08</x:v>
      </x:c>
      <x:c r="B1943" s="187" t="str">
        <x:v>SCENARIO</x:v>
      </x:c>
      <x:c r="C1943" s="187" t="str">
        <x:v>COST_SAVING</x:v>
      </x:c>
      <x:c r="D1943" s="217" t="n">
        <x:v>46266</x:v>
      </x:c>
      <x:c r="E1943" s="187" t="str">
        <x:v>R_FR_FR_A_ROAD</x:v>
      </x:c>
      <x:c r="F1943" s="187" t="str">
        <x:v>FR</x:v>
      </x:c>
      <x:c r="G1943" s="187" t="str">
        <x:v>FR_FC</x:v>
      </x:c>
      <x:c r="H1943" s="187" t="str">
        <x:v>CARRIER_A</x:v>
      </x:c>
      <x:c r="I1943" s="187" t="str">
        <x:v>ROAD</x:v>
      </x:c>
      <x:c r="J1943" s="187" t="str">
        <x:v>BASE_FREIGHT</x:v>
      </x:c>
      <x:c r="K1943" s="187" t="str">
        <x:v>EUR</x:v>
      </x:c>
      <x:c r="L1943" s="232" t="n">
        <x:v>3162.2547096</x:v>
      </x:c>
      <x:c r="M1943" s="232" t="n">
        <x:v>7.92</x:v>
      </x:c>
      <x:c r="N1943" s="187" t="str">
        <x:v>25045.057300032000000</x:v>
      </x:c>
      <x:c r="O1943" s="235" t="n">
        <x:v>25045.0573</x:v>
      </x:c>
      <x:c r="P1943" s="235"/>
      <x:c r="Q1943" s="235"/>
      <x:c r="R1943" s="235" t="str">
        <x:v>INVOICE_OR_PLAN</x:v>
      </x:c>
      <x:c r="S1943" s="238" t="n">
        <x:f>'Model_Calc'!AF328</x:f>
        <x:v>25045.057300032</x:v>
      </x:c>
      <x:c r="T1943" s="238" t="n">
        <x:f>ROUND(S1943-O1943,4)</x:f>
        <x:v>0</x:v>
      </x:c>
    </x:row>
    <x:row r="1944">
      <x:c r="A1944" s="187" t="str">
        <x:v>SCENARIO_COST_SAVING_2026_08</x:v>
      </x:c>
      <x:c r="B1944" s="187" t="str">
        <x:v>SCENARIO</x:v>
      </x:c>
      <x:c r="C1944" s="187" t="str">
        <x:v>COST_SAVING</x:v>
      </x:c>
      <x:c r="D1944" s="217" t="n">
        <x:v>46266</x:v>
      </x:c>
      <x:c r="E1944" s="187" t="str">
        <x:v>R_FR_FR_A_ROAD</x:v>
      </x:c>
      <x:c r="F1944" s="187" t="str">
        <x:v>FR</x:v>
      </x:c>
      <x:c r="G1944" s="187" t="str">
        <x:v>FR_FC</x:v>
      </x:c>
      <x:c r="H1944" s="187" t="str">
        <x:v>CARRIER_A</x:v>
      </x:c>
      <x:c r="I1944" s="187" t="str">
        <x:v>ROAD</x:v>
      </x:c>
      <x:c r="J1944" s="187" t="str">
        <x:v>FUEL_SURCHARGE</x:v>
      </x:c>
      <x:c r="K1944" s="187" t="str">
        <x:v>EUR</x:v>
      </x:c>
      <x:c r="L1944" s="232" t="n">
        <x:v>294.56402619924</x:v>
      </x:c>
      <x:c r="M1944" s="232" t="n">
        <x:v>7.92</x:v>
      </x:c>
      <x:c r="N1944" s="187" t="str">
        <x:v>2332.947087497980800000000</x:v>
      </x:c>
      <x:c r="O1944" s="235" t="n">
        <x:v>2332.9471</x:v>
      </x:c>
      <x:c r="P1944" s="235"/>
      <x:c r="Q1944" s="235"/>
      <x:c r="R1944" s="235" t="str">
        <x:v>INVOICE_OR_PLAN</x:v>
      </x:c>
      <x:c r="S1944" s="238" t="n">
        <x:f>'Model_Calc'!AG328</x:f>
        <x:v>2332.94708749798</x:v>
      </x:c>
      <x:c r="T1944" s="238" t="n">
        <x:f>ROUND(S1944-O1944,4)</x:f>
        <x:v>0</x:v>
      </x:c>
    </x:row>
    <x:row r="1945">
      <x:c r="A1945" s="187" t="str">
        <x:v>SCENARIO_COST_SAVING_2026_08</x:v>
      </x:c>
      <x:c r="B1945" s="187" t="str">
        <x:v>SCENARIO</x:v>
      </x:c>
      <x:c r="C1945" s="187" t="str">
        <x:v>COST_SAVING</x:v>
      </x:c>
      <x:c r="D1945" s="217" t="n">
        <x:v>46266</x:v>
      </x:c>
      <x:c r="E1945" s="187" t="str">
        <x:v>R_FR_FR_A_ROAD</x:v>
      </x:c>
      <x:c r="F1945" s="187" t="str">
        <x:v>FR</x:v>
      </x:c>
      <x:c r="G1945" s="187" t="str">
        <x:v>FR_FC</x:v>
      </x:c>
      <x:c r="H1945" s="187" t="str">
        <x:v>CARRIER_A</x:v>
      </x:c>
      <x:c r="I1945" s="187" t="str">
        <x:v>ROAD</x:v>
      </x:c>
      <x:c r="J1945" s="187" t="str">
        <x:v>WAREHOUSE_OPERATION</x:v>
      </x:c>
      <x:c r="K1945" s="187" t="str">
        <x:v>EUR</x:v>
      </x:c>
      <x:c r="L1945" s="232" t="n">
        <x:v>1962.6705</x:v>
      </x:c>
      <x:c r="M1945" s="232" t="n">
        <x:v>7.92</x:v>
      </x:c>
      <x:c r="N1945" s="187" t="str">
        <x:v>15544.35036000000</x:v>
      </x:c>
      <x:c r="O1945" s="235" t="n">
        <x:v>15544.3504</x:v>
      </x:c>
      <x:c r="P1945" s="235"/>
      <x:c r="Q1945" s="235"/>
      <x:c r="R1945" s="235" t="str">
        <x:v>INVOICE_OR_PLAN</x:v>
      </x:c>
      <x:c r="S1945" s="238" t="n">
        <x:f>'Model_Calc'!AL328</x:f>
        <x:v>15544.350359999999</x:v>
      </x:c>
      <x:c r="T1945" s="238" t="n">
        <x:f>ROUND(S1945-O1945,4)</x:f>
        <x:v>0</x:v>
      </x:c>
    </x:row>
    <x:row r="1946">
      <x:c r="A1946" s="187" t="str">
        <x:v>SCENARIO_COST_SAVING_2026_08</x:v>
      </x:c>
      <x:c r="B1946" s="187" t="str">
        <x:v>SCENARIO</x:v>
      </x:c>
      <x:c r="C1946" s="187" t="str">
        <x:v>COST_SAVING</x:v>
      </x:c>
      <x:c r="D1946" s="217" t="n">
        <x:v>46266</x:v>
      </x:c>
      <x:c r="E1946" s="187" t="str">
        <x:v>R_FR_FR_A_ROAD</x:v>
      </x:c>
      <x:c r="F1946" s="187" t="str">
        <x:v>FR</x:v>
      </x:c>
      <x:c r="G1946" s="187" t="str">
        <x:v>FR_FC</x:v>
      </x:c>
      <x:c r="H1946" s="187" t="str">
        <x:v>CARRIER_A</x:v>
      </x:c>
      <x:c r="I1946" s="187" t="str">
        <x:v>ROAD</x:v>
      </x:c>
      <x:c r="J1946" s="187" t="str">
        <x:v>PACKAGING</x:v>
      </x:c>
      <x:c r="K1946" s="187" t="str">
        <x:v>EUR</x:v>
      </x:c>
      <x:c r="L1946" s="232" t="n">
        <x:v>752.917788</x:v>
      </x:c>
      <x:c r="M1946" s="232" t="n">
        <x:v>7.92</x:v>
      </x:c>
      <x:c r="N1946" s="187" t="str">
        <x:v>5963.1088809600000</x:v>
      </x:c>
      <x:c r="O1946" s="235" t="n">
        <x:v>5963.1089</x:v>
      </x:c>
      <x:c r="P1946" s="235"/>
      <x:c r="Q1946" s="235"/>
      <x:c r="R1946" s="235" t="str">
        <x:v>INVOICE_OR_PLAN</x:v>
      </x:c>
      <x:c r="S1946" s="238" t="n">
        <x:f>'Model_Calc'!AQ328</x:f>
        <x:v>5963.10888096</x:v>
      </x:c>
      <x:c r="T1946" s="238" t="n">
        <x:f>ROUND(S1946-O1946,4)</x:f>
        <x:v>0</x:v>
      </x:c>
    </x:row>
    <x:row r="1947">
      <x:c r="A1947" s="187" t="str">
        <x:v>SCENARIO_COST_SAVING_2026_08</x:v>
      </x:c>
      <x:c r="B1947" s="187" t="str">
        <x:v>SCENARIO</x:v>
      </x:c>
      <x:c r="C1947" s="187" t="str">
        <x:v>COST_SAVING</x:v>
      </x:c>
      <x:c r="D1947" s="217" t="n">
        <x:v>46266</x:v>
      </x:c>
      <x:c r="E1947" s="187" t="str">
        <x:v>R_FR_FR_A_ROAD</x:v>
      </x:c>
      <x:c r="F1947" s="187" t="str">
        <x:v>FR</x:v>
      </x:c>
      <x:c r="G1947" s="187" t="str">
        <x:v>FR_FC</x:v>
      </x:c>
      <x:c r="H1947" s="187" t="str">
        <x:v>CARRIER_A</x:v>
      </x:c>
      <x:c r="I1947" s="187" t="str">
        <x:v>ROAD</x:v>
      </x:c>
      <x:c r="J1947" s="187" t="str">
        <x:v>RETURN_LOGISTICS</x:v>
      </x:c>
      <x:c r="K1947" s="187" t="str">
        <x:v>EUR</x:v>
      </x:c>
      <x:c r="L1947" s="232" t="n">
        <x:v>336.4578</x:v>
      </x:c>
      <x:c r="M1947" s="232" t="n">
        <x:v>7.92</x:v>
      </x:c>
      <x:c r="N1947" s="187" t="str">
        <x:v>2664.74577600000000</x:v>
      </x:c>
      <x:c r="O1947" s="235" t="n">
        <x:v>2664.7458</x:v>
      </x:c>
      <x:c r="P1947" s="235"/>
      <x:c r="Q1947" s="235"/>
      <x:c r="R1947" s="235" t="str">
        <x:v>INVOICE_OR_PLAN</x:v>
      </x:c>
      <x:c r="S1947" s="238" t="n">
        <x:f>'Model_Calc'!AV328</x:f>
        <x:v>2664.7457759999998</x:v>
      </x:c>
      <x:c r="T1947" s="238" t="n">
        <x:f>ROUND(S1947-O1947,4)</x:f>
        <x:v>0</x:v>
      </x:c>
    </x:row>
    <x:row r="1948">
      <x:c r="A1948" s="187" t="str">
        <x:v>SCENARIO_COST_SAVING_2026_08</x:v>
      </x:c>
      <x:c r="B1948" s="187" t="str">
        <x:v>SCENARIO</x:v>
      </x:c>
      <x:c r="C1948" s="187" t="str">
        <x:v>COST_SAVING</x:v>
      </x:c>
      <x:c r="D1948" s="217" t="n">
        <x:v>46266</x:v>
      </x:c>
      <x:c r="E1948" s="187" t="str">
        <x:v>R_FR_FR_A_ROAD</x:v>
      </x:c>
      <x:c r="F1948" s="187" t="str">
        <x:v>FR</x:v>
      </x:c>
      <x:c r="G1948" s="187" t="str">
        <x:v>FR_FC</x:v>
      </x:c>
      <x:c r="H1948" s="187" t="str">
        <x:v>CARRIER_A</x:v>
      </x:c>
      <x:c r="I1948" s="187" t="str">
        <x:v>ROAD</x:v>
      </x:c>
      <x:c r="J1948" s="187" t="str">
        <x:v>BILLABLE_EXCEPTION</x:v>
      </x:c>
      <x:c r="K1948" s="187" t="str">
        <x:v>EUR</x:v>
      </x:c>
      <x:c r="L1948" s="232" t="n">
        <x:v>77.47127766</x:v>
      </x:c>
      <x:c r="M1948" s="232" t="n">
        <x:v>7.92</x:v>
      </x:c>
      <x:c r="N1948" s="187" t="str">
        <x:v>613.5725190672000000</x:v>
      </x:c>
      <x:c r="O1948" s="235" t="n">
        <x:v>613.5725</x:v>
      </x:c>
      <x:c r="P1948" s="235"/>
      <x:c r="Q1948" s="235"/>
      <x:c r="R1948" s="235" t="str">
        <x:v>INVOICE_OR_PLAN</x:v>
      </x:c>
      <x:c r="S1948" s="238" t="n">
        <x:f>'Model_Calc'!BA328</x:f>
        <x:v>613.5725190672</x:v>
      </x:c>
      <x:c r="T1948" s="238" t="n">
        <x:f>ROUND(S1948-O1948,4)</x:f>
        <x:v>0</x:v>
      </x:c>
    </x:row>
    <x:row r="1949">
      <x:c r="A1949" s="187" t="str">
        <x:v>SCENARIO_COST_SAVING_2026_08</x:v>
      </x:c>
      <x:c r="B1949" s="187" t="str">
        <x:v>SCENARIO</x:v>
      </x:c>
      <x:c r="C1949" s="187" t="str">
        <x:v>COST_SAVING</x:v>
      </x:c>
      <x:c r="D1949" s="217" t="n">
        <x:v>46266</x:v>
      </x:c>
      <x:c r="E1949" s="187" t="str">
        <x:v>R_FR_FR_B_ROAD</x:v>
      </x:c>
      <x:c r="F1949" s="187" t="str">
        <x:v>FR</x:v>
      </x:c>
      <x:c r="G1949" s="187" t="str">
        <x:v>FR_FC</x:v>
      </x:c>
      <x:c r="H1949" s="187" t="str">
        <x:v>CARRIER_B</x:v>
      </x:c>
      <x:c r="I1949" s="187" t="str">
        <x:v>ROAD</x:v>
      </x:c>
      <x:c r="J1949" s="187" t="str">
        <x:v>BASE_FREIGHT</x:v>
      </x:c>
      <x:c r="K1949" s="187" t="str">
        <x:v>EUR</x:v>
      </x:c>
      <x:c r="L1949" s="232" t="n">
        <x:v>7558.0491636</x:v>
      </x:c>
      <x:c r="M1949" s="232" t="n">
        <x:v>7.92</x:v>
      </x:c>
      <x:c r="N1949" s="187" t="str">
        <x:v>59859.749375712000000</x:v>
      </x:c>
      <x:c r="O1949" s="235" t="n">
        <x:v>59859.7494</x:v>
      </x:c>
      <x:c r="P1949" s="235"/>
      <x:c r="Q1949" s="235"/>
      <x:c r="R1949" s="235" t="str">
        <x:v>INVOICE_OR_PLAN</x:v>
      </x:c>
      <x:c r="S1949" s="238" t="n">
        <x:f>'Model_Calc'!AF329</x:f>
        <x:v>59859.749375712</x:v>
      </x:c>
      <x:c r="T1949" s="238" t="n">
        <x:f>ROUND(S1949-O1949,4)</x:f>
        <x:v>0</x:v>
      </x:c>
    </x:row>
    <x:row r="1950">
      <x:c r="A1950" s="187" t="str">
        <x:v>SCENARIO_COST_SAVING_2026_08</x:v>
      </x:c>
      <x:c r="B1950" s="187" t="str">
        <x:v>SCENARIO</x:v>
      </x:c>
      <x:c r="C1950" s="187" t="str">
        <x:v>COST_SAVING</x:v>
      </x:c>
      <x:c r="D1950" s="217" t="n">
        <x:v>46266</x:v>
      </x:c>
      <x:c r="E1950" s="187" t="str">
        <x:v>R_FR_FR_B_ROAD</x:v>
      </x:c>
      <x:c r="F1950" s="187" t="str">
        <x:v>FR</x:v>
      </x:c>
      <x:c r="G1950" s="187" t="str">
        <x:v>FR_FC</x:v>
      </x:c>
      <x:c r="H1950" s="187" t="str">
        <x:v>CARRIER_B</x:v>
      </x:c>
      <x:c r="I1950" s="187" t="str">
        <x:v>ROAD</x:v>
      </x:c>
      <x:c r="J1950" s="187" t="str">
        <x:v>FUEL_SURCHARGE</x:v>
      </x:c>
      <x:c r="K1950" s="187" t="str">
        <x:v>EUR</x:v>
      </x:c>
      <x:c r="L1950" s="232" t="n">
        <x:v>581.3883972</x:v>
      </x:c>
      <x:c r="M1950" s="232" t="n">
        <x:v>7.92</x:v>
      </x:c>
      <x:c r="N1950" s="187" t="str">
        <x:v>4604.596105824000000</x:v>
      </x:c>
      <x:c r="O1950" s="235" t="n">
        <x:v>4604.5961</x:v>
      </x:c>
      <x:c r="P1950" s="235"/>
      <x:c r="Q1950" s="235"/>
      <x:c r="R1950" s="235" t="str">
        <x:v>INVOICE_OR_PLAN</x:v>
      </x:c>
      <x:c r="S1950" s="238" t="n">
        <x:f>'Model_Calc'!AG329</x:f>
        <x:v>4604.596105824001</x:v>
      </x:c>
      <x:c r="T1950" s="238" t="n">
        <x:f>ROUND(S1950-O1950,4)</x:f>
        <x:v>0</x:v>
      </x:c>
    </x:row>
    <x:row r="1951">
      <x:c r="A1951" s="187" t="str">
        <x:v>SCENARIO_COST_SAVING_2026_08</x:v>
      </x:c>
      <x:c r="B1951" s="187" t="str">
        <x:v>SCENARIO</x:v>
      </x:c>
      <x:c r="C1951" s="187" t="str">
        <x:v>COST_SAVING</x:v>
      </x:c>
      <x:c r="D1951" s="217" t="n">
        <x:v>46266</x:v>
      </x:c>
      <x:c r="E1951" s="187" t="str">
        <x:v>R_FR_FR_B_ROAD</x:v>
      </x:c>
      <x:c r="F1951" s="187" t="str">
        <x:v>FR</x:v>
      </x:c>
      <x:c r="G1951" s="187" t="str">
        <x:v>FR_FC</x:v>
      </x:c>
      <x:c r="H1951" s="187" t="str">
        <x:v>CARRIER_B</x:v>
      </x:c>
      <x:c r="I1951" s="187" t="str">
        <x:v>ROAD</x:v>
      </x:c>
      <x:c r="J1951" s="187" t="str">
        <x:v>WAREHOUSE_OPERATION</x:v>
      </x:c>
      <x:c r="K1951" s="187" t="str">
        <x:v>EUR</x:v>
      </x:c>
      <x:c r="L1951" s="232" t="n">
        <x:v>3644.9595</x:v>
      </x:c>
      <x:c r="M1951" s="232" t="n">
        <x:v>7.92</x:v>
      </x:c>
      <x:c r="N1951" s="187" t="str">
        <x:v>28868.07924000000</x:v>
      </x:c>
      <x:c r="O1951" s="235" t="n">
        <x:v>28868.0792</x:v>
      </x:c>
      <x:c r="P1951" s="235"/>
      <x:c r="Q1951" s="235"/>
      <x:c r="R1951" s="235" t="str">
        <x:v>INVOICE_OR_PLAN</x:v>
      </x:c>
      <x:c r="S1951" s="238" t="n">
        <x:f>'Model_Calc'!AL329</x:f>
        <x:v>28868.079240000003</x:v>
      </x:c>
      <x:c r="T1951" s="238" t="n">
        <x:f>ROUND(S1951-O1951,4)</x:f>
        <x:v>0</x:v>
      </x:c>
    </x:row>
    <x:row r="1952">
      <x:c r="A1952" s="187" t="str">
        <x:v>SCENARIO_COST_SAVING_2026_08</x:v>
      </x:c>
      <x:c r="B1952" s="187" t="str">
        <x:v>SCENARIO</x:v>
      </x:c>
      <x:c r="C1952" s="187" t="str">
        <x:v>COST_SAVING</x:v>
      </x:c>
      <x:c r="D1952" s="217" t="n">
        <x:v>46266</x:v>
      </x:c>
      <x:c r="E1952" s="187" t="str">
        <x:v>R_FR_FR_B_ROAD</x:v>
      </x:c>
      <x:c r="F1952" s="187" t="str">
        <x:v>FR</x:v>
      </x:c>
      <x:c r="G1952" s="187" t="str">
        <x:v>FR_FC</x:v>
      </x:c>
      <x:c r="H1952" s="187" t="str">
        <x:v>CARRIER_B</x:v>
      </x:c>
      <x:c r="I1952" s="187" t="str">
        <x:v>ROAD</x:v>
      </x:c>
      <x:c r="J1952" s="187" t="str">
        <x:v>PACKAGING</x:v>
      </x:c>
      <x:c r="K1952" s="187" t="str">
        <x:v>EUR</x:v>
      </x:c>
      <x:c r="L1952" s="232" t="n">
        <x:v>1398.275892</x:v>
      </x:c>
      <x:c r="M1952" s="232" t="n">
        <x:v>7.92</x:v>
      </x:c>
      <x:c r="N1952" s="187" t="str">
        <x:v>11074.3450646400000</x:v>
      </x:c>
      <x:c r="O1952" s="235" t="n">
        <x:v>11074.3451</x:v>
      </x:c>
      <x:c r="P1952" s="235"/>
      <x:c r="Q1952" s="235"/>
      <x:c r="R1952" s="235" t="str">
        <x:v>INVOICE_OR_PLAN</x:v>
      </x:c>
      <x:c r="S1952" s="238" t="n">
        <x:f>'Model_Calc'!AQ329</x:f>
        <x:v>11074.345064640002</x:v>
      </x:c>
      <x:c r="T1952" s="238" t="n">
        <x:f>ROUND(S1952-O1952,4)</x:f>
        <x:v>0</x:v>
      </x:c>
    </x:row>
    <x:row r="1953">
      <x:c r="A1953" s="187" t="str">
        <x:v>SCENARIO_COST_SAVING_2026_08</x:v>
      </x:c>
      <x:c r="B1953" s="187" t="str">
        <x:v>SCENARIO</x:v>
      </x:c>
      <x:c r="C1953" s="187" t="str">
        <x:v>COST_SAVING</x:v>
      </x:c>
      <x:c r="D1953" s="217" t="n">
        <x:v>46266</x:v>
      </x:c>
      <x:c r="E1953" s="187" t="str">
        <x:v>R_FR_FR_B_ROAD</x:v>
      </x:c>
      <x:c r="F1953" s="187" t="str">
        <x:v>FR</x:v>
      </x:c>
      <x:c r="G1953" s="187" t="str">
        <x:v>FR_FC</x:v>
      </x:c>
      <x:c r="H1953" s="187" t="str">
        <x:v>CARRIER_B</x:v>
      </x:c>
      <x:c r="I1953" s="187" t="str">
        <x:v>ROAD</x:v>
      </x:c>
      <x:c r="J1953" s="187" t="str">
        <x:v>RETURN_LOGISTICS</x:v>
      </x:c>
      <x:c r="K1953" s="187" t="str">
        <x:v>EUR</x:v>
      </x:c>
      <x:c r="L1953" s="232" t="n">
        <x:v>624.8502</x:v>
      </x:c>
      <x:c r="M1953" s="232" t="n">
        <x:v>7.92</x:v>
      </x:c>
      <x:c r="N1953" s="187" t="str">
        <x:v>4948.81358400000000</x:v>
      </x:c>
      <x:c r="O1953" s="235" t="n">
        <x:v>4948.8136</x:v>
      </x:c>
      <x:c r="P1953" s="235"/>
      <x:c r="Q1953" s="235"/>
      <x:c r="R1953" s="235" t="str">
        <x:v>INVOICE_OR_PLAN</x:v>
      </x:c>
      <x:c r="S1953" s="238" t="n">
        <x:f>'Model_Calc'!AV329</x:f>
        <x:v>4948.8135839999995</x:v>
      </x:c>
      <x:c r="T1953" s="238" t="n">
        <x:f>ROUND(S1953-O1953,4)</x:f>
        <x:v>0</x:v>
      </x:c>
    </x:row>
    <x:row r="1954">
      <x:c r="A1954" s="187" t="str">
        <x:v>SCENARIO_COST_SAVING_2026_08</x:v>
      </x:c>
      <x:c r="B1954" s="187" t="str">
        <x:v>SCENARIO</x:v>
      </x:c>
      <x:c r="C1954" s="187" t="str">
        <x:v>COST_SAVING</x:v>
      </x:c>
      <x:c r="D1954" s="217" t="n">
        <x:v>46266</x:v>
      </x:c>
      <x:c r="E1954" s="187" t="str">
        <x:v>R_FR_FR_B_ROAD</x:v>
      </x:c>
      <x:c r="F1954" s="187" t="str">
        <x:v>FR</x:v>
      </x:c>
      <x:c r="G1954" s="187" t="str">
        <x:v>FR_FC</x:v>
      </x:c>
      <x:c r="H1954" s="187" t="str">
        <x:v>CARRIER_B</x:v>
      </x:c>
      <x:c r="I1954" s="187" t="str">
        <x:v>ROAD</x:v>
      </x:c>
      <x:c r="J1954" s="187" t="str">
        <x:v>BILLABLE_EXCEPTION</x:v>
      </x:c>
      <x:c r="K1954" s="187" t="str">
        <x:v>EUR</x:v>
      </x:c>
      <x:c r="L1954" s="232" t="n">
        <x:v>118.48548348</x:v>
      </x:c>
      <x:c r="M1954" s="232" t="n">
        <x:v>7.92</x:v>
      </x:c>
      <x:c r="N1954" s="187" t="str">
        <x:v>938.4050291616000000</x:v>
      </x:c>
      <x:c r="O1954" s="235" t="n">
        <x:v>938.405</x:v>
      </x:c>
      <x:c r="P1954" s="235"/>
      <x:c r="Q1954" s="235"/>
      <x:c r="R1954" s="235" t="str">
        <x:v>INVOICE_OR_PLAN</x:v>
      </x:c>
      <x:c r="S1954" s="238" t="n">
        <x:f>'Model_Calc'!BA329</x:f>
        <x:v>938.4050291616</x:v>
      </x:c>
      <x:c r="T1954" s="238" t="n">
        <x:f>ROUND(S1954-O1954,4)</x:f>
        <x:v>0</x:v>
      </x:c>
    </x:row>
    <x:row r="1955">
      <x:c r="A1955" s="187" t="str">
        <x:v>SCENARIO_COST_SAVING_2026_08</x:v>
      </x:c>
      <x:c r="B1955" s="187" t="str">
        <x:v>SCENARIO</x:v>
      </x:c>
      <x:c r="C1955" s="187" t="str">
        <x:v>COST_SAVING</x:v>
      </x:c>
      <x:c r="D1955" s="217" t="n">
        <x:v>46266</x:v>
      </x:c>
      <x:c r="E1955" s="187" t="str">
        <x:v>R_GB_DE_A_ROAD</x:v>
      </x:c>
      <x:c r="F1955" s="187" t="str">
        <x:v>GB</x:v>
      </x:c>
      <x:c r="G1955" s="187" t="str">
        <x:v>DE_FC</x:v>
      </x:c>
      <x:c r="H1955" s="187" t="str">
        <x:v>CARRIER_A</x:v>
      </x:c>
      <x:c r="I1955" s="187" t="str">
        <x:v>ROAD</x:v>
      </x:c>
      <x:c r="J1955" s="187" t="str">
        <x:v>BASE_FREIGHT</x:v>
      </x:c>
      <x:c r="K1955" s="187" t="str">
        <x:v>GBP</x:v>
      </x:c>
      <x:c r="L1955" s="232" t="n">
        <x:v>8632.71687591936</x:v>
      </x:c>
      <x:c r="M1955" s="232" t="n">
        <x:v>9.15</x:v>
      </x:c>
      <x:c r="N1955" s="187" t="str">
        <x:v>78989.3594146621440000000</x:v>
      </x:c>
      <x:c r="O1955" s="235" t="n">
        <x:v>78989.3594</x:v>
      </x:c>
      <x:c r="P1955" s="235"/>
      <x:c r="Q1955" s="235"/>
      <x:c r="R1955" s="235" t="str">
        <x:v>INVOICE_OR_PLAN</x:v>
      </x:c>
      <x:c r="S1955" s="238" t="n">
        <x:f>'Model_Calc'!AF330</x:f>
        <x:v>78989.35941466213</x:v>
      </x:c>
      <x:c r="T1955" s="238" t="n">
        <x:f>ROUND(S1955-O1955,4)</x:f>
        <x:v>0</x:v>
      </x:c>
    </x:row>
    <x:row r="1956">
      <x:c r="A1956" s="187" t="str">
        <x:v>SCENARIO_COST_SAVING_2026_08</x:v>
      </x:c>
      <x:c r="B1956" s="187" t="str">
        <x:v>SCENARIO</x:v>
      </x:c>
      <x:c r="C1956" s="187" t="str">
        <x:v>COST_SAVING</x:v>
      </x:c>
      <x:c r="D1956" s="217" t="n">
        <x:v>46266</x:v>
      </x:c>
      <x:c r="E1956" s="187" t="str">
        <x:v>R_GB_DE_A_ROAD</x:v>
      </x:c>
      <x:c r="F1956" s="187" t="str">
        <x:v>GB</x:v>
      </x:c>
      <x:c r="G1956" s="187" t="str">
        <x:v>DE_FC</x:v>
      </x:c>
      <x:c r="H1956" s="187" t="str">
        <x:v>CARRIER_A</x:v>
      </x:c>
      <x:c r="I1956" s="187" t="str">
        <x:v>ROAD</x:v>
      </x:c>
      <x:c r="J1956" s="187" t="str">
        <x:v>FUEL_SURCHARGE</x:v>
      </x:c>
      <x:c r="K1956" s="187" t="str">
        <x:v>GBP</x:v>
      </x:c>
      <x:c r="L1956" s="232" t="n">
        <x:v>893.4861966576537</x:v>
      </x:c>
      <x:c r="M1956" s="232" t="n">
        <x:v>9.15</x:v>
      </x:c>
      <x:c r="N1956" s="187" t="str">
        <x:v>8175.3986994175319040000000000</x:v>
      </x:c>
      <x:c r="O1956" s="235" t="n">
        <x:v>8175.3987</x:v>
      </x:c>
      <x:c r="P1956" s="235"/>
      <x:c r="Q1956" s="235"/>
      <x:c r="R1956" s="235" t="str">
        <x:v>INVOICE_OR_PLAN</x:v>
      </x:c>
      <x:c r="S1956" s="238" t="n">
        <x:f>'Model_Calc'!AG330</x:f>
        <x:v>8175.398699417531</x:v>
      </x:c>
      <x:c r="T1956" s="238" t="n">
        <x:f>ROUND(S1956-O1956,4)</x:f>
        <x:v>0</x:v>
      </x:c>
    </x:row>
    <x:row r="1957">
      <x:c r="A1957" s="187" t="str">
        <x:v>SCENARIO_COST_SAVING_2026_08</x:v>
      </x:c>
      <x:c r="B1957" s="187" t="str">
        <x:v>SCENARIO</x:v>
      </x:c>
      <x:c r="C1957" s="187" t="str">
        <x:v>COST_SAVING</x:v>
      </x:c>
      <x:c r="D1957" s="217" t="n">
        <x:v>46266</x:v>
      </x:c>
      <x:c r="E1957" s="187" t="str">
        <x:v>R_GB_DE_A_ROAD</x:v>
      </x:c>
      <x:c r="F1957" s="187" t="str">
        <x:v>GB</x:v>
      </x:c>
      <x:c r="G1957" s="187" t="str">
        <x:v>DE_FC</x:v>
      </x:c>
      <x:c r="H1957" s="187" t="str">
        <x:v>CARRIER_A</x:v>
      </x:c>
      <x:c r="I1957" s="187" t="str">
        <x:v>ROAD</x:v>
      </x:c>
      <x:c r="J1957" s="187" t="str">
        <x:v>WAREHOUSE_OPERATION</x:v>
      </x:c>
      <x:c r="K1957" s="187" t="str">
        <x:v>EUR</x:v>
      </x:c>
      <x:c r="L1957" s="232" t="n">
        <x:v>2056.9427712</x:v>
      </x:c>
      <x:c r="M1957" s="232" t="n">
        <x:v>7.92</x:v>
      </x:c>
      <x:c r="N1957" s="187" t="str">
        <x:v>16290.9867479040000</x:v>
      </x:c>
      <x:c r="O1957" s="235" t="n">
        <x:v>16290.9867</x:v>
      </x:c>
      <x:c r="P1957" s="235"/>
      <x:c r="Q1957" s="235"/>
      <x:c r="R1957" s="235" t="str">
        <x:v>INVOICE_OR_PLAN</x:v>
      </x:c>
      <x:c r="S1957" s="238" t="n">
        <x:f>'Model_Calc'!AL330</x:f>
        <x:v>16290.986747904</x:v>
      </x:c>
      <x:c r="T1957" s="238" t="n">
        <x:f>ROUND(S1957-O1957,4)</x:f>
        <x:v>0</x:v>
      </x:c>
    </x:row>
    <x:row r="1958">
      <x:c r="A1958" s="187" t="str">
        <x:v>SCENARIO_COST_SAVING_2026_08</x:v>
      </x:c>
      <x:c r="B1958" s="187" t="str">
        <x:v>SCENARIO</x:v>
      </x:c>
      <x:c r="C1958" s="187" t="str">
        <x:v>COST_SAVING</x:v>
      </x:c>
      <x:c r="D1958" s="217" t="n">
        <x:v>46266</x:v>
      </x:c>
      <x:c r="E1958" s="187" t="str">
        <x:v>R_GB_DE_A_ROAD</x:v>
      </x:c>
      <x:c r="F1958" s="187" t="str">
        <x:v>GB</x:v>
      </x:c>
      <x:c r="G1958" s="187" t="str">
        <x:v>DE_FC</x:v>
      </x:c>
      <x:c r="H1958" s="187" t="str">
        <x:v>CARRIER_A</x:v>
      </x:c>
      <x:c r="I1958" s="187" t="str">
        <x:v>ROAD</x:v>
      </x:c>
      <x:c r="J1958" s="187" t="str">
        <x:v>PACKAGING</x:v>
      </x:c>
      <x:c r="K1958" s="187" t="str">
        <x:v>EUR</x:v>
      </x:c>
      <x:c r="L1958" s="232" t="n">
        <x:v>871.237285632</x:v>
      </x:c>
      <x:c r="M1958" s="232" t="n">
        <x:v>7.92</x:v>
      </x:c>
      <x:c r="N1958" s="187" t="str">
        <x:v>6900.199302205440000</x:v>
      </x:c>
      <x:c r="O1958" s="235" t="n">
        <x:v>6900.1993</x:v>
      </x:c>
      <x:c r="P1958" s="235"/>
      <x:c r="Q1958" s="235"/>
      <x:c r="R1958" s="235" t="str">
        <x:v>INVOICE_OR_PLAN</x:v>
      </x:c>
      <x:c r="S1958" s="238" t="n">
        <x:f>'Model_Calc'!AQ330</x:f>
        <x:v>6900.1993022054385</x:v>
      </x:c>
      <x:c r="T1958" s="238" t="n">
        <x:f>ROUND(S1958-O1958,4)</x:f>
        <x:v>0</x:v>
      </x:c>
    </x:row>
    <x:row r="1959">
      <x:c r="A1959" s="187" t="str">
        <x:v>SCENARIO_COST_SAVING_2026_08</x:v>
      </x:c>
      <x:c r="B1959" s="187" t="str">
        <x:v>SCENARIO</x:v>
      </x:c>
      <x:c r="C1959" s="187" t="str">
        <x:v>COST_SAVING</x:v>
      </x:c>
      <x:c r="D1959" s="217" t="n">
        <x:v>46266</x:v>
      </x:c>
      <x:c r="E1959" s="187" t="str">
        <x:v>R_GB_DE_A_ROAD</x:v>
      </x:c>
      <x:c r="F1959" s="187" t="str">
        <x:v>GB</x:v>
      </x:c>
      <x:c r="G1959" s="187" t="str">
        <x:v>DE_FC</x:v>
      </x:c>
      <x:c r="H1959" s="187" t="str">
        <x:v>CARRIER_A</x:v>
      </x:c>
      <x:c r="I1959" s="187" t="str">
        <x:v>ROAD</x:v>
      </x:c>
      <x:c r="J1959" s="187" t="str">
        <x:v>RETURN_LOGISTICS</x:v>
      </x:c>
      <x:c r="K1959" s="187" t="str">
        <x:v>GBP</x:v>
      </x:c>
      <x:c r="L1959" s="232" t="n">
        <x:v>794.88635904</x:v>
      </x:c>
      <x:c r="M1959" s="232" t="n">
        <x:v>9.15</x:v>
      </x:c>
      <x:c r="N1959" s="187" t="str">
        <x:v>7273.2101852160000000</x:v>
      </x:c>
      <x:c r="O1959" s="235" t="n">
        <x:v>7273.2102</x:v>
      </x:c>
      <x:c r="P1959" s="235"/>
      <x:c r="Q1959" s="235"/>
      <x:c r="R1959" s="235" t="str">
        <x:v>INVOICE_OR_PLAN</x:v>
      </x:c>
      <x:c r="S1959" s="238" t="n">
        <x:f>'Model_Calc'!AV330</x:f>
        <x:v>7273.210185216</x:v>
      </x:c>
      <x:c r="T1959" s="238" t="n">
        <x:f>ROUND(S1959-O1959,4)</x:f>
        <x:v>0</x:v>
      </x:c>
    </x:row>
    <x:row r="1960">
      <x:c r="A1960" s="187" t="str">
        <x:v>SCENARIO_COST_SAVING_2026_08</x:v>
      </x:c>
      <x:c r="B1960" s="187" t="str">
        <x:v>SCENARIO</x:v>
      </x:c>
      <x:c r="C1960" s="187" t="str">
        <x:v>COST_SAVING</x:v>
      </x:c>
      <x:c r="D1960" s="217" t="n">
        <x:v>46266</x:v>
      </x:c>
      <x:c r="E1960" s="187" t="str">
        <x:v>R_GB_DE_A_ROAD</x:v>
      </x:c>
      <x:c r="F1960" s="187" t="str">
        <x:v>GB</x:v>
      </x:c>
      <x:c r="G1960" s="187" t="str">
        <x:v>DE_FC</x:v>
      </x:c>
      <x:c r="H1960" s="187" t="str">
        <x:v>CARRIER_A</x:v>
      </x:c>
      <x:c r="I1960" s="187" t="str">
        <x:v>ROAD</x:v>
      </x:c>
      <x:c r="J1960" s="187" t="str">
        <x:v>BILLABLE_EXCEPTION</x:v>
      </x:c>
      <x:c r="K1960" s="187" t="str">
        <x:v>GBP</x:v>
      </x:c>
      <x:c r="L1960" s="232" t="n">
        <x:v>128.81865580416</x:v>
      </x:c>
      <x:c r="M1960" s="232" t="n">
        <x:v>9.15</x:v>
      </x:c>
      <x:c r="N1960" s="187" t="str">
        <x:v>1178.690700608064000000</x:v>
      </x:c>
      <x:c r="O1960" s="235" t="n">
        <x:v>1178.6907</x:v>
      </x:c>
      <x:c r="P1960" s="235"/>
      <x:c r="Q1960" s="235"/>
      <x:c r="R1960" s="235" t="str">
        <x:v>INVOICE_OR_PLAN</x:v>
      </x:c>
      <x:c r="S1960" s="238" t="n">
        <x:f>'Model_Calc'!BA330</x:f>
        <x:v>1178.690700608064</x:v>
      </x:c>
      <x:c r="T1960" s="238" t="n">
        <x:f>ROUND(S1960-O1960,4)</x:f>
        <x:v>0</x:v>
      </x:c>
    </x:row>
    <x:row r="1961">
      <x:c r="A1961" s="187" t="str">
        <x:v>SCENARIO_COST_SAVING_2026_08</x:v>
      </x:c>
      <x:c r="B1961" s="187" t="str">
        <x:v>SCENARIO</x:v>
      </x:c>
      <x:c r="C1961" s="187" t="str">
        <x:v>COST_SAVING</x:v>
      </x:c>
      <x:c r="D1961" s="217" t="n">
        <x:v>46266</x:v>
      </x:c>
      <x:c r="E1961" s="187" t="str">
        <x:v>R_GB_DE_B_ROAD</x:v>
      </x:c>
      <x:c r="F1961" s="187" t="str">
        <x:v>GB</x:v>
      </x:c>
      <x:c r="G1961" s="187" t="str">
        <x:v>DE_FC</x:v>
      </x:c>
      <x:c r="H1961" s="187" t="str">
        <x:v>CARRIER_B</x:v>
      </x:c>
      <x:c r="I1961" s="187" t="str">
        <x:v>ROAD</x:v>
      </x:c>
      <x:c r="J1961" s="187" t="str">
        <x:v>BASE_FREIGHT</x:v>
      </x:c>
      <x:c r="K1961" s="187" t="str">
        <x:v>GBP</x:v>
      </x:c>
      <x:c r="L1961" s="232" t="n">
        <x:v>5635.24573844736</x:v>
      </x:c>
      <x:c r="M1961" s="232" t="n">
        <x:v>9.15</x:v>
      </x:c>
      <x:c r="N1961" s="187" t="str">
        <x:v>51562.4985067933440000000</x:v>
      </x:c>
      <x:c r="O1961" s="235" t="n">
        <x:v>51562.4985</x:v>
      </x:c>
      <x:c r="P1961" s="235"/>
      <x:c r="Q1961" s="235"/>
      <x:c r="R1961" s="235" t="str">
        <x:v>INVOICE_OR_PLAN</x:v>
      </x:c>
      <x:c r="S1961" s="238" t="n">
        <x:f>'Model_Calc'!AF331</x:f>
        <x:v>51562.498506793345</x:v>
      </x:c>
      <x:c r="T1961" s="238" t="n">
        <x:f>ROUND(S1961-O1961,4)</x:f>
        <x:v>0</x:v>
      </x:c>
    </x:row>
    <x:row r="1962">
      <x:c r="A1962" s="187" t="str">
        <x:v>SCENARIO_COST_SAVING_2026_08</x:v>
      </x:c>
      <x:c r="B1962" s="187" t="str">
        <x:v>SCENARIO</x:v>
      </x:c>
      <x:c r="C1962" s="187" t="str">
        <x:v>COST_SAVING</x:v>
      </x:c>
      <x:c r="D1962" s="217" t="n">
        <x:v>46266</x:v>
      </x:c>
      <x:c r="E1962" s="187" t="str">
        <x:v>R_GB_DE_B_ROAD</x:v>
      </x:c>
      <x:c r="F1962" s="187" t="str">
        <x:v>GB</x:v>
      </x:c>
      <x:c r="G1962" s="187" t="str">
        <x:v>DE_FC</x:v>
      </x:c>
      <x:c r="H1962" s="187" t="str">
        <x:v>CARRIER_B</x:v>
      </x:c>
      <x:c r="I1962" s="187" t="str">
        <x:v>ROAD</x:v>
      </x:c>
      <x:c r="J1962" s="187" t="str">
        <x:v>FUEL_SURCHARGE</x:v>
      </x:c>
      <x:c r="K1962" s="187" t="str">
        <x:v>GBP</x:v>
      </x:c>
      <x:c r="L1962" s="232" t="n">
        <x:v>395.666190146304</x:v>
      </x:c>
      <x:c r="M1962" s="232" t="n">
        <x:v>9.15</x:v>
      </x:c>
      <x:c r="N1962" s="187" t="str">
        <x:v>3620.3456398386816000000</x:v>
      </x:c>
      <x:c r="O1962" s="235" t="n">
        <x:v>3620.3456</x:v>
      </x:c>
      <x:c r="P1962" s="235"/>
      <x:c r="Q1962" s="235"/>
      <x:c r="R1962" s="235" t="str">
        <x:v>INVOICE_OR_PLAN</x:v>
      </x:c>
      <x:c r="S1962" s="238" t="n">
        <x:f>'Model_Calc'!AG331</x:f>
        <x:v>3620.3456398386825</x:v>
      </x:c>
      <x:c r="T1962" s="238" t="n">
        <x:f>ROUND(S1962-O1962,4)</x:f>
        <x:v>0</x:v>
      </x:c>
    </x:row>
    <x:row r="1963">
      <x:c r="A1963" s="187" t="str">
        <x:v>SCENARIO_COST_SAVING_2026_08</x:v>
      </x:c>
      <x:c r="B1963" s="187" t="str">
        <x:v>SCENARIO</x:v>
      </x:c>
      <x:c r="C1963" s="187" t="str">
        <x:v>COST_SAVING</x:v>
      </x:c>
      <x:c r="D1963" s="217" t="n">
        <x:v>46266</x:v>
      </x:c>
      <x:c r="E1963" s="187" t="str">
        <x:v>R_GB_DE_B_ROAD</x:v>
      </x:c>
      <x:c r="F1963" s="187" t="str">
        <x:v>GB</x:v>
      </x:c>
      <x:c r="G1963" s="187" t="str">
        <x:v>DE_FC</x:v>
      </x:c>
      <x:c r="H1963" s="187" t="str">
        <x:v>CARRIER_B</x:v>
      </x:c>
      <x:c r="I1963" s="187" t="str">
        <x:v>ROAD</x:v>
      </x:c>
      <x:c r="J1963" s="187" t="str">
        <x:v>WAREHOUSE_OPERATION</x:v>
      </x:c>
      <x:c r="K1963" s="187" t="str">
        <x:v>EUR</x:v>
      </x:c>
      <x:c r="L1963" s="232" t="n">
        <x:v>1165.60090368</x:v>
      </x:c>
      <x:c r="M1963" s="232" t="n">
        <x:v>7.92</x:v>
      </x:c>
      <x:c r="N1963" s="187" t="str">
        <x:v>9231.5591571456000</x:v>
      </x:c>
      <x:c r="O1963" s="235" t="n">
        <x:v>9231.5592</x:v>
      </x:c>
      <x:c r="P1963" s="235"/>
      <x:c r="Q1963" s="235"/>
      <x:c r="R1963" s="235" t="str">
        <x:v>INVOICE_OR_PLAN</x:v>
      </x:c>
      <x:c r="S1963" s="238" t="n">
        <x:f>'Model_Calc'!AL331</x:f>
        <x:v>9231.5591571456</x:v>
      </x:c>
      <x:c r="T1963" s="238" t="n">
        <x:f>ROUND(S1963-O1963,4)</x:f>
        <x:v>0</x:v>
      </x:c>
    </x:row>
    <x:row r="1964">
      <x:c r="A1964" s="187" t="str">
        <x:v>SCENARIO_COST_SAVING_2026_08</x:v>
      </x:c>
      <x:c r="B1964" s="187" t="str">
        <x:v>SCENARIO</x:v>
      </x:c>
      <x:c r="C1964" s="187" t="str">
        <x:v>COST_SAVING</x:v>
      </x:c>
      <x:c r="D1964" s="217" t="n">
        <x:v>46266</x:v>
      </x:c>
      <x:c r="E1964" s="187" t="str">
        <x:v>R_GB_DE_B_ROAD</x:v>
      </x:c>
      <x:c r="F1964" s="187" t="str">
        <x:v>GB</x:v>
      </x:c>
      <x:c r="G1964" s="187" t="str">
        <x:v>DE_FC</x:v>
      </x:c>
      <x:c r="H1964" s="187" t="str">
        <x:v>CARRIER_B</x:v>
      </x:c>
      <x:c r="I1964" s="187" t="str">
        <x:v>ROAD</x:v>
      </x:c>
      <x:c r="J1964" s="187" t="str">
        <x:v>PACKAGING</x:v>
      </x:c>
      <x:c r="K1964" s="187" t="str">
        <x:v>EUR</x:v>
      </x:c>
      <x:c r="L1964" s="232" t="n">
        <x:v>493.7011285248</x:v>
      </x:c>
      <x:c r="M1964" s="232" t="n">
        <x:v>7.92</x:v>
      </x:c>
      <x:c r="N1964" s="187" t="str">
        <x:v>3910.112937916416000</x:v>
      </x:c>
      <x:c r="O1964" s="235" t="n">
        <x:v>3910.1129</x:v>
      </x:c>
      <x:c r="P1964" s="235"/>
      <x:c r="Q1964" s="235"/>
      <x:c r="R1964" s="235" t="str">
        <x:v>INVOICE_OR_PLAN</x:v>
      </x:c>
      <x:c r="S1964" s="238" t="n">
        <x:f>'Model_Calc'!AQ331</x:f>
        <x:v>3910.112937916416</x:v>
      </x:c>
      <x:c r="T1964" s="238" t="n">
        <x:f>ROUND(S1964-O1964,4)</x:f>
        <x:v>0</x:v>
      </x:c>
    </x:row>
    <x:row r="1965">
      <x:c r="A1965" s="187" t="str">
        <x:v>SCENARIO_COST_SAVING_2026_08</x:v>
      </x:c>
      <x:c r="B1965" s="187" t="str">
        <x:v>SCENARIO</x:v>
      </x:c>
      <x:c r="C1965" s="187" t="str">
        <x:v>COST_SAVING</x:v>
      </x:c>
      <x:c r="D1965" s="217" t="n">
        <x:v>46266</x:v>
      </x:c>
      <x:c r="E1965" s="187" t="str">
        <x:v>R_GB_DE_B_ROAD</x:v>
      </x:c>
      <x:c r="F1965" s="187" t="str">
        <x:v>GB</x:v>
      </x:c>
      <x:c r="G1965" s="187" t="str">
        <x:v>DE_FC</x:v>
      </x:c>
      <x:c r="H1965" s="187" t="str">
        <x:v>CARRIER_B</x:v>
      </x:c>
      <x:c r="I1965" s="187" t="str">
        <x:v>ROAD</x:v>
      </x:c>
      <x:c r="J1965" s="187" t="str">
        <x:v>RETURN_LOGISTICS</x:v>
      </x:c>
      <x:c r="K1965" s="187" t="str">
        <x:v>GBP</x:v>
      </x:c>
      <x:c r="L1965" s="232" t="n">
        <x:v>450.435603456</x:v>
      </x:c>
      <x:c r="M1965" s="232" t="n">
        <x:v>9.15</x:v>
      </x:c>
      <x:c r="N1965" s="187" t="str">
        <x:v>4121.4857716224000000</x:v>
      </x:c>
      <x:c r="O1965" s="235" t="n">
        <x:v>4121.4858</x:v>
      </x:c>
      <x:c r="P1965" s="235"/>
      <x:c r="Q1965" s="235"/>
      <x:c r="R1965" s="235" t="str">
        <x:v>INVOICE_OR_PLAN</x:v>
      </x:c>
      <x:c r="S1965" s="238" t="n">
        <x:f>'Model_Calc'!AV331</x:f>
        <x:v>4121.4857716224005</x:v>
      </x:c>
      <x:c r="T1965" s="238" t="n">
        <x:f>ROUND(S1965-O1965,4)</x:f>
        <x:v>0</x:v>
      </x:c>
    </x:row>
    <x:row r="1966">
      <x:c r="A1966" s="187" t="str">
        <x:v>SCENARIO_COST_SAVING_2026_08</x:v>
      </x:c>
      <x:c r="B1966" s="187" t="str">
        <x:v>SCENARIO</x:v>
      </x:c>
      <x:c r="C1966" s="187" t="str">
        <x:v>COST_SAVING</x:v>
      </x:c>
      <x:c r="D1966" s="217" t="n">
        <x:v>46266</x:v>
      </x:c>
      <x:c r="E1966" s="187" t="str">
        <x:v>R_GB_DE_B_ROAD</x:v>
      </x:c>
      <x:c r="F1966" s="187" t="str">
        <x:v>GB</x:v>
      </x:c>
      <x:c r="G1966" s="187" t="str">
        <x:v>DE_FC</x:v>
      </x:c>
      <x:c r="H1966" s="187" t="str">
        <x:v>CARRIER_B</x:v>
      </x:c>
      <x:c r="I1966" s="187" t="str">
        <x:v>ROAD</x:v>
      </x:c>
      <x:c r="J1966" s="187" t="str">
        <x:v>BILLABLE_EXCEPTION</x:v>
      </x:c>
      <x:c r="K1966" s="187" t="str">
        <x:v>GBP</x:v>
      </x:c>
      <x:c r="L1966" s="232" t="n">
        <x:v>54.07202836224</x:v>
      </x:c>
      <x:c r="M1966" s="232" t="n">
        <x:v>9.15</x:v>
      </x:c>
      <x:c r="N1966" s="187" t="str">
        <x:v>494.759059514496000000</x:v>
      </x:c>
      <x:c r="O1966" s="235" t="n">
        <x:v>494.7591</x:v>
      </x:c>
      <x:c r="P1966" s="235"/>
      <x:c r="Q1966" s="235"/>
      <x:c r="R1966" s="235" t="str">
        <x:v>INVOICE_OR_PLAN</x:v>
      </x:c>
      <x:c r="S1966" s="238" t="n">
        <x:f>'Model_Calc'!BA331</x:f>
        <x:v>494.7590595144961</x:v>
      </x:c>
      <x:c r="T1966" s="238" t="n">
        <x:f>ROUND(S1966-O1966,4)</x:f>
        <x:v>0</x:v>
      </x:c>
    </x:row>
    <x:row r="1967">
      <x:c r="A1967" s="187" t="str">
        <x:v>SCENARIO_COST_SAVING_2026_08</x:v>
      </x:c>
      <x:c r="B1967" s="187" t="str">
        <x:v>SCENARIO</x:v>
      </x:c>
      <x:c r="C1967" s="187" t="str">
        <x:v>COST_SAVING</x:v>
      </x:c>
      <x:c r="D1967" s="217" t="n">
        <x:v>46266</x:v>
      </x:c>
      <x:c r="E1967" s="187" t="str">
        <x:v>R_GB_DE_B_AIR</x:v>
      </x:c>
      <x:c r="F1967" s="187" t="str">
        <x:v>GB</x:v>
      </x:c>
      <x:c r="G1967" s="187" t="str">
        <x:v>DE_FC</x:v>
      </x:c>
      <x:c r="H1967" s="187" t="str">
        <x:v>CARRIER_B</x:v>
      </x:c>
      <x:c r="I1967" s="187" t="str">
        <x:v>AIR</x:v>
      </x:c>
      <x:c r="J1967" s="187" t="str">
        <x:v>BASE_FREIGHT</x:v>
      </x:c>
      <x:c r="K1967" s="187" t="str">
        <x:v>GBP</x:v>
      </x:c>
      <x:c r="L1967" s="232" t="n">
        <x:v>10687.0778004437</x:v>
      </x:c>
      <x:c r="M1967" s="232" t="n">
        <x:v>9.15</x:v>
      </x:c>
      <x:c r="N1967" s="187" t="str">
        <x:v>97786.761874059847680000000</x:v>
      </x:c>
      <x:c r="O1967" s="235" t="n">
        <x:v>97786.7619</x:v>
      </x:c>
      <x:c r="P1967" s="235"/>
      <x:c r="Q1967" s="235"/>
      <x:c r="R1967" s="235" t="str">
        <x:v>INVOICE_OR_PLAN</x:v>
      </x:c>
      <x:c r="S1967" s="238" t="n">
        <x:f>'Model_Calc'!AF332</x:f>
        <x:v>97786.76187405984</x:v>
      </x:c>
      <x:c r="T1967" s="238" t="n">
        <x:f>ROUND(S1967-O1967,4)</x:f>
        <x:v>0</x:v>
      </x:c>
    </x:row>
    <x:row r="1968">
      <x:c r="A1968" s="187" t="str">
        <x:v>SCENARIO_COST_SAVING_2026_08</x:v>
      </x:c>
      <x:c r="B1968" s="187" t="str">
        <x:v>SCENARIO</x:v>
      </x:c>
      <x:c r="C1968" s="187" t="str">
        <x:v>COST_SAVING</x:v>
      </x:c>
      <x:c r="D1968" s="217" t="n">
        <x:v>46266</x:v>
      </x:c>
      <x:c r="E1968" s="187" t="str">
        <x:v>R_GB_DE_B_AIR</x:v>
      </x:c>
      <x:c r="F1968" s="187" t="str">
        <x:v>GB</x:v>
      </x:c>
      <x:c r="G1968" s="187" t="str">
        <x:v>DE_FC</x:v>
      </x:c>
      <x:c r="H1968" s="187" t="str">
        <x:v>CARRIER_B</x:v>
      </x:c>
      <x:c r="I1968" s="187" t="str">
        <x:v>AIR</x:v>
      </x:c>
      <x:c r="J1968" s="187" t="str">
        <x:v>FUEL_SURCHARGE</x:v>
      </x:c>
      <x:c r="K1968" s="187" t="str">
        <x:v>GBP</x:v>
      </x:c>
      <x:c r="L1968" s="232" t="n">
        <x:v>1322.9106126057238</x:v>
      </x:c>
      <x:c r="M1968" s="232" t="n">
        <x:v>9.15</x:v>
      </x:c>
      <x:c r="N1968" s="187" t="str">
        <x:v>12104.63210534237230491648000000000</x:v>
      </x:c>
      <x:c r="O1968" s="235" t="n">
        <x:v>12104.6321</x:v>
      </x:c>
      <x:c r="P1968" s="235"/>
      <x:c r="Q1968" s="235"/>
      <x:c r="R1968" s="235" t="str">
        <x:v>INVOICE_OR_PLAN</x:v>
      </x:c>
      <x:c r="S1968" s="238" t="n">
        <x:f>'Model_Calc'!AG332</x:f>
        <x:v>12104.63210534237</x:v>
      </x:c>
      <x:c r="T1968" s="238" t="n">
        <x:f>ROUND(S1968-O1968,4)</x:f>
        <x:v>0</x:v>
      </x:c>
    </x:row>
    <x:row r="1969">
      <x:c r="A1969" s="187" t="str">
        <x:v>SCENARIO_COST_SAVING_2026_08</x:v>
      </x:c>
      <x:c r="B1969" s="187" t="str">
        <x:v>SCENARIO</x:v>
      </x:c>
      <x:c r="C1969" s="187" t="str">
        <x:v>COST_SAVING</x:v>
      </x:c>
      <x:c r="D1969" s="217" t="n">
        <x:v>46266</x:v>
      </x:c>
      <x:c r="E1969" s="187" t="str">
        <x:v>R_GB_DE_B_AIR</x:v>
      </x:c>
      <x:c r="F1969" s="187" t="str">
        <x:v>GB</x:v>
      </x:c>
      <x:c r="G1969" s="187" t="str">
        <x:v>DE_FC</x:v>
      </x:c>
      <x:c r="H1969" s="187" t="str">
        <x:v>CARRIER_B</x:v>
      </x:c>
      <x:c r="I1969" s="187" t="str">
        <x:v>AIR</x:v>
      </x:c>
      <x:c r="J1969" s="187" t="str">
        <x:v>WAREHOUSE_OPERATION</x:v>
      </x:c>
      <x:c r="K1969" s="187" t="str">
        <x:v>EUR</x:v>
      </x:c>
      <x:c r="L1969" s="232" t="n">
        <x:v>1714.118976</x:v>
      </x:c>
      <x:c r="M1969" s="232" t="n">
        <x:v>7.92</x:v>
      </x:c>
      <x:c r="N1969" s="187" t="str">
        <x:v>13575.8222899200000</x:v>
      </x:c>
      <x:c r="O1969" s="235" t="n">
        <x:v>13575.8223</x:v>
      </x:c>
      <x:c r="P1969" s="235"/>
      <x:c r="Q1969" s="235"/>
      <x:c r="R1969" s="235" t="str">
        <x:v>INVOICE_OR_PLAN</x:v>
      </x:c>
      <x:c r="S1969" s="238" t="n">
        <x:f>'Model_Calc'!AL332</x:f>
        <x:v>13575.82228992</x:v>
      </x:c>
      <x:c r="T1969" s="238" t="n">
        <x:f>ROUND(S1969-O1969,4)</x:f>
        <x:v>0</x:v>
      </x:c>
    </x:row>
    <x:row r="1970">
      <x:c r="A1970" s="187" t="str">
        <x:v>SCENARIO_COST_SAVING_2026_08</x:v>
      </x:c>
      <x:c r="B1970" s="187" t="str">
        <x:v>SCENARIO</x:v>
      </x:c>
      <x:c r="C1970" s="187" t="str">
        <x:v>COST_SAVING</x:v>
      </x:c>
      <x:c r="D1970" s="217" t="n">
        <x:v>46266</x:v>
      </x:c>
      <x:c r="E1970" s="187" t="str">
        <x:v>R_GB_DE_B_AIR</x:v>
      </x:c>
      <x:c r="F1970" s="187" t="str">
        <x:v>GB</x:v>
      </x:c>
      <x:c r="G1970" s="187" t="str">
        <x:v>DE_FC</x:v>
      </x:c>
      <x:c r="H1970" s="187" t="str">
        <x:v>CARRIER_B</x:v>
      </x:c>
      <x:c r="I1970" s="187" t="str">
        <x:v>AIR</x:v>
      </x:c>
      <x:c r="J1970" s="187" t="str">
        <x:v>PACKAGING</x:v>
      </x:c>
      <x:c r="K1970" s="187" t="str">
        <x:v>EUR</x:v>
      </x:c>
      <x:c r="L1970" s="232" t="n">
        <x:v>726.03107136</x:v>
      </x:c>
      <x:c r="M1970" s="232" t="n">
        <x:v>7.92</x:v>
      </x:c>
      <x:c r="N1970" s="187" t="str">
        <x:v>5750.166085171200000</x:v>
      </x:c>
      <x:c r="O1970" s="235" t="n">
        <x:v>5750.1661</x:v>
      </x:c>
      <x:c r="P1970" s="235"/>
      <x:c r="Q1970" s="235"/>
      <x:c r="R1970" s="235" t="str">
        <x:v>INVOICE_OR_PLAN</x:v>
      </x:c>
      <x:c r="S1970" s="238" t="n">
        <x:f>'Model_Calc'!AQ332</x:f>
        <x:v>5750.1660851711995</x:v>
      </x:c>
      <x:c r="T1970" s="238" t="n">
        <x:f>ROUND(S1970-O1970,4)</x:f>
        <x:v>0</x:v>
      </x:c>
    </x:row>
    <x:row r="1971">
      <x:c r="A1971" s="187" t="str">
        <x:v>SCENARIO_COST_SAVING_2026_08</x:v>
      </x:c>
      <x:c r="B1971" s="187" t="str">
        <x:v>SCENARIO</x:v>
      </x:c>
      <x:c r="C1971" s="187" t="str">
        <x:v>COST_SAVING</x:v>
      </x:c>
      <x:c r="D1971" s="217" t="n">
        <x:v>46266</x:v>
      </x:c>
      <x:c r="E1971" s="187" t="str">
        <x:v>R_GB_DE_B_AIR</x:v>
      </x:c>
      <x:c r="F1971" s="187" t="str">
        <x:v>GB</x:v>
      </x:c>
      <x:c r="G1971" s="187" t="str">
        <x:v>DE_FC</x:v>
      </x:c>
      <x:c r="H1971" s="187" t="str">
        <x:v>CARRIER_B</x:v>
      </x:c>
      <x:c r="I1971" s="187" t="str">
        <x:v>AIR</x:v>
      </x:c>
      <x:c r="J1971" s="187" t="str">
        <x:v>RETURN_LOGISTICS</x:v>
      </x:c>
      <x:c r="K1971" s="187" t="str">
        <x:v>GBP</x:v>
      </x:c>
      <x:c r="L1971" s="232" t="n">
        <x:v>662.4052992</x:v>
      </x:c>
      <x:c r="M1971" s="232" t="n">
        <x:v>9.15</x:v>
      </x:c>
      <x:c r="N1971" s="187" t="str">
        <x:v>6061.0084876800000000</x:v>
      </x:c>
      <x:c r="O1971" s="235" t="n">
        <x:v>6061.0085</x:v>
      </x:c>
      <x:c r="P1971" s="235"/>
      <x:c r="Q1971" s="235"/>
      <x:c r="R1971" s="235" t="str">
        <x:v>INVOICE_OR_PLAN</x:v>
      </x:c>
      <x:c r="S1971" s="238" t="n">
        <x:f>'Model_Calc'!AV332</x:f>
        <x:v>6061.00848768</x:v>
      </x:c>
      <x:c r="T1971" s="238" t="n">
        <x:f>ROUND(S1971-O1971,4)</x:f>
        <x:v>0</x:v>
      </x:c>
    </x:row>
    <x:row r="1972">
      <x:c r="A1972" s="187" t="str">
        <x:v>SCENARIO_COST_SAVING_2026_08</x:v>
      </x:c>
      <x:c r="B1972" s="187" t="str">
        <x:v>SCENARIO</x:v>
      </x:c>
      <x:c r="C1972" s="187" t="str">
        <x:v>COST_SAVING</x:v>
      </x:c>
      <x:c r="D1972" s="217" t="n">
        <x:v>46266</x:v>
      </x:c>
      <x:c r="E1972" s="187" t="str">
        <x:v>R_GB_DE_B_AIR</x:v>
      </x:c>
      <x:c r="F1972" s="187" t="str">
        <x:v>GB</x:v>
      </x:c>
      <x:c r="G1972" s="187" t="str">
        <x:v>DE_FC</x:v>
      </x:c>
      <x:c r="H1972" s="187" t="str">
        <x:v>CARRIER_B</x:v>
      </x:c>
      <x:c r="I1972" s="187" t="str">
        <x:v>AIR</x:v>
      </x:c>
      <x:c r="J1972" s="187" t="str">
        <x:v>BILLABLE_EXCEPTION</x:v>
      </x:c>
      <x:c r="K1972" s="187" t="str">
        <x:v>GBP</x:v>
      </x:c>
      <x:c r="L1972" s="232" t="n">
        <x:v>77.4433142784</x:v>
      </x:c>
      <x:c r="M1972" s="232" t="n">
        <x:v>9.15</x:v>
      </x:c>
      <x:c r="N1972" s="187" t="str">
        <x:v>708.606325647360000000</x:v>
      </x:c>
      <x:c r="O1972" s="235" t="n">
        <x:v>708.6063</x:v>
      </x:c>
      <x:c r="P1972" s="235"/>
      <x:c r="Q1972" s="235"/>
      <x:c r="R1972" s="235" t="str">
        <x:v>INVOICE_OR_PLAN</x:v>
      </x:c>
      <x:c r="S1972" s="238" t="n">
        <x:f>'Model_Calc'!BA332</x:f>
        <x:v>708.6063256473601</x:v>
      </x:c>
      <x:c r="T1972" s="238" t="n">
        <x:f>ROUND(S1972-O1972,4)</x:f>
        <x:v>0</x:v>
      </x:c>
    </x:row>
    <x:row r="1973">
      <x:c r="A1973" s="187" t="str">
        <x:v>SCENARIO_COST_SAVING_2026_08</x:v>
      </x:c>
      <x:c r="B1973" s="187" t="str">
        <x:v>SCENARIO</x:v>
      </x:c>
      <x:c r="C1973" s="187" t="str">
        <x:v>COST_SAVING</x:v>
      </x:c>
      <x:c r="D1973" s="217" t="n">
        <x:v>46266</x:v>
      </x:c>
      <x:c r="E1973" s="187" t="str">
        <x:v>R_GB_DE_C_AIR</x:v>
      </x:c>
      <x:c r="F1973" s="187" t="str">
        <x:v>GB</x:v>
      </x:c>
      <x:c r="G1973" s="187" t="str">
        <x:v>DE_FC</x:v>
      </x:c>
      <x:c r="H1973" s="187" t="str">
        <x:v>CARRIER_C</x:v>
      </x:c>
      <x:c r="I1973" s="187" t="str">
        <x:v>AIR</x:v>
      </x:c>
      <x:c r="J1973" s="187" t="str">
        <x:v>BASE_FREIGHT</x:v>
      </x:c>
      <x:c r="K1973" s="187" t="str">
        <x:v>GBP</x:v>
      </x:c>
      <x:c r="L1973" s="232" t="n">
        <x:v>14443.720216121548</x:v>
      </x:c>
      <x:c r="M1973" s="232" t="n">
        <x:v>9.15</x:v>
      </x:c>
      <x:c r="N1973" s="187" t="str">
        <x:v>132160.039977512171520000000</x:v>
      </x:c>
      <x:c r="O1973" s="235" t="n">
        <x:v>132160.04</x:v>
      </x:c>
      <x:c r="P1973" s="235"/>
      <x:c r="Q1973" s="235"/>
      <x:c r="R1973" s="235" t="str">
        <x:v>INVOICE_OR_PLAN</x:v>
      </x:c>
      <x:c r="S1973" s="238" t="n">
        <x:f>'Model_Calc'!AF333</x:f>
        <x:v>132160.03997751215</x:v>
      </x:c>
      <x:c r="T1973" s="238" t="n">
        <x:f>ROUND(S1973-O1973,4)</x:f>
        <x:v>0</x:v>
      </x:c>
    </x:row>
    <x:row r="1974">
      <x:c r="A1974" s="187" t="str">
        <x:v>SCENARIO_COST_SAVING_2026_08</x:v>
      </x:c>
      <x:c r="B1974" s="187" t="str">
        <x:v>SCENARIO</x:v>
      </x:c>
      <x:c r="C1974" s="187" t="str">
        <x:v>COST_SAVING</x:v>
      </x:c>
      <x:c r="D1974" s="217" t="n">
        <x:v>46266</x:v>
      </x:c>
      <x:c r="E1974" s="187" t="str">
        <x:v>R_GB_DE_C_AIR</x:v>
      </x:c>
      <x:c r="F1974" s="187" t="str">
        <x:v>GB</x:v>
      </x:c>
      <x:c r="G1974" s="187" t="str">
        <x:v>DE_FC</x:v>
      </x:c>
      <x:c r="H1974" s="187" t="str">
        <x:v>CARRIER_C</x:v>
      </x:c>
      <x:c r="I1974" s="187" t="str">
        <x:v>AIR</x:v>
      </x:c>
      <x:c r="J1974" s="187" t="str">
        <x:v>FUEL_SURCHARGE</x:v>
      </x:c>
      <x:c r="K1974" s="187" t="str">
        <x:v>GBP</x:v>
      </x:c>
      <x:c r="L1974" s="232" t="n">
        <x:v>1116.9810300467332</x:v>
      </x:c>
      <x:c r="M1974" s="232" t="n">
        <x:v>9.15</x:v>
      </x:c>
      <x:c r="N1974" s="187" t="str">
        <x:v>10220.376424927607930880000</x:v>
      </x:c>
      <x:c r="O1974" s="235" t="n">
        <x:v>10220.3764</x:v>
      </x:c>
      <x:c r="P1974" s="235"/>
      <x:c r="Q1974" s="235"/>
      <x:c r="R1974" s="235" t="str">
        <x:v>INVOICE_OR_PLAN</x:v>
      </x:c>
      <x:c r="S1974" s="238" t="n">
        <x:f>'Model_Calc'!AG333</x:f>
        <x:v>10220.376424927608</x:v>
      </x:c>
      <x:c r="T1974" s="238" t="n">
        <x:f>ROUND(S1974-O1974,4)</x:f>
        <x:v>0</x:v>
      </x:c>
    </x:row>
    <x:row r="1975">
      <x:c r="A1975" s="187" t="str">
        <x:v>SCENARIO_COST_SAVING_2026_08</x:v>
      </x:c>
      <x:c r="B1975" s="187" t="str">
        <x:v>SCENARIO</x:v>
      </x:c>
      <x:c r="C1975" s="187" t="str">
        <x:v>COST_SAVING</x:v>
      </x:c>
      <x:c r="D1975" s="217" t="n">
        <x:v>46266</x:v>
      </x:c>
      <x:c r="E1975" s="187" t="str">
        <x:v>R_GB_DE_C_AIR</x:v>
      </x:c>
      <x:c r="F1975" s="187" t="str">
        <x:v>GB</x:v>
      </x:c>
      <x:c r="G1975" s="187" t="str">
        <x:v>DE_FC</x:v>
      </x:c>
      <x:c r="H1975" s="187" t="str">
        <x:v>CARRIER_C</x:v>
      </x:c>
      <x:c r="I1975" s="187" t="str">
        <x:v>AIR</x:v>
      </x:c>
      <x:c r="J1975" s="187" t="str">
        <x:v>WAREHOUSE_OPERATION</x:v>
      </x:c>
      <x:c r="K1975" s="187" t="str">
        <x:v>EUR</x:v>
      </x:c>
      <x:c r="L1975" s="232" t="n">
        <x:v>1919.81325312</x:v>
      </x:c>
      <x:c r="M1975" s="232" t="n">
        <x:v>7.92</x:v>
      </x:c>
      <x:c r="N1975" s="187" t="str">
        <x:v>15204.9209647104000</x:v>
      </x:c>
      <x:c r="O1975" s="235" t="n">
        <x:v>15204.921</x:v>
      </x:c>
      <x:c r="P1975" s="235"/>
      <x:c r="Q1975" s="235"/>
      <x:c r="R1975" s="235" t="str">
        <x:v>INVOICE_OR_PLAN</x:v>
      </x:c>
      <x:c r="S1975" s="238" t="n">
        <x:f>'Model_Calc'!AL333</x:f>
        <x:v>15204.920964710403</x:v>
      </x:c>
      <x:c r="T1975" s="238" t="n">
        <x:f>ROUND(S1975-O1975,4)</x:f>
        <x:v>0</x:v>
      </x:c>
    </x:row>
    <x:row r="1976">
      <x:c r="A1976" s="187" t="str">
        <x:v>SCENARIO_COST_SAVING_2026_08</x:v>
      </x:c>
      <x:c r="B1976" s="187" t="str">
        <x:v>SCENARIO</x:v>
      </x:c>
      <x:c r="C1976" s="187" t="str">
        <x:v>COST_SAVING</x:v>
      </x:c>
      <x:c r="D1976" s="217" t="n">
        <x:v>46266</x:v>
      </x:c>
      <x:c r="E1976" s="187" t="str">
        <x:v>R_GB_DE_C_AIR</x:v>
      </x:c>
      <x:c r="F1976" s="187" t="str">
        <x:v>GB</x:v>
      </x:c>
      <x:c r="G1976" s="187" t="str">
        <x:v>DE_FC</x:v>
      </x:c>
      <x:c r="H1976" s="187" t="str">
        <x:v>CARRIER_C</x:v>
      </x:c>
      <x:c r="I1976" s="187" t="str">
        <x:v>AIR</x:v>
      </x:c>
      <x:c r="J1976" s="187" t="str">
        <x:v>PACKAGING</x:v>
      </x:c>
      <x:c r="K1976" s="187" t="str">
        <x:v>EUR</x:v>
      </x:c>
      <x:c r="L1976" s="232" t="n">
        <x:v>813.1547999232</x:v>
      </x:c>
      <x:c r="M1976" s="232" t="n">
        <x:v>7.92</x:v>
      </x:c>
      <x:c r="N1976" s="187" t="str">
        <x:v>6440.186015391744000</x:v>
      </x:c>
      <x:c r="O1976" s="235" t="n">
        <x:v>6440.186</x:v>
      </x:c>
      <x:c r="P1976" s="235"/>
      <x:c r="Q1976" s="235"/>
      <x:c r="R1976" s="235" t="str">
        <x:v>INVOICE_OR_PLAN</x:v>
      </x:c>
      <x:c r="S1976" s="238" t="n">
        <x:f>'Model_Calc'!AQ333</x:f>
        <x:v>6440.186015391744</x:v>
      </x:c>
      <x:c r="T1976" s="238" t="n">
        <x:f>ROUND(S1976-O1976,4)</x:f>
        <x:v>0</x:v>
      </x:c>
    </x:row>
    <x:row r="1977">
      <x:c r="A1977" s="187" t="str">
        <x:v>SCENARIO_COST_SAVING_2026_08</x:v>
      </x:c>
      <x:c r="B1977" s="187" t="str">
        <x:v>SCENARIO</x:v>
      </x:c>
      <x:c r="C1977" s="187" t="str">
        <x:v>COST_SAVING</x:v>
      </x:c>
      <x:c r="D1977" s="217" t="n">
        <x:v>46266</x:v>
      </x:c>
      <x:c r="E1977" s="187" t="str">
        <x:v>R_GB_DE_C_AIR</x:v>
      </x:c>
      <x:c r="F1977" s="187" t="str">
        <x:v>GB</x:v>
      </x:c>
      <x:c r="G1977" s="187" t="str">
        <x:v>DE_FC</x:v>
      </x:c>
      <x:c r="H1977" s="187" t="str">
        <x:v>CARRIER_C</x:v>
      </x:c>
      <x:c r="I1977" s="187" t="str">
        <x:v>AIR</x:v>
      </x:c>
      <x:c r="J1977" s="187" t="str">
        <x:v>RETURN_LOGISTICS</x:v>
      </x:c>
      <x:c r="K1977" s="187" t="str">
        <x:v>GBP</x:v>
      </x:c>
      <x:c r="L1977" s="232" t="n">
        <x:v>741.893935104</x:v>
      </x:c>
      <x:c r="M1977" s="232" t="n">
        <x:v>9.15</x:v>
      </x:c>
      <x:c r="N1977" s="187" t="str">
        <x:v>6788.3295062016000000</x:v>
      </x:c>
      <x:c r="O1977" s="235" t="n">
        <x:v>6788.3295</x:v>
      </x:c>
      <x:c r="P1977" s="235"/>
      <x:c r="Q1977" s="235"/>
      <x:c r="R1977" s="235" t="str">
        <x:v>INVOICE_OR_PLAN</x:v>
      </x:c>
      <x:c r="S1977" s="238" t="n">
        <x:f>'Model_Calc'!AV333</x:f>
        <x:v>6788.3295062016</x:v>
      </x:c>
      <x:c r="T1977" s="238" t="n">
        <x:f>ROUND(S1977-O1977,4)</x:f>
        <x:v>0</x:v>
      </x:c>
    </x:row>
    <x:row r="1978">
      <x:c r="A1978" s="187" t="str">
        <x:v>SCENARIO_COST_SAVING_2026_08</x:v>
      </x:c>
      <x:c r="B1978" s="187" t="str">
        <x:v>SCENARIO</x:v>
      </x:c>
      <x:c r="C1978" s="187" t="str">
        <x:v>COST_SAVING</x:v>
      </x:c>
      <x:c r="D1978" s="217" t="n">
        <x:v>46266</x:v>
      </x:c>
      <x:c r="E1978" s="187" t="str">
        <x:v>R_GB_DE_C_AIR</x:v>
      </x:c>
      <x:c r="F1978" s="187" t="str">
        <x:v>GB</x:v>
      </x:c>
      <x:c r="G1978" s="187" t="str">
        <x:v>DE_FC</x:v>
      </x:c>
      <x:c r="H1978" s="187" t="str">
        <x:v>CARRIER_C</x:v>
      </x:c>
      <x:c r="I1978" s="187" t="str">
        <x:v>AIR</x:v>
      </x:c>
      <x:c r="J1978" s="187" t="str">
        <x:v>BILLABLE_EXCEPTION</x:v>
      </x:c>
      <x:c r="K1978" s="187" t="str">
        <x:v>GBP</x:v>
      </x:c>
      <x:c r="L1978" s="232" t="n">
        <x:v>76.668881135616</x:v>
      </x:c>
      <x:c r="M1978" s="232" t="n">
        <x:v>9.15</x:v>
      </x:c>
      <x:c r="N1978" s="187" t="str">
        <x:v>701.520262390886400000</x:v>
      </x:c>
      <x:c r="O1978" s="235" t="n">
        <x:v>701.5203</x:v>
      </x:c>
      <x:c r="P1978" s="235"/>
      <x:c r="Q1978" s="235"/>
      <x:c r="R1978" s="235" t="str">
        <x:v>INVOICE_OR_PLAN</x:v>
      </x:c>
      <x:c r="S1978" s="238" t="n">
        <x:f>'Model_Calc'!BA333</x:f>
        <x:v>701.5202623908864</x:v>
      </x:c>
      <x:c r="T1978" s="238" t="n">
        <x:f>ROUND(S1978-O1978,4)</x:f>
        <x:v>0</x:v>
      </x:c>
    </x:row>
    <x:row r="1979">
      <x:c r="A1979" s="187" t="str">
        <x:v>SCENARIO_COST_SAVING_2026_08</x:v>
      </x:c>
      <x:c r="B1979" s="187" t="str">
        <x:v>SCENARIO</x:v>
      </x:c>
      <x:c r="C1979" s="187" t="str">
        <x:v>COST_SAVING</x:v>
      </x:c>
      <x:c r="D1979" s="217" t="n">
        <x:v>46266</x:v>
      </x:c>
      <x:c r="E1979" s="187" t="str">
        <x:v>R_GB_FR_B_AIR</x:v>
      </x:c>
      <x:c r="F1979" s="187" t="str">
        <x:v>GB</x:v>
      </x:c>
      <x:c r="G1979" s="187" t="str">
        <x:v>FR_FC</x:v>
      </x:c>
      <x:c r="H1979" s="187" t="str">
        <x:v>CARRIER_B</x:v>
      </x:c>
      <x:c r="I1979" s="187" t="str">
        <x:v>AIR</x:v>
      </x:c>
      <x:c r="J1979" s="187" t="str">
        <x:v>BASE_FREIGHT</x:v>
      </x:c>
      <x:c r="K1979" s="187" t="str">
        <x:v>EUR</x:v>
      </x:c>
      <x:c r="L1979" s="232" t="n">
        <x:v>1742.2523168544</x:v>
      </x:c>
      <x:c r="M1979" s="232" t="n">
        <x:v>7.92</x:v>
      </x:c>
      <x:c r="N1979" s="187" t="str">
        <x:v>13798.63834948684800000</x:v>
      </x:c>
      <x:c r="O1979" s="235" t="n">
        <x:v>13798.6383</x:v>
      </x:c>
      <x:c r="P1979" s="235"/>
      <x:c r="Q1979" s="235"/>
      <x:c r="R1979" s="235" t="str">
        <x:v>INVOICE_OR_PLAN</x:v>
      </x:c>
      <x:c r="S1979" s="238" t="n">
        <x:f>'Model_Calc'!AF334</x:f>
        <x:v>13798.638349486848</x:v>
      </x:c>
      <x:c r="T1979" s="238" t="n">
        <x:f>ROUND(S1979-O1979,4)</x:f>
        <x:v>0</x:v>
      </x:c>
    </x:row>
    <x:row r="1980">
      <x:c r="A1980" s="187" t="str">
        <x:v>SCENARIO_COST_SAVING_2026_08</x:v>
      </x:c>
      <x:c r="B1980" s="187" t="str">
        <x:v>SCENARIO</x:v>
      </x:c>
      <x:c r="C1980" s="187" t="str">
        <x:v>COST_SAVING</x:v>
      </x:c>
      <x:c r="D1980" s="217" t="n">
        <x:v>46266</x:v>
      </x:c>
      <x:c r="E1980" s="187" t="str">
        <x:v>R_GB_FR_B_AIR</x:v>
      </x:c>
      <x:c r="F1980" s="187" t="str">
        <x:v>GB</x:v>
      </x:c>
      <x:c r="G1980" s="187" t="str">
        <x:v>FR_FC</x:v>
      </x:c>
      <x:c r="H1980" s="187" t="str">
        <x:v>CARRIER_B</x:v>
      </x:c>
      <x:c r="I1980" s="187" t="str">
        <x:v>AIR</x:v>
      </x:c>
      <x:c r="J1980" s="187" t="str">
        <x:v>FUEL_SURCHARGE</x:v>
      </x:c>
      <x:c r="K1980" s="187" t="str">
        <x:v>EUR</x:v>
      </x:c>
      <x:c r="L1980" s="232" t="n">
        <x:v>189.33927053415192</x:v>
      </x:c>
      <x:c r="M1980" s="232" t="n">
        <x:v>7.92</x:v>
      </x:c>
      <x:c r="N1980" s="187" t="str">
        <x:v>1499.56702263048320640000000</x:v>
      </x:c>
      <x:c r="O1980" s="235" t="n">
        <x:v>1499.567</x:v>
      </x:c>
      <x:c r="P1980" s="235"/>
      <x:c r="Q1980" s="235"/>
      <x:c r="R1980" s="235" t="str">
        <x:v>INVOICE_OR_PLAN</x:v>
      </x:c>
      <x:c r="S1980" s="238" t="n">
        <x:f>'Model_Calc'!AG334</x:f>
        <x:v>1499.5670226304833</x:v>
      </x:c>
      <x:c r="T1980" s="238" t="n">
        <x:f>ROUND(S1980-O1980,4)</x:f>
        <x:v>0</x:v>
      </x:c>
    </x:row>
    <x:row r="1981">
      <x:c r="A1981" s="187" t="str">
        <x:v>SCENARIO_COST_SAVING_2026_08</x:v>
      </x:c>
      <x:c r="B1981" s="187" t="str">
        <x:v>SCENARIO</x:v>
      </x:c>
      <x:c r="C1981" s="187" t="str">
        <x:v>COST_SAVING</x:v>
      </x:c>
      <x:c r="D1981" s="217" t="n">
        <x:v>46266</x:v>
      </x:c>
      <x:c r="E1981" s="187" t="str">
        <x:v>R_GB_FR_B_AIR</x:v>
      </x:c>
      <x:c r="F1981" s="187" t="str">
        <x:v>GB</x:v>
      </x:c>
      <x:c r="G1981" s="187" t="str">
        <x:v>FR_FC</x:v>
      </x:c>
      <x:c r="H1981" s="187" t="str">
        <x:v>CARRIER_B</x:v>
      </x:c>
      <x:c r="I1981" s="187" t="str">
        <x:v>AIR</x:v>
      </x:c>
      <x:c r="J1981" s="187" t="str">
        <x:v>WAREHOUSE_OPERATION</x:v>
      </x:c>
      <x:c r="K1981" s="187" t="str">
        <x:v>EUR</x:v>
      </x:c>
      <x:c r="L1981" s="232" t="n">
        <x:v>254.21256</x:v>
      </x:c>
      <x:c r="M1981" s="232" t="n">
        <x:v>7.92</x:v>
      </x:c>
      <x:c r="N1981" s="187" t="str">
        <x:v>2013.36347520000</x:v>
      </x:c>
      <x:c r="O1981" s="235" t="n">
        <x:v>2013.3635</x:v>
      </x:c>
      <x:c r="P1981" s="235"/>
      <x:c r="Q1981" s="235"/>
      <x:c r="R1981" s="235" t="str">
        <x:v>INVOICE_OR_PLAN</x:v>
      </x:c>
      <x:c r="S1981" s="238" t="n">
        <x:f>'Model_Calc'!AL334</x:f>
        <x:v>2013.3634752000005</x:v>
      </x:c>
      <x:c r="T1981" s="238" t="n">
        <x:f>ROUND(S1981-O1981,4)</x:f>
        <x:v>0</x:v>
      </x:c>
    </x:row>
    <x:row r="1982">
      <x:c r="A1982" s="187" t="str">
        <x:v>SCENARIO_COST_SAVING_2026_08</x:v>
      </x:c>
      <x:c r="B1982" s="187" t="str">
        <x:v>SCENARIO</x:v>
      </x:c>
      <x:c r="C1982" s="187" t="str">
        <x:v>COST_SAVING</x:v>
      </x:c>
      <x:c r="D1982" s="217" t="n">
        <x:v>46266</x:v>
      </x:c>
      <x:c r="E1982" s="187" t="str">
        <x:v>R_GB_FR_B_AIR</x:v>
      </x:c>
      <x:c r="F1982" s="187" t="str">
        <x:v>GB</x:v>
      </x:c>
      <x:c r="G1982" s="187" t="str">
        <x:v>FR_FC</x:v>
      </x:c>
      <x:c r="H1982" s="187" t="str">
        <x:v>CARRIER_B</x:v>
      </x:c>
      <x:c r="I1982" s="187" t="str">
        <x:v>AIR</x:v>
      </x:c>
      <x:c r="J1982" s="187" t="str">
        <x:v>PACKAGING</x:v>
      </x:c>
      <x:c r="K1982" s="187" t="str">
        <x:v>EUR</x:v>
      </x:c>
      <x:c r="L1982" s="232" t="n">
        <x:v>107.64086112</x:v>
      </x:c>
      <x:c r="M1982" s="232" t="n">
        <x:v>7.92</x:v>
      </x:c>
      <x:c r="N1982" s="187" t="str">
        <x:v>852.5156200704000</x:v>
      </x:c>
      <x:c r="O1982" s="235" t="n">
        <x:v>852.5156</x:v>
      </x:c>
      <x:c r="P1982" s="235"/>
      <x:c r="Q1982" s="235"/>
      <x:c r="R1982" s="235" t="str">
        <x:v>INVOICE_OR_PLAN</x:v>
      </x:c>
      <x:c r="S1982" s="238" t="n">
        <x:f>'Model_Calc'!AQ334</x:f>
        <x:v>852.5156200704</x:v>
      </x:c>
      <x:c r="T1982" s="238" t="n">
        <x:f>ROUND(S1982-O1982,4)</x:f>
        <x:v>0</x:v>
      </x:c>
    </x:row>
    <x:row r="1983">
      <x:c r="A1983" s="187" t="str">
        <x:v>SCENARIO_COST_SAVING_2026_08</x:v>
      </x:c>
      <x:c r="B1983" s="187" t="str">
        <x:v>SCENARIO</x:v>
      </x:c>
      <x:c r="C1983" s="187" t="str">
        <x:v>COST_SAVING</x:v>
      </x:c>
      <x:c r="D1983" s="217" t="n">
        <x:v>46266</x:v>
      </x:c>
      <x:c r="E1983" s="187" t="str">
        <x:v>R_GB_FR_B_AIR</x:v>
      </x:c>
      <x:c r="F1983" s="187" t="str">
        <x:v>GB</x:v>
      </x:c>
      <x:c r="G1983" s="187" t="str">
        <x:v>FR_FC</x:v>
      </x:c>
      <x:c r="H1983" s="187" t="str">
        <x:v>CARRIER_B</x:v>
      </x:c>
      <x:c r="I1983" s="187" t="str">
        <x:v>AIR</x:v>
      </x:c>
      <x:c r="J1983" s="187" t="str">
        <x:v>RETURN_LOGISTICS</x:v>
      </x:c>
      <x:c r="K1983" s="187" t="str">
        <x:v>EUR</x:v>
      </x:c>
      <x:c r="L1983" s="232" t="n">
        <x:v>119.6009568</x:v>
      </x:c>
      <x:c r="M1983" s="232" t="n">
        <x:v>7.92</x:v>
      </x:c>
      <x:c r="N1983" s="187" t="str">
        <x:v>947.23957785600000</x:v>
      </x:c>
      <x:c r="O1983" s="235" t="n">
        <x:v>947.2396</x:v>
      </x:c>
      <x:c r="P1983" s="235"/>
      <x:c r="Q1983" s="235"/>
      <x:c r="R1983" s="235" t="str">
        <x:v>INVOICE_OR_PLAN</x:v>
      </x:c>
      <x:c r="S1983" s="238" t="n">
        <x:f>'Model_Calc'!AV334</x:f>
        <x:v>947.2395778559999</x:v>
      </x:c>
      <x:c r="T1983" s="238" t="n">
        <x:f>ROUND(S1983-O1983,4)</x:f>
        <x:v>0</x:v>
      </x:c>
    </x:row>
    <x:row r="1984">
      <x:c r="A1984" s="187" t="str">
        <x:v>SCENARIO_COST_SAVING_2026_08</x:v>
      </x:c>
      <x:c r="B1984" s="187" t="str">
        <x:v>SCENARIO</x:v>
      </x:c>
      <x:c r="C1984" s="187" t="str">
        <x:v>COST_SAVING</x:v>
      </x:c>
      <x:c r="D1984" s="217" t="n">
        <x:v>46266</x:v>
      </x:c>
      <x:c r="E1984" s="187" t="str">
        <x:v>R_GB_FR_B_AIR</x:v>
      </x:c>
      <x:c r="F1984" s="187" t="str">
        <x:v>GB</x:v>
      </x:c>
      <x:c r="G1984" s="187" t="str">
        <x:v>FR_FC</x:v>
      </x:c>
      <x:c r="H1984" s="187" t="str">
        <x:v>CARRIER_B</x:v>
      </x:c>
      <x:c r="I1984" s="187" t="str">
        <x:v>AIR</x:v>
      </x:c>
      <x:c r="J1984" s="187" t="str">
        <x:v>BILLABLE_EXCEPTION</x:v>
      </x:c>
      <x:c r="K1984" s="187" t="str">
        <x:v>EUR</x:v>
      </x:c>
      <x:c r="L1984" s="232" t="n">
        <x:v>11.1040046208</x:v>
      </x:c>
      <x:c r="M1984" s="232" t="n">
        <x:v>7.92</x:v>
      </x:c>
      <x:c r="N1984" s="187" t="str">
        <x:v>87.9437165967360000</x:v>
      </x:c>
      <x:c r="O1984" s="235" t="n">
        <x:v>87.9437</x:v>
      </x:c>
      <x:c r="P1984" s="235"/>
      <x:c r="Q1984" s="235"/>
      <x:c r="R1984" s="235" t="str">
        <x:v>INVOICE_OR_PLAN</x:v>
      </x:c>
      <x:c r="S1984" s="238" t="n">
        <x:f>'Model_Calc'!BA334</x:f>
        <x:v>87.94371659673601</x:v>
      </x:c>
      <x:c r="T1984" s="238" t="n">
        <x:f>ROUND(S1984-O1984,4)</x:f>
        <x:v>0</x:v>
      </x:c>
    </x:row>
    <x:row r="1985">
      <x:c r="A1985" s="187" t="str">
        <x:v>SCENARIO_COST_SAVING_2026_08</x:v>
      </x:c>
      <x:c r="B1985" s="187" t="str">
        <x:v>SCENARIO</x:v>
      </x:c>
      <x:c r="C1985" s="187" t="str">
        <x:v>COST_SAVING</x:v>
      </x:c>
      <x:c r="D1985" s="217" t="n">
        <x:v>46296</x:v>
      </x:c>
      <x:c r="E1985" s="187" t="str">
        <x:v>R_DE_DE_A_ROAD</x:v>
      </x:c>
      <x:c r="F1985" s="187" t="str">
        <x:v>DE</x:v>
      </x:c>
      <x:c r="G1985" s="187" t="str">
        <x:v>DE_FC</x:v>
      </x:c>
      <x:c r="H1985" s="187" t="str">
        <x:v>CARRIER_A</x:v>
      </x:c>
      <x:c r="I1985" s="187" t="str">
        <x:v>ROAD</x:v>
      </x:c>
      <x:c r="J1985" s="187" t="str">
        <x:v>BASE_FREIGHT</x:v>
      </x:c>
      <x:c r="K1985" s="187" t="str">
        <x:v>EUR</x:v>
      </x:c>
      <x:c r="L1985" s="232" t="n">
        <x:v>7267.8309862158</x:v>
      </x:c>
      <x:c r="M1985" s="232" t="n">
        <x:v>7.9</x:v>
      </x:c>
      <x:c r="N1985" s="187" t="str">
        <x:v>57415.8647911048200000000</x:v>
      </x:c>
      <x:c r="O1985" s="235" t="n">
        <x:v>57415.8648</x:v>
      </x:c>
      <x:c r="P1985" s="235"/>
      <x:c r="Q1985" s="235"/>
      <x:c r="R1985" s="235" t="str">
        <x:v>INVOICE_OR_PLAN</x:v>
      </x:c>
      <x:c r="S1985" s="238" t="n">
        <x:f>'Model_Calc'!AF335</x:f>
        <x:v>57415.86479110482</x:v>
      </x:c>
      <x:c r="T1985" s="238" t="n">
        <x:f>ROUND(S1985-O1985,4)</x:f>
        <x:v>0</x:v>
      </x:c>
    </x:row>
    <x:row r="1986">
      <x:c r="A1986" s="187" t="str">
        <x:v>SCENARIO_COST_SAVING_2026_08</x:v>
      </x:c>
      <x:c r="B1986" s="187" t="str">
        <x:v>SCENARIO</x:v>
      </x:c>
      <x:c r="C1986" s="187" t="str">
        <x:v>COST_SAVING</x:v>
      </x:c>
      <x:c r="D1986" s="217" t="n">
        <x:v>46296</x:v>
      </x:c>
      <x:c r="E1986" s="187" t="str">
        <x:v>R_DE_DE_A_ROAD</x:v>
      </x:c>
      <x:c r="F1986" s="187" t="str">
        <x:v>DE</x:v>
      </x:c>
      <x:c r="G1986" s="187" t="str">
        <x:v>DE_FC</x:v>
      </x:c>
      <x:c r="H1986" s="187" t="str">
        <x:v>CARRIER_A</x:v>
      </x:c>
      <x:c r="I1986" s="187" t="str">
        <x:v>ROAD</x:v>
      </x:c>
      <x:c r="J1986" s="187" t="str">
        <x:v>FUEL_SURCHARGE</x:v>
      </x:c>
      <x:c r="K1986" s="187" t="str">
        <x:v>EUR</x:v>
      </x:c>
      <x:c r="L1986" s="232" t="n">
        <x:v>714.6094817196686</x:v>
      </x:c>
      <x:c r="M1986" s="232" t="n">
        <x:v>7.9</x:v>
      </x:c>
      <x:c r="N1986" s="187" t="str">
        <x:v>5645.4149055853814265000000000</x:v>
      </x:c>
      <x:c r="O1986" s="235" t="n">
        <x:v>5645.4149</x:v>
      </x:c>
      <x:c r="P1986" s="235"/>
      <x:c r="Q1986" s="235"/>
      <x:c r="R1986" s="235" t="str">
        <x:v>INVOICE_OR_PLAN</x:v>
      </x:c>
      <x:c r="S1986" s="238" t="n">
        <x:f>'Model_Calc'!AG335</x:f>
        <x:v>5645.414905585381</x:v>
      </x:c>
      <x:c r="T1986" s="238" t="n">
        <x:f>ROUND(S1986-O1986,4)</x:f>
        <x:v>0</x:v>
      </x:c>
    </x:row>
    <x:row r="1987">
      <x:c r="A1987" s="187" t="str">
        <x:v>SCENARIO_COST_SAVING_2026_08</x:v>
      </x:c>
      <x:c r="B1987" s="187" t="str">
        <x:v>SCENARIO</x:v>
      </x:c>
      <x:c r="C1987" s="187" t="str">
        <x:v>COST_SAVING</x:v>
      </x:c>
      <x:c r="D1987" s="217" t="n">
        <x:v>46296</x:v>
      </x:c>
      <x:c r="E1987" s="187" t="str">
        <x:v>R_DE_DE_A_ROAD</x:v>
      </x:c>
      <x:c r="F1987" s="187" t="str">
        <x:v>DE</x:v>
      </x:c>
      <x:c r="G1987" s="187" t="str">
        <x:v>DE_FC</x:v>
      </x:c>
      <x:c r="H1987" s="187" t="str">
        <x:v>CARRIER_A</x:v>
      </x:c>
      <x:c r="I1987" s="187" t="str">
        <x:v>ROAD</x:v>
      </x:c>
      <x:c r="J1987" s="187" t="str">
        <x:v>WAREHOUSE_OPERATION</x:v>
      </x:c>
      <x:c r="K1987" s="187" t="str">
        <x:v>EUR</x:v>
      </x:c>
      <x:c r="L1987" s="232" t="n">
        <x:v>4712.581458</x:v>
      </x:c>
      <x:c r="M1987" s="232" t="n">
        <x:v>7.9</x:v>
      </x:c>
      <x:c r="N1987" s="187" t="str">
        <x:v>37229.3935182000000</x:v>
      </x:c>
      <x:c r="O1987" s="235" t="n">
        <x:v>37229.3935</x:v>
      </x:c>
      <x:c r="P1987" s="235"/>
      <x:c r="Q1987" s="235"/>
      <x:c r="R1987" s="235" t="str">
        <x:v>INVOICE_OR_PLAN</x:v>
      </x:c>
      <x:c r="S1987" s="238" t="n">
        <x:f>'Model_Calc'!AL335</x:f>
        <x:v>37229.3935182</x:v>
      </x:c>
      <x:c r="T1987" s="238" t="n">
        <x:f>ROUND(S1987-O1987,4)</x:f>
        <x:v>0</x:v>
      </x:c>
    </x:row>
    <x:row r="1988">
      <x:c r="A1988" s="187" t="str">
        <x:v>SCENARIO_COST_SAVING_2026_08</x:v>
      </x:c>
      <x:c r="B1988" s="187" t="str">
        <x:v>SCENARIO</x:v>
      </x:c>
      <x:c r="C1988" s="187" t="str">
        <x:v>COST_SAVING</x:v>
      </x:c>
      <x:c r="D1988" s="217" t="n">
        <x:v>46296</x:v>
      </x:c>
      <x:c r="E1988" s="187" t="str">
        <x:v>R_DE_DE_A_ROAD</x:v>
      </x:c>
      <x:c r="F1988" s="187" t="str">
        <x:v>DE</x:v>
      </x:c>
      <x:c r="G1988" s="187" t="str">
        <x:v>DE_FC</x:v>
      </x:c>
      <x:c r="H1988" s="187" t="str">
        <x:v>CARRIER_A</x:v>
      </x:c>
      <x:c r="I1988" s="187" t="str">
        <x:v>ROAD</x:v>
      </x:c>
      <x:c r="J1988" s="187" t="str">
        <x:v>PACKAGING</x:v>
      </x:c>
      <x:c r="K1988" s="187" t="str">
        <x:v>EUR</x:v>
      </x:c>
      <x:c r="L1988" s="232" t="n">
        <x:v>1761.2274771</x:v>
      </x:c>
      <x:c r="M1988" s="232" t="n">
        <x:v>7.9</x:v>
      </x:c>
      <x:c r="N1988" s="187" t="str">
        <x:v>13913.697069090000000</x:v>
      </x:c>
      <x:c r="O1988" s="235" t="n">
        <x:v>13913.6971</x:v>
      </x:c>
      <x:c r="P1988" s="235"/>
      <x:c r="Q1988" s="235"/>
      <x:c r="R1988" s="235" t="str">
        <x:v>INVOICE_OR_PLAN</x:v>
      </x:c>
      <x:c r="S1988" s="238" t="n">
        <x:f>'Model_Calc'!AQ335</x:f>
        <x:v>13913.697069089998</x:v>
      </x:c>
      <x:c r="T1988" s="238" t="n">
        <x:f>ROUND(S1988-O1988,4)</x:f>
        <x:v>0</x:v>
      </x:c>
    </x:row>
    <x:row r="1989">
      <x:c r="A1989" s="187" t="str">
        <x:v>SCENARIO_COST_SAVING_2026_08</x:v>
      </x:c>
      <x:c r="B1989" s="187" t="str">
        <x:v>SCENARIO</x:v>
      </x:c>
      <x:c r="C1989" s="187" t="str">
        <x:v>COST_SAVING</x:v>
      </x:c>
      <x:c r="D1989" s="217" t="n">
        <x:v>46296</x:v>
      </x:c>
      <x:c r="E1989" s="187" t="str">
        <x:v>R_DE_DE_A_ROAD</x:v>
      </x:c>
      <x:c r="F1989" s="187" t="str">
        <x:v>DE</x:v>
      </x:c>
      <x:c r="G1989" s="187" t="str">
        <x:v>DE_FC</x:v>
      </x:c>
      <x:c r="H1989" s="187" t="str">
        <x:v>CARRIER_A</x:v>
      </x:c>
      <x:c r="I1989" s="187" t="str">
        <x:v>ROAD</x:v>
      </x:c>
      <x:c r="J1989" s="187" t="str">
        <x:v>RETURN_LOGISTICS</x:v>
      </x:c>
      <x:c r="K1989" s="187" t="str">
        <x:v>EUR</x:v>
      </x:c>
      <x:c r="L1989" s="232" t="n">
        <x:v>638.994096</x:v>
      </x:c>
      <x:c r="M1989" s="232" t="n">
        <x:v>7.9</x:v>
      </x:c>
      <x:c r="N1989" s="187" t="str">
        <x:v>5048.0533584000000000</x:v>
      </x:c>
      <x:c r="O1989" s="235" t="n">
        <x:v>5048.0534</x:v>
      </x:c>
      <x:c r="P1989" s="235"/>
      <x:c r="Q1989" s="235"/>
      <x:c r="R1989" s="235" t="str">
        <x:v>INVOICE_OR_PLAN</x:v>
      </x:c>
      <x:c r="S1989" s="238" t="n">
        <x:f>'Model_Calc'!AV335</x:f>
        <x:v>5048.0533583999995</x:v>
      </x:c>
      <x:c r="T1989" s="238" t="n">
        <x:f>ROUND(S1989-O1989,4)</x:f>
        <x:v>0</x:v>
      </x:c>
    </x:row>
    <x:row r="1990">
      <x:c r="A1990" s="187" t="str">
        <x:v>SCENARIO_COST_SAVING_2026_08</x:v>
      </x:c>
      <x:c r="B1990" s="187" t="str">
        <x:v>SCENARIO</x:v>
      </x:c>
      <x:c r="C1990" s="187" t="str">
        <x:v>COST_SAVING</x:v>
      </x:c>
      <x:c r="D1990" s="217" t="n">
        <x:v>46296</x:v>
      </x:c>
      <x:c r="E1990" s="187" t="str">
        <x:v>R_DE_DE_A_ROAD</x:v>
      </x:c>
      <x:c r="F1990" s="187" t="str">
        <x:v>DE</x:v>
      </x:c>
      <x:c r="G1990" s="187" t="str">
        <x:v>DE_FC</x:v>
      </x:c>
      <x:c r="H1990" s="187" t="str">
        <x:v>CARRIER_A</x:v>
      </x:c>
      <x:c r="I1990" s="187" t="str">
        <x:v>ROAD</x:v>
      </x:c>
      <x:c r="J1990" s="187" t="str">
        <x:v>BILLABLE_EXCEPTION</x:v>
      </x:c>
      <x:c r="K1990" s="187" t="str">
        <x:v>EUR</x:v>
      </x:c>
      <x:c r="L1990" s="232" t="n">
        <x:v>154.317074184</x:v>
      </x:c>
      <x:c r="M1990" s="232" t="n">
        <x:v>7.9</x:v>
      </x:c>
      <x:c r="N1990" s="187" t="str">
        <x:v>1219.104886053600000000</x:v>
      </x:c>
      <x:c r="O1990" s="235" t="n">
        <x:v>1219.1049</x:v>
      </x:c>
      <x:c r="P1990" s="235"/>
      <x:c r="Q1990" s="235"/>
      <x:c r="R1990" s="235" t="str">
        <x:v>INVOICE_OR_PLAN</x:v>
      </x:c>
      <x:c r="S1990" s="238" t="n">
        <x:f>'Model_Calc'!BA335</x:f>
        <x:v>1219.1048860535998</x:v>
      </x:c>
      <x:c r="T1990" s="238" t="n">
        <x:f>ROUND(S1990-O1990,4)</x:f>
        <x:v>0</x:v>
      </x:c>
    </x:row>
    <x:row r="1991">
      <x:c r="A1991" s="187" t="str">
        <x:v>SCENARIO_COST_SAVING_2026_08</x:v>
      </x:c>
      <x:c r="B1991" s="187" t="str">
        <x:v>SCENARIO</x:v>
      </x:c>
      <x:c r="C1991" s="187" t="str">
        <x:v>COST_SAVING</x:v>
      </x:c>
      <x:c r="D1991" s="217" t="n">
        <x:v>46296</x:v>
      </x:c>
      <x:c r="E1991" s="187" t="str">
        <x:v>R_DE_DE_B_ROAD</x:v>
      </x:c>
      <x:c r="F1991" s="187" t="str">
        <x:v>DE</x:v>
      </x:c>
      <x:c r="G1991" s="187" t="str">
        <x:v>DE_FC</x:v>
      </x:c>
      <x:c r="H1991" s="187" t="str">
        <x:v>CARRIER_B</x:v>
      </x:c>
      <x:c r="I1991" s="187" t="str">
        <x:v>ROAD</x:v>
      </x:c>
      <x:c r="J1991" s="187" t="str">
        <x:v>BASE_FREIGHT</x:v>
      </x:c>
      <x:c r="K1991" s="187" t="str">
        <x:v>EUR</x:v>
      </x:c>
      <x:c r="L1991" s="232" t="n">
        <x:v>6211.82135574</x:v>
      </x:c>
      <x:c r="M1991" s="232" t="n">
        <x:v>7.9</x:v>
      </x:c>
      <x:c r="N1991" s="187" t="str">
        <x:v>49073.3887103460000000000</x:v>
      </x:c>
      <x:c r="O1991" s="235" t="n">
        <x:v>49073.3887</x:v>
      </x:c>
      <x:c r="P1991" s="235"/>
      <x:c r="Q1991" s="235"/>
      <x:c r="R1991" s="235" t="str">
        <x:v>INVOICE_OR_PLAN</x:v>
      </x:c>
      <x:c r="S1991" s="238" t="n">
        <x:f>'Model_Calc'!AF336</x:f>
        <x:v>49073.38871034602</x:v>
      </x:c>
      <x:c r="T1991" s="238" t="n">
        <x:f>ROUND(S1991-O1991,4)</x:f>
        <x:v>0</x:v>
      </x:c>
    </x:row>
    <x:row r="1992">
      <x:c r="A1992" s="187" t="str">
        <x:v>SCENARIO_COST_SAVING_2026_08</x:v>
      </x:c>
      <x:c r="B1992" s="187" t="str">
        <x:v>SCENARIO</x:v>
      </x:c>
      <x:c r="C1992" s="187" t="str">
        <x:v>COST_SAVING</x:v>
      </x:c>
      <x:c r="D1992" s="217" t="n">
        <x:v>46296</x:v>
      </x:c>
      <x:c r="E1992" s="187" t="str">
        <x:v>R_DE_DE_B_ROAD</x:v>
      </x:c>
      <x:c r="F1992" s="187" t="str">
        <x:v>DE</x:v>
      </x:c>
      <x:c r="G1992" s="187" t="str">
        <x:v>DE_FC</x:v>
      </x:c>
      <x:c r="H1992" s="187" t="str">
        <x:v>CARRIER_B</x:v>
      </x:c>
      <x:c r="I1992" s="187" t="str">
        <x:v>ROAD</x:v>
      </x:c>
      <x:c r="J1992" s="187" t="str">
        <x:v>FUEL_SURCHARGE</x:v>
      </x:c>
      <x:c r="K1992" s="187" t="str">
        <x:v>EUR</x:v>
      </x:c>
      <x:c r="L1992" s="232" t="n">
        <x:v>474.3572671656</x:v>
      </x:c>
      <x:c r="M1992" s="232" t="n">
        <x:v>7.9</x:v>
      </x:c>
      <x:c r="N1992" s="187" t="str">
        <x:v>3747.4224106082400000000</x:v>
      </x:c>
      <x:c r="O1992" s="235" t="n">
        <x:v>3747.4224</x:v>
      </x:c>
      <x:c r="P1992" s="235"/>
      <x:c r="Q1992" s="235"/>
      <x:c r="R1992" s="235" t="str">
        <x:v>INVOICE_OR_PLAN</x:v>
      </x:c>
      <x:c r="S1992" s="238" t="n">
        <x:f>'Model_Calc'!AG336</x:f>
        <x:v>3747.4224106082415</x:v>
      </x:c>
      <x:c r="T1992" s="238" t="n">
        <x:f>ROUND(S1992-O1992,4)</x:f>
        <x:v>0</x:v>
      </x:c>
    </x:row>
    <x:row r="1993">
      <x:c r="A1993" s="187" t="str">
        <x:v>SCENARIO_COST_SAVING_2026_08</x:v>
      </x:c>
      <x:c r="B1993" s="187" t="str">
        <x:v>SCENARIO</x:v>
      </x:c>
      <x:c r="C1993" s="187" t="str">
        <x:v>COST_SAVING</x:v>
      </x:c>
      <x:c r="D1993" s="217" t="n">
        <x:v>46296</x:v>
      </x:c>
      <x:c r="E1993" s="187" t="str">
        <x:v>R_DE_DE_B_ROAD</x:v>
      </x:c>
      <x:c r="F1993" s="187" t="str">
        <x:v>DE</x:v>
      </x:c>
      <x:c r="G1993" s="187" t="str">
        <x:v>DE_FC</x:v>
      </x:c>
      <x:c r="H1993" s="187" t="str">
        <x:v>CARRIER_B</x:v>
      </x:c>
      <x:c r="I1993" s="187" t="str">
        <x:v>ROAD</x:v>
      </x:c>
      <x:c r="J1993" s="187" t="str">
        <x:v>WAREHOUSE_OPERATION</x:v>
      </x:c>
      <x:c r="K1993" s="187" t="str">
        <x:v>EUR</x:v>
      </x:c>
      <x:c r="L1993" s="232" t="n">
        <x:v>3141.720972</x:v>
      </x:c>
      <x:c r="M1993" s="232" t="n">
        <x:v>7.9</x:v>
      </x:c>
      <x:c r="N1993" s="187" t="str">
        <x:v>24819.5956788000000</x:v>
      </x:c>
      <x:c r="O1993" s="235" t="n">
        <x:v>24819.5957</x:v>
      </x:c>
      <x:c r="P1993" s="235"/>
      <x:c r="Q1993" s="235"/>
      <x:c r="R1993" s="235" t="str">
        <x:v>INVOICE_OR_PLAN</x:v>
      </x:c>
      <x:c r="S1993" s="238" t="n">
        <x:f>'Model_Calc'!AL336</x:f>
        <x:v>24819.595678800004</x:v>
      </x:c>
      <x:c r="T1993" s="238" t="n">
        <x:f>ROUND(S1993-O1993,4)</x:f>
        <x:v>0</x:v>
      </x:c>
    </x:row>
    <x:row r="1994">
      <x:c r="A1994" s="187" t="str">
        <x:v>SCENARIO_COST_SAVING_2026_08</x:v>
      </x:c>
      <x:c r="B1994" s="187" t="str">
        <x:v>SCENARIO</x:v>
      </x:c>
      <x:c r="C1994" s="187" t="str">
        <x:v>COST_SAVING</x:v>
      </x:c>
      <x:c r="D1994" s="217" t="n">
        <x:v>46296</x:v>
      </x:c>
      <x:c r="E1994" s="187" t="str">
        <x:v>R_DE_DE_B_ROAD</x:v>
      </x:c>
      <x:c r="F1994" s="187" t="str">
        <x:v>DE</x:v>
      </x:c>
      <x:c r="G1994" s="187" t="str">
        <x:v>DE_FC</x:v>
      </x:c>
      <x:c r="H1994" s="187" t="str">
        <x:v>CARRIER_B</x:v>
      </x:c>
      <x:c r="I1994" s="187" t="str">
        <x:v>ROAD</x:v>
      </x:c>
      <x:c r="J1994" s="187" t="str">
        <x:v>PACKAGING</x:v>
      </x:c>
      <x:c r="K1994" s="187" t="str">
        <x:v>EUR</x:v>
      </x:c>
      <x:c r="L1994" s="232" t="n">
        <x:v>1174.1516514</x:v>
      </x:c>
      <x:c r="M1994" s="232" t="n">
        <x:v>7.9</x:v>
      </x:c>
      <x:c r="N1994" s="187" t="str">
        <x:v>9275.798046060000000</x:v>
      </x:c>
      <x:c r="O1994" s="235" t="n">
        <x:v>9275.798</x:v>
      </x:c>
      <x:c r="P1994" s="235"/>
      <x:c r="Q1994" s="235"/>
      <x:c r="R1994" s="235" t="str">
        <x:v>INVOICE_OR_PLAN</x:v>
      </x:c>
      <x:c r="S1994" s="238" t="n">
        <x:f>'Model_Calc'!AQ336</x:f>
        <x:v>9275.798046060003</x:v>
      </x:c>
      <x:c r="T1994" s="238" t="n">
        <x:f>ROUND(S1994-O1994,4)</x:f>
        <x:v>0</x:v>
      </x:c>
    </x:row>
    <x:row r="1995">
      <x:c r="A1995" s="187" t="str">
        <x:v>SCENARIO_COST_SAVING_2026_08</x:v>
      </x:c>
      <x:c r="B1995" s="187" t="str">
        <x:v>SCENARIO</x:v>
      </x:c>
      <x:c r="C1995" s="187" t="str">
        <x:v>COST_SAVING</x:v>
      </x:c>
      <x:c r="D1995" s="217" t="n">
        <x:v>46296</x:v>
      </x:c>
      <x:c r="E1995" s="187" t="str">
        <x:v>R_DE_DE_B_ROAD</x:v>
      </x:c>
      <x:c r="F1995" s="187" t="str">
        <x:v>DE</x:v>
      </x:c>
      <x:c r="G1995" s="187" t="str">
        <x:v>DE_FC</x:v>
      </x:c>
      <x:c r="H1995" s="187" t="str">
        <x:v>CARRIER_B</x:v>
      </x:c>
      <x:c r="I1995" s="187" t="str">
        <x:v>ROAD</x:v>
      </x:c>
      <x:c r="J1995" s="187" t="str">
        <x:v>RETURN_LOGISTICS</x:v>
      </x:c>
      <x:c r="K1995" s="187" t="str">
        <x:v>EUR</x:v>
      </x:c>
      <x:c r="L1995" s="232" t="n">
        <x:v>425.996064</x:v>
      </x:c>
      <x:c r="M1995" s="232" t="n">
        <x:v>7.9</x:v>
      </x:c>
      <x:c r="N1995" s="187" t="str">
        <x:v>3365.3689056000000000</x:v>
      </x:c>
      <x:c r="O1995" s="235" t="n">
        <x:v>3365.3689</x:v>
      </x:c>
      <x:c r="P1995" s="235"/>
      <x:c r="Q1995" s="235"/>
      <x:c r="R1995" s="235" t="str">
        <x:v>INVOICE_OR_PLAN</x:v>
      </x:c>
      <x:c r="S1995" s="238" t="n">
        <x:f>'Model_Calc'!AV336</x:f>
        <x:v>3365.3689056000007</x:v>
      </x:c>
      <x:c r="T1995" s="238" t="n">
        <x:f>ROUND(S1995-O1995,4)</x:f>
        <x:v>0</x:v>
      </x:c>
    </x:row>
    <x:row r="1996">
      <x:c r="A1996" s="187" t="str">
        <x:v>SCENARIO_COST_SAVING_2026_08</x:v>
      </x:c>
      <x:c r="B1996" s="187" t="str">
        <x:v>SCENARIO</x:v>
      </x:c>
      <x:c r="C1996" s="187" t="str">
        <x:v>COST_SAVING</x:v>
      </x:c>
      <x:c r="D1996" s="217" t="n">
        <x:v>46296</x:v>
      </x:c>
      <x:c r="E1996" s="187" t="str">
        <x:v>R_DE_DE_B_ROAD</x:v>
      </x:c>
      <x:c r="F1996" s="187" t="str">
        <x:v>DE</x:v>
      </x:c>
      <x:c r="G1996" s="187" t="str">
        <x:v>DE_FC</x:v>
      </x:c>
      <x:c r="H1996" s="187" t="str">
        <x:v>CARRIER_B</x:v>
      </x:c>
      <x:c r="I1996" s="187" t="str">
        <x:v>ROAD</x:v>
      </x:c>
      <x:c r="J1996" s="187" t="str">
        <x:v>BILLABLE_EXCEPTION</x:v>
      </x:c>
      <x:c r="K1996" s="187" t="str">
        <x:v>EUR</x:v>
      </x:c>
      <x:c r="L1996" s="232" t="n">
        <x:v>83.588415183</x:v>
      </x:c>
      <x:c r="M1996" s="232" t="n">
        <x:v>7.9</x:v>
      </x:c>
      <x:c r="N1996" s="187" t="str">
        <x:v>660.348479945700000000</x:v>
      </x:c>
      <x:c r="O1996" s="235" t="n">
        <x:v>660.3485</x:v>
      </x:c>
      <x:c r="P1996" s="235"/>
      <x:c r="Q1996" s="235"/>
      <x:c r="R1996" s="235" t="str">
        <x:v>INVOICE_OR_PLAN</x:v>
      </x:c>
      <x:c r="S1996" s="238" t="n">
        <x:f>'Model_Calc'!BA336</x:f>
        <x:v>660.3484799457002</x:v>
      </x:c>
      <x:c r="T1996" s="238" t="n">
        <x:f>ROUND(S1996-O1996,4)</x:f>
        <x:v>0</x:v>
      </x:c>
    </x:row>
    <x:row r="1997">
      <x:c r="A1997" s="187" t="str">
        <x:v>SCENARIO_COST_SAVING_2026_08</x:v>
      </x:c>
      <x:c r="B1997" s="187" t="str">
        <x:v>SCENARIO</x:v>
      </x:c>
      <x:c r="C1997" s="187" t="str">
        <x:v>COST_SAVING</x:v>
      </x:c>
      <x:c r="D1997" s="217" t="n">
        <x:v>46296</x:v>
      </x:c>
      <x:c r="E1997" s="187" t="str">
        <x:v>R_DE_FR_B_ROAD</x:v>
      </x:c>
      <x:c r="F1997" s="187" t="str">
        <x:v>DE</x:v>
      </x:c>
      <x:c r="G1997" s="187" t="str">
        <x:v>FR_FC</x:v>
      </x:c>
      <x:c r="H1997" s="187" t="str">
        <x:v>CARRIER_B</x:v>
      </x:c>
      <x:c r="I1997" s="187" t="str">
        <x:v>ROAD</x:v>
      </x:c>
      <x:c r="J1997" s="187" t="str">
        <x:v>BASE_FREIGHT</x:v>
      </x:c>
      <x:c r="K1997" s="187" t="str">
        <x:v>EUR</x:v>
      </x:c>
      <x:c r="L1997" s="232" t="n">
        <x:v>637.2834692796</x:v>
      </x:c>
      <x:c r="M1997" s="232" t="n">
        <x:v>7.9</x:v>
      </x:c>
      <x:c r="N1997" s="187" t="str">
        <x:v>5034.53940730884000000</x:v>
      </x:c>
      <x:c r="O1997" s="235" t="n">
        <x:v>5034.5394</x:v>
      </x:c>
      <x:c r="P1997" s="235"/>
      <x:c r="Q1997" s="235"/>
      <x:c r="R1997" s="235" t="str">
        <x:v>INVOICE_OR_PLAN</x:v>
      </x:c>
      <x:c r="S1997" s="238" t="n">
        <x:f>'Model_Calc'!AF337</x:f>
        <x:v>5034.539407308841</x:v>
      </x:c>
      <x:c r="T1997" s="238" t="n">
        <x:f>ROUND(S1997-O1997,4)</x:f>
        <x:v>0</x:v>
      </x:c>
    </x:row>
    <x:row r="1998">
      <x:c r="A1998" s="187" t="str">
        <x:v>SCENARIO_COST_SAVING_2026_08</x:v>
      </x:c>
      <x:c r="B1998" s="187" t="str">
        <x:v>SCENARIO</x:v>
      </x:c>
      <x:c r="C1998" s="187" t="str">
        <x:v>COST_SAVING</x:v>
      </x:c>
      <x:c r="D1998" s="217" t="n">
        <x:v>46296</x:v>
      </x:c>
      <x:c r="E1998" s="187" t="str">
        <x:v>R_DE_FR_B_ROAD</x:v>
      </x:c>
      <x:c r="F1998" s="187" t="str">
        <x:v>DE</x:v>
      </x:c>
      <x:c r="G1998" s="187" t="str">
        <x:v>FR_FC</x:v>
      </x:c>
      <x:c r="H1998" s="187" t="str">
        <x:v>CARRIER_B</x:v>
      </x:c>
      <x:c r="I1998" s="187" t="str">
        <x:v>ROAD</x:v>
      </x:c>
      <x:c r="J1998" s="187" t="str">
        <x:v>FUEL_SURCHARGE</x:v>
      </x:c>
      <x:c r="K1998" s="187" t="str">
        <x:v>EUR</x:v>
      </x:c>
      <x:c r="L1998" s="232" t="n">
        <x:v>46.34788867488</x:v>
      </x:c>
      <x:c r="M1998" s="232" t="n">
        <x:v>7.9</x:v>
      </x:c>
      <x:c r="N1998" s="187" t="str">
        <x:v>366.14832053155200000</x:v>
      </x:c>
      <x:c r="O1998" s="235" t="n">
        <x:v>366.1483</x:v>
      </x:c>
      <x:c r="P1998" s="235"/>
      <x:c r="Q1998" s="235"/>
      <x:c r="R1998" s="235" t="str">
        <x:v>INVOICE_OR_PLAN</x:v>
      </x:c>
      <x:c r="S1998" s="238" t="n">
        <x:f>'Model_Calc'!AG337</x:f>
        <x:v>366.1483205315521</x:v>
      </x:c>
      <x:c r="T1998" s="238" t="n">
        <x:f>ROUND(S1998-O1998,4)</x:f>
        <x:v>0</x:v>
      </x:c>
    </x:row>
    <x:row r="1999">
      <x:c r="A1999" s="187" t="str">
        <x:v>SCENARIO_COST_SAVING_2026_08</x:v>
      </x:c>
      <x:c r="B1999" s="187" t="str">
        <x:v>SCENARIO</x:v>
      </x:c>
      <x:c r="C1999" s="187" t="str">
        <x:v>COST_SAVING</x:v>
      </x:c>
      <x:c r="D1999" s="217" t="n">
        <x:v>46296</x:v>
      </x:c>
      <x:c r="E1999" s="187" t="str">
        <x:v>R_DE_FR_B_ROAD</x:v>
      </x:c>
      <x:c r="F1999" s="187" t="str">
        <x:v>DE</x:v>
      </x:c>
      <x:c r="G1999" s="187" t="str">
        <x:v>FR_FC</x:v>
      </x:c>
      <x:c r="H1999" s="187" t="str">
        <x:v>CARRIER_B</x:v>
      </x:c>
      <x:c r="I1999" s="187" t="str">
        <x:v>ROAD</x:v>
      </x:c>
      <x:c r="J1999" s="187" t="str">
        <x:v>WAREHOUSE_OPERATION</x:v>
      </x:c>
      <x:c r="K1999" s="187" t="str">
        <x:v>EUR</x:v>
      </x:c>
      <x:c r="L1999" s="232" t="n">
        <x:v>216.154575</x:v>
      </x:c>
      <x:c r="M1999" s="232" t="n">
        <x:v>7.9</x:v>
      </x:c>
      <x:c r="N1999" s="187" t="str">
        <x:v>1707.62114250000</x:v>
      </x:c>
      <x:c r="O1999" s="235" t="n">
        <x:v>1707.6211</x:v>
      </x:c>
      <x:c r="P1999" s="235"/>
      <x:c r="Q1999" s="235"/>
      <x:c r="R1999" s="235" t="str">
        <x:v>INVOICE_OR_PLAN</x:v>
      </x:c>
      <x:c r="S1999" s="238" t="n">
        <x:f>'Model_Calc'!AL337</x:f>
        <x:v>1707.6211425000006</x:v>
      </x:c>
      <x:c r="T1999" s="238" t="n">
        <x:f>ROUND(S1999-O1999,4)</x:f>
        <x:v>0</x:v>
      </x:c>
    </x:row>
    <x:row r="2000">
      <x:c r="A2000" s="187" t="str">
        <x:v>SCENARIO_COST_SAVING_2026_08</x:v>
      </x:c>
      <x:c r="B2000" s="187" t="str">
        <x:v>SCENARIO</x:v>
      </x:c>
      <x:c r="C2000" s="187" t="str">
        <x:v>COST_SAVING</x:v>
      </x:c>
      <x:c r="D2000" s="217" t="n">
        <x:v>46296</x:v>
      </x:c>
      <x:c r="E2000" s="187" t="str">
        <x:v>R_DE_FR_B_ROAD</x:v>
      </x:c>
      <x:c r="F2000" s="187" t="str">
        <x:v>DE</x:v>
      </x:c>
      <x:c r="G2000" s="187" t="str">
        <x:v>FR_FC</x:v>
      </x:c>
      <x:c r="H2000" s="187" t="str">
        <x:v>CARRIER_B</x:v>
      </x:c>
      <x:c r="I2000" s="187" t="str">
        <x:v>ROAD</x:v>
      </x:c>
      <x:c r="J2000" s="187" t="str">
        <x:v>PACKAGING</x:v>
      </x:c>
      <x:c r="K2000" s="187" t="str">
        <x:v>EUR</x:v>
      </x:c>
      <x:c r="L2000" s="232" t="n">
        <x:v>84.4855596</x:v>
      </x:c>
      <x:c r="M2000" s="232" t="n">
        <x:v>7.9</x:v>
      </x:c>
      <x:c r="N2000" s="187" t="str">
        <x:v>667.4359208400000</x:v>
      </x:c>
      <x:c r="O2000" s="235" t="n">
        <x:v>667.4359</x:v>
      </x:c>
      <x:c r="P2000" s="235"/>
      <x:c r="Q2000" s="235"/>
      <x:c r="R2000" s="235" t="str">
        <x:v>INVOICE_OR_PLAN</x:v>
      </x:c>
      <x:c r="S2000" s="238" t="n">
        <x:f>'Model_Calc'!AQ337</x:f>
        <x:v>667.4359208400001</x:v>
      </x:c>
      <x:c r="T2000" s="238" t="n">
        <x:f>ROUND(S2000-O2000,4)</x:f>
        <x:v>0</x:v>
      </x:c>
    </x:row>
    <x:row r="2001">
      <x:c r="A2001" s="187" t="str">
        <x:v>SCENARIO_COST_SAVING_2026_08</x:v>
      </x:c>
      <x:c r="B2001" s="187" t="str">
        <x:v>SCENARIO</x:v>
      </x:c>
      <x:c r="C2001" s="187" t="str">
        <x:v>COST_SAVING</x:v>
      </x:c>
      <x:c r="D2001" s="217" t="n">
        <x:v>46296</x:v>
      </x:c>
      <x:c r="E2001" s="187" t="str">
        <x:v>R_DE_FR_B_ROAD</x:v>
      </x:c>
      <x:c r="F2001" s="187" t="str">
        <x:v>DE</x:v>
      </x:c>
      <x:c r="G2001" s="187" t="str">
        <x:v>FR_FC</x:v>
      </x:c>
      <x:c r="H2001" s="187" t="str">
        <x:v>CARRIER_B</x:v>
      </x:c>
      <x:c r="I2001" s="187" t="str">
        <x:v>ROAD</x:v>
      </x:c>
      <x:c r="J2001" s="187" t="str">
        <x:v>RETURN_LOGISTICS</x:v>
      </x:c>
      <x:c r="K2001" s="187" t="str">
        <x:v>EUR</x:v>
      </x:c>
      <x:c r="L2001" s="232" t="n">
        <x:v>39.113685</x:v>
      </x:c>
      <x:c r="M2001" s="232" t="n">
        <x:v>7.9</x:v>
      </x:c>
      <x:c r="N2001" s="187" t="str">
        <x:v>308.99811150000000</x:v>
      </x:c>
      <x:c r="O2001" s="235" t="n">
        <x:v>308.9981</x:v>
      </x:c>
      <x:c r="P2001" s="235"/>
      <x:c r="Q2001" s="235"/>
      <x:c r="R2001" s="235" t="str">
        <x:v>INVOICE_OR_PLAN</x:v>
      </x:c>
      <x:c r="S2001" s="238" t="n">
        <x:f>'Model_Calc'!AV337</x:f>
        <x:v>308.99811150000005</x:v>
      </x:c>
      <x:c r="T2001" s="238" t="n">
        <x:f>ROUND(S2001-O2001,4)</x:f>
        <x:v>0</x:v>
      </x:c>
    </x:row>
    <x:row r="2002">
      <x:c r="A2002" s="187" t="str">
        <x:v>SCENARIO_COST_SAVING_2026_08</x:v>
      </x:c>
      <x:c r="B2002" s="187" t="str">
        <x:v>SCENARIO</x:v>
      </x:c>
      <x:c r="C2002" s="187" t="str">
        <x:v>COST_SAVING</x:v>
      </x:c>
      <x:c r="D2002" s="217" t="n">
        <x:v>46296</x:v>
      </x:c>
      <x:c r="E2002" s="187" t="str">
        <x:v>R_DE_FR_B_ROAD</x:v>
      </x:c>
      <x:c r="F2002" s="187" t="str">
        <x:v>DE</x:v>
      </x:c>
      <x:c r="G2002" s="187" t="str">
        <x:v>FR_FC</x:v>
      </x:c>
      <x:c r="H2002" s="187" t="str">
        <x:v>CARRIER_B</x:v>
      </x:c>
      <x:c r="I2002" s="187" t="str">
        <x:v>ROAD</x:v>
      </x:c>
      <x:c r="J2002" s="187" t="str">
        <x:v>BILLABLE_EXCEPTION</x:v>
      </x:c>
      <x:c r="K2002" s="187" t="str">
        <x:v>EUR</x:v>
      </x:c>
      <x:c r="L2002" s="232" t="n">
        <x:v>7.159039524</x:v>
      </x:c>
      <x:c r="M2002" s="232" t="n">
        <x:v>7.9</x:v>
      </x:c>
      <x:c r="N2002" s="187" t="str">
        <x:v>56.5564122396000000</x:v>
      </x:c>
      <x:c r="O2002" s="235" t="n">
        <x:v>56.5564</x:v>
      </x:c>
      <x:c r="P2002" s="235"/>
      <x:c r="Q2002" s="235"/>
      <x:c r="R2002" s="235" t="str">
        <x:v>INVOICE_OR_PLAN</x:v>
      </x:c>
      <x:c r="S2002" s="238" t="n">
        <x:f>'Model_Calc'!BA337</x:f>
        <x:v>56.556412239600014</x:v>
      </x:c>
      <x:c r="T2002" s="238" t="n">
        <x:f>ROUND(S2002-O2002,4)</x:f>
        <x:v>0</x:v>
      </x:c>
    </x:row>
    <x:row r="2003">
      <x:c r="A2003" s="187" t="str">
        <x:v>SCENARIO_COST_SAVING_2026_08</x:v>
      </x:c>
      <x:c r="B2003" s="187" t="str">
        <x:v>SCENARIO</x:v>
      </x:c>
      <x:c r="C2003" s="187" t="str">
        <x:v>COST_SAVING</x:v>
      </x:c>
      <x:c r="D2003" s="217" t="n">
        <x:v>46296</x:v>
      </x:c>
      <x:c r="E2003" s="187" t="str">
        <x:v>R_FR_FR_A_ROAD</x:v>
      </x:c>
      <x:c r="F2003" s="187" t="str">
        <x:v>FR</x:v>
      </x:c>
      <x:c r="G2003" s="187" t="str">
        <x:v>FR_FC</x:v>
      </x:c>
      <x:c r="H2003" s="187" t="str">
        <x:v>CARRIER_A</x:v>
      </x:c>
      <x:c r="I2003" s="187" t="str">
        <x:v>ROAD</x:v>
      </x:c>
      <x:c r="J2003" s="187" t="str">
        <x:v>BASE_FREIGHT</x:v>
      </x:c>
      <x:c r="K2003" s="187" t="str">
        <x:v>EUR</x:v>
      </x:c>
      <x:c r="L2003" s="232" t="n">
        <x:v>3620.96549451</x:v>
      </x:c>
      <x:c r="M2003" s="232" t="n">
        <x:v>7.9</x:v>
      </x:c>
      <x:c r="N2003" s="187" t="str">
        <x:v>28605.62740662900000000</x:v>
      </x:c>
      <x:c r="O2003" s="235" t="n">
        <x:v>28605.6274</x:v>
      </x:c>
      <x:c r="P2003" s="235"/>
      <x:c r="Q2003" s="235"/>
      <x:c r="R2003" s="235" t="str">
        <x:v>INVOICE_OR_PLAN</x:v>
      </x:c>
      <x:c r="S2003" s="238" t="n">
        <x:f>'Model_Calc'!AF338</x:f>
        <x:v>28605.627406629</x:v>
      </x:c>
      <x:c r="T2003" s="238" t="n">
        <x:f>ROUND(S2003-O2003,4)</x:f>
        <x:v>0</x:v>
      </x:c>
    </x:row>
    <x:row r="2004">
      <x:c r="A2004" s="187" t="str">
        <x:v>SCENARIO_COST_SAVING_2026_08</x:v>
      </x:c>
      <x:c r="B2004" s="187" t="str">
        <x:v>SCENARIO</x:v>
      </x:c>
      <x:c r="C2004" s="187" t="str">
        <x:v>COST_SAVING</x:v>
      </x:c>
      <x:c r="D2004" s="217" t="n">
        <x:v>46296</x:v>
      </x:c>
      <x:c r="E2004" s="187" t="str">
        <x:v>R_FR_FR_A_ROAD</x:v>
      </x:c>
      <x:c r="F2004" s="187" t="str">
        <x:v>FR</x:v>
      </x:c>
      <x:c r="G2004" s="187" t="str">
        <x:v>FR_FC</x:v>
      </x:c>
      <x:c r="H2004" s="187" t="str">
        <x:v>CARRIER_A</x:v>
      </x:c>
      <x:c r="I2004" s="187" t="str">
        <x:v>ROAD</x:v>
      </x:c>
      <x:c r="J2004" s="187" t="str">
        <x:v>FUEL_SURCHARGE</x:v>
      </x:c>
      <x:c r="K2004" s="187" t="str">
        <x:v>EUR</x:v>
      </x:c>
      <x:c r="L2004" s="232" t="n">
        <x:v>337.2929358136065</x:v>
      </x:c>
      <x:c r="M2004" s="232" t="n">
        <x:v>7.9</x:v>
      </x:c>
      <x:c r="N2004" s="187" t="str">
        <x:v>2664.61419292749135000000000</x:v>
      </x:c>
      <x:c r="O2004" s="235" t="n">
        <x:v>2664.6142</x:v>
      </x:c>
      <x:c r="P2004" s="235"/>
      <x:c r="Q2004" s="235"/>
      <x:c r="R2004" s="235" t="str">
        <x:v>INVOICE_OR_PLAN</x:v>
      </x:c>
      <x:c r="S2004" s="238" t="n">
        <x:f>'Model_Calc'!AG338</x:f>
        <x:v>2664.614192927491</x:v>
      </x:c>
      <x:c r="T2004" s="238" t="n">
        <x:f>ROUND(S2004-O2004,4)</x:f>
        <x:v>0</x:v>
      </x:c>
    </x:row>
    <x:row r="2005">
      <x:c r="A2005" s="187" t="str">
        <x:v>SCENARIO_COST_SAVING_2026_08</x:v>
      </x:c>
      <x:c r="B2005" s="187" t="str">
        <x:v>SCENARIO</x:v>
      </x:c>
      <x:c r="C2005" s="187" t="str">
        <x:v>COST_SAVING</x:v>
      </x:c>
      <x:c r="D2005" s="217" t="n">
        <x:v>46296</x:v>
      </x:c>
      <x:c r="E2005" s="187" t="str">
        <x:v>R_FR_FR_A_ROAD</x:v>
      </x:c>
      <x:c r="F2005" s="187" t="str">
        <x:v>FR</x:v>
      </x:c>
      <x:c r="G2005" s="187" t="str">
        <x:v>FR_FC</x:v>
      </x:c>
      <x:c r="H2005" s="187" t="str">
        <x:v>CARRIER_A</x:v>
      </x:c>
      <x:c r="I2005" s="187" t="str">
        <x:v>ROAD</x:v>
      </x:c>
      <x:c r="J2005" s="187" t="str">
        <x:v>WAREHOUSE_OPERATION</x:v>
      </x:c>
      <x:c r="K2005" s="187" t="str">
        <x:v>EUR</x:v>
      </x:c>
      <x:c r="L2005" s="232" t="n">
        <x:v>2225.120625</x:v>
      </x:c>
      <x:c r="M2005" s="232" t="n">
        <x:v>7.9</x:v>
      </x:c>
      <x:c r="N2005" s="187" t="str">
        <x:v>17578.45293750000</x:v>
      </x:c>
      <x:c r="O2005" s="235" t="n">
        <x:v>17578.4529</x:v>
      </x:c>
      <x:c r="P2005" s="235"/>
      <x:c r="Q2005" s="235"/>
      <x:c r="R2005" s="235" t="str">
        <x:v>INVOICE_OR_PLAN</x:v>
      </x:c>
      <x:c r="S2005" s="238" t="n">
        <x:f>'Model_Calc'!AL338</x:f>
        <x:v>17578.452937500002</x:v>
      </x:c>
      <x:c r="T2005" s="238" t="n">
        <x:f>ROUND(S2005-O2005,4)</x:f>
        <x:v>0</x:v>
      </x:c>
    </x:row>
    <x:row r="2006">
      <x:c r="A2006" s="187" t="str">
        <x:v>SCENARIO_COST_SAVING_2026_08</x:v>
      </x:c>
      <x:c r="B2006" s="187" t="str">
        <x:v>SCENARIO</x:v>
      </x:c>
      <x:c r="C2006" s="187" t="str">
        <x:v>COST_SAVING</x:v>
      </x:c>
      <x:c r="D2006" s="217" t="n">
        <x:v>46296</x:v>
      </x:c>
      <x:c r="E2006" s="187" t="str">
        <x:v>R_FR_FR_A_ROAD</x:v>
      </x:c>
      <x:c r="F2006" s="187" t="str">
        <x:v>FR</x:v>
      </x:c>
      <x:c r="G2006" s="187" t="str">
        <x:v>FR_FC</x:v>
      </x:c>
      <x:c r="H2006" s="187" t="str">
        <x:v>CARRIER_A</x:v>
      </x:c>
      <x:c r="I2006" s="187" t="str">
        <x:v>ROAD</x:v>
      </x:c>
      <x:c r="J2006" s="187" t="str">
        <x:v>PACKAGING</x:v>
      </x:c>
      <x:c r="K2006" s="187" t="str">
        <x:v>EUR</x:v>
      </x:c>
      <x:c r="L2006" s="232" t="n">
        <x:v>853.598655</x:v>
      </x:c>
      <x:c r="M2006" s="232" t="n">
        <x:v>7.9</x:v>
      </x:c>
      <x:c r="N2006" s="187" t="str">
        <x:v>6743.4293745000000</x:v>
      </x:c>
      <x:c r="O2006" s="235" t="n">
        <x:v>6743.4294</x:v>
      </x:c>
      <x:c r="P2006" s="235"/>
      <x:c r="Q2006" s="235"/>
      <x:c r="R2006" s="235" t="str">
        <x:v>INVOICE_OR_PLAN</x:v>
      </x:c>
      <x:c r="S2006" s="238" t="n">
        <x:f>'Model_Calc'!AQ338</x:f>
        <x:v>6743.4293744999995</x:v>
      </x:c>
      <x:c r="T2006" s="238" t="n">
        <x:f>ROUND(S2006-O2006,4)</x:f>
        <x:v>0</x:v>
      </x:c>
    </x:row>
    <x:row r="2007">
      <x:c r="A2007" s="187" t="str">
        <x:v>SCENARIO_COST_SAVING_2026_08</x:v>
      </x:c>
      <x:c r="B2007" s="187" t="str">
        <x:v>SCENARIO</x:v>
      </x:c>
      <x:c r="C2007" s="187" t="str">
        <x:v>COST_SAVING</x:v>
      </x:c>
      <x:c r="D2007" s="217" t="n">
        <x:v>46296</x:v>
      </x:c>
      <x:c r="E2007" s="187" t="str">
        <x:v>R_FR_FR_A_ROAD</x:v>
      </x:c>
      <x:c r="F2007" s="187" t="str">
        <x:v>FR</x:v>
      </x:c>
      <x:c r="G2007" s="187" t="str">
        <x:v>FR_FC</x:v>
      </x:c>
      <x:c r="H2007" s="187" t="str">
        <x:v>CARRIER_A</x:v>
      </x:c>
      <x:c r="I2007" s="187" t="str">
        <x:v>ROAD</x:v>
      </x:c>
      <x:c r="J2007" s="187" t="str">
        <x:v>RETURN_LOGISTICS</x:v>
      </x:c>
      <x:c r="K2007" s="187" t="str">
        <x:v>EUR</x:v>
      </x:c>
      <x:c r="L2007" s="232" t="n">
        <x:v>381.44925</x:v>
      </x:c>
      <x:c r="M2007" s="232" t="n">
        <x:v>7.9</x:v>
      </x:c>
      <x:c r="N2007" s="187" t="str">
        <x:v>3013.44907500000000</x:v>
      </x:c>
      <x:c r="O2007" s="235" t="n">
        <x:v>3013.4491</x:v>
      </x:c>
      <x:c r="P2007" s="235"/>
      <x:c r="Q2007" s="235"/>
      <x:c r="R2007" s="235" t="str">
        <x:v>INVOICE_OR_PLAN</x:v>
      </x:c>
      <x:c r="S2007" s="238" t="n">
        <x:f>'Model_Calc'!AV338</x:f>
        <x:v>3013.4490749999995</x:v>
      </x:c>
      <x:c r="T2007" s="238" t="n">
        <x:f>ROUND(S2007-O2007,4)</x:f>
        <x:v>0</x:v>
      </x:c>
    </x:row>
    <x:row r="2008">
      <x:c r="A2008" s="187" t="str">
        <x:v>SCENARIO_COST_SAVING_2026_08</x:v>
      </x:c>
      <x:c r="B2008" s="187" t="str">
        <x:v>SCENARIO</x:v>
      </x:c>
      <x:c r="C2008" s="187" t="str">
        <x:v>COST_SAVING</x:v>
      </x:c>
      <x:c r="D2008" s="217" t="n">
        <x:v>46296</x:v>
      </x:c>
      <x:c r="E2008" s="187" t="str">
        <x:v>R_FR_FR_A_ROAD</x:v>
      </x:c>
      <x:c r="F2008" s="187" t="str">
        <x:v>FR</x:v>
      </x:c>
      <x:c r="G2008" s="187" t="str">
        <x:v>FR_FC</x:v>
      </x:c>
      <x:c r="H2008" s="187" t="str">
        <x:v>CARRIER_A</x:v>
      </x:c>
      <x:c r="I2008" s="187" t="str">
        <x:v>ROAD</x:v>
      </x:c>
      <x:c r="J2008" s="187" t="str">
        <x:v>BILLABLE_EXCEPTION</x:v>
      </x:c>
      <x:c r="K2008" s="187" t="str">
        <x:v>EUR</x:v>
      </x:c>
      <x:c r="L2008" s="232" t="n">
        <x:v>87.830808975</x:v>
      </x:c>
      <x:c r="M2008" s="232" t="n">
        <x:v>7.9</x:v>
      </x:c>
      <x:c r="N2008" s="187" t="str">
        <x:v>693.8633909025000000</x:v>
      </x:c>
      <x:c r="O2008" s="235" t="n">
        <x:v>693.8634</x:v>
      </x:c>
      <x:c r="P2008" s="235"/>
      <x:c r="Q2008" s="235"/>
      <x:c r="R2008" s="235" t="str">
        <x:v>INVOICE_OR_PLAN</x:v>
      </x:c>
      <x:c r="S2008" s="238" t="n">
        <x:f>'Model_Calc'!BA338</x:f>
        <x:v>693.8633909025</x:v>
      </x:c>
      <x:c r="T2008" s="238" t="n">
        <x:f>ROUND(S2008-O2008,4)</x:f>
        <x:v>0</x:v>
      </x:c>
    </x:row>
    <x:row r="2009">
      <x:c r="A2009" s="187" t="str">
        <x:v>SCENARIO_COST_SAVING_2026_08</x:v>
      </x:c>
      <x:c r="B2009" s="187" t="str">
        <x:v>SCENARIO</x:v>
      </x:c>
      <x:c r="C2009" s="187" t="str">
        <x:v>COST_SAVING</x:v>
      </x:c>
      <x:c r="D2009" s="217" t="n">
        <x:v>46296</x:v>
      </x:c>
      <x:c r="E2009" s="187" t="str">
        <x:v>R_FR_FR_B_ROAD</x:v>
      </x:c>
      <x:c r="F2009" s="187" t="str">
        <x:v>FR</x:v>
      </x:c>
      <x:c r="G2009" s="187" t="str">
        <x:v>FR_FC</x:v>
      </x:c>
      <x:c r="H2009" s="187" t="str">
        <x:v>CARRIER_B</x:v>
      </x:c>
      <x:c r="I2009" s="187" t="str">
        <x:v>ROAD</x:v>
      </x:c>
      <x:c r="J2009" s="187" t="str">
        <x:v>BASE_FREIGHT</x:v>
      </x:c>
      <x:c r="K2009" s="187" t="str">
        <x:v>EUR</x:v>
      </x:c>
      <x:c r="L2009" s="232" t="n">
        <x:v>8654.405713785</x:v>
      </x:c>
      <x:c r="M2009" s="232" t="n">
        <x:v>7.9</x:v>
      </x:c>
      <x:c r="N2009" s="187" t="str">
        <x:v>68369.80513890150000000</x:v>
      </x:c>
      <x:c r="O2009" s="235" t="n">
        <x:v>68369.8051</x:v>
      </x:c>
      <x:c r="P2009" s="235"/>
      <x:c r="Q2009" s="235"/>
      <x:c r="R2009" s="235" t="str">
        <x:v>INVOICE_OR_PLAN</x:v>
      </x:c>
      <x:c r="S2009" s="238" t="n">
        <x:f>'Model_Calc'!AF339</x:f>
        <x:v>68369.8051389015</x:v>
      </x:c>
      <x:c r="T2009" s="238" t="n">
        <x:f>ROUND(S2009-O2009,4)</x:f>
        <x:v>0</x:v>
      </x:c>
    </x:row>
    <x:row r="2010">
      <x:c r="A2010" s="187" t="str">
        <x:v>SCENARIO_COST_SAVING_2026_08</x:v>
      </x:c>
      <x:c r="B2010" s="187" t="str">
        <x:v>SCENARIO</x:v>
      </x:c>
      <x:c r="C2010" s="187" t="str">
        <x:v>COST_SAVING</x:v>
      </x:c>
      <x:c r="D2010" s="217" t="n">
        <x:v>46296</x:v>
      </x:c>
      <x:c r="E2010" s="187" t="str">
        <x:v>R_FR_FR_B_ROAD</x:v>
      </x:c>
      <x:c r="F2010" s="187" t="str">
        <x:v>FR</x:v>
      </x:c>
      <x:c r="G2010" s="187" t="str">
        <x:v>FR_FC</x:v>
      </x:c>
      <x:c r="H2010" s="187" t="str">
        <x:v>CARRIER_B</x:v>
      </x:c>
      <x:c r="I2010" s="187" t="str">
        <x:v>ROAD</x:v>
      </x:c>
      <x:c r="J2010" s="187" t="str">
        <x:v>FUEL_SURCHARGE</x:v>
      </x:c>
      <x:c r="K2010" s="187" t="str">
        <x:v>EUR</x:v>
      </x:c>
      <x:c r="L2010" s="232" t="n">
        <x:v>665.723516445</x:v>
      </x:c>
      <x:c r="M2010" s="232" t="n">
        <x:v>7.9</x:v>
      </x:c>
      <x:c r="N2010" s="187" t="str">
        <x:v>5259.21577991550000000</x:v>
      </x:c>
      <x:c r="O2010" s="235" t="n">
        <x:v>5259.2158</x:v>
      </x:c>
      <x:c r="P2010" s="235"/>
      <x:c r="Q2010" s="235"/>
      <x:c r="R2010" s="235" t="str">
        <x:v>INVOICE_OR_PLAN</x:v>
      </x:c>
      <x:c r="S2010" s="238" t="n">
        <x:f>'Model_Calc'!AG339</x:f>
        <x:v>5259.2157799155</x:v>
      </x:c>
      <x:c r="T2010" s="238" t="n">
        <x:f>ROUND(S2010-O2010,4)</x:f>
        <x:v>0</x:v>
      </x:c>
    </x:row>
    <x:row r="2011">
      <x:c r="A2011" s="187" t="str">
        <x:v>SCENARIO_COST_SAVING_2026_08</x:v>
      </x:c>
      <x:c r="B2011" s="187" t="str">
        <x:v>SCENARIO</x:v>
      </x:c>
      <x:c r="C2011" s="187" t="str">
        <x:v>COST_SAVING</x:v>
      </x:c>
      <x:c r="D2011" s="217" t="n">
        <x:v>46296</x:v>
      </x:c>
      <x:c r="E2011" s="187" t="str">
        <x:v>R_FR_FR_B_ROAD</x:v>
      </x:c>
      <x:c r="F2011" s="187" t="str">
        <x:v>FR</x:v>
      </x:c>
      <x:c r="G2011" s="187" t="str">
        <x:v>FR_FC</x:v>
      </x:c>
      <x:c r="H2011" s="187" t="str">
        <x:v>CARRIER_B</x:v>
      </x:c>
      <x:c r="I2011" s="187" t="str">
        <x:v>ROAD</x:v>
      </x:c>
      <x:c r="J2011" s="187" t="str">
        <x:v>WAREHOUSE_OPERATION</x:v>
      </x:c>
      <x:c r="K2011" s="187" t="str">
        <x:v>EUR</x:v>
      </x:c>
      <x:c r="L2011" s="232" t="n">
        <x:v>4132.366875</x:v>
      </x:c>
      <x:c r="M2011" s="232" t="n">
        <x:v>7.9</x:v>
      </x:c>
      <x:c r="N2011" s="187" t="str">
        <x:v>32645.69831250000</x:v>
      </x:c>
      <x:c r="O2011" s="235" t="n">
        <x:v>32645.6983</x:v>
      </x:c>
      <x:c r="P2011" s="235"/>
      <x:c r="Q2011" s="235"/>
      <x:c r="R2011" s="235" t="str">
        <x:v>INVOICE_OR_PLAN</x:v>
      </x:c>
      <x:c r="S2011" s="238" t="n">
        <x:f>'Model_Calc'!AL339</x:f>
        <x:v>32645.698312500008</x:v>
      </x:c>
      <x:c r="T2011" s="238" t="n">
        <x:f>ROUND(S2011-O2011,4)</x:f>
        <x:v>0</x:v>
      </x:c>
    </x:row>
    <x:row r="2012">
      <x:c r="A2012" s="187" t="str">
        <x:v>SCENARIO_COST_SAVING_2026_08</x:v>
      </x:c>
      <x:c r="B2012" s="187" t="str">
        <x:v>SCENARIO</x:v>
      </x:c>
      <x:c r="C2012" s="187" t="str">
        <x:v>COST_SAVING</x:v>
      </x:c>
      <x:c r="D2012" s="217" t="n">
        <x:v>46296</x:v>
      </x:c>
      <x:c r="E2012" s="187" t="str">
        <x:v>R_FR_FR_B_ROAD</x:v>
      </x:c>
      <x:c r="F2012" s="187" t="str">
        <x:v>FR</x:v>
      </x:c>
      <x:c r="G2012" s="187" t="str">
        <x:v>FR_FC</x:v>
      </x:c>
      <x:c r="H2012" s="187" t="str">
        <x:v>CARRIER_B</x:v>
      </x:c>
      <x:c r="I2012" s="187" t="str">
        <x:v>ROAD</x:v>
      </x:c>
      <x:c r="J2012" s="187" t="str">
        <x:v>PACKAGING</x:v>
      </x:c>
      <x:c r="K2012" s="187" t="str">
        <x:v>EUR</x:v>
      </x:c>
      <x:c r="L2012" s="232" t="n">
        <x:v>1585.254645</x:v>
      </x:c>
      <x:c r="M2012" s="232" t="n">
        <x:v>7.9</x:v>
      </x:c>
      <x:c r="N2012" s="187" t="str">
        <x:v>12523.5116955000000</x:v>
      </x:c>
      <x:c r="O2012" s="235" t="n">
        <x:v>12523.5117</x:v>
      </x:c>
      <x:c r="P2012" s="235"/>
      <x:c r="Q2012" s="235"/>
      <x:c r="R2012" s="235" t="str">
        <x:v>INVOICE_OR_PLAN</x:v>
      </x:c>
      <x:c r="S2012" s="238" t="n">
        <x:f>'Model_Calc'!AQ339</x:f>
        <x:v>12523.511695500001</x:v>
      </x:c>
      <x:c r="T2012" s="238" t="n">
        <x:f>ROUND(S2012-O2012,4)</x:f>
        <x:v>0</x:v>
      </x:c>
    </x:row>
    <x:row r="2013">
      <x:c r="A2013" s="187" t="str">
        <x:v>SCENARIO_COST_SAVING_2026_08</x:v>
      </x:c>
      <x:c r="B2013" s="187" t="str">
        <x:v>SCENARIO</x:v>
      </x:c>
      <x:c r="C2013" s="187" t="str">
        <x:v>COST_SAVING</x:v>
      </x:c>
      <x:c r="D2013" s="217" t="n">
        <x:v>46296</x:v>
      </x:c>
      <x:c r="E2013" s="187" t="str">
        <x:v>R_FR_FR_B_ROAD</x:v>
      </x:c>
      <x:c r="F2013" s="187" t="str">
        <x:v>FR</x:v>
      </x:c>
      <x:c r="G2013" s="187" t="str">
        <x:v>FR_FC</x:v>
      </x:c>
      <x:c r="H2013" s="187" t="str">
        <x:v>CARRIER_B</x:v>
      </x:c>
      <x:c r="I2013" s="187" t="str">
        <x:v>ROAD</x:v>
      </x:c>
      <x:c r="J2013" s="187" t="str">
        <x:v>RETURN_LOGISTICS</x:v>
      </x:c>
      <x:c r="K2013" s="187" t="str">
        <x:v>EUR</x:v>
      </x:c>
      <x:c r="L2013" s="232" t="n">
        <x:v>708.40575</x:v>
      </x:c>
      <x:c r="M2013" s="232" t="n">
        <x:v>7.9</x:v>
      </x:c>
      <x:c r="N2013" s="187" t="str">
        <x:v>5596.40542500000000</x:v>
      </x:c>
      <x:c r="O2013" s="235" t="n">
        <x:v>5596.4054</x:v>
      </x:c>
      <x:c r="P2013" s="235"/>
      <x:c r="Q2013" s="235"/>
      <x:c r="R2013" s="235" t="str">
        <x:v>INVOICE_OR_PLAN</x:v>
      </x:c>
      <x:c r="S2013" s="238" t="n">
        <x:f>'Model_Calc'!AV339</x:f>
        <x:v>5596.405425</x:v>
      </x:c>
      <x:c r="T2013" s="238" t="n">
        <x:f>ROUND(S2013-O2013,4)</x:f>
        <x:v>0</x:v>
      </x:c>
    </x:row>
    <x:row r="2014">
      <x:c r="A2014" s="187" t="str">
        <x:v>SCENARIO_COST_SAVING_2026_08</x:v>
      </x:c>
      <x:c r="B2014" s="187" t="str">
        <x:v>SCENARIO</x:v>
      </x:c>
      <x:c r="C2014" s="187" t="str">
        <x:v>COST_SAVING</x:v>
      </x:c>
      <x:c r="D2014" s="217" t="n">
        <x:v>46296</x:v>
      </x:c>
      <x:c r="E2014" s="187" t="str">
        <x:v>R_FR_FR_B_ROAD</x:v>
      </x:c>
      <x:c r="F2014" s="187" t="str">
        <x:v>FR</x:v>
      </x:c>
      <x:c r="G2014" s="187" t="str">
        <x:v>FR_FC</x:v>
      </x:c>
      <x:c r="H2014" s="187" t="str">
        <x:v>CARRIER_B</x:v>
      </x:c>
      <x:c r="I2014" s="187" t="str">
        <x:v>ROAD</x:v>
      </x:c>
      <x:c r="J2014" s="187" t="str">
        <x:v>BILLABLE_EXCEPTION</x:v>
      </x:c>
      <x:c r="K2014" s="187" t="str">
        <x:v>EUR</x:v>
      </x:c>
      <x:c r="L2014" s="232" t="n">
        <x:v>134.32947255</x:v>
      </x:c>
      <x:c r="M2014" s="232" t="n">
        <x:v>7.9</x:v>
      </x:c>
      <x:c r="N2014" s="187" t="str">
        <x:v>1061.2028331450000000</x:v>
      </x:c>
      <x:c r="O2014" s="235" t="n">
        <x:v>1061.2028</x:v>
      </x:c>
      <x:c r="P2014" s="235"/>
      <x:c r="Q2014" s="235"/>
      <x:c r="R2014" s="235" t="str">
        <x:v>INVOICE_OR_PLAN</x:v>
      </x:c>
      <x:c r="S2014" s="238" t="n">
        <x:f>'Model_Calc'!BA339</x:f>
        <x:v>1061.202833145</x:v>
      </x:c>
      <x:c r="T2014" s="238" t="n">
        <x:f>ROUND(S2014-O2014,4)</x:f>
        <x:v>0</x:v>
      </x:c>
    </x:row>
    <x:row r="2015">
      <x:c r="A2015" s="187" t="str">
        <x:v>SCENARIO_COST_SAVING_2026_08</x:v>
      </x:c>
      <x:c r="B2015" s="187" t="str">
        <x:v>SCENARIO</x:v>
      </x:c>
      <x:c r="C2015" s="187" t="str">
        <x:v>COST_SAVING</x:v>
      </x:c>
      <x:c r="D2015" s="217" t="n">
        <x:v>46296</x:v>
      </x:c>
      <x:c r="E2015" s="187" t="str">
        <x:v>R_GB_DE_A_ROAD</x:v>
      </x:c>
      <x:c r="F2015" s="187" t="str">
        <x:v>GB</x:v>
      </x:c>
      <x:c r="G2015" s="187" t="str">
        <x:v>DE_FC</x:v>
      </x:c>
      <x:c r="H2015" s="187" t="str">
        <x:v>CARRIER_A</x:v>
      </x:c>
      <x:c r="I2015" s="187" t="str">
        <x:v>ROAD</x:v>
      </x:c>
      <x:c r="J2015" s="187" t="str">
        <x:v>BASE_FREIGHT</x:v>
      </x:c>
      <x:c r="K2015" s="187" t="str">
        <x:v>GBP</x:v>
      </x:c>
      <x:c r="L2015" s="232" t="n">
        <x:v>14834.773521165313</x:v>
      </x:c>
      <x:c r="M2015" s="232" t="n">
        <x:v>9.1</x:v>
      </x:c>
      <x:c r="N2015" s="187" t="str">
        <x:v>134996.439042604339200000000</x:v>
      </x:c>
      <x:c r="O2015" s="235" t="n">
        <x:v>134996.439</x:v>
      </x:c>
      <x:c r="P2015" s="235"/>
      <x:c r="Q2015" s="235"/>
      <x:c r="R2015" s="235" t="str">
        <x:v>INVOICE_OR_PLAN</x:v>
      </x:c>
      <x:c r="S2015" s="238" t="n">
        <x:f>'Model_Calc'!AF340</x:f>
        <x:v>134996.43904260432</x:v>
      </x:c>
      <x:c r="T2015" s="238" t="n">
        <x:f>ROUND(S2015-O2015,4)</x:f>
        <x:v>0</x:v>
      </x:c>
    </x:row>
    <x:row r="2016">
      <x:c r="A2016" s="187" t="str">
        <x:v>SCENARIO_COST_SAVING_2026_08</x:v>
      </x:c>
      <x:c r="B2016" s="187" t="str">
        <x:v>SCENARIO</x:v>
      </x:c>
      <x:c r="C2016" s="187" t="str">
        <x:v>COST_SAVING</x:v>
      </x:c>
      <x:c r="D2016" s="217" t="n">
        <x:v>46296</x:v>
      </x:c>
      <x:c r="E2016" s="187" t="str">
        <x:v>R_GB_DE_A_ROAD</x:v>
      </x:c>
      <x:c r="F2016" s="187" t="str">
        <x:v>GB</x:v>
      </x:c>
      <x:c r="G2016" s="187" t="str">
        <x:v>DE_FC</x:v>
      </x:c>
      <x:c r="H2016" s="187" t="str">
        <x:v>CARRIER_A</x:v>
      </x:c>
      <x:c r="I2016" s="187" t="str">
        <x:v>ROAD</x:v>
      </x:c>
      <x:c r="J2016" s="187" t="str">
        <x:v>FUEL_SURCHARGE</x:v>
      </x:c>
      <x:c r="K2016" s="187" t="str">
        <x:v>GBP</x:v>
      </x:c>
      <x:c r="L2016" s="232" t="n">
        <x:v>1535.3990594406098</x:v>
      </x:c>
      <x:c r="M2016" s="232" t="n">
        <x:v>9.1</x:v>
      </x:c>
      <x:c r="N2016" s="187" t="str">
        <x:v>13972.131440909549107200000000000</x:v>
      </x:c>
      <x:c r="O2016" s="235" t="n">
        <x:v>13972.1314</x:v>
      </x:c>
      <x:c r="P2016" s="235"/>
      <x:c r="Q2016" s="235"/>
      <x:c r="R2016" s="235" t="str">
        <x:v>INVOICE_OR_PLAN</x:v>
      </x:c>
      <x:c r="S2016" s="238" t="n">
        <x:f>'Model_Calc'!AG340</x:f>
        <x:v>13972.131440909547</x:v>
      </x:c>
      <x:c r="T2016" s="238" t="n">
        <x:f>ROUND(S2016-O2016,4)</x:f>
        <x:v>0</x:v>
      </x:c>
    </x:row>
    <x:row r="2017">
      <x:c r="A2017" s="187" t="str">
        <x:v>SCENARIO_COST_SAVING_2026_08</x:v>
      </x:c>
      <x:c r="B2017" s="187" t="str">
        <x:v>SCENARIO</x:v>
      </x:c>
      <x:c r="C2017" s="187" t="str">
        <x:v>COST_SAVING</x:v>
      </x:c>
      <x:c r="D2017" s="217" t="n">
        <x:v>46296</x:v>
      </x:c>
      <x:c r="E2017" s="187" t="str">
        <x:v>R_GB_DE_A_ROAD</x:v>
      </x:c>
      <x:c r="F2017" s="187" t="str">
        <x:v>GB</x:v>
      </x:c>
      <x:c r="G2017" s="187" t="str">
        <x:v>DE_FC</x:v>
      </x:c>
      <x:c r="H2017" s="187" t="str">
        <x:v>CARRIER_A</x:v>
      </x:c>
      <x:c r="I2017" s="187" t="str">
        <x:v>ROAD</x:v>
      </x:c>
      <x:c r="J2017" s="187" t="str">
        <x:v>WAREHOUSE_OPERATION</x:v>
      </x:c>
      <x:c r="K2017" s="187" t="str">
        <x:v>EUR</x:v>
      </x:c>
      <x:c r="L2017" s="232" t="n">
        <x:v>3621.4573824</x:v>
      </x:c>
      <x:c r="M2017" s="232" t="n">
        <x:v>7.9</x:v>
      </x:c>
      <x:c r="N2017" s="187" t="str">
        <x:v>28609.5133209600000</x:v>
      </x:c>
      <x:c r="O2017" s="235" t="n">
        <x:v>28609.5133</x:v>
      </x:c>
      <x:c r="P2017" s="235"/>
      <x:c r="Q2017" s="235"/>
      <x:c r="R2017" s="235" t="str">
        <x:v>INVOICE_OR_PLAN</x:v>
      </x:c>
      <x:c r="S2017" s="238" t="n">
        <x:f>'Model_Calc'!AL340</x:f>
        <x:v>28609.513320960003</x:v>
      </x:c>
      <x:c r="T2017" s="238" t="n">
        <x:f>ROUND(S2017-O2017,4)</x:f>
        <x:v>0</x:v>
      </x:c>
    </x:row>
    <x:row r="2018">
      <x:c r="A2018" s="187" t="str">
        <x:v>SCENARIO_COST_SAVING_2026_08</x:v>
      </x:c>
      <x:c r="B2018" s="187" t="str">
        <x:v>SCENARIO</x:v>
      </x:c>
      <x:c r="C2018" s="187" t="str">
        <x:v>COST_SAVING</x:v>
      </x:c>
      <x:c r="D2018" s="217" t="n">
        <x:v>46296</x:v>
      </x:c>
      <x:c r="E2018" s="187" t="str">
        <x:v>R_GB_DE_A_ROAD</x:v>
      </x:c>
      <x:c r="F2018" s="187" t="str">
        <x:v>GB</x:v>
      </x:c>
      <x:c r="G2018" s="187" t="str">
        <x:v>DE_FC</x:v>
      </x:c>
      <x:c r="H2018" s="187" t="str">
        <x:v>CARRIER_A</x:v>
      </x:c>
      <x:c r="I2018" s="187" t="str">
        <x:v>ROAD</x:v>
      </x:c>
      <x:c r="J2018" s="187" t="str">
        <x:v>PACKAGING</x:v>
      </x:c>
      <x:c r="K2018" s="187" t="str">
        <x:v>EUR</x:v>
      </x:c>
      <x:c r="L2018" s="232" t="n">
        <x:v>1482.34230144</x:v>
      </x:c>
      <x:c r="M2018" s="232" t="n">
        <x:v>7.9</x:v>
      </x:c>
      <x:c r="N2018" s="187" t="str">
        <x:v>11710.504181376000000</x:v>
      </x:c>
      <x:c r="O2018" s="235" t="n">
        <x:v>11710.5042</x:v>
      </x:c>
      <x:c r="P2018" s="235"/>
      <x:c r="Q2018" s="235"/>
      <x:c r="R2018" s="235" t="str">
        <x:v>INVOICE_OR_PLAN</x:v>
      </x:c>
      <x:c r="S2018" s="238" t="n">
        <x:f>'Model_Calc'!AQ340</x:f>
        <x:v>11710.504181375998</x:v>
      </x:c>
      <x:c r="T2018" s="238" t="n">
        <x:f>ROUND(S2018-O2018,4)</x:f>
        <x:v>0</x:v>
      </x:c>
    </x:row>
    <x:row r="2019">
      <x:c r="A2019" s="187" t="str">
        <x:v>SCENARIO_COST_SAVING_2026_08</x:v>
      </x:c>
      <x:c r="B2019" s="187" t="str">
        <x:v>SCENARIO</x:v>
      </x:c>
      <x:c r="C2019" s="187" t="str">
        <x:v>COST_SAVING</x:v>
      </x:c>
      <x:c r="D2019" s="217" t="n">
        <x:v>46296</x:v>
      </x:c>
      <x:c r="E2019" s="187" t="str">
        <x:v>R_GB_DE_A_ROAD</x:v>
      </x:c>
      <x:c r="F2019" s="187" t="str">
        <x:v>GB</x:v>
      </x:c>
      <x:c r="G2019" s="187" t="str">
        <x:v>DE_FC</x:v>
      </x:c>
      <x:c r="H2019" s="187" t="str">
        <x:v>CARRIER_A</x:v>
      </x:c>
      <x:c r="I2019" s="187" t="str">
        <x:v>ROAD</x:v>
      </x:c>
      <x:c r="J2019" s="187" t="str">
        <x:v>RETURN_LOGISTICS</x:v>
      </x:c>
      <x:c r="K2019" s="187" t="str">
        <x:v>GBP</x:v>
      </x:c>
      <x:c r="L2019" s="232" t="n">
        <x:v>1325.82168576</x:v>
      </x:c>
      <x:c r="M2019" s="232" t="n">
        <x:v>9.1</x:v>
      </x:c>
      <x:c r="N2019" s="187" t="str">
        <x:v>12064.9773404160000000</x:v>
      </x:c>
      <x:c r="O2019" s="235" t="n">
        <x:v>12064.9773</x:v>
      </x:c>
      <x:c r="P2019" s="235"/>
      <x:c r="Q2019" s="235"/>
      <x:c r="R2019" s="235" t="str">
        <x:v>INVOICE_OR_PLAN</x:v>
      </x:c>
      <x:c r="S2019" s="238" t="n">
        <x:f>'Model_Calc'!AV340</x:f>
        <x:v>12064.977340416</x:v>
      </x:c>
      <x:c r="T2019" s="238" t="n">
        <x:f>ROUND(S2019-O2019,4)</x:f>
        <x:v>0</x:v>
      </x:c>
    </x:row>
    <x:row r="2020">
      <x:c r="A2020" s="187" t="str">
        <x:v>SCENARIO_COST_SAVING_2026_08</x:v>
      </x:c>
      <x:c r="B2020" s="187" t="str">
        <x:v>SCENARIO</x:v>
      </x:c>
      <x:c r="C2020" s="187" t="str">
        <x:v>COST_SAVING</x:v>
      </x:c>
      <x:c r="D2020" s="217" t="n">
        <x:v>46296</x:v>
      </x:c>
      <x:c r="E2020" s="187" t="str">
        <x:v>R_GB_DE_A_ROAD</x:v>
      </x:c>
      <x:c r="F2020" s="187" t="str">
        <x:v>GB</x:v>
      </x:c>
      <x:c r="G2020" s="187" t="str">
        <x:v>DE_FC</x:v>
      </x:c>
      <x:c r="H2020" s="187" t="str">
        <x:v>CARRIER_A</x:v>
      </x:c>
      <x:c r="I2020" s="187" t="str">
        <x:v>ROAD</x:v>
      </x:c>
      <x:c r="J2020" s="187" t="str">
        <x:v>BILLABLE_EXCEPTION</x:v>
      </x:c>
      <x:c r="K2020" s="187" t="str">
        <x:v>GBP</x:v>
      </x:c>
      <x:c r="L2020" s="232" t="n">
        <x:v>208.21615255584</x:v>
      </x:c>
      <x:c r="M2020" s="232" t="n">
        <x:v>9.1</x:v>
      </x:c>
      <x:c r="N2020" s="187" t="str">
        <x:v>1894.76698825814400000000</x:v>
      </x:c>
      <x:c r="O2020" s="235" t="n">
        <x:v>1894.767</x:v>
      </x:c>
      <x:c r="P2020" s="235"/>
      <x:c r="Q2020" s="235"/>
      <x:c r="R2020" s="235" t="str">
        <x:v>INVOICE_OR_PLAN</x:v>
      </x:c>
      <x:c r="S2020" s="238" t="n">
        <x:f>'Model_Calc'!BA340</x:f>
        <x:v>1894.7669882581438</x:v>
      </x:c>
      <x:c r="T2020" s="238" t="n">
        <x:f>ROUND(S2020-O2020,4)</x:f>
        <x:v>0</x:v>
      </x:c>
    </x:row>
    <x:row r="2021">
      <x:c r="A2021" s="187" t="str">
        <x:v>SCENARIO_COST_SAVING_2026_08</x:v>
      </x:c>
      <x:c r="B2021" s="187" t="str">
        <x:v>SCENARIO</x:v>
      </x:c>
      <x:c r="C2021" s="187" t="str">
        <x:v>COST_SAVING</x:v>
      </x:c>
      <x:c r="D2021" s="217" t="n">
        <x:v>46296</x:v>
      </x:c>
      <x:c r="E2021" s="187" t="str">
        <x:v>R_GB_DE_B_ROAD</x:v>
      </x:c>
      <x:c r="F2021" s="187" t="str">
        <x:v>GB</x:v>
      </x:c>
      <x:c r="G2021" s="187" t="str">
        <x:v>DE_FC</x:v>
      </x:c>
      <x:c r="H2021" s="187" t="str">
        <x:v>CARRIER_B</x:v>
      </x:c>
      <x:c r="I2021" s="187" t="str">
        <x:v>ROAD</x:v>
      </x:c>
      <x:c r="J2021" s="187" t="str">
        <x:v>BASE_FREIGHT</x:v>
      </x:c>
      <x:c r="K2021" s="187" t="str">
        <x:v>GBP</x:v>
      </x:c>
      <x:c r="L2021" s="232" t="n">
        <x:v>9321.31491303168</x:v>
      </x:c>
      <x:c r="M2021" s="232" t="n">
        <x:v>9.1</x:v>
      </x:c>
      <x:c r="N2021" s="187" t="str">
        <x:v>84823.965708588288000000000</x:v>
      </x:c>
      <x:c r="O2021" s="235" t="n">
        <x:v>84823.9657</x:v>
      </x:c>
      <x:c r="P2021" s="235"/>
      <x:c r="Q2021" s="235"/>
      <x:c r="R2021" s="235" t="str">
        <x:v>INVOICE_OR_PLAN</x:v>
      </x:c>
      <x:c r="S2021" s="238" t="n">
        <x:f>'Model_Calc'!AF341</x:f>
        <x:v>84823.96570858826</x:v>
      </x:c>
      <x:c r="T2021" s="238" t="n">
        <x:f>ROUND(S2021-O2021,4)</x:f>
        <x:v>0</x:v>
      </x:c>
    </x:row>
    <x:row r="2022">
      <x:c r="A2022" s="187" t="str">
        <x:v>SCENARIO_COST_SAVING_2026_08</x:v>
      </x:c>
      <x:c r="B2022" s="187" t="str">
        <x:v>SCENARIO</x:v>
      </x:c>
      <x:c r="C2022" s="187" t="str">
        <x:v>COST_SAVING</x:v>
      </x:c>
      <x:c r="D2022" s="217" t="n">
        <x:v>46296</x:v>
      </x:c>
      <x:c r="E2022" s="187" t="str">
        <x:v>R_GB_DE_B_ROAD</x:v>
      </x:c>
      <x:c r="F2022" s="187" t="str">
        <x:v>GB</x:v>
      </x:c>
      <x:c r="G2022" s="187" t="str">
        <x:v>DE_FC</x:v>
      </x:c>
      <x:c r="H2022" s="187" t="str">
        <x:v>CARRIER_B</x:v>
      </x:c>
      <x:c r="I2022" s="187" t="str">
        <x:v>ROAD</x:v>
      </x:c>
      <x:c r="J2022" s="187" t="str">
        <x:v>FUEL_SURCHARGE</x:v>
      </x:c>
      <x:c r="K2022" s="187" t="str">
        <x:v>GBP</x:v>
      </x:c>
      <x:c r="L2022" s="232" t="n">
        <x:v>654.475302404352</x:v>
      </x:c>
      <x:c r="M2022" s="232" t="n">
        <x:v>9.1</x:v>
      </x:c>
      <x:c r="N2022" s="187" t="str">
        <x:v>5955.725251879603200000000</x:v>
      </x:c>
      <x:c r="O2022" s="235" t="n">
        <x:v>5955.7253</x:v>
      </x:c>
      <x:c r="P2022" s="235"/>
      <x:c r="Q2022" s="235"/>
      <x:c r="R2022" s="235" t="str">
        <x:v>INVOICE_OR_PLAN</x:v>
      </x:c>
      <x:c r="S2022" s="238" t="n">
        <x:f>'Model_Calc'!AG341</x:f>
        <x:v>5955.725251879603</x:v>
      </x:c>
      <x:c r="T2022" s="238" t="n">
        <x:f>ROUND(S2022-O2022,4)</x:f>
        <x:v>0</x:v>
      </x:c>
    </x:row>
    <x:row r="2023">
      <x:c r="A2023" s="187" t="str">
        <x:v>SCENARIO_COST_SAVING_2026_08</x:v>
      </x:c>
      <x:c r="B2023" s="187" t="str">
        <x:v>SCENARIO</x:v>
      </x:c>
      <x:c r="C2023" s="187" t="str">
        <x:v>COST_SAVING</x:v>
      </x:c>
      <x:c r="D2023" s="217" t="n">
        <x:v>46296</x:v>
      </x:c>
      <x:c r="E2023" s="187" t="str">
        <x:v>R_GB_DE_B_ROAD</x:v>
      </x:c>
      <x:c r="F2023" s="187" t="str">
        <x:v>GB</x:v>
      </x:c>
      <x:c r="G2023" s="187" t="str">
        <x:v>DE_FC</x:v>
      </x:c>
      <x:c r="H2023" s="187" t="str">
        <x:v>CARRIER_B</x:v>
      </x:c>
      <x:c r="I2023" s="187" t="str">
        <x:v>ROAD</x:v>
      </x:c>
      <x:c r="J2023" s="187" t="str">
        <x:v>WAREHOUSE_OPERATION</x:v>
      </x:c>
      <x:c r="K2023" s="187" t="str">
        <x:v>EUR</x:v>
      </x:c>
      <x:c r="L2023" s="232" t="n">
        <x:v>1975.3403904</x:v>
      </x:c>
      <x:c r="M2023" s="232" t="n">
        <x:v>7.9</x:v>
      </x:c>
      <x:c r="N2023" s="187" t="str">
        <x:v>15605.1890841600000</x:v>
      </x:c>
      <x:c r="O2023" s="235" t="n">
        <x:v>15605.1891</x:v>
      </x:c>
      <x:c r="P2023" s="235"/>
      <x:c r="Q2023" s="235"/>
      <x:c r="R2023" s="235" t="str">
        <x:v>INVOICE_OR_PLAN</x:v>
      </x:c>
      <x:c r="S2023" s="238" t="n">
        <x:f>'Model_Calc'!AL341</x:f>
        <x:v>15605.18908416</x:v>
      </x:c>
      <x:c r="T2023" s="238" t="n">
        <x:f>ROUND(S2023-O2023,4)</x:f>
        <x:v>0</x:v>
      </x:c>
    </x:row>
    <x:row r="2024">
      <x:c r="A2024" s="187" t="str">
        <x:v>SCENARIO_COST_SAVING_2026_08</x:v>
      </x:c>
      <x:c r="B2024" s="187" t="str">
        <x:v>SCENARIO</x:v>
      </x:c>
      <x:c r="C2024" s="187" t="str">
        <x:v>COST_SAVING</x:v>
      </x:c>
      <x:c r="D2024" s="217" t="n">
        <x:v>46296</x:v>
      </x:c>
      <x:c r="E2024" s="187" t="str">
        <x:v>R_GB_DE_B_ROAD</x:v>
      </x:c>
      <x:c r="F2024" s="187" t="str">
        <x:v>GB</x:v>
      </x:c>
      <x:c r="G2024" s="187" t="str">
        <x:v>DE_FC</x:v>
      </x:c>
      <x:c r="H2024" s="187" t="str">
        <x:v>CARRIER_B</x:v>
      </x:c>
      <x:c r="I2024" s="187" t="str">
        <x:v>ROAD</x:v>
      </x:c>
      <x:c r="J2024" s="187" t="str">
        <x:v>PACKAGING</x:v>
      </x:c>
      <x:c r="K2024" s="187" t="str">
        <x:v>EUR</x:v>
      </x:c>
      <x:c r="L2024" s="232" t="n">
        <x:v>808.55034624</x:v>
      </x:c>
      <x:c r="M2024" s="232" t="n">
        <x:v>7.9</x:v>
      </x:c>
      <x:c r="N2024" s="187" t="str">
        <x:v>6387.547735296000000</x:v>
      </x:c>
      <x:c r="O2024" s="235" t="n">
        <x:v>6387.5477</x:v>
      </x:c>
      <x:c r="P2024" s="235"/>
      <x:c r="Q2024" s="235"/>
      <x:c r="R2024" s="235" t="str">
        <x:v>INVOICE_OR_PLAN</x:v>
      </x:c>
      <x:c r="S2024" s="238" t="n">
        <x:f>'Model_Calc'!AQ341</x:f>
        <x:v>6387.547735295999</x:v>
      </x:c>
      <x:c r="T2024" s="238" t="n">
        <x:f>ROUND(S2024-O2024,4)</x:f>
        <x:v>0</x:v>
      </x:c>
    </x:row>
    <x:row r="2025">
      <x:c r="A2025" s="187" t="str">
        <x:v>SCENARIO_COST_SAVING_2026_08</x:v>
      </x:c>
      <x:c r="B2025" s="187" t="str">
        <x:v>SCENARIO</x:v>
      </x:c>
      <x:c r="C2025" s="187" t="str">
        <x:v>COST_SAVING</x:v>
      </x:c>
      <x:c r="D2025" s="217" t="n">
        <x:v>46296</x:v>
      </x:c>
      <x:c r="E2025" s="187" t="str">
        <x:v>R_GB_DE_B_ROAD</x:v>
      </x:c>
      <x:c r="F2025" s="187" t="str">
        <x:v>GB</x:v>
      </x:c>
      <x:c r="G2025" s="187" t="str">
        <x:v>DE_FC</x:v>
      </x:c>
      <x:c r="H2025" s="187" t="str">
        <x:v>CARRIER_B</x:v>
      </x:c>
      <x:c r="I2025" s="187" t="str">
        <x:v>ROAD</x:v>
      </x:c>
      <x:c r="J2025" s="187" t="str">
        <x:v>RETURN_LOGISTICS</x:v>
      </x:c>
      <x:c r="K2025" s="187" t="str">
        <x:v>GBP</x:v>
      </x:c>
      <x:c r="L2025" s="232" t="n">
        <x:v>723.17546496</x:v>
      </x:c>
      <x:c r="M2025" s="232" t="n">
        <x:v>9.1</x:v>
      </x:c>
      <x:c r="N2025" s="187" t="str">
        <x:v>6580.8967311360000000</x:v>
      </x:c>
      <x:c r="O2025" s="235" t="n">
        <x:v>6580.8967</x:v>
      </x:c>
      <x:c r="P2025" s="235"/>
      <x:c r="Q2025" s="235"/>
      <x:c r="R2025" s="235" t="str">
        <x:v>INVOICE_OR_PLAN</x:v>
      </x:c>
      <x:c r="S2025" s="238" t="n">
        <x:f>'Model_Calc'!AV341</x:f>
        <x:v>6580.896731135998</x:v>
      </x:c>
      <x:c r="T2025" s="238" t="n">
        <x:f>ROUND(S2025-O2025,4)</x:f>
        <x:v>0</x:v>
      </x:c>
    </x:row>
    <x:row r="2026">
      <x:c r="A2026" s="187" t="str">
        <x:v>SCENARIO_COST_SAVING_2026_08</x:v>
      </x:c>
      <x:c r="B2026" s="187" t="str">
        <x:v>SCENARIO</x:v>
      </x:c>
      <x:c r="C2026" s="187" t="str">
        <x:v>COST_SAVING</x:v>
      </x:c>
      <x:c r="D2026" s="217" t="n">
        <x:v>46296</x:v>
      </x:c>
      <x:c r="E2026" s="187" t="str">
        <x:v>R_GB_DE_B_ROAD</x:v>
      </x:c>
      <x:c r="F2026" s="187" t="str">
        <x:v>GB</x:v>
      </x:c>
      <x:c r="G2026" s="187" t="str">
        <x:v>DE_FC</x:v>
      </x:c>
      <x:c r="H2026" s="187" t="str">
        <x:v>CARRIER_B</x:v>
      </x:c>
      <x:c r="I2026" s="187" t="str">
        <x:v>ROAD</x:v>
      </x:c>
      <x:c r="J2026" s="187" t="str">
        <x:v>BILLABLE_EXCEPTION</x:v>
      </x:c>
      <x:c r="K2026" s="187" t="str">
        <x:v>GBP</x:v>
      </x:c>
      <x:c r="L2026" s="232" t="n">
        <x:v>84.1277384064</x:v>
      </x:c>
      <x:c r="M2026" s="232" t="n">
        <x:v>9.1</x:v>
      </x:c>
      <x:c r="N2026" s="187" t="str">
        <x:v>765.56241949824000000000</x:v>
      </x:c>
      <x:c r="O2026" s="235" t="n">
        <x:v>765.5624</x:v>
      </x:c>
      <x:c r="P2026" s="235"/>
      <x:c r="Q2026" s="235"/>
      <x:c r="R2026" s="235" t="str">
        <x:v>INVOICE_OR_PLAN</x:v>
      </x:c>
      <x:c r="S2026" s="238" t="n">
        <x:f>'Model_Calc'!BA341</x:f>
        <x:v>765.5624194982399</x:v>
      </x:c>
      <x:c r="T2026" s="238" t="n">
        <x:f>ROUND(S2026-O2026,4)</x:f>
        <x:v>0</x:v>
      </x:c>
    </x:row>
    <x:row r="2027">
      <x:c r="A2027" s="187" t="str">
        <x:v>SCENARIO_COST_SAVING_2026_08</x:v>
      </x:c>
      <x:c r="B2027" s="187" t="str">
        <x:v>SCENARIO</x:v>
      </x:c>
      <x:c r="C2027" s="187" t="str">
        <x:v>COST_SAVING</x:v>
      </x:c>
      <x:c r="D2027" s="217" t="n">
        <x:v>46296</x:v>
      </x:c>
      <x:c r="E2027" s="187" t="str">
        <x:v>R_GB_DE_B_AIR</x:v>
      </x:c>
      <x:c r="F2027" s="187" t="str">
        <x:v>GB</x:v>
      </x:c>
      <x:c r="G2027" s="187" t="str">
        <x:v>DE_FC</x:v>
      </x:c>
      <x:c r="H2027" s="187" t="str">
        <x:v>CARRIER_B</x:v>
      </x:c>
      <x:c r="I2027" s="187" t="str">
        <x:v>AIR</x:v>
      </x:c>
      <x:c r="J2027" s="187" t="str">
        <x:v>BASE_FREIGHT</x:v>
      </x:c>
      <x:c r="K2027" s="187" t="str">
        <x:v>GBP</x:v>
      </x:c>
      <x:c r="L2027" s="232" t="n">
        <x:v>10017.306426538045</x:v>
      </x:c>
      <x:c r="M2027" s="232" t="n">
        <x:v>9.1</x:v>
      </x:c>
      <x:c r="N2027" s="187" t="str">
        <x:v>91157.48848149621350400000000</x:v>
      </x:c>
      <x:c r="O2027" s="235" t="n">
        <x:v>91157.4885</x:v>
      </x:c>
      <x:c r="P2027" s="235"/>
      <x:c r="Q2027" s="235"/>
      <x:c r="R2027" s="235" t="str">
        <x:v>INVOICE_OR_PLAN</x:v>
      </x:c>
      <x:c r="S2027" s="238" t="n">
        <x:f>'Model_Calc'!AF342</x:f>
        <x:v>91157.48848149623</x:v>
      </x:c>
      <x:c r="T2027" s="238" t="n">
        <x:f>ROUND(S2027-O2027,4)</x:f>
        <x:v>0</x:v>
      </x:c>
    </x:row>
    <x:row r="2028">
      <x:c r="A2028" s="187" t="str">
        <x:v>SCENARIO_COST_SAVING_2026_08</x:v>
      </x:c>
      <x:c r="B2028" s="187" t="str">
        <x:v>SCENARIO</x:v>
      </x:c>
      <x:c r="C2028" s="187" t="str">
        <x:v>COST_SAVING</x:v>
      </x:c>
      <x:c r="D2028" s="217" t="n">
        <x:v>46296</x:v>
      </x:c>
      <x:c r="E2028" s="187" t="str">
        <x:v>R_GB_DE_B_AIR</x:v>
      </x:c>
      <x:c r="F2028" s="187" t="str">
        <x:v>GB</x:v>
      </x:c>
      <x:c r="G2028" s="187" t="str">
        <x:v>DE_FC</x:v>
      </x:c>
      <x:c r="H2028" s="187" t="str">
        <x:v>CARRIER_B</x:v>
      </x:c>
      <x:c r="I2028" s="187" t="str">
        <x:v>AIR</x:v>
      </x:c>
      <x:c r="J2028" s="187" t="str">
        <x:v>FUEL_SURCHARGE</x:v>
      </x:c>
      <x:c r="K2028" s="187" t="str">
        <x:v>GBP</x:v>
      </x:c>
      <x:c r="L2028" s="232" t="n">
        <x:v>1240.0022933154385</x:v>
      </x:c>
      <x:c r="M2028" s="232" t="n">
        <x:v>9.1</x:v>
      </x:c>
      <x:c r="N2028" s="187" t="str">
        <x:v>11284.0208691704902848061440000000000</x:v>
      </x:c>
      <x:c r="O2028" s="235" t="n">
        <x:v>11284.0209</x:v>
      </x:c>
      <x:c r="P2028" s="235"/>
      <x:c r="Q2028" s="235"/>
      <x:c r="R2028" s="235" t="str">
        <x:v>INVOICE_OR_PLAN</x:v>
      </x:c>
      <x:c r="S2028" s="238" t="n">
        <x:f>'Model_Calc'!AG342</x:f>
        <x:v>11284.020869170492</x:v>
      </x:c>
      <x:c r="T2028" s="238" t="n">
        <x:f>ROUND(S2028-O2028,4)</x:f>
        <x:v>0</x:v>
      </x:c>
    </x:row>
    <x:row r="2029">
      <x:c r="A2029" s="187" t="str">
        <x:v>SCENARIO_COST_SAVING_2026_08</x:v>
      </x:c>
      <x:c r="B2029" s="187" t="str">
        <x:v>SCENARIO</x:v>
      </x:c>
      <x:c r="C2029" s="187" t="str">
        <x:v>COST_SAVING</x:v>
      </x:c>
      <x:c r="D2029" s="217" t="n">
        <x:v>46296</x:v>
      </x:c>
      <x:c r="E2029" s="187" t="str">
        <x:v>R_GB_DE_B_AIR</x:v>
      </x:c>
      <x:c r="F2029" s="187" t="str">
        <x:v>GB</x:v>
      </x:c>
      <x:c r="G2029" s="187" t="str">
        <x:v>DE_FC</x:v>
      </x:c>
      <x:c r="H2029" s="187" t="str">
        <x:v>CARRIER_B</x:v>
      </x:c>
      <x:c r="I2029" s="187" t="str">
        <x:v>AIR</x:v>
      </x:c>
      <x:c r="J2029" s="187" t="str">
        <x:v>WAREHOUSE_OPERATION</x:v>
      </x:c>
      <x:c r="K2029" s="187" t="str">
        <x:v>EUR</x:v>
      </x:c>
      <x:c r="L2029" s="232" t="n">
        <x:v>1646.116992</x:v>
      </x:c>
      <x:c r="M2029" s="232" t="n">
        <x:v>7.9</x:v>
      </x:c>
      <x:c r="N2029" s="187" t="str">
        <x:v>13004.3242368000000</x:v>
      </x:c>
      <x:c r="O2029" s="235" t="n">
        <x:v>13004.3242</x:v>
      </x:c>
      <x:c r="P2029" s="235"/>
      <x:c r="Q2029" s="235"/>
      <x:c r="R2029" s="235" t="str">
        <x:v>INVOICE_OR_PLAN</x:v>
      </x:c>
      <x:c r="S2029" s="238" t="n">
        <x:f>'Model_Calc'!AL342</x:f>
        <x:v>13004.324236800003</x:v>
      </x:c>
      <x:c r="T2029" s="238" t="n">
        <x:f>ROUND(S2029-O2029,4)</x:f>
        <x:v>0</x:v>
      </x:c>
    </x:row>
    <x:row r="2030">
      <x:c r="A2030" s="187" t="str">
        <x:v>SCENARIO_COST_SAVING_2026_08</x:v>
      </x:c>
      <x:c r="B2030" s="187" t="str">
        <x:v>SCENARIO</x:v>
      </x:c>
      <x:c r="C2030" s="187" t="str">
        <x:v>COST_SAVING</x:v>
      </x:c>
      <x:c r="D2030" s="217" t="n">
        <x:v>46296</x:v>
      </x:c>
      <x:c r="E2030" s="187" t="str">
        <x:v>R_GB_DE_B_AIR</x:v>
      </x:c>
      <x:c r="F2030" s="187" t="str">
        <x:v>GB</x:v>
      </x:c>
      <x:c r="G2030" s="187" t="str">
        <x:v>DE_FC</x:v>
      </x:c>
      <x:c r="H2030" s="187" t="str">
        <x:v>CARRIER_B</x:v>
      </x:c>
      <x:c r="I2030" s="187" t="str">
        <x:v>AIR</x:v>
      </x:c>
      <x:c r="J2030" s="187" t="str">
        <x:v>PACKAGING</x:v>
      </x:c>
      <x:c r="K2030" s="187" t="str">
        <x:v>EUR</x:v>
      </x:c>
      <x:c r="L2030" s="232" t="n">
        <x:v>673.7919552</x:v>
      </x:c>
      <x:c r="M2030" s="232" t="n">
        <x:v>7.9</x:v>
      </x:c>
      <x:c r="N2030" s="187" t="str">
        <x:v>5322.956446080000000</x:v>
      </x:c>
      <x:c r="O2030" s="235" t="n">
        <x:v>5322.9564</x:v>
      </x:c>
      <x:c r="P2030" s="235"/>
      <x:c r="Q2030" s="235"/>
      <x:c r="R2030" s="235" t="str">
        <x:v>INVOICE_OR_PLAN</x:v>
      </x:c>
      <x:c r="S2030" s="238" t="n">
        <x:f>'Model_Calc'!AQ342</x:f>
        <x:v>5322.95644608</x:v>
      </x:c>
      <x:c r="T2030" s="238" t="n">
        <x:f>ROUND(S2030-O2030,4)</x:f>
        <x:v>0</x:v>
      </x:c>
    </x:row>
    <x:row r="2031">
      <x:c r="A2031" s="187" t="str">
        <x:v>SCENARIO_COST_SAVING_2026_08</x:v>
      </x:c>
      <x:c r="B2031" s="187" t="str">
        <x:v>SCENARIO</x:v>
      </x:c>
      <x:c r="C2031" s="187" t="str">
        <x:v>COST_SAVING</x:v>
      </x:c>
      <x:c r="D2031" s="217" t="n">
        <x:v>46296</x:v>
      </x:c>
      <x:c r="E2031" s="187" t="str">
        <x:v>R_GB_DE_B_AIR</x:v>
      </x:c>
      <x:c r="F2031" s="187" t="str">
        <x:v>GB</x:v>
      </x:c>
      <x:c r="G2031" s="187" t="str">
        <x:v>DE_FC</x:v>
      </x:c>
      <x:c r="H2031" s="187" t="str">
        <x:v>CARRIER_B</x:v>
      </x:c>
      <x:c r="I2031" s="187" t="str">
        <x:v>AIR</x:v>
      </x:c>
      <x:c r="J2031" s="187" t="str">
        <x:v>RETURN_LOGISTICS</x:v>
      </x:c>
      <x:c r="K2031" s="187" t="str">
        <x:v>GBP</x:v>
      </x:c>
      <x:c r="L2031" s="232" t="n">
        <x:v>602.6462208</x:v>
      </x:c>
      <x:c r="M2031" s="232" t="n">
        <x:v>9.1</x:v>
      </x:c>
      <x:c r="N2031" s="187" t="str">
        <x:v>5484.0806092800000000</x:v>
      </x:c>
      <x:c r="O2031" s="235" t="n">
        <x:v>5484.0806</x:v>
      </x:c>
      <x:c r="P2031" s="235"/>
      <x:c r="Q2031" s="235"/>
      <x:c r="R2031" s="235" t="str">
        <x:v>INVOICE_OR_PLAN</x:v>
      </x:c>
      <x:c r="S2031" s="238" t="n">
        <x:f>'Model_Calc'!AV342</x:f>
        <x:v>5484.08060928</x:v>
      </x:c>
      <x:c r="T2031" s="238" t="n">
        <x:f>ROUND(S2031-O2031,4)</x:f>
        <x:v>0</x:v>
      </x:c>
    </x:row>
    <x:row r="2032">
      <x:c r="A2032" s="187" t="str">
        <x:v>SCENARIO_COST_SAVING_2026_08</x:v>
      </x:c>
      <x:c r="B2032" s="187" t="str">
        <x:v>SCENARIO</x:v>
      </x:c>
      <x:c r="C2032" s="187" t="str">
        <x:v>COST_SAVING</x:v>
      </x:c>
      <x:c r="D2032" s="217" t="n">
        <x:v>46296</x:v>
      </x:c>
      <x:c r="E2032" s="187" t="str">
        <x:v>R_GB_DE_B_AIR</x:v>
      </x:c>
      <x:c r="F2032" s="187" t="str">
        <x:v>GB</x:v>
      </x:c>
      <x:c r="G2032" s="187" t="str">
        <x:v>DE_FC</x:v>
      </x:c>
      <x:c r="H2032" s="187" t="str">
        <x:v>CARRIER_B</x:v>
      </x:c>
      <x:c r="I2032" s="187" t="str">
        <x:v>AIR</x:v>
      </x:c>
      <x:c r="J2032" s="187" t="str">
        <x:v>BILLABLE_EXCEPTION</x:v>
      </x:c>
      <x:c r="K2032" s="187" t="str">
        <x:v>GBP</x:v>
      </x:c>
      <x:c r="L2032" s="232" t="n">
        <x:v>68.2775847936</x:v>
      </x:c>
      <x:c r="M2032" s="232" t="n">
        <x:v>9.1</x:v>
      </x:c>
      <x:c r="N2032" s="187" t="str">
        <x:v>621.32602162176000000000</x:v>
      </x:c>
      <x:c r="O2032" s="235" t="n">
        <x:v>621.326</x:v>
      </x:c>
      <x:c r="P2032" s="235"/>
      <x:c r="Q2032" s="235"/>
      <x:c r="R2032" s="235" t="str">
        <x:v>INVOICE_OR_PLAN</x:v>
      </x:c>
      <x:c r="S2032" s="238" t="n">
        <x:f>'Model_Calc'!BA342</x:f>
        <x:v>621.3260216217601</x:v>
      </x:c>
      <x:c r="T2032" s="238" t="n">
        <x:f>ROUND(S2032-O2032,4)</x:f>
        <x:v>0</x:v>
      </x:c>
    </x:row>
    <x:row r="2033">
      <x:c r="A2033" s="187" t="str">
        <x:v>SCENARIO_COST_SAVING_2026_08</x:v>
      </x:c>
      <x:c r="B2033" s="187" t="str">
        <x:v>SCENARIO</x:v>
      </x:c>
      <x:c r="C2033" s="187" t="str">
        <x:v>COST_SAVING</x:v>
      </x:c>
      <x:c r="D2033" s="217" t="n">
        <x:v>46296</x:v>
      </x:c>
      <x:c r="E2033" s="187" t="str">
        <x:v>R_GB_DE_C_AIR</x:v>
      </x:c>
      <x:c r="F2033" s="187" t="str">
        <x:v>GB</x:v>
      </x:c>
      <x:c r="G2033" s="187" t="str">
        <x:v>DE_FC</x:v>
      </x:c>
      <x:c r="H2033" s="187" t="str">
        <x:v>CARRIER_C</x:v>
      </x:c>
      <x:c r="I2033" s="187" t="str">
        <x:v>AIR</x:v>
      </x:c>
      <x:c r="J2033" s="187" t="str">
        <x:v>BASE_FREIGHT</x:v>
      </x:c>
      <x:c r="K2033" s="187" t="str">
        <x:v>GBP</x:v>
      </x:c>
      <x:c r="L2033" s="232" t="n">
        <x:v>7252.7763057355005</x:v>
      </x:c>
      <x:c r="M2033" s="232" t="n">
        <x:v>9.1</x:v>
      </x:c>
      <x:c r="N2033" s="187" t="str">
        <x:v>66000.26438219305728000000000</x:v>
      </x:c>
      <x:c r="O2033" s="235" t="n">
        <x:v>66000.2644</x:v>
      </x:c>
      <x:c r="P2033" s="235"/>
      <x:c r="Q2033" s="235"/>
      <x:c r="R2033" s="235" t="str">
        <x:v>INVOICE_OR_PLAN</x:v>
      </x:c>
      <x:c r="S2033" s="238" t="n">
        <x:f>'Model_Calc'!AF343</x:f>
        <x:v>66000.26438219304</x:v>
      </x:c>
      <x:c r="T2033" s="238" t="n">
        <x:f>ROUND(S2033-O2033,4)</x:f>
        <x:v>0</x:v>
      </x:c>
    </x:row>
    <x:row r="2034">
      <x:c r="A2034" s="187" t="str">
        <x:v>SCENARIO_COST_SAVING_2026_08</x:v>
      </x:c>
      <x:c r="B2034" s="187" t="str">
        <x:v>SCENARIO</x:v>
      </x:c>
      <x:c r="C2034" s="187" t="str">
        <x:v>COST_SAVING</x:v>
      </x:c>
      <x:c r="D2034" s="217" t="n">
        <x:v>46296</x:v>
      </x:c>
      <x:c r="E2034" s="187" t="str">
        <x:v>R_GB_DE_C_AIR</x:v>
      </x:c>
      <x:c r="F2034" s="187" t="str">
        <x:v>GB</x:v>
      </x:c>
      <x:c r="G2034" s="187" t="str">
        <x:v>DE_FC</x:v>
      </x:c>
      <x:c r="H2034" s="187" t="str">
        <x:v>CARRIER_C</x:v>
      </x:c>
      <x:c r="I2034" s="187" t="str">
        <x:v>AIR</x:v>
      </x:c>
      <x:c r="J2034" s="187" t="str">
        <x:v>FUEL_SURCHARGE</x:v>
      </x:c>
      <x:c r="K2034" s="187" t="str">
        <x:v>GBP</x:v>
      </x:c>
      <x:c r="L2034" s="232" t="n">
        <x:v>560.8813676435454</x:v>
      </x:c>
      <x:c r="M2034" s="232" t="n">
        <x:v>9.1</x:v>
      </x:c>
      <x:c r="N2034" s="187" t="str">
        <x:v>5104.02044555626309632000000</x:v>
      </x:c>
      <x:c r="O2034" s="235" t="n">
        <x:v>5104.0204</x:v>
      </x:c>
      <x:c r="P2034" s="235"/>
      <x:c r="Q2034" s="235"/>
      <x:c r="R2034" s="235" t="str">
        <x:v>INVOICE_OR_PLAN</x:v>
      </x:c>
      <x:c r="S2034" s="238" t="n">
        <x:f>'Model_Calc'!AG343</x:f>
        <x:v>5104.0204455562625</x:v>
      </x:c>
      <x:c r="T2034" s="238" t="n">
        <x:f>ROUND(S2034-O2034,4)</x:f>
        <x:v>0</x:v>
      </x:c>
    </x:row>
    <x:row r="2035">
      <x:c r="A2035" s="187" t="str">
        <x:v>SCENARIO_COST_SAVING_2026_08</x:v>
      </x:c>
      <x:c r="B2035" s="187" t="str">
        <x:v>SCENARIO</x:v>
      </x:c>
      <x:c r="C2035" s="187" t="str">
        <x:v>COST_SAVING</x:v>
      </x:c>
      <x:c r="D2035" s="217" t="n">
        <x:v>46296</x:v>
      </x:c>
      <x:c r="E2035" s="187" t="str">
        <x:v>R_GB_DE_C_AIR</x:v>
      </x:c>
      <x:c r="F2035" s="187" t="str">
        <x:v>GB</x:v>
      </x:c>
      <x:c r="G2035" s="187" t="str">
        <x:v>DE_FC</x:v>
      </x:c>
      <x:c r="H2035" s="187" t="str">
        <x:v>CARRIER_C</x:v>
      </x:c>
      <x:c r="I2035" s="187" t="str">
        <x:v>AIR</x:v>
      </x:c>
      <x:c r="J2035" s="187" t="str">
        <x:v>WAREHOUSE_OPERATION</x:v>
      </x:c>
      <x:c r="K2035" s="187" t="str">
        <x:v>EUR</x:v>
      </x:c>
      <x:c r="L2035" s="232" t="n">
        <x:v>987.6701952</x:v>
      </x:c>
      <x:c r="M2035" s="232" t="n">
        <x:v>7.9</x:v>
      </x:c>
      <x:c r="N2035" s="187" t="str">
        <x:v>7802.5945420800000</x:v>
      </x:c>
      <x:c r="O2035" s="235" t="n">
        <x:v>7802.5945</x:v>
      </x:c>
      <x:c r="P2035" s="235"/>
      <x:c r="Q2035" s="235"/>
      <x:c r="R2035" s="235" t="str">
        <x:v>INVOICE_OR_PLAN</x:v>
      </x:c>
      <x:c r="S2035" s="238" t="n">
        <x:f>'Model_Calc'!AL343</x:f>
        <x:v>7802.59454208</x:v>
      </x:c>
      <x:c r="T2035" s="238" t="n">
        <x:f>ROUND(S2035-O2035,4)</x:f>
        <x:v>0</x:v>
      </x:c>
    </x:row>
    <x:row r="2036">
      <x:c r="A2036" s="187" t="str">
        <x:v>SCENARIO_COST_SAVING_2026_08</x:v>
      </x:c>
      <x:c r="B2036" s="187" t="str">
        <x:v>SCENARIO</x:v>
      </x:c>
      <x:c r="C2036" s="187" t="str">
        <x:v>COST_SAVING</x:v>
      </x:c>
      <x:c r="D2036" s="217" t="n">
        <x:v>46296</x:v>
      </x:c>
      <x:c r="E2036" s="187" t="str">
        <x:v>R_GB_DE_C_AIR</x:v>
      </x:c>
      <x:c r="F2036" s="187" t="str">
        <x:v>GB</x:v>
      </x:c>
      <x:c r="G2036" s="187" t="str">
        <x:v>DE_FC</x:v>
      </x:c>
      <x:c r="H2036" s="187" t="str">
        <x:v>CARRIER_C</x:v>
      </x:c>
      <x:c r="I2036" s="187" t="str">
        <x:v>AIR</x:v>
      </x:c>
      <x:c r="J2036" s="187" t="str">
        <x:v>PACKAGING</x:v>
      </x:c>
      <x:c r="K2036" s="187" t="str">
        <x:v>EUR</x:v>
      </x:c>
      <x:c r="L2036" s="232" t="n">
        <x:v>404.27517312</x:v>
      </x:c>
      <x:c r="M2036" s="232" t="n">
        <x:v>7.9</x:v>
      </x:c>
      <x:c r="N2036" s="187" t="str">
        <x:v>3193.773867648000000</x:v>
      </x:c>
      <x:c r="O2036" s="235" t="n">
        <x:v>3193.7739</x:v>
      </x:c>
      <x:c r="P2036" s="235"/>
      <x:c r="Q2036" s="235"/>
      <x:c r="R2036" s="235" t="str">
        <x:v>INVOICE_OR_PLAN</x:v>
      </x:c>
      <x:c r="S2036" s="238" t="n">
        <x:f>'Model_Calc'!AQ343</x:f>
        <x:v>3193.7738676479994</x:v>
      </x:c>
      <x:c r="T2036" s="238" t="n">
        <x:f>ROUND(S2036-O2036,4)</x:f>
        <x:v>0</x:v>
      </x:c>
    </x:row>
    <x:row r="2037">
      <x:c r="A2037" s="187" t="str">
        <x:v>SCENARIO_COST_SAVING_2026_08</x:v>
      </x:c>
      <x:c r="B2037" s="187" t="str">
        <x:v>SCENARIO</x:v>
      </x:c>
      <x:c r="C2037" s="187" t="str">
        <x:v>COST_SAVING</x:v>
      </x:c>
      <x:c r="D2037" s="217" t="n">
        <x:v>46296</x:v>
      </x:c>
      <x:c r="E2037" s="187" t="str">
        <x:v>R_GB_DE_C_AIR</x:v>
      </x:c>
      <x:c r="F2037" s="187" t="str">
        <x:v>GB</x:v>
      </x:c>
      <x:c r="G2037" s="187" t="str">
        <x:v>DE_FC</x:v>
      </x:c>
      <x:c r="H2037" s="187" t="str">
        <x:v>CARRIER_C</x:v>
      </x:c>
      <x:c r="I2037" s="187" t="str">
        <x:v>AIR</x:v>
      </x:c>
      <x:c r="J2037" s="187" t="str">
        <x:v>RETURN_LOGISTICS</x:v>
      </x:c>
      <x:c r="K2037" s="187" t="str">
        <x:v>GBP</x:v>
      </x:c>
      <x:c r="L2037" s="232" t="n">
        <x:v>361.58773248</x:v>
      </x:c>
      <x:c r="M2037" s="232" t="n">
        <x:v>9.1</x:v>
      </x:c>
      <x:c r="N2037" s="187" t="str">
        <x:v>3290.4483655680000000</x:v>
      </x:c>
      <x:c r="O2037" s="235" t="n">
        <x:v>3290.4484</x:v>
      </x:c>
      <x:c r="P2037" s="235"/>
      <x:c r="Q2037" s="235"/>
      <x:c r="R2037" s="235" t="str">
        <x:v>INVOICE_OR_PLAN</x:v>
      </x:c>
      <x:c r="S2037" s="238" t="n">
        <x:f>'Model_Calc'!AV343</x:f>
        <x:v>3290.448365567999</x:v>
      </x:c>
      <x:c r="T2037" s="238" t="n">
        <x:f>ROUND(S2037-O2037,4)</x:f>
        <x:v>0</x:v>
      </x:c>
    </x:row>
    <x:row r="2038">
      <x:c r="A2038" s="187" t="str">
        <x:v>SCENARIO_COST_SAVING_2026_08</x:v>
      </x:c>
      <x:c r="B2038" s="187" t="str">
        <x:v>SCENARIO</x:v>
      </x:c>
      <x:c r="C2038" s="187" t="str">
        <x:v>COST_SAVING</x:v>
      </x:c>
      <x:c r="D2038" s="217" t="n">
        <x:v>46296</x:v>
      </x:c>
      <x:c r="E2038" s="187" t="str">
        <x:v>R_GB_DE_C_AIR</x:v>
      </x:c>
      <x:c r="F2038" s="187" t="str">
        <x:v>GB</x:v>
      </x:c>
      <x:c r="G2038" s="187" t="str">
        <x:v>DE_FC</x:v>
      </x:c>
      <x:c r="H2038" s="187" t="str">
        <x:v>CARRIER_C</x:v>
      </x:c>
      <x:c r="I2038" s="187" t="str">
        <x:v>AIR</x:v>
      </x:c>
      <x:c r="J2038" s="187" t="str">
        <x:v>BILLABLE_EXCEPTION</x:v>
      </x:c>
      <x:c r="K2038" s="187" t="str">
        <x:v>GBP</x:v>
      </x:c>
      <x:c r="L2038" s="232" t="n">
        <x:v>36.21150479232</x:v>
      </x:c>
      <x:c r="M2038" s="232" t="n">
        <x:v>9.1</x:v>
      </x:c>
      <x:c r="N2038" s="187" t="str">
        <x:v>329.52469361011200000000</x:v>
      </x:c>
      <x:c r="O2038" s="235" t="n">
        <x:v>329.5247</x:v>
      </x:c>
      <x:c r="P2038" s="235"/>
      <x:c r="Q2038" s="235"/>
      <x:c r="R2038" s="235" t="str">
        <x:v>INVOICE_OR_PLAN</x:v>
      </x:c>
      <x:c r="S2038" s="238" t="n">
        <x:f>'Model_Calc'!BA343</x:f>
        <x:v>329.5246936101119</x:v>
      </x:c>
      <x:c r="T2038" s="238" t="n">
        <x:f>ROUND(S2038-O2038,4)</x:f>
        <x:v>0</x:v>
      </x:c>
    </x:row>
    <x:row r="2039">
      <x:c r="A2039" s="187" t="str">
        <x:v>SCENARIO_COST_SAVING_2026_08</x:v>
      </x:c>
      <x:c r="B2039" s="187" t="str">
        <x:v>SCENARIO</x:v>
      </x:c>
      <x:c r="C2039" s="187" t="str">
        <x:v>COST_SAVING</x:v>
      </x:c>
      <x:c r="D2039" s="217" t="n">
        <x:v>46296</x:v>
      </x:c>
      <x:c r="E2039" s="187" t="str">
        <x:v>R_GB_FR_B_AIR</x:v>
      </x:c>
      <x:c r="F2039" s="187" t="str">
        <x:v>GB</x:v>
      </x:c>
      <x:c r="G2039" s="187" t="str">
        <x:v>FR_FC</x:v>
      </x:c>
      <x:c r="H2039" s="187" t="str">
        <x:v>CARRIER_B</x:v>
      </x:c>
      <x:c r="I2039" s="187" t="str">
        <x:v>AIR</x:v>
      </x:c>
      <x:c r="J2039" s="187" t="str">
        <x:v>BASE_FREIGHT</x:v>
      </x:c>
      <x:c r="K2039" s="187" t="str">
        <x:v>EUR</x:v>
      </x:c>
      <x:c r="L2039" s="232" t="n">
        <x:v>2112.33197280456</x:v>
      </x:c>
      <x:c r="M2039" s="232" t="n">
        <x:v>7.9</x:v>
      </x:c>
      <x:c r="N2039" s="187" t="str">
        <x:v>16687.4225851560240000000</x:v>
      </x:c>
      <x:c r="O2039" s="235" t="n">
        <x:v>16687.4226</x:v>
      </x:c>
      <x:c r="P2039" s="235"/>
      <x:c r="Q2039" s="235"/>
      <x:c r="R2039" s="235" t="str">
        <x:v>INVOICE_OR_PLAN</x:v>
      </x:c>
      <x:c r="S2039" s="238" t="n">
        <x:f>'Model_Calc'!AF344</x:f>
        <x:v>16687.422585156022</x:v>
      </x:c>
      <x:c r="T2039" s="238" t="n">
        <x:f>ROUND(S2039-O2039,4)</x:f>
        <x:v>0</x:v>
      </x:c>
    </x:row>
    <x:row r="2040">
      <x:c r="A2040" s="187" t="str">
        <x:v>SCENARIO_COST_SAVING_2026_08</x:v>
      </x:c>
      <x:c r="B2040" s="187" t="str">
        <x:v>SCENARIO</x:v>
      </x:c>
      <x:c r="C2040" s="187" t="str">
        <x:v>COST_SAVING</x:v>
      </x:c>
      <x:c r="D2040" s="217" t="n">
        <x:v>46296</x:v>
      </x:c>
      <x:c r="E2040" s="187" t="str">
        <x:v>R_GB_FR_B_AIR</x:v>
      </x:c>
      <x:c r="F2040" s="187" t="str">
        <x:v>GB</x:v>
      </x:c>
      <x:c r="G2040" s="187" t="str">
        <x:v>FR_FC</x:v>
      </x:c>
      <x:c r="H2040" s="187" t="str">
        <x:v>CARRIER_B</x:v>
      </x:c>
      <x:c r="I2040" s="187" t="str">
        <x:v>AIR</x:v>
      </x:c>
      <x:c r="J2040" s="187" t="str">
        <x:v>FUEL_SURCHARGE</x:v>
      </x:c>
      <x:c r="K2040" s="187" t="str">
        <x:v>EUR</x:v>
      </x:c>
      <x:c r="L2040" s="232" t="n">
        <x:v>229.55767714453555</x:v>
      </x:c>
      <x:c r="M2040" s="232" t="n">
        <x:v>7.9</x:v>
      </x:c>
      <x:c r="N2040" s="187" t="str">
        <x:v>1813.5056494418309082000000000</x:v>
      </x:c>
      <x:c r="O2040" s="235" t="n">
        <x:v>1813.5056</x:v>
      </x:c>
      <x:c r="P2040" s="235"/>
      <x:c r="Q2040" s="235"/>
      <x:c r="R2040" s="235" t="str">
        <x:v>INVOICE_OR_PLAN</x:v>
      </x:c>
      <x:c r="S2040" s="238" t="n">
        <x:f>'Model_Calc'!AG344</x:f>
        <x:v>1813.5056494418309</x:v>
      </x:c>
      <x:c r="T2040" s="238" t="n">
        <x:f>ROUND(S2040-O2040,4)</x:f>
        <x:v>0</x:v>
      </x:c>
    </x:row>
    <x:row r="2041">
      <x:c r="A2041" s="187" t="str">
        <x:v>SCENARIO_COST_SAVING_2026_08</x:v>
      </x:c>
      <x:c r="B2041" s="187" t="str">
        <x:v>SCENARIO</x:v>
      </x:c>
      <x:c r="C2041" s="187" t="str">
        <x:v>COST_SAVING</x:v>
      </x:c>
      <x:c r="D2041" s="217" t="n">
        <x:v>46296</x:v>
      </x:c>
      <x:c r="E2041" s="187" t="str">
        <x:v>R_GB_FR_B_AIR</x:v>
      </x:c>
      <x:c r="F2041" s="187" t="str">
        <x:v>GB</x:v>
      </x:c>
      <x:c r="G2041" s="187" t="str">
        <x:v>FR_FC</x:v>
      </x:c>
      <x:c r="H2041" s="187" t="str">
        <x:v>CARRIER_B</x:v>
      </x:c>
      <x:c r="I2041" s="187" t="str">
        <x:v>AIR</x:v>
      </x:c>
      <x:c r="J2041" s="187" t="str">
        <x:v>WAREHOUSE_OPERATION</x:v>
      </x:c>
      <x:c r="K2041" s="187" t="str">
        <x:v>EUR</x:v>
      </x:c>
      <x:c r="L2041" s="232" t="n">
        <x:v>305.1594</x:v>
      </x:c>
      <x:c r="M2041" s="232" t="n">
        <x:v>7.9</x:v>
      </x:c>
      <x:c r="N2041" s="187" t="str">
        <x:v>2410.75926000000</x:v>
      </x:c>
      <x:c r="O2041" s="235" t="n">
        <x:v>2410.7593</x:v>
      </x:c>
      <x:c r="P2041" s="235"/>
      <x:c r="Q2041" s="235"/>
      <x:c r="R2041" s="235" t="str">
        <x:v>INVOICE_OR_PLAN</x:v>
      </x:c>
      <x:c r="S2041" s="238" t="n">
        <x:f>'Model_Calc'!AL344</x:f>
        <x:v>2410.7592600000007</x:v>
      </x:c>
      <x:c r="T2041" s="238" t="n">
        <x:f>ROUND(S2041-O2041,4)</x:f>
        <x:v>0</x:v>
      </x:c>
    </x:row>
    <x:row r="2042">
      <x:c r="A2042" s="187" t="str">
        <x:v>SCENARIO_COST_SAVING_2026_08</x:v>
      </x:c>
      <x:c r="B2042" s="187" t="str">
        <x:v>SCENARIO</x:v>
      </x:c>
      <x:c r="C2042" s="187" t="str">
        <x:v>COST_SAVING</x:v>
      </x:c>
      <x:c r="D2042" s="217" t="n">
        <x:v>46296</x:v>
      </x:c>
      <x:c r="E2042" s="187" t="str">
        <x:v>R_GB_FR_B_AIR</x:v>
      </x:c>
      <x:c r="F2042" s="187" t="str">
        <x:v>GB</x:v>
      </x:c>
      <x:c r="G2042" s="187" t="str">
        <x:v>FR_FC</x:v>
      </x:c>
      <x:c r="H2042" s="187" t="str">
        <x:v>CARRIER_B</x:v>
      </x:c>
      <x:c r="I2042" s="187" t="str">
        <x:v>AIR</x:v>
      </x:c>
      <x:c r="J2042" s="187" t="str">
        <x:v>PACKAGING</x:v>
      </x:c>
      <x:c r="K2042" s="187" t="str">
        <x:v>EUR</x:v>
      </x:c>
      <x:c r="L2042" s="232" t="n">
        <x:v>129.2132088</x:v>
      </x:c>
      <x:c r="M2042" s="232" t="n">
        <x:v>7.9</x:v>
      </x:c>
      <x:c r="N2042" s="187" t="str">
        <x:v>1020.7843495200000</x:v>
      </x:c>
      <x:c r="O2042" s="235" t="n">
        <x:v>1020.7843</x:v>
      </x:c>
      <x:c r="P2042" s="235"/>
      <x:c r="Q2042" s="235"/>
      <x:c r="R2042" s="235" t="str">
        <x:v>INVOICE_OR_PLAN</x:v>
      </x:c>
      <x:c r="S2042" s="238" t="n">
        <x:f>'Model_Calc'!AQ344</x:f>
        <x:v>1020.78434952</x:v>
      </x:c>
      <x:c r="T2042" s="238" t="n">
        <x:f>ROUND(S2042-O2042,4)</x:f>
        <x:v>0</x:v>
      </x:c>
    </x:row>
    <x:row r="2043">
      <x:c r="A2043" s="187" t="str">
        <x:v>SCENARIO_COST_SAVING_2026_08</x:v>
      </x:c>
      <x:c r="B2043" s="187" t="str">
        <x:v>SCENARIO</x:v>
      </x:c>
      <x:c r="C2043" s="187" t="str">
        <x:v>COST_SAVING</x:v>
      </x:c>
      <x:c r="D2043" s="217" t="n">
        <x:v>46296</x:v>
      </x:c>
      <x:c r="E2043" s="187" t="str">
        <x:v>R_GB_FR_B_AIR</x:v>
      </x:c>
      <x:c r="F2043" s="187" t="str">
        <x:v>GB</x:v>
      </x:c>
      <x:c r="G2043" s="187" t="str">
        <x:v>FR_FC</x:v>
      </x:c>
      <x:c r="H2043" s="187" t="str">
        <x:v>CARRIER_B</x:v>
      </x:c>
      <x:c r="I2043" s="187" t="str">
        <x:v>AIR</x:v>
      </x:c>
      <x:c r="J2043" s="187" t="str">
        <x:v>RETURN_LOGISTICS</x:v>
      </x:c>
      <x:c r="K2043" s="187" t="str">
        <x:v>EUR</x:v>
      </x:c>
      <x:c r="L2043" s="232" t="n">
        <x:v>136.013904</x:v>
      </x:c>
      <x:c r="M2043" s="232" t="n">
        <x:v>7.9</x:v>
      </x:c>
      <x:c r="N2043" s="187" t="str">
        <x:v>1074.50984160000000</x:v>
      </x:c>
      <x:c r="O2043" s="235" t="n">
        <x:v>1074.5098</x:v>
      </x:c>
      <x:c r="P2043" s="235"/>
      <x:c r="Q2043" s="235"/>
      <x:c r="R2043" s="235" t="str">
        <x:v>INVOICE_OR_PLAN</x:v>
      </x:c>
      <x:c r="S2043" s="238" t="n">
        <x:f>'Model_Calc'!AV344</x:f>
        <x:v>1074.5098416</x:v>
      </x:c>
      <x:c r="T2043" s="238" t="n">
        <x:f>ROUND(S2043-O2043,4)</x:f>
        <x:v>0</x:v>
      </x:c>
    </x:row>
    <x:row r="2044">
      <x:c r="A2044" s="187" t="str">
        <x:v>SCENARIO_COST_SAVING_2026_08</x:v>
      </x:c>
      <x:c r="B2044" s="187" t="str">
        <x:v>SCENARIO</x:v>
      </x:c>
      <x:c r="C2044" s="187" t="str">
        <x:v>COST_SAVING</x:v>
      </x:c>
      <x:c r="D2044" s="217" t="n">
        <x:v>46296</x:v>
      </x:c>
      <x:c r="E2044" s="187" t="str">
        <x:v>R_GB_FR_B_AIR</x:v>
      </x:c>
      <x:c r="F2044" s="187" t="str">
        <x:v>GB</x:v>
      </x:c>
      <x:c r="G2044" s="187" t="str">
        <x:v>FR_FC</x:v>
      </x:c>
      <x:c r="H2044" s="187" t="str">
        <x:v>CARRIER_B</x:v>
      </x:c>
      <x:c r="I2044" s="187" t="str">
        <x:v>AIR</x:v>
      </x:c>
      <x:c r="J2044" s="187" t="str">
        <x:v>BILLABLE_EXCEPTION</x:v>
      </x:c>
      <x:c r="K2044" s="187" t="str">
        <x:v>EUR</x:v>
      </x:c>
      <x:c r="L2044" s="232" t="n">
        <x:v>12.6628944624</x:v>
      </x:c>
      <x:c r="M2044" s="232" t="n">
        <x:v>7.9</x:v>
      </x:c>
      <x:c r="N2044" s="187" t="str">
        <x:v>100.036866252960000000</x:v>
      </x:c>
      <x:c r="O2044" s="235" t="n">
        <x:v>100.0369</x:v>
      </x:c>
      <x:c r="P2044" s="235"/>
      <x:c r="Q2044" s="235"/>
      <x:c r="R2044" s="235" t="str">
        <x:v>INVOICE_OR_PLAN</x:v>
      </x:c>
      <x:c r="S2044" s="238" t="n">
        <x:f>'Model_Calc'!BA344</x:f>
        <x:v>100.03686625296</x:v>
      </x:c>
      <x:c r="T2044" s="238" t="n">
        <x:f>ROUND(S2044-O2044,4)</x:f>
        <x:v>0</x:v>
      </x:c>
    </x:row>
    <x:row r="2045">
      <x:c r="A2045" s="187" t="str">
        <x:v>SCENARIO_COST_SAVING_2026_08</x:v>
      </x:c>
      <x:c r="B2045" s="187" t="str">
        <x:v>SCENARIO</x:v>
      </x:c>
      <x:c r="C2045" s="187" t="str">
        <x:v>COST_SAVING</x:v>
      </x:c>
      <x:c r="D2045" s="217" t="n">
        <x:v>46327</x:v>
      </x:c>
      <x:c r="E2045" s="187" t="str">
        <x:v>R_DE_DE_A_ROAD</x:v>
      </x:c>
      <x:c r="F2045" s="187" t="str">
        <x:v>DE</x:v>
      </x:c>
      <x:c r="G2045" s="187" t="str">
        <x:v>DE_FC</x:v>
      </x:c>
      <x:c r="H2045" s="187" t="str">
        <x:v>CARRIER_A</x:v>
      </x:c>
      <x:c r="I2045" s="187" t="str">
        <x:v>ROAD</x:v>
      </x:c>
      <x:c r="J2045" s="187" t="str">
        <x:v>BASE_FREIGHT</x:v>
      </x:c>
      <x:c r="K2045" s="187" t="str">
        <x:v>EUR</x:v>
      </x:c>
      <x:c r="L2045" s="232" t="n">
        <x:v>8699.47310808576</x:v>
      </x:c>
      <x:c r="M2045" s="232" t="n">
        <x:v>7.88</x:v>
      </x:c>
      <x:c r="N2045" s="187" t="str">
        <x:v>68551.8480917157888000000</x:v>
      </x:c>
      <x:c r="O2045" s="235" t="n">
        <x:v>68551.8481</x:v>
      </x:c>
      <x:c r="P2045" s="235"/>
      <x:c r="Q2045" s="235"/>
      <x:c r="R2045" s="235" t="str">
        <x:v>INVOICE_OR_PLAN</x:v>
      </x:c>
      <x:c r="S2045" s="238" t="n">
        <x:f>'Model_Calc'!AF345</x:f>
        <x:v>68551.84809171577</x:v>
      </x:c>
      <x:c r="T2045" s="238" t="n">
        <x:f>ROUND(S2045-O2045,4)</x:f>
        <x:v>0</x:v>
      </x:c>
    </x:row>
    <x:row r="2046">
      <x:c r="A2046" s="187" t="str">
        <x:v>SCENARIO_COST_SAVING_2026_08</x:v>
      </x:c>
      <x:c r="B2046" s="187" t="str">
        <x:v>SCENARIO</x:v>
      </x:c>
      <x:c r="C2046" s="187" t="str">
        <x:v>COST_SAVING</x:v>
      </x:c>
      <x:c r="D2046" s="217" t="n">
        <x:v>46327</x:v>
      </x:c>
      <x:c r="E2046" s="187" t="str">
        <x:v>R_DE_DE_A_ROAD</x:v>
      </x:c>
      <x:c r="F2046" s="187" t="str">
        <x:v>DE</x:v>
      </x:c>
      <x:c r="G2046" s="187" t="str">
        <x:v>DE_FC</x:v>
      </x:c>
      <x:c r="H2046" s="187" t="str">
        <x:v>CARRIER_A</x:v>
      </x:c>
      <x:c r="I2046" s="187" t="str">
        <x:v>ROAD</x:v>
      </x:c>
      <x:c r="J2046" s="187" t="str">
        <x:v>FUEL_SURCHARGE</x:v>
      </x:c>
      <x:c r="K2046" s="187" t="str">
        <x:v>EUR</x:v>
      </x:c>
      <x:c r="L2046" s="232" t="n">
        <x:v>855.3756933525324</x:v>
      </x:c>
      <x:c r="M2046" s="232" t="n">
        <x:v>7.88</x:v>
      </x:c>
      <x:c r="N2046" s="187" t="str">
        <x:v>6740.3604636179549337600000000</x:v>
      </x:c>
      <x:c r="O2046" s="235" t="n">
        <x:v>6740.3605</x:v>
      </x:c>
      <x:c r="P2046" s="235"/>
      <x:c r="Q2046" s="235"/>
      <x:c r="R2046" s="235" t="str">
        <x:v>INVOICE_OR_PLAN</x:v>
      </x:c>
      <x:c r="S2046" s="238" t="n">
        <x:f>'Model_Calc'!AG345</x:f>
        <x:v>6740.360463617953</x:v>
      </x:c>
      <x:c r="T2046" s="238" t="n">
        <x:f>ROUND(S2046-O2046,4)</x:f>
        <x:v>0</x:v>
      </x:c>
    </x:row>
    <x:row r="2047">
      <x:c r="A2047" s="187" t="str">
        <x:v>SCENARIO_COST_SAVING_2026_08</x:v>
      </x:c>
      <x:c r="B2047" s="187" t="str">
        <x:v>SCENARIO</x:v>
      </x:c>
      <x:c r="C2047" s="187" t="str">
        <x:v>COST_SAVING</x:v>
      </x:c>
      <x:c r="D2047" s="217" t="n">
        <x:v>46327</x:v>
      </x:c>
      <x:c r="E2047" s="187" t="str">
        <x:v>R_DE_DE_A_ROAD</x:v>
      </x:c>
      <x:c r="F2047" s="187" t="str">
        <x:v>DE</x:v>
      </x:c>
      <x:c r="G2047" s="187" t="str">
        <x:v>DE_FC</x:v>
      </x:c>
      <x:c r="H2047" s="187" t="str">
        <x:v>CARRIER_A</x:v>
      </x:c>
      <x:c r="I2047" s="187" t="str">
        <x:v>ROAD</x:v>
      </x:c>
      <x:c r="J2047" s="187" t="str">
        <x:v>WAREHOUSE_OPERATION</x:v>
      </x:c>
      <x:c r="K2047" s="187" t="str">
        <x:v>EUR</x:v>
      </x:c>
      <x:c r="L2047" s="232" t="n">
        <x:v>5640.8818176</x:v>
      </x:c>
      <x:c r="M2047" s="232" t="n">
        <x:v>7.88</x:v>
      </x:c>
      <x:c r="N2047" s="187" t="str">
        <x:v>44450.1487226880000</x:v>
      </x:c>
      <x:c r="O2047" s="235" t="n">
        <x:v>44450.1487</x:v>
      </x:c>
      <x:c r="P2047" s="235"/>
      <x:c r="Q2047" s="235"/>
      <x:c r="R2047" s="235" t="str">
        <x:v>INVOICE_OR_PLAN</x:v>
      </x:c>
      <x:c r="S2047" s="238" t="n">
        <x:f>'Model_Calc'!AL345</x:f>
        <x:v>44450.148722688</x:v>
      </x:c>
      <x:c r="T2047" s="238" t="n">
        <x:f>ROUND(S2047-O2047,4)</x:f>
        <x:v>0</x:v>
      </x:c>
    </x:row>
    <x:row r="2048">
      <x:c r="A2048" s="187" t="str">
        <x:v>SCENARIO_COST_SAVING_2026_08</x:v>
      </x:c>
      <x:c r="B2048" s="187" t="str">
        <x:v>SCENARIO</x:v>
      </x:c>
      <x:c r="C2048" s="187" t="str">
        <x:v>COST_SAVING</x:v>
      </x:c>
      <x:c r="D2048" s="217" t="n">
        <x:v>46327</x:v>
      </x:c>
      <x:c r="E2048" s="187" t="str">
        <x:v>R_DE_DE_A_ROAD</x:v>
      </x:c>
      <x:c r="F2048" s="187" t="str">
        <x:v>DE</x:v>
      </x:c>
      <x:c r="G2048" s="187" t="str">
        <x:v>DE_FC</x:v>
      </x:c>
      <x:c r="H2048" s="187" t="str">
        <x:v>CARRIER_A</x:v>
      </x:c>
      <x:c r="I2048" s="187" t="str">
        <x:v>ROAD</x:v>
      </x:c>
      <x:c r="J2048" s="187" t="str">
        <x:v>PACKAGING</x:v>
      </x:c>
      <x:c r="K2048" s="187" t="str">
        <x:v>EUR</x:v>
      </x:c>
      <x:c r="L2048" s="232" t="n">
        <x:v>2108.16006912</x:v>
      </x:c>
      <x:c r="M2048" s="232" t="n">
        <x:v>7.88</x:v>
      </x:c>
      <x:c r="N2048" s="187" t="str">
        <x:v>16612.301344665600000</x:v>
      </x:c>
      <x:c r="O2048" s="235" t="n">
        <x:v>16612.3013</x:v>
      </x:c>
      <x:c r="P2048" s="235"/>
      <x:c r="Q2048" s="235"/>
      <x:c r="R2048" s="235" t="str">
        <x:v>INVOICE_OR_PLAN</x:v>
      </x:c>
      <x:c r="S2048" s="238" t="n">
        <x:f>'Model_Calc'!AQ345</x:f>
        <x:v>16612.301344665597</x:v>
      </x:c>
      <x:c r="T2048" s="238" t="n">
        <x:f>ROUND(S2048-O2048,4)</x:f>
        <x:v>0</x:v>
      </x:c>
    </x:row>
    <x:row r="2049">
      <x:c r="A2049" s="187" t="str">
        <x:v>SCENARIO_COST_SAVING_2026_08</x:v>
      </x:c>
      <x:c r="B2049" s="187" t="str">
        <x:v>SCENARIO</x:v>
      </x:c>
      <x:c r="C2049" s="187" t="str">
        <x:v>COST_SAVING</x:v>
      </x:c>
      <x:c r="D2049" s="217" t="n">
        <x:v>46327</x:v>
      </x:c>
      <x:c r="E2049" s="187" t="str">
        <x:v>R_DE_DE_A_ROAD</x:v>
      </x:c>
      <x:c r="F2049" s="187" t="str">
        <x:v>DE</x:v>
      </x:c>
      <x:c r="G2049" s="187" t="str">
        <x:v>DE_FC</x:v>
      </x:c>
      <x:c r="H2049" s="187" t="str">
        <x:v>CARRIER_A</x:v>
      </x:c>
      <x:c r="I2049" s="187" t="str">
        <x:v>ROAD</x:v>
      </x:c>
      <x:c r="J2049" s="187" t="str">
        <x:v>RETURN_LOGISTICS</x:v>
      </x:c>
      <x:c r="K2049" s="187" t="str">
        <x:v>EUR</x:v>
      </x:c>
      <x:c r="L2049" s="232" t="n">
        <x:v>764.8653312</x:v>
      </x:c>
      <x:c r="M2049" s="232" t="n">
        <x:v>7.88</x:v>
      </x:c>
      <x:c r="N2049" s="187" t="str">
        <x:v>6027.1388098560000000</x:v>
      </x:c>
      <x:c r="O2049" s="235" t="n">
        <x:v>6027.1388</x:v>
      </x:c>
      <x:c r="P2049" s="235"/>
      <x:c r="Q2049" s="235"/>
      <x:c r="R2049" s="235" t="str">
        <x:v>INVOICE_OR_PLAN</x:v>
      </x:c>
      <x:c r="S2049" s="238" t="n">
        <x:f>'Model_Calc'!AV345</x:f>
        <x:v>6027.138809855999</x:v>
      </x:c>
      <x:c r="T2049" s="238" t="n">
        <x:f>ROUND(S2049-O2049,4)</x:f>
        <x:v>0</x:v>
      </x:c>
    </x:row>
    <x:row r="2050">
      <x:c r="A2050" s="187" t="str">
        <x:v>SCENARIO_COST_SAVING_2026_08</x:v>
      </x:c>
      <x:c r="B2050" s="187" t="str">
        <x:v>SCENARIO</x:v>
      </x:c>
      <x:c r="C2050" s="187" t="str">
        <x:v>COST_SAVING</x:v>
      </x:c>
      <x:c r="D2050" s="217" t="n">
        <x:v>46327</x:v>
      </x:c>
      <x:c r="E2050" s="187" t="str">
        <x:v>R_DE_DE_A_ROAD</x:v>
      </x:c>
      <x:c r="F2050" s="187" t="str">
        <x:v>DE</x:v>
      </x:c>
      <x:c r="G2050" s="187" t="str">
        <x:v>DE_FC</x:v>
      </x:c>
      <x:c r="H2050" s="187" t="str">
        <x:v>CARRIER_A</x:v>
      </x:c>
      <x:c r="I2050" s="187" t="str">
        <x:v>ROAD</x:v>
      </x:c>
      <x:c r="J2050" s="187" t="str">
        <x:v>BILLABLE_EXCEPTION</x:v>
      </x:c>
      <x:c r="K2050" s="187" t="str">
        <x:v>EUR</x:v>
      </x:c>
      <x:c r="L2050" s="232" t="n">
        <x:v>184.7149774848</x:v>
      </x:c>
      <x:c r="M2050" s="232" t="n">
        <x:v>7.88</x:v>
      </x:c>
      <x:c r="N2050" s="187" t="str">
        <x:v>1455.554022580224000000</x:v>
      </x:c>
      <x:c r="O2050" s="235" t="n">
        <x:v>1455.554</x:v>
      </x:c>
      <x:c r="P2050" s="235"/>
      <x:c r="Q2050" s="235"/>
      <x:c r="R2050" s="235" t="str">
        <x:v>INVOICE_OR_PLAN</x:v>
      </x:c>
      <x:c r="S2050" s="238" t="n">
        <x:f>'Model_Calc'!BA345</x:f>
        <x:v>1455.5540225802238</x:v>
      </x:c>
      <x:c r="T2050" s="238" t="n">
        <x:f>ROUND(S2050-O2050,4)</x:f>
        <x:v>0</x:v>
      </x:c>
    </x:row>
    <x:row r="2051">
      <x:c r="A2051" s="187" t="str">
        <x:v>SCENARIO_COST_SAVING_2026_08</x:v>
      </x:c>
      <x:c r="B2051" s="187" t="str">
        <x:v>SCENARIO</x:v>
      </x:c>
      <x:c r="C2051" s="187" t="str">
        <x:v>COST_SAVING</x:v>
      </x:c>
      <x:c r="D2051" s="217" t="n">
        <x:v>46327</x:v>
      </x:c>
      <x:c r="E2051" s="187" t="str">
        <x:v>R_DE_DE_B_ROAD</x:v>
      </x:c>
      <x:c r="F2051" s="187" t="str">
        <x:v>DE</x:v>
      </x:c>
      <x:c r="G2051" s="187" t="str">
        <x:v>DE_FC</x:v>
      </x:c>
      <x:c r="H2051" s="187" t="str">
        <x:v>CARRIER_B</x:v>
      </x:c>
      <x:c r="I2051" s="187" t="str">
        <x:v>ROAD</x:v>
      </x:c>
      <x:c r="J2051" s="187" t="str">
        <x:v>BASE_FREIGHT</x:v>
      </x:c>
      <x:c r="K2051" s="187" t="str">
        <x:v>EUR</x:v>
      </x:c>
      <x:c r="L2051" s="232" t="n">
        <x:v>7435.447100928</x:v>
      </x:c>
      <x:c r="M2051" s="232" t="n">
        <x:v>7.88</x:v>
      </x:c>
      <x:c r="N2051" s="187" t="str">
        <x:v>58591.3231553126400000000</x:v>
      </x:c>
      <x:c r="O2051" s="235" t="n">
        <x:v>58591.3232</x:v>
      </x:c>
      <x:c r="P2051" s="235"/>
      <x:c r="Q2051" s="235"/>
      <x:c r="R2051" s="235" t="str">
        <x:v>INVOICE_OR_PLAN</x:v>
      </x:c>
      <x:c r="S2051" s="238" t="n">
        <x:f>'Model_Calc'!AF346</x:f>
        <x:v>58591.323155312646</x:v>
      </x:c>
      <x:c r="T2051" s="238" t="n">
        <x:f>ROUND(S2051-O2051,4)</x:f>
        <x:v>0</x:v>
      </x:c>
    </x:row>
    <x:row r="2052">
      <x:c r="A2052" s="187" t="str">
        <x:v>SCENARIO_COST_SAVING_2026_08</x:v>
      </x:c>
      <x:c r="B2052" s="187" t="str">
        <x:v>SCENARIO</x:v>
      </x:c>
      <x:c r="C2052" s="187" t="str">
        <x:v>COST_SAVING</x:v>
      </x:c>
      <x:c r="D2052" s="217" t="n">
        <x:v>46327</x:v>
      </x:c>
      <x:c r="E2052" s="187" t="str">
        <x:v>R_DE_DE_B_ROAD</x:v>
      </x:c>
      <x:c r="F2052" s="187" t="str">
        <x:v>DE</x:v>
      </x:c>
      <x:c r="G2052" s="187" t="str">
        <x:v>DE_FC</x:v>
      </x:c>
      <x:c r="H2052" s="187" t="str">
        <x:v>CARRIER_B</x:v>
      </x:c>
      <x:c r="I2052" s="187" t="str">
        <x:v>ROAD</x:v>
      </x:c>
      <x:c r="J2052" s="187" t="str">
        <x:v>FUEL_SURCHARGE</x:v>
      </x:c>
      <x:c r="K2052" s="187" t="str">
        <x:v>EUR</x:v>
      </x:c>
      <x:c r="L2052" s="232" t="n">
        <x:v>567.79777861632</x:v>
      </x:c>
      <x:c r="M2052" s="232" t="n">
        <x:v>7.88</x:v>
      </x:c>
      <x:c r="N2052" s="187" t="str">
        <x:v>4474.2464954966016000000</x:v>
      </x:c>
      <x:c r="O2052" s="235" t="n">
        <x:v>4474.2465</x:v>
      </x:c>
      <x:c r="P2052" s="235"/>
      <x:c r="Q2052" s="235"/>
      <x:c r="R2052" s="235" t="str">
        <x:v>INVOICE_OR_PLAN</x:v>
      </x:c>
      <x:c r="S2052" s="238" t="n">
        <x:f>'Model_Calc'!AG346</x:f>
        <x:v>4474.246495496603</x:v>
      </x:c>
      <x:c r="T2052" s="238" t="n">
        <x:f>ROUND(S2052-O2052,4)</x:f>
        <x:v>0</x:v>
      </x:c>
    </x:row>
    <x:row r="2053">
      <x:c r="A2053" s="187" t="str">
        <x:v>SCENARIO_COST_SAVING_2026_08</x:v>
      </x:c>
      <x:c r="B2053" s="187" t="str">
        <x:v>SCENARIO</x:v>
      </x:c>
      <x:c r="C2053" s="187" t="str">
        <x:v>COST_SAVING</x:v>
      </x:c>
      <x:c r="D2053" s="217" t="n">
        <x:v>46327</x:v>
      </x:c>
      <x:c r="E2053" s="187" t="str">
        <x:v>R_DE_DE_B_ROAD</x:v>
      </x:c>
      <x:c r="F2053" s="187" t="str">
        <x:v>DE</x:v>
      </x:c>
      <x:c r="G2053" s="187" t="str">
        <x:v>DE_FC</x:v>
      </x:c>
      <x:c r="H2053" s="187" t="str">
        <x:v>CARRIER_B</x:v>
      </x:c>
      <x:c r="I2053" s="187" t="str">
        <x:v>ROAD</x:v>
      </x:c>
      <x:c r="J2053" s="187" t="str">
        <x:v>WAREHOUSE_OPERATION</x:v>
      </x:c>
      <x:c r="K2053" s="187" t="str">
        <x:v>EUR</x:v>
      </x:c>
      <x:c r="L2053" s="232" t="n">
        <x:v>3760.5878784</x:v>
      </x:c>
      <x:c r="M2053" s="232" t="n">
        <x:v>7.88</x:v>
      </x:c>
      <x:c r="N2053" s="187" t="str">
        <x:v>29633.4324817920000</x:v>
      </x:c>
      <x:c r="O2053" s="235" t="n">
        <x:v>29633.4325</x:v>
      </x:c>
      <x:c r="P2053" s="235"/>
      <x:c r="Q2053" s="235"/>
      <x:c r="R2053" s="235" t="str">
        <x:v>INVOICE_OR_PLAN</x:v>
      </x:c>
      <x:c r="S2053" s="238" t="n">
        <x:f>'Model_Calc'!AL346</x:f>
        <x:v>29633.432481792002</x:v>
      </x:c>
      <x:c r="T2053" s="238" t="n">
        <x:f>ROUND(S2053-O2053,4)</x:f>
        <x:v>0</x:v>
      </x:c>
    </x:row>
    <x:row r="2054">
      <x:c r="A2054" s="187" t="str">
        <x:v>SCENARIO_COST_SAVING_2026_08</x:v>
      </x:c>
      <x:c r="B2054" s="187" t="str">
        <x:v>SCENARIO</x:v>
      </x:c>
      <x:c r="C2054" s="187" t="str">
        <x:v>COST_SAVING</x:v>
      </x:c>
      <x:c r="D2054" s="217" t="n">
        <x:v>46327</x:v>
      </x:c>
      <x:c r="E2054" s="187" t="str">
        <x:v>R_DE_DE_B_ROAD</x:v>
      </x:c>
      <x:c r="F2054" s="187" t="str">
        <x:v>DE</x:v>
      </x:c>
      <x:c r="G2054" s="187" t="str">
        <x:v>DE_FC</x:v>
      </x:c>
      <x:c r="H2054" s="187" t="str">
        <x:v>CARRIER_B</x:v>
      </x:c>
      <x:c r="I2054" s="187" t="str">
        <x:v>ROAD</x:v>
      </x:c>
      <x:c r="J2054" s="187" t="str">
        <x:v>PACKAGING</x:v>
      </x:c>
      <x:c r="K2054" s="187" t="str">
        <x:v>EUR</x:v>
      </x:c>
      <x:c r="L2054" s="232" t="n">
        <x:v>1405.44004608</x:v>
      </x:c>
      <x:c r="M2054" s="232" t="n">
        <x:v>7.88</x:v>
      </x:c>
      <x:c r="N2054" s="187" t="str">
        <x:v>11074.867563110400000</x:v>
      </x:c>
      <x:c r="O2054" s="235" t="n">
        <x:v>11074.8676</x:v>
      </x:c>
      <x:c r="P2054" s="235"/>
      <x:c r="Q2054" s="235"/>
      <x:c r="R2054" s="235" t="str">
        <x:v>INVOICE_OR_PLAN</x:v>
      </x:c>
      <x:c r="S2054" s="238" t="n">
        <x:f>'Model_Calc'!AQ346</x:f>
        <x:v>11074.8675631104</x:v>
      </x:c>
      <x:c r="T2054" s="238" t="n">
        <x:f>ROUND(S2054-O2054,4)</x:f>
        <x:v>0</x:v>
      </x:c>
    </x:row>
    <x:row r="2055">
      <x:c r="A2055" s="187" t="str">
        <x:v>SCENARIO_COST_SAVING_2026_08</x:v>
      </x:c>
      <x:c r="B2055" s="187" t="str">
        <x:v>SCENARIO</x:v>
      </x:c>
      <x:c r="C2055" s="187" t="str">
        <x:v>COST_SAVING</x:v>
      </x:c>
      <x:c r="D2055" s="217" t="n">
        <x:v>46327</x:v>
      </x:c>
      <x:c r="E2055" s="187" t="str">
        <x:v>R_DE_DE_B_ROAD</x:v>
      </x:c>
      <x:c r="F2055" s="187" t="str">
        <x:v>DE</x:v>
      </x:c>
      <x:c r="G2055" s="187" t="str">
        <x:v>DE_FC</x:v>
      </x:c>
      <x:c r="H2055" s="187" t="str">
        <x:v>CARRIER_B</x:v>
      </x:c>
      <x:c r="I2055" s="187" t="str">
        <x:v>ROAD</x:v>
      </x:c>
      <x:c r="J2055" s="187" t="str">
        <x:v>RETURN_LOGISTICS</x:v>
      </x:c>
      <x:c r="K2055" s="187" t="str">
        <x:v>EUR</x:v>
      </x:c>
      <x:c r="L2055" s="232" t="n">
        <x:v>509.9102208</x:v>
      </x:c>
      <x:c r="M2055" s="232" t="n">
        <x:v>7.88</x:v>
      </x:c>
      <x:c r="N2055" s="187" t="str">
        <x:v>4018.0925399040000000</x:v>
      </x:c>
      <x:c r="O2055" s="235" t="n">
        <x:v>4018.0925</x:v>
      </x:c>
      <x:c r="P2055" s="235"/>
      <x:c r="Q2055" s="235"/>
      <x:c r="R2055" s="235" t="str">
        <x:v>INVOICE_OR_PLAN</x:v>
      </x:c>
      <x:c r="S2055" s="238" t="n">
        <x:f>'Model_Calc'!AV346</x:f>
        <x:v>4018.0925399039998</x:v>
      </x:c>
      <x:c r="T2055" s="238" t="n">
        <x:f>ROUND(S2055-O2055,4)</x:f>
        <x:v>0</x:v>
      </x:c>
    </x:row>
    <x:row r="2056">
      <x:c r="A2056" s="187" t="str">
        <x:v>SCENARIO_COST_SAVING_2026_08</x:v>
      </x:c>
      <x:c r="B2056" s="187" t="str">
        <x:v>SCENARIO</x:v>
      </x:c>
      <x:c r="C2056" s="187" t="str">
        <x:v>COST_SAVING</x:v>
      </x:c>
      <x:c r="D2056" s="217" t="n">
        <x:v>46327</x:v>
      </x:c>
      <x:c r="E2056" s="187" t="str">
        <x:v>R_DE_DE_B_ROAD</x:v>
      </x:c>
      <x:c r="F2056" s="187" t="str">
        <x:v>DE</x:v>
      </x:c>
      <x:c r="G2056" s="187" t="str">
        <x:v>DE_FC</x:v>
      </x:c>
      <x:c r="H2056" s="187" t="str">
        <x:v>CARRIER_B</x:v>
      </x:c>
      <x:c r="I2056" s="187" t="str">
        <x:v>ROAD</x:v>
      </x:c>
      <x:c r="J2056" s="187" t="str">
        <x:v>BILLABLE_EXCEPTION</x:v>
      </x:c>
      <x:c r="K2056" s="187" t="str">
        <x:v>EUR</x:v>
      </x:c>
      <x:c r="L2056" s="232" t="n">
        <x:v>100.0539461376</x:v>
      </x:c>
      <x:c r="M2056" s="232" t="n">
        <x:v>7.88</x:v>
      </x:c>
      <x:c r="N2056" s="187" t="str">
        <x:v>788.425095564288000000</x:v>
      </x:c>
      <x:c r="O2056" s="235" t="n">
        <x:v>788.4251</x:v>
      </x:c>
      <x:c r="P2056" s="235"/>
      <x:c r="Q2056" s="235"/>
      <x:c r="R2056" s="235" t="str">
        <x:v>INVOICE_OR_PLAN</x:v>
      </x:c>
      <x:c r="S2056" s="238" t="n">
        <x:f>'Model_Calc'!BA346</x:f>
        <x:v>788.4250955642881</x:v>
      </x:c>
      <x:c r="T2056" s="238" t="n">
        <x:f>ROUND(S2056-O2056,4)</x:f>
        <x:v>0</x:v>
      </x:c>
    </x:row>
    <x:row r="2057">
      <x:c r="A2057" s="187" t="str">
        <x:v>SCENARIO_COST_SAVING_2026_08</x:v>
      </x:c>
      <x:c r="B2057" s="187" t="str">
        <x:v>SCENARIO</x:v>
      </x:c>
      <x:c r="C2057" s="187" t="str">
        <x:v>COST_SAVING</x:v>
      </x:c>
      <x:c r="D2057" s="217" t="n">
        <x:v>46327</x:v>
      </x:c>
      <x:c r="E2057" s="187" t="str">
        <x:v>R_DE_FR_B_ROAD</x:v>
      </x:c>
      <x:c r="F2057" s="187" t="str">
        <x:v>DE</x:v>
      </x:c>
      <x:c r="G2057" s="187" t="str">
        <x:v>FR_FC</x:v>
      </x:c>
      <x:c r="H2057" s="187" t="str">
        <x:v>CARRIER_B</x:v>
      </x:c>
      <x:c r="I2057" s="187" t="str">
        <x:v>ROAD</x:v>
      </x:c>
      <x:c r="J2057" s="187" t="str">
        <x:v>BASE_FREIGHT</x:v>
      </x:c>
      <x:c r="K2057" s="187" t="str">
        <x:v>EUR</x:v>
      </x:c>
      <x:c r="L2057" s="232" t="n">
        <x:v>762.81773939712</x:v>
      </x:c>
      <x:c r="M2057" s="232" t="n">
        <x:v>7.88</x:v>
      </x:c>
      <x:c r="N2057" s="187" t="str">
        <x:v>6011.00378644930560000</x:v>
      </x:c>
      <x:c r="O2057" s="235" t="n">
        <x:v>6011.0038</x:v>
      </x:c>
      <x:c r="P2057" s="235"/>
      <x:c r="Q2057" s="235"/>
      <x:c r="R2057" s="235" t="str">
        <x:v>INVOICE_OR_PLAN</x:v>
      </x:c>
      <x:c r="S2057" s="238" t="n">
        <x:f>'Model_Calc'!AF347</x:f>
        <x:v>6011.003786449306</x:v>
      </x:c>
      <x:c r="T2057" s="238" t="n">
        <x:f>ROUND(S2057-O2057,4)</x:f>
        <x:v>0</x:v>
      </x:c>
    </x:row>
    <x:row r="2058">
      <x:c r="A2058" s="187" t="str">
        <x:v>SCENARIO_COST_SAVING_2026_08</x:v>
      </x:c>
      <x:c r="B2058" s="187" t="str">
        <x:v>SCENARIO</x:v>
      </x:c>
      <x:c r="C2058" s="187" t="str">
        <x:v>COST_SAVING</x:v>
      </x:c>
      <x:c r="D2058" s="217" t="n">
        <x:v>46327</x:v>
      </x:c>
      <x:c r="E2058" s="187" t="str">
        <x:v>R_DE_FR_B_ROAD</x:v>
      </x:c>
      <x:c r="F2058" s="187" t="str">
        <x:v>DE</x:v>
      </x:c>
      <x:c r="G2058" s="187" t="str">
        <x:v>FR_FC</x:v>
      </x:c>
      <x:c r="H2058" s="187" t="str">
        <x:v>CARRIER_B</x:v>
      </x:c>
      <x:c r="I2058" s="187" t="str">
        <x:v>ROAD</x:v>
      </x:c>
      <x:c r="J2058" s="187" t="str">
        <x:v>FUEL_SURCHARGE</x:v>
      </x:c>
      <x:c r="K2058" s="187" t="str">
        <x:v>EUR</x:v>
      </x:c>
      <x:c r="L2058" s="232" t="n">
        <x:v>55.477653774336</x:v>
      </x:c>
      <x:c r="M2058" s="232" t="n">
        <x:v>7.88</x:v>
      </x:c>
      <x:c r="N2058" s="187" t="str">
        <x:v>437.16391174176768000</x:v>
      </x:c>
      <x:c r="O2058" s="235" t="n">
        <x:v>437.1639</x:v>
      </x:c>
      <x:c r="P2058" s="235"/>
      <x:c r="Q2058" s="235"/>
      <x:c r="R2058" s="235" t="str">
        <x:v>INVOICE_OR_PLAN</x:v>
      </x:c>
      <x:c r="S2058" s="238" t="n">
        <x:f>'Model_Calc'!AG347</x:f>
        <x:v>437.1639117417677</x:v>
      </x:c>
      <x:c r="T2058" s="238" t="n">
        <x:f>ROUND(S2058-O2058,4)</x:f>
        <x:v>0</x:v>
      </x:c>
    </x:row>
    <x:row r="2059">
      <x:c r="A2059" s="187" t="str">
        <x:v>SCENARIO_COST_SAVING_2026_08</x:v>
      </x:c>
      <x:c r="B2059" s="187" t="str">
        <x:v>SCENARIO</x:v>
      </x:c>
      <x:c r="C2059" s="187" t="str">
        <x:v>COST_SAVING</x:v>
      </x:c>
      <x:c r="D2059" s="217" t="n">
        <x:v>46327</x:v>
      </x:c>
      <x:c r="E2059" s="187" t="str">
        <x:v>R_DE_FR_B_ROAD</x:v>
      </x:c>
      <x:c r="F2059" s="187" t="str">
        <x:v>DE</x:v>
      </x:c>
      <x:c r="G2059" s="187" t="str">
        <x:v>FR_FC</x:v>
      </x:c>
      <x:c r="H2059" s="187" t="str">
        <x:v>CARRIER_B</x:v>
      </x:c>
      <x:c r="I2059" s="187" t="str">
        <x:v>ROAD</x:v>
      </x:c>
      <x:c r="J2059" s="187" t="str">
        <x:v>WAREHOUSE_OPERATION</x:v>
      </x:c>
      <x:c r="K2059" s="187" t="str">
        <x:v>EUR</x:v>
      </x:c>
      <x:c r="L2059" s="232" t="n">
        <x:v>258.73344</x:v>
      </x:c>
      <x:c r="M2059" s="232" t="n">
        <x:v>7.88</x:v>
      </x:c>
      <x:c r="N2059" s="187" t="str">
        <x:v>2038.81950720000</x:v>
      </x:c>
      <x:c r="O2059" s="235" t="n">
        <x:v>2038.8195</x:v>
      </x:c>
      <x:c r="P2059" s="235"/>
      <x:c r="Q2059" s="235"/>
      <x:c r="R2059" s="235" t="str">
        <x:v>INVOICE_OR_PLAN</x:v>
      </x:c>
      <x:c r="S2059" s="238" t="n">
        <x:f>'Model_Calc'!AL347</x:f>
        <x:v>2038.8195072000003</x:v>
      </x:c>
      <x:c r="T2059" s="238" t="n">
        <x:f>ROUND(S2059-O2059,4)</x:f>
        <x:v>0</x:v>
      </x:c>
    </x:row>
    <x:row r="2060">
      <x:c r="A2060" s="187" t="str">
        <x:v>SCENARIO_COST_SAVING_2026_08</x:v>
      </x:c>
      <x:c r="B2060" s="187" t="str">
        <x:v>SCENARIO</x:v>
      </x:c>
      <x:c r="C2060" s="187" t="str">
        <x:v>COST_SAVING</x:v>
      </x:c>
      <x:c r="D2060" s="217" t="n">
        <x:v>46327</x:v>
      </x:c>
      <x:c r="E2060" s="187" t="str">
        <x:v>R_DE_FR_B_ROAD</x:v>
      </x:c>
      <x:c r="F2060" s="187" t="str">
        <x:v>DE</x:v>
      </x:c>
      <x:c r="G2060" s="187" t="str">
        <x:v>FR_FC</x:v>
      </x:c>
      <x:c r="H2060" s="187" t="str">
        <x:v>CARRIER_B</x:v>
      </x:c>
      <x:c r="I2060" s="187" t="str">
        <x:v>ROAD</x:v>
      </x:c>
      <x:c r="J2060" s="187" t="str">
        <x:v>PACKAGING</x:v>
      </x:c>
      <x:c r="K2060" s="187" t="str">
        <x:v>EUR</x:v>
      </x:c>
      <x:c r="L2060" s="232" t="n">
        <x:v>101.12781312</x:v>
      </x:c>
      <x:c r="M2060" s="232" t="n">
        <x:v>7.88</x:v>
      </x:c>
      <x:c r="N2060" s="187" t="str">
        <x:v>796.8871673856000</x:v>
      </x:c>
      <x:c r="O2060" s="235" t="n">
        <x:v>796.8872</x:v>
      </x:c>
      <x:c r="P2060" s="235"/>
      <x:c r="Q2060" s="235"/>
      <x:c r="R2060" s="235" t="str">
        <x:v>INVOICE_OR_PLAN</x:v>
      </x:c>
      <x:c r="S2060" s="238" t="n">
        <x:f>'Model_Calc'!AQ347</x:f>
        <x:v>796.8871673855999</x:v>
      </x:c>
      <x:c r="T2060" s="238" t="n">
        <x:f>ROUND(S2060-O2060,4)</x:f>
        <x:v>0</x:v>
      </x:c>
    </x:row>
    <x:row r="2061">
      <x:c r="A2061" s="187" t="str">
        <x:v>SCENARIO_COST_SAVING_2026_08</x:v>
      </x:c>
      <x:c r="B2061" s="187" t="str">
        <x:v>SCENARIO</x:v>
      </x:c>
      <x:c r="C2061" s="187" t="str">
        <x:v>COST_SAVING</x:v>
      </x:c>
      <x:c r="D2061" s="217" t="n">
        <x:v>46327</x:v>
      </x:c>
      <x:c r="E2061" s="187" t="str">
        <x:v>R_DE_FR_B_ROAD</x:v>
      </x:c>
      <x:c r="F2061" s="187" t="str">
        <x:v>DE</x:v>
      </x:c>
      <x:c r="G2061" s="187" t="str">
        <x:v>FR_FC</x:v>
      </x:c>
      <x:c r="H2061" s="187" t="str">
        <x:v>CARRIER_B</x:v>
      </x:c>
      <x:c r="I2061" s="187" t="str">
        <x:v>ROAD</x:v>
      </x:c>
      <x:c r="J2061" s="187" t="str">
        <x:v>RETURN_LOGISTICS</x:v>
      </x:c>
      <x:c r="K2061" s="187" t="str">
        <x:v>EUR</x:v>
      </x:c>
      <x:c r="L2061" s="232" t="n">
        <x:v>46.818432</x:v>
      </x:c>
      <x:c r="M2061" s="232" t="n">
        <x:v>7.88</x:v>
      </x:c>
      <x:c r="N2061" s="187" t="str">
        <x:v>368.92924416000000</x:v>
      </x:c>
      <x:c r="O2061" s="235" t="n">
        <x:v>368.9292</x:v>
      </x:c>
      <x:c r="P2061" s="235"/>
      <x:c r="Q2061" s="235"/>
      <x:c r="R2061" s="235" t="str">
        <x:v>INVOICE_OR_PLAN</x:v>
      </x:c>
      <x:c r="S2061" s="238" t="n">
        <x:f>'Model_Calc'!AV347</x:f>
        <x:v>368.92924415999994</x:v>
      </x:c>
      <x:c r="T2061" s="238" t="n">
        <x:f>ROUND(S2061-O2061,4)</x:f>
        <x:v>0</x:v>
      </x:c>
    </x:row>
    <x:row r="2062">
      <x:c r="A2062" s="187" t="str">
        <x:v>SCENARIO_COST_SAVING_2026_08</x:v>
      </x:c>
      <x:c r="B2062" s="187" t="str">
        <x:v>SCENARIO</x:v>
      </x:c>
      <x:c r="C2062" s="187" t="str">
        <x:v>COST_SAVING</x:v>
      </x:c>
      <x:c r="D2062" s="217" t="n">
        <x:v>46327</x:v>
      </x:c>
      <x:c r="E2062" s="187" t="str">
        <x:v>R_DE_FR_B_ROAD</x:v>
      </x:c>
      <x:c r="F2062" s="187" t="str">
        <x:v>DE</x:v>
      </x:c>
      <x:c r="G2062" s="187" t="str">
        <x:v>FR_FC</x:v>
      </x:c>
      <x:c r="H2062" s="187" t="str">
        <x:v>CARRIER_B</x:v>
      </x:c>
      <x:c r="I2062" s="187" t="str">
        <x:v>ROAD</x:v>
      </x:c>
      <x:c r="J2062" s="187" t="str">
        <x:v>BILLABLE_EXCEPTION</x:v>
      </x:c>
      <x:c r="K2062" s="187" t="str">
        <x:v>EUR</x:v>
      </x:c>
      <x:c r="L2062" s="232" t="n">
        <x:v>8.5692515328</x:v>
      </x:c>
      <x:c r="M2062" s="232" t="n">
        <x:v>7.88</x:v>
      </x:c>
      <x:c r="N2062" s="187" t="str">
        <x:v>67.5257020784640000</x:v>
      </x:c>
      <x:c r="O2062" s="235" t="n">
        <x:v>67.5257</x:v>
      </x:c>
      <x:c r="P2062" s="235"/>
      <x:c r="Q2062" s="235"/>
      <x:c r="R2062" s="235" t="str">
        <x:v>INVOICE_OR_PLAN</x:v>
      </x:c>
      <x:c r="S2062" s="238" t="n">
        <x:f>'Model_Calc'!BA347</x:f>
        <x:v>67.52570207846401</x:v>
      </x:c>
      <x:c r="T2062" s="238" t="n">
        <x:f>ROUND(S2062-O2062,4)</x:f>
        <x:v>0</x:v>
      </x:c>
    </x:row>
    <x:row r="2063">
      <x:c r="A2063" s="187" t="str">
        <x:v>SCENARIO_COST_SAVING_2026_08</x:v>
      </x:c>
      <x:c r="B2063" s="187" t="str">
        <x:v>SCENARIO</x:v>
      </x:c>
      <x:c r="C2063" s="187" t="str">
        <x:v>COST_SAVING</x:v>
      </x:c>
      <x:c r="D2063" s="217" t="n">
        <x:v>46327</x:v>
      </x:c>
      <x:c r="E2063" s="187" t="str">
        <x:v>R_FR_FR_A_ROAD</x:v>
      </x:c>
      <x:c r="F2063" s="187" t="str">
        <x:v>FR</x:v>
      </x:c>
      <x:c r="G2063" s="187" t="str">
        <x:v>FR_FC</x:v>
      </x:c>
      <x:c r="H2063" s="187" t="str">
        <x:v>CARRIER_A</x:v>
      </x:c>
      <x:c r="I2063" s="187" t="str">
        <x:v>ROAD</x:v>
      </x:c>
      <x:c r="J2063" s="187" t="str">
        <x:v>BASE_FREIGHT</x:v>
      </x:c>
      <x:c r="K2063" s="187" t="str">
        <x:v>EUR</x:v>
      </x:c>
      <x:c r="L2063" s="232" t="n">
        <x:v>4451.6211686352</x:v>
      </x:c>
      <x:c r="M2063" s="232" t="n">
        <x:v>7.88</x:v>
      </x:c>
      <x:c r="N2063" s="187" t="str">
        <x:v>35078.77480884537600000</x:v>
      </x:c>
      <x:c r="O2063" s="235" t="n">
        <x:v>35078.7748</x:v>
      </x:c>
      <x:c r="P2063" s="235"/>
      <x:c r="Q2063" s="235"/>
      <x:c r="R2063" s="235" t="str">
        <x:v>INVOICE_OR_PLAN</x:v>
      </x:c>
      <x:c r="S2063" s="238" t="n">
        <x:f>'Model_Calc'!AF348</x:f>
        <x:v>35078.774808845366</x:v>
      </x:c>
      <x:c r="T2063" s="238" t="n">
        <x:f>ROUND(S2063-O2063,4)</x:f>
        <x:v>0</x:v>
      </x:c>
    </x:row>
    <x:row r="2064">
      <x:c r="A2064" s="187" t="str">
        <x:v>SCENARIO_COST_SAVING_2026_08</x:v>
      </x:c>
      <x:c r="B2064" s="187" t="str">
        <x:v>SCENARIO</x:v>
      </x:c>
      <x:c r="C2064" s="187" t="str">
        <x:v>COST_SAVING</x:v>
      </x:c>
      <x:c r="D2064" s="217" t="n">
        <x:v>46327</x:v>
      </x:c>
      <x:c r="E2064" s="187" t="str">
        <x:v>R_FR_FR_A_ROAD</x:v>
      </x:c>
      <x:c r="F2064" s="187" t="str">
        <x:v>FR</x:v>
      </x:c>
      <x:c r="G2064" s="187" t="str">
        <x:v>FR_FC</x:v>
      </x:c>
      <x:c r="H2064" s="187" t="str">
        <x:v>CARRIER_A</x:v>
      </x:c>
      <x:c r="I2064" s="187" t="str">
        <x:v>ROAD</x:v>
      </x:c>
      <x:c r="J2064" s="187" t="str">
        <x:v>FUEL_SURCHARGE</x:v>
      </x:c>
      <x:c r="K2064" s="187" t="str">
        <x:v>EUR</x:v>
      </x:c>
      <x:c r="L2064" s="232" t="n">
        <x:v>414.6685118583689</x:v>
      </x:c>
      <x:c r="M2064" s="232" t="n">
        <x:v>7.88</x:v>
      </x:c>
      <x:c r="N2064" s="187" t="str">
        <x:v>3267.58787344394677440000000</x:v>
      </x:c>
      <x:c r="O2064" s="235" t="n">
        <x:v>3267.5879</x:v>
      </x:c>
      <x:c r="P2064" s="235"/>
      <x:c r="Q2064" s="235"/>
      <x:c r="R2064" s="235" t="str">
        <x:v>INVOICE_OR_PLAN</x:v>
      </x:c>
      <x:c r="S2064" s="238" t="n">
        <x:f>'Model_Calc'!AG348</x:f>
        <x:v>3267.587873443946</x:v>
      </x:c>
      <x:c r="T2064" s="238" t="n">
        <x:f>ROUND(S2064-O2064,4)</x:f>
        <x:v>0</x:v>
      </x:c>
    </x:row>
    <x:row r="2065">
      <x:c r="A2065" s="187" t="str">
        <x:v>SCENARIO_COST_SAVING_2026_08</x:v>
      </x:c>
      <x:c r="B2065" s="187" t="str">
        <x:v>SCENARIO</x:v>
      </x:c>
      <x:c r="C2065" s="187" t="str">
        <x:v>COST_SAVING</x:v>
      </x:c>
      <x:c r="D2065" s="217" t="n">
        <x:v>46327</x:v>
      </x:c>
      <x:c r="E2065" s="187" t="str">
        <x:v>R_FR_FR_A_ROAD</x:v>
      </x:c>
      <x:c r="F2065" s="187" t="str">
        <x:v>FR</x:v>
      </x:c>
      <x:c r="G2065" s="187" t="str">
        <x:v>FR_FC</x:v>
      </x:c>
      <x:c r="H2065" s="187" t="str">
        <x:v>CARRIER_A</x:v>
      </x:c>
      <x:c r="I2065" s="187" t="str">
        <x:v>ROAD</x:v>
      </x:c>
      <x:c r="J2065" s="187" t="str">
        <x:v>WAREHOUSE_OPERATION</x:v>
      </x:c>
      <x:c r="K2065" s="187" t="str">
        <x:v>EUR</x:v>
      </x:c>
      <x:c r="L2065" s="232" t="n">
        <x:v>2735.5671</x:v>
      </x:c>
      <x:c r="M2065" s="232" t="n">
        <x:v>7.88</x:v>
      </x:c>
      <x:c r="N2065" s="187" t="str">
        <x:v>21556.26874800000</x:v>
      </x:c>
      <x:c r="O2065" s="235" t="n">
        <x:v>21556.2687</x:v>
      </x:c>
      <x:c r="P2065" s="235"/>
      <x:c r="Q2065" s="235"/>
      <x:c r="R2065" s="235" t="str">
        <x:v>INVOICE_OR_PLAN</x:v>
      </x:c>
      <x:c r="S2065" s="238" t="n">
        <x:f>'Model_Calc'!AL348</x:f>
        <x:v>21556.268748</x:v>
      </x:c>
      <x:c r="T2065" s="238" t="n">
        <x:f>ROUND(S2065-O2065,4)</x:f>
        <x:v>0</x:v>
      </x:c>
    </x:row>
    <x:row r="2066">
      <x:c r="A2066" s="187" t="str">
        <x:v>SCENARIO_COST_SAVING_2026_08</x:v>
      </x:c>
      <x:c r="B2066" s="187" t="str">
        <x:v>SCENARIO</x:v>
      </x:c>
      <x:c r="C2066" s="187" t="str">
        <x:v>COST_SAVING</x:v>
      </x:c>
      <x:c r="D2066" s="217" t="n">
        <x:v>46327</x:v>
      </x:c>
      <x:c r="E2066" s="187" t="str">
        <x:v>R_FR_FR_A_ROAD</x:v>
      </x:c>
      <x:c r="F2066" s="187" t="str">
        <x:v>FR</x:v>
      </x:c>
      <x:c r="G2066" s="187" t="str">
        <x:v>FR_FC</x:v>
      </x:c>
      <x:c r="H2066" s="187" t="str">
        <x:v>CARRIER_A</x:v>
      </x:c>
      <x:c r="I2066" s="187" t="str">
        <x:v>ROAD</x:v>
      </x:c>
      <x:c r="J2066" s="187" t="str">
        <x:v>PACKAGING</x:v>
      </x:c>
      <x:c r="K2066" s="187" t="str">
        <x:v>EUR</x:v>
      </x:c>
      <x:c r="L2066" s="232" t="n">
        <x:v>1049.4156456</x:v>
      </x:c>
      <x:c r="M2066" s="232" t="n">
        <x:v>7.88</x:v>
      </x:c>
      <x:c r="N2066" s="187" t="str">
        <x:v>8269.3952873280000</x:v>
      </x:c>
      <x:c r="O2066" s="235" t="n">
        <x:v>8269.3953</x:v>
      </x:c>
      <x:c r="P2066" s="235"/>
      <x:c r="Q2066" s="235"/>
      <x:c r="R2066" s="235" t="str">
        <x:v>INVOICE_OR_PLAN</x:v>
      </x:c>
      <x:c r="S2066" s="238" t="n">
        <x:f>'Model_Calc'!AQ348</x:f>
        <x:v>8269.395287327998</x:v>
      </x:c>
      <x:c r="T2066" s="238" t="n">
        <x:f>ROUND(S2066-O2066,4)</x:f>
        <x:v>0</x:v>
      </x:c>
    </x:row>
    <x:row r="2067">
      <x:c r="A2067" s="187" t="str">
        <x:v>SCENARIO_COST_SAVING_2026_08</x:v>
      </x:c>
      <x:c r="B2067" s="187" t="str">
        <x:v>SCENARIO</x:v>
      </x:c>
      <x:c r="C2067" s="187" t="str">
        <x:v>COST_SAVING</x:v>
      </x:c>
      <x:c r="D2067" s="217" t="n">
        <x:v>46327</x:v>
      </x:c>
      <x:c r="E2067" s="187" t="str">
        <x:v>R_FR_FR_A_ROAD</x:v>
      </x:c>
      <x:c r="F2067" s="187" t="str">
        <x:v>FR</x:v>
      </x:c>
      <x:c r="G2067" s="187" t="str">
        <x:v>FR_FC</x:v>
      </x:c>
      <x:c r="H2067" s="187" t="str">
        <x:v>CARRIER_A</x:v>
      </x:c>
      <x:c r="I2067" s="187" t="str">
        <x:v>ROAD</x:v>
      </x:c>
      <x:c r="J2067" s="187" t="str">
        <x:v>RETURN_LOGISTICS</x:v>
      </x:c>
      <x:c r="K2067" s="187" t="str">
        <x:v>EUR</x:v>
      </x:c>
      <x:c r="L2067" s="232" t="n">
        <x:v>468.95436</x:v>
      </x:c>
      <x:c r="M2067" s="232" t="n">
        <x:v>7.88</x:v>
      </x:c>
      <x:c r="N2067" s="187" t="str">
        <x:v>3695.36035680000000</x:v>
      </x:c>
      <x:c r="O2067" s="235" t="n">
        <x:v>3695.3604</x:v>
      </x:c>
      <x:c r="P2067" s="235"/>
      <x:c r="Q2067" s="235"/>
      <x:c r="R2067" s="235" t="str">
        <x:v>INVOICE_OR_PLAN</x:v>
      </x:c>
      <x:c r="S2067" s="238" t="n">
        <x:f>'Model_Calc'!AV348</x:f>
        <x:v>3695.3603567999985</x:v>
      </x:c>
      <x:c r="T2067" s="238" t="n">
        <x:f>ROUND(S2067-O2067,4)</x:f>
        <x:v>0</x:v>
      </x:c>
    </x:row>
    <x:row r="2068">
      <x:c r="A2068" s="187" t="str">
        <x:v>SCENARIO_COST_SAVING_2026_08</x:v>
      </x:c>
      <x:c r="B2068" s="187" t="str">
        <x:v>SCENARIO</x:v>
      </x:c>
      <x:c r="C2068" s="187" t="str">
        <x:v>COST_SAVING</x:v>
      </x:c>
      <x:c r="D2068" s="217" t="n">
        <x:v>46327</x:v>
      </x:c>
      <x:c r="E2068" s="187" t="str">
        <x:v>R_FR_FR_A_ROAD</x:v>
      </x:c>
      <x:c r="F2068" s="187" t="str">
        <x:v>FR</x:v>
      </x:c>
      <x:c r="G2068" s="187" t="str">
        <x:v>FR_FC</x:v>
      </x:c>
      <x:c r="H2068" s="187" t="str">
        <x:v>CARRIER_A</x:v>
      </x:c>
      <x:c r="I2068" s="187" t="str">
        <x:v>ROAD</x:v>
      </x:c>
      <x:c r="J2068" s="187" t="str">
        <x:v>BILLABLE_EXCEPTION</x:v>
      </x:c>
      <x:c r="K2068" s="187" t="str">
        <x:v>EUR</x:v>
      </x:c>
      <x:c r="L2068" s="232" t="n">
        <x:v>107.979346692</x:v>
      </x:c>
      <x:c r="M2068" s="232" t="n">
        <x:v>7.88</x:v>
      </x:c>
      <x:c r="N2068" s="187" t="str">
        <x:v>850.8772519329600000</x:v>
      </x:c>
      <x:c r="O2068" s="235" t="n">
        <x:v>850.8773</x:v>
      </x:c>
      <x:c r="P2068" s="235"/>
      <x:c r="Q2068" s="235"/>
      <x:c r="R2068" s="235" t="str">
        <x:v>INVOICE_OR_PLAN</x:v>
      </x:c>
      <x:c r="S2068" s="238" t="n">
        <x:f>'Model_Calc'!BA348</x:f>
        <x:v>850.8772519329598</x:v>
      </x:c>
      <x:c r="T2068" s="238" t="n">
        <x:f>ROUND(S2068-O2068,4)</x:f>
        <x:v>0</x:v>
      </x:c>
    </x:row>
    <x:row r="2069">
      <x:c r="A2069" s="187" t="str">
        <x:v>SCENARIO_COST_SAVING_2026_08</x:v>
      </x:c>
      <x:c r="B2069" s="187" t="str">
        <x:v>SCENARIO</x:v>
      </x:c>
      <x:c r="C2069" s="187" t="str">
        <x:v>COST_SAVING</x:v>
      </x:c>
      <x:c r="D2069" s="217" t="n">
        <x:v>46327</x:v>
      </x:c>
      <x:c r="E2069" s="187" t="str">
        <x:v>R_FR_FR_B_ROAD</x:v>
      </x:c>
      <x:c r="F2069" s="187" t="str">
        <x:v>FR</x:v>
      </x:c>
      <x:c r="G2069" s="187" t="str">
        <x:v>FR_FC</x:v>
      </x:c>
      <x:c r="H2069" s="187" t="str">
        <x:v>CARRIER_B</x:v>
      </x:c>
      <x:c r="I2069" s="187" t="str">
        <x:v>ROAD</x:v>
      </x:c>
      <x:c r="J2069" s="187" t="str">
        <x:v>BASE_FREIGHT</x:v>
      </x:c>
      <x:c r="K2069" s="187" t="str">
        <x:v>EUR</x:v>
      </x:c>
      <x:c r="L2069" s="232" t="n">
        <x:v>10639.7411783832</x:v>
      </x:c>
      <x:c r="M2069" s="232" t="n">
        <x:v>7.88</x:v>
      </x:c>
      <x:c r="N2069" s="187" t="str">
        <x:v>83841.16048565961600000</x:v>
      </x:c>
      <x:c r="O2069" s="235" t="n">
        <x:v>83841.1605</x:v>
      </x:c>
      <x:c r="P2069" s="235"/>
      <x:c r="Q2069" s="235"/>
      <x:c r="R2069" s="235" t="str">
        <x:v>INVOICE_OR_PLAN</x:v>
      </x:c>
      <x:c r="S2069" s="238" t="n">
        <x:f>'Model_Calc'!AF349</x:f>
        <x:v>83841.16048565961</x:v>
      </x:c>
      <x:c r="T2069" s="238" t="n">
        <x:f>ROUND(S2069-O2069,4)</x:f>
        <x:v>0</x:v>
      </x:c>
    </x:row>
    <x:row r="2070">
      <x:c r="A2070" s="187" t="str">
        <x:v>SCENARIO_COST_SAVING_2026_08</x:v>
      </x:c>
      <x:c r="B2070" s="187" t="str">
        <x:v>SCENARIO</x:v>
      </x:c>
      <x:c r="C2070" s="187" t="str">
        <x:v>COST_SAVING</x:v>
      </x:c>
      <x:c r="D2070" s="217" t="n">
        <x:v>46327</x:v>
      </x:c>
      <x:c r="E2070" s="187" t="str">
        <x:v>R_FR_FR_B_ROAD</x:v>
      </x:c>
      <x:c r="F2070" s="187" t="str">
        <x:v>FR</x:v>
      </x:c>
      <x:c r="G2070" s="187" t="str">
        <x:v>FR_FC</x:v>
      </x:c>
      <x:c r="H2070" s="187" t="str">
        <x:v>CARRIER_B</x:v>
      </x:c>
      <x:c r="I2070" s="187" t="str">
        <x:v>ROAD</x:v>
      </x:c>
      <x:c r="J2070" s="187" t="str">
        <x:v>FUEL_SURCHARGE</x:v>
      </x:c>
      <x:c r="K2070" s="187" t="str">
        <x:v>EUR</x:v>
      </x:c>
      <x:c r="L2070" s="232" t="n">
        <x:v>818.4416291064</x:v>
      </x:c>
      <x:c r="M2070" s="232" t="n">
        <x:v>7.88</x:v>
      </x:c>
      <x:c r="N2070" s="187" t="str">
        <x:v>6449.32003735843200000</x:v>
      </x:c>
      <x:c r="O2070" s="235" t="n">
        <x:v>6449.32</x:v>
      </x:c>
      <x:c r="P2070" s="235"/>
      <x:c r="Q2070" s="235"/>
      <x:c r="R2070" s="235" t="str">
        <x:v>INVOICE_OR_PLAN</x:v>
      </x:c>
      <x:c r="S2070" s="238" t="n">
        <x:f>'Model_Calc'!AG349</x:f>
        <x:v>6449.320037358432</x:v>
      </x:c>
      <x:c r="T2070" s="238" t="n">
        <x:f>ROUND(S2070-O2070,4)</x:f>
        <x:v>0</x:v>
      </x:c>
    </x:row>
    <x:row r="2071">
      <x:c r="A2071" s="187" t="str">
        <x:v>SCENARIO_COST_SAVING_2026_08</x:v>
      </x:c>
      <x:c r="B2071" s="187" t="str">
        <x:v>SCENARIO</x:v>
      </x:c>
      <x:c r="C2071" s="187" t="str">
        <x:v>COST_SAVING</x:v>
      </x:c>
      <x:c r="D2071" s="217" t="n">
        <x:v>46327</x:v>
      </x:c>
      <x:c r="E2071" s="187" t="str">
        <x:v>R_FR_FR_B_ROAD</x:v>
      </x:c>
      <x:c r="F2071" s="187" t="str">
        <x:v>FR</x:v>
      </x:c>
      <x:c r="G2071" s="187" t="str">
        <x:v>FR_FC</x:v>
      </x:c>
      <x:c r="H2071" s="187" t="str">
        <x:v>CARRIER_B</x:v>
      </x:c>
      <x:c r="I2071" s="187" t="str">
        <x:v>ROAD</x:v>
      </x:c>
      <x:c r="J2071" s="187" t="str">
        <x:v>WAREHOUSE_OPERATION</x:v>
      </x:c>
      <x:c r="K2071" s="187" t="str">
        <x:v>EUR</x:v>
      </x:c>
      <x:c r="L2071" s="232" t="n">
        <x:v>5080.3389</x:v>
      </x:c>
      <x:c r="M2071" s="232" t="n">
        <x:v>7.88</x:v>
      </x:c>
      <x:c r="N2071" s="187" t="str">
        <x:v>40033.07053200000</x:v>
      </x:c>
      <x:c r="O2071" s="235" t="n">
        <x:v>40033.0705</x:v>
      </x:c>
      <x:c r="P2071" s="235"/>
      <x:c r="Q2071" s="235"/>
      <x:c r="R2071" s="235" t="str">
        <x:v>INVOICE_OR_PLAN</x:v>
      </x:c>
      <x:c r="S2071" s="238" t="n">
        <x:f>'Model_Calc'!AL349</x:f>
        <x:v>40033.070532</x:v>
      </x:c>
      <x:c r="T2071" s="238" t="n">
        <x:f>ROUND(S2071-O2071,4)</x:f>
        <x:v>0</x:v>
      </x:c>
    </x:row>
    <x:row r="2072">
      <x:c r="A2072" s="187" t="str">
        <x:v>SCENARIO_COST_SAVING_2026_08</x:v>
      </x:c>
      <x:c r="B2072" s="187" t="str">
        <x:v>SCENARIO</x:v>
      </x:c>
      <x:c r="C2072" s="187" t="str">
        <x:v>COST_SAVING</x:v>
      </x:c>
      <x:c r="D2072" s="217" t="n">
        <x:v>46327</x:v>
      </x:c>
      <x:c r="E2072" s="187" t="str">
        <x:v>R_FR_FR_B_ROAD</x:v>
      </x:c>
      <x:c r="F2072" s="187" t="str">
        <x:v>FR</x:v>
      </x:c>
      <x:c r="G2072" s="187" t="str">
        <x:v>FR_FC</x:v>
      </x:c>
      <x:c r="H2072" s="187" t="str">
        <x:v>CARRIER_B</x:v>
      </x:c>
      <x:c r="I2072" s="187" t="str">
        <x:v>ROAD</x:v>
      </x:c>
      <x:c r="J2072" s="187" t="str">
        <x:v>PACKAGING</x:v>
      </x:c>
      <x:c r="K2072" s="187" t="str">
        <x:v>EUR</x:v>
      </x:c>
      <x:c r="L2072" s="232" t="n">
        <x:v>1948.9147704</x:v>
      </x:c>
      <x:c r="M2072" s="232" t="n">
        <x:v>7.88</x:v>
      </x:c>
      <x:c r="N2072" s="187" t="str">
        <x:v>15357.4483907520000</x:v>
      </x:c>
      <x:c r="O2072" s="235" t="n">
        <x:v>15357.4484</x:v>
      </x:c>
      <x:c r="P2072" s="235"/>
      <x:c r="Q2072" s="235"/>
      <x:c r="R2072" s="235" t="str">
        <x:v>INVOICE_OR_PLAN</x:v>
      </x:c>
      <x:c r="S2072" s="238" t="n">
        <x:f>'Model_Calc'!AQ349</x:f>
        <x:v>15357.448390751997</x:v>
      </x:c>
      <x:c r="T2072" s="238" t="n">
        <x:f>ROUND(S2072-O2072,4)</x:f>
        <x:v>0</x:v>
      </x:c>
    </x:row>
    <x:row r="2073">
      <x:c r="A2073" s="187" t="str">
        <x:v>SCENARIO_COST_SAVING_2026_08</x:v>
      </x:c>
      <x:c r="B2073" s="187" t="str">
        <x:v>SCENARIO</x:v>
      </x:c>
      <x:c r="C2073" s="187" t="str">
        <x:v>COST_SAVING</x:v>
      </x:c>
      <x:c r="D2073" s="217" t="n">
        <x:v>46327</x:v>
      </x:c>
      <x:c r="E2073" s="187" t="str">
        <x:v>R_FR_FR_B_ROAD</x:v>
      </x:c>
      <x:c r="F2073" s="187" t="str">
        <x:v>FR</x:v>
      </x:c>
      <x:c r="G2073" s="187" t="str">
        <x:v>FR_FC</x:v>
      </x:c>
      <x:c r="H2073" s="187" t="str">
        <x:v>CARRIER_B</x:v>
      </x:c>
      <x:c r="I2073" s="187" t="str">
        <x:v>ROAD</x:v>
      </x:c>
      <x:c r="J2073" s="187" t="str">
        <x:v>RETURN_LOGISTICS</x:v>
      </x:c>
      <x:c r="K2073" s="187" t="str">
        <x:v>EUR</x:v>
      </x:c>
      <x:c r="L2073" s="232" t="n">
        <x:v>870.91524</x:v>
      </x:c>
      <x:c r="M2073" s="232" t="n">
        <x:v>7.88</x:v>
      </x:c>
      <x:c r="N2073" s="187" t="str">
        <x:v>6862.81209120000000</x:v>
      </x:c>
      <x:c r="O2073" s="235" t="n">
        <x:v>6862.8121</x:v>
      </x:c>
      <x:c r="P2073" s="235"/>
      <x:c r="Q2073" s="235"/>
      <x:c r="R2073" s="235" t="str">
        <x:v>INVOICE_OR_PLAN</x:v>
      </x:c>
      <x:c r="S2073" s="238" t="n">
        <x:f>'Model_Calc'!AV349</x:f>
        <x:v>6862.812091199999</x:v>
      </x:c>
      <x:c r="T2073" s="238" t="n">
        <x:f>ROUND(S2073-O2073,4)</x:f>
        <x:v>0</x:v>
      </x:c>
    </x:row>
    <x:row r="2074">
      <x:c r="A2074" s="187" t="str">
        <x:v>SCENARIO_COST_SAVING_2026_08</x:v>
      </x:c>
      <x:c r="B2074" s="187" t="str">
        <x:v>SCENARIO</x:v>
      </x:c>
      <x:c r="C2074" s="187" t="str">
        <x:v>COST_SAVING</x:v>
      </x:c>
      <x:c r="D2074" s="217" t="n">
        <x:v>46327</x:v>
      </x:c>
      <x:c r="E2074" s="187" t="str">
        <x:v>R_FR_FR_B_ROAD</x:v>
      </x:c>
      <x:c r="F2074" s="187" t="str">
        <x:v>FR</x:v>
      </x:c>
      <x:c r="G2074" s="187" t="str">
        <x:v>FR_FC</x:v>
      </x:c>
      <x:c r="H2074" s="187" t="str">
        <x:v>CARRIER_B</x:v>
      </x:c>
      <x:c r="I2074" s="187" t="str">
        <x:v>ROAD</x:v>
      </x:c>
      <x:c r="J2074" s="187" t="str">
        <x:v>BILLABLE_EXCEPTION</x:v>
      </x:c>
      <x:c r="K2074" s="187" t="str">
        <x:v>EUR</x:v>
      </x:c>
      <x:c r="L2074" s="232" t="n">
        <x:v>165.144883176</x:v>
      </x:c>
      <x:c r="M2074" s="232" t="n">
        <x:v>7.88</x:v>
      </x:c>
      <x:c r="N2074" s="187" t="str">
        <x:v>1301.3416794268800000</x:v>
      </x:c>
      <x:c r="O2074" s="235" t="n">
        <x:v>1301.3417</x:v>
      </x:c>
      <x:c r="P2074" s="235"/>
      <x:c r="Q2074" s="235"/>
      <x:c r="R2074" s="235" t="str">
        <x:v>INVOICE_OR_PLAN</x:v>
      </x:c>
      <x:c r="S2074" s="238" t="n">
        <x:f>'Model_Calc'!BA349</x:f>
        <x:v>1301.34167942688</x:v>
      </x:c>
      <x:c r="T2074" s="238" t="n">
        <x:f>ROUND(S2074-O2074,4)</x:f>
        <x:v>0</x:v>
      </x:c>
    </x:row>
    <x:row r="2075">
      <x:c r="A2075" s="187" t="str">
        <x:v>SCENARIO_COST_SAVING_2026_08</x:v>
      </x:c>
      <x:c r="B2075" s="187" t="str">
        <x:v>SCENARIO</x:v>
      </x:c>
      <x:c r="C2075" s="187" t="str">
        <x:v>COST_SAVING</x:v>
      </x:c>
      <x:c r="D2075" s="217" t="n">
        <x:v>46327</x:v>
      </x:c>
      <x:c r="E2075" s="187" t="str">
        <x:v>R_GB_DE_A_ROAD</x:v>
      </x:c>
      <x:c r="F2075" s="187" t="str">
        <x:v>GB</x:v>
      </x:c>
      <x:c r="G2075" s="187" t="str">
        <x:v>DE_FC</x:v>
      </x:c>
      <x:c r="H2075" s="187" t="str">
        <x:v>CARRIER_A</x:v>
      </x:c>
      <x:c r="I2075" s="187" t="str">
        <x:v>ROAD</x:v>
      </x:c>
      <x:c r="J2075" s="187" t="str">
        <x:v>BASE_FREIGHT</x:v>
      </x:c>
      <x:c r="K2075" s="187" t="str">
        <x:v>GBP</x:v>
      </x:c>
      <x:c r="L2075" s="232" t="n">
        <x:v>25104.450069875405</x:v>
      </x:c>
      <x:c r="M2075" s="232" t="n">
        <x:v>9.05</x:v>
      </x:c>
      <x:c r="N2075" s="187" t="str">
        <x:v>227195.273132372413440000000</x:v>
      </x:c>
      <x:c r="O2075" s="235" t="n">
        <x:v>227195.2731</x:v>
      </x:c>
      <x:c r="P2075" s="235"/>
      <x:c r="Q2075" s="235"/>
      <x:c r="R2075" s="235" t="str">
        <x:v>INVOICE_OR_PLAN</x:v>
      </x:c>
      <x:c r="S2075" s="238" t="n">
        <x:f>'Model_Calc'!AF350</x:f>
        <x:v>227195.2731323724</x:v>
      </x:c>
      <x:c r="T2075" s="238" t="n">
        <x:f>ROUND(S2075-O2075,4)</x:f>
        <x:v>0</x:v>
      </x:c>
    </x:row>
    <x:row r="2076">
      <x:c r="A2076" s="187" t="str">
        <x:v>SCENARIO_COST_SAVING_2026_08</x:v>
      </x:c>
      <x:c r="B2076" s="187" t="str">
        <x:v>SCENARIO</x:v>
      </x:c>
      <x:c r="C2076" s="187" t="str">
        <x:v>COST_SAVING</x:v>
      </x:c>
      <x:c r="D2076" s="217" t="n">
        <x:v>46327</x:v>
      </x:c>
      <x:c r="E2076" s="187" t="str">
        <x:v>R_GB_DE_A_ROAD</x:v>
      </x:c>
      <x:c r="F2076" s="187" t="str">
        <x:v>GB</x:v>
      </x:c>
      <x:c r="G2076" s="187" t="str">
        <x:v>DE_FC</x:v>
      </x:c>
      <x:c r="H2076" s="187" t="str">
        <x:v>CARRIER_A</x:v>
      </x:c>
      <x:c r="I2076" s="187" t="str">
        <x:v>ROAD</x:v>
      </x:c>
      <x:c r="J2076" s="187" t="str">
        <x:v>FUEL_SURCHARGE</x:v>
      </x:c>
      <x:c r="K2076" s="187" t="str">
        <x:v>GBP</x:v>
      </x:c>
      <x:c r="L2076" s="232" t="n">
        <x:v>2598.3105822321045</x:v>
      </x:c>
      <x:c r="M2076" s="232" t="n">
        <x:v>9.05</x:v>
      </x:c>
      <x:c r="N2076" s="187" t="str">
        <x:v>23514.710769200544791040000000000</x:v>
      </x:c>
      <x:c r="O2076" s="235" t="n">
        <x:v>23514.7108</x:v>
      </x:c>
      <x:c r="P2076" s="235"/>
      <x:c r="Q2076" s="235"/>
      <x:c r="R2076" s="235" t="str">
        <x:v>INVOICE_OR_PLAN</x:v>
      </x:c>
      <x:c r="S2076" s="238" t="n">
        <x:f>'Model_Calc'!AG350</x:f>
        <x:v>23514.710769200537</x:v>
      </x:c>
      <x:c r="T2076" s="238" t="n">
        <x:f>ROUND(S2076-O2076,4)</x:f>
        <x:v>0</x:v>
      </x:c>
    </x:row>
    <x:row r="2077">
      <x:c r="A2077" s="187" t="str">
        <x:v>SCENARIO_COST_SAVING_2026_08</x:v>
      </x:c>
      <x:c r="B2077" s="187" t="str">
        <x:v>SCENARIO</x:v>
      </x:c>
      <x:c r="C2077" s="187" t="str">
        <x:v>COST_SAVING</x:v>
      </x:c>
      <x:c r="D2077" s="217" t="n">
        <x:v>46327</x:v>
      </x:c>
      <x:c r="E2077" s="187" t="str">
        <x:v>R_GB_DE_A_ROAD</x:v>
      </x:c>
      <x:c r="F2077" s="187" t="str">
        <x:v>GB</x:v>
      </x:c>
      <x:c r="G2077" s="187" t="str">
        <x:v>DE_FC</x:v>
      </x:c>
      <x:c r="H2077" s="187" t="str">
        <x:v>CARRIER_A</x:v>
      </x:c>
      <x:c r="I2077" s="187" t="str">
        <x:v>ROAD</x:v>
      </x:c>
      <x:c r="J2077" s="187" t="str">
        <x:v>WAREHOUSE_OPERATION</x:v>
      </x:c>
      <x:c r="K2077" s="187" t="str">
        <x:v>EUR</x:v>
      </x:c>
      <x:c r="L2077" s="232" t="n">
        <x:v>6236.9543808</x:v>
      </x:c>
      <x:c r="M2077" s="232" t="n">
        <x:v>7.88</x:v>
      </x:c>
      <x:c r="N2077" s="187" t="str">
        <x:v>49147.2005207040000</x:v>
      </x:c>
      <x:c r="O2077" s="235" t="n">
        <x:v>49147.2005</x:v>
      </x:c>
      <x:c r="P2077" s="235"/>
      <x:c r="Q2077" s="235"/>
      <x:c r="R2077" s="235" t="str">
        <x:v>INVOICE_OR_PLAN</x:v>
      </x:c>
      <x:c r="S2077" s="238" t="n">
        <x:f>'Model_Calc'!AL350</x:f>
        <x:v>49147.200520704</x:v>
      </x:c>
      <x:c r="T2077" s="238" t="n">
        <x:f>ROUND(S2077-O2077,4)</x:f>
        <x:v>0</x:v>
      </x:c>
    </x:row>
    <x:row r="2078">
      <x:c r="A2078" s="187" t="str">
        <x:v>SCENARIO_COST_SAVING_2026_08</x:v>
      </x:c>
      <x:c r="B2078" s="187" t="str">
        <x:v>SCENARIO</x:v>
      </x:c>
      <x:c r="C2078" s="187" t="str">
        <x:v>COST_SAVING</x:v>
      </x:c>
      <x:c r="D2078" s="217" t="n">
        <x:v>46327</x:v>
      </x:c>
      <x:c r="E2078" s="187" t="str">
        <x:v>R_GB_DE_A_ROAD</x:v>
      </x:c>
      <x:c r="F2078" s="187" t="str">
        <x:v>GB</x:v>
      </x:c>
      <x:c r="G2078" s="187" t="str">
        <x:v>DE_FC</x:v>
      </x:c>
      <x:c r="H2078" s="187" t="str">
        <x:v>CARRIER_A</x:v>
      </x:c>
      <x:c r="I2078" s="187" t="str">
        <x:v>ROAD</x:v>
      </x:c>
      <x:c r="J2078" s="187" t="str">
        <x:v>PACKAGING</x:v>
      </x:c>
      <x:c r="K2078" s="187" t="str">
        <x:v>EUR</x:v>
      </x:c>
      <x:c r="L2078" s="232" t="n">
        <x:v>2508.524194176</x:v>
      </x:c>
      <x:c r="M2078" s="232" t="n">
        <x:v>7.88</x:v>
      </x:c>
      <x:c r="N2078" s="187" t="str">
        <x:v>19767.170650106880000</x:v>
      </x:c>
      <x:c r="O2078" s="235" t="n">
        <x:v>19767.1707</x:v>
      </x:c>
      <x:c r="P2078" s="235"/>
      <x:c r="Q2078" s="235"/>
      <x:c r="R2078" s="235" t="str">
        <x:v>INVOICE_OR_PLAN</x:v>
      </x:c>
      <x:c r="S2078" s="238" t="n">
        <x:f>'Model_Calc'!AQ350</x:f>
        <x:v>19767.170650106877</x:v>
      </x:c>
      <x:c r="T2078" s="238" t="n">
        <x:f>ROUND(S2078-O2078,4)</x:f>
        <x:v>0</x:v>
      </x:c>
    </x:row>
    <x:row r="2079">
      <x:c r="A2079" s="187" t="str">
        <x:v>SCENARIO_COST_SAVING_2026_08</x:v>
      </x:c>
      <x:c r="B2079" s="187" t="str">
        <x:v>SCENARIO</x:v>
      </x:c>
      <x:c r="C2079" s="187" t="str">
        <x:v>COST_SAVING</x:v>
      </x:c>
      <x:c r="D2079" s="217" t="n">
        <x:v>46327</x:v>
      </x:c>
      <x:c r="E2079" s="187" t="str">
        <x:v>R_GB_DE_A_ROAD</x:v>
      </x:c>
      <x:c r="F2079" s="187" t="str">
        <x:v>GB</x:v>
      </x:c>
      <x:c r="G2079" s="187" t="str">
        <x:v>DE_FC</x:v>
      </x:c>
      <x:c r="H2079" s="187" t="str">
        <x:v>CARRIER_A</x:v>
      </x:c>
      <x:c r="I2079" s="187" t="str">
        <x:v>ROAD</x:v>
      </x:c>
      <x:c r="J2079" s="187" t="str">
        <x:v>RETURN_LOGISTICS</x:v>
      </x:c>
      <x:c r="K2079" s="187" t="str">
        <x:v>GBP</x:v>
      </x:c>
      <x:c r="L2079" s="232" t="n">
        <x:v>2283.35956992</x:v>
      </x:c>
      <x:c r="M2079" s="232" t="n">
        <x:v>9.05</x:v>
      </x:c>
      <x:c r="N2079" s="187" t="str">
        <x:v>20664.4041077760000000</x:v>
      </x:c>
      <x:c r="O2079" s="235" t="n">
        <x:v>20664.4041</x:v>
      </x:c>
      <x:c r="P2079" s="235"/>
      <x:c r="Q2079" s="235"/>
      <x:c r="R2079" s="235" t="str">
        <x:v>INVOICE_OR_PLAN</x:v>
      </x:c>
      <x:c r="S2079" s="238" t="n">
        <x:f>'Model_Calc'!AV350</x:f>
        <x:v>20664.404107776</x:v>
      </x:c>
      <x:c r="T2079" s="238" t="n">
        <x:f>ROUND(S2079-O2079,4)</x:f>
        <x:v>0</x:v>
      </x:c>
    </x:row>
    <x:row r="2080">
      <x:c r="A2080" s="187" t="str">
        <x:v>SCENARIO_COST_SAVING_2026_08</x:v>
      </x:c>
      <x:c r="B2080" s="187" t="str">
        <x:v>SCENARIO</x:v>
      </x:c>
      <x:c r="C2080" s="187" t="str">
        <x:v>COST_SAVING</x:v>
      </x:c>
      <x:c r="D2080" s="217" t="n">
        <x:v>46327</x:v>
      </x:c>
      <x:c r="E2080" s="187" t="str">
        <x:v>R_GB_DE_A_ROAD</x:v>
      </x:c>
      <x:c r="F2080" s="187" t="str">
        <x:v>GB</x:v>
      </x:c>
      <x:c r="G2080" s="187" t="str">
        <x:v>DE_FC</x:v>
      </x:c>
      <x:c r="H2080" s="187" t="str">
        <x:v>CARRIER_A</x:v>
      </x:c>
      <x:c r="I2080" s="187" t="str">
        <x:v>ROAD</x:v>
      </x:c>
      <x:c r="J2080" s="187" t="str">
        <x:v>BILLABLE_EXCEPTION</x:v>
      </x:c>
      <x:c r="K2080" s="187" t="str">
        <x:v>GBP</x:v>
      </x:c>
      <x:c r="L2080" s="232" t="n">
        <x:v>333.812898124992</x:v>
      </x:c>
      <x:c r="M2080" s="232" t="n">
        <x:v>9.05</x:v>
      </x:c>
      <x:c r="N2080" s="187" t="str">
        <x:v>3021.00672803117760000000</x:v>
      </x:c>
      <x:c r="O2080" s="235" t="n">
        <x:v>3021.0067</x:v>
      </x:c>
      <x:c r="P2080" s="235"/>
      <x:c r="Q2080" s="235"/>
      <x:c r="R2080" s="235" t="str">
        <x:v>INVOICE_OR_PLAN</x:v>
      </x:c>
      <x:c r="S2080" s="238" t="n">
        <x:f>'Model_Calc'!BA350</x:f>
        <x:v>3021.0067280311773</x:v>
      </x:c>
      <x:c r="T2080" s="238" t="n">
        <x:f>ROUND(S2080-O2080,4)</x:f>
        <x:v>0</x:v>
      </x:c>
    </x:row>
    <x:row r="2081">
      <x:c r="A2081" s="187" t="str">
        <x:v>SCENARIO_COST_SAVING_2026_08</x:v>
      </x:c>
      <x:c r="B2081" s="187" t="str">
        <x:v>SCENARIO</x:v>
      </x:c>
      <x:c r="C2081" s="187" t="str">
        <x:v>COST_SAVING</x:v>
      </x:c>
      <x:c r="D2081" s="217" t="n">
        <x:v>46327</x:v>
      </x:c>
      <x:c r="E2081" s="187" t="str">
        <x:v>R_GB_DE_B_ROAD</x:v>
      </x:c>
      <x:c r="F2081" s="187" t="str">
        <x:v>GB</x:v>
      </x:c>
      <x:c r="G2081" s="187" t="str">
        <x:v>DE_FC</x:v>
      </x:c>
      <x:c r="H2081" s="187" t="str">
        <x:v>CARRIER_B</x:v>
      </x:c>
      <x:c r="I2081" s="187" t="str">
        <x:v>ROAD</x:v>
      </x:c>
      <x:c r="J2081" s="187" t="str">
        <x:v>BASE_FREIGHT</x:v>
      </x:c>
      <x:c r="K2081" s="187" t="str">
        <x:v>GBP</x:v>
      </x:c>
      <x:c r="L2081" s="232" t="n">
        <x:v>14722.574105149748</x:v>
      </x:c>
      <x:c r="M2081" s="232" t="n">
        <x:v>9.05</x:v>
      </x:c>
      <x:c r="N2081" s="187" t="str">
        <x:v>133239.295651605212160000000</x:v>
      </x:c>
      <x:c r="O2081" s="235" t="n">
        <x:v>133239.2957</x:v>
      </x:c>
      <x:c r="P2081" s="235"/>
      <x:c r="Q2081" s="235"/>
      <x:c r="R2081" s="235" t="str">
        <x:v>INVOICE_OR_PLAN</x:v>
      </x:c>
      <x:c r="S2081" s="238" t="n">
        <x:f>'Model_Calc'!AF351</x:f>
        <x:v>133239.2956516052</x:v>
      </x:c>
      <x:c r="T2081" s="238" t="n">
        <x:f>ROUND(S2081-O2081,4)</x:f>
        <x:v>0</x:v>
      </x:c>
    </x:row>
    <x:row r="2082">
      <x:c r="A2082" s="187" t="str">
        <x:v>SCENARIO_COST_SAVING_2026_08</x:v>
      </x:c>
      <x:c r="B2082" s="187" t="str">
        <x:v>SCENARIO</x:v>
      </x:c>
      <x:c r="C2082" s="187" t="str">
        <x:v>COST_SAVING</x:v>
      </x:c>
      <x:c r="D2082" s="217" t="n">
        <x:v>46327</x:v>
      </x:c>
      <x:c r="E2082" s="187" t="str">
        <x:v>R_GB_DE_B_ROAD</x:v>
      </x:c>
      <x:c r="F2082" s="187" t="str">
        <x:v>GB</x:v>
      </x:c>
      <x:c r="G2082" s="187" t="str">
        <x:v>DE_FC</x:v>
      </x:c>
      <x:c r="H2082" s="187" t="str">
        <x:v>CARRIER_B</x:v>
      </x:c>
      <x:c r="I2082" s="187" t="str">
        <x:v>ROAD</x:v>
      </x:c>
      <x:c r="J2082" s="187" t="str">
        <x:v>FUEL_SURCHARGE</x:v>
      </x:c>
      <x:c r="K2082" s="187" t="str">
        <x:v>GBP</x:v>
      </x:c>
      <x:c r="L2082" s="232" t="n">
        <x:v>1033.712649936046</x:v>
      </x:c>
      <x:c r="M2082" s="232" t="n">
        <x:v>9.05</x:v>
      </x:c>
      <x:c r="N2082" s="187" t="str">
        <x:v>9355.099481921217024000000</x:v>
      </x:c>
      <x:c r="O2082" s="235" t="n">
        <x:v>9355.0995</x:v>
      </x:c>
      <x:c r="P2082" s="235"/>
      <x:c r="Q2082" s="235"/>
      <x:c r="R2082" s="235" t="str">
        <x:v>INVOICE_OR_PLAN</x:v>
      </x:c>
      <x:c r="S2082" s="238" t="n">
        <x:f>'Model_Calc'!AG351</x:f>
        <x:v>9355.099481921217</x:v>
      </x:c>
      <x:c r="T2082" s="238" t="n">
        <x:f>ROUND(S2082-O2082,4)</x:f>
        <x:v>0</x:v>
      </x:c>
    </x:row>
    <x:row r="2083">
      <x:c r="A2083" s="187" t="str">
        <x:v>SCENARIO_COST_SAVING_2026_08</x:v>
      </x:c>
      <x:c r="B2083" s="187" t="str">
        <x:v>SCENARIO</x:v>
      </x:c>
      <x:c r="C2083" s="187" t="str">
        <x:v>COST_SAVING</x:v>
      </x:c>
      <x:c r="D2083" s="217" t="n">
        <x:v>46327</x:v>
      </x:c>
      <x:c r="E2083" s="187" t="str">
        <x:v>R_GB_DE_B_ROAD</x:v>
      </x:c>
      <x:c r="F2083" s="187" t="str">
        <x:v>GB</x:v>
      </x:c>
      <x:c r="G2083" s="187" t="str">
        <x:v>DE_FC</x:v>
      </x:c>
      <x:c r="H2083" s="187" t="str">
        <x:v>CARRIER_B</x:v>
      </x:c>
      <x:c r="I2083" s="187" t="str">
        <x:v>ROAD</x:v>
      </x:c>
      <x:c r="J2083" s="187" t="str">
        <x:v>WAREHOUSE_OPERATION</x:v>
      </x:c>
      <x:c r="K2083" s="187" t="str">
        <x:v>EUR</x:v>
      </x:c>
      <x:c r="L2083" s="232" t="n">
        <x:v>3175.17677568</x:v>
      </x:c>
      <x:c r="M2083" s="232" t="n">
        <x:v>7.88</x:v>
      </x:c>
      <x:c r="N2083" s="187" t="str">
        <x:v>25020.3929923584000</x:v>
      </x:c>
      <x:c r="O2083" s="235" t="n">
        <x:v>25020.393</x:v>
      </x:c>
      <x:c r="P2083" s="235"/>
      <x:c r="Q2083" s="235"/>
      <x:c r="R2083" s="235" t="str">
        <x:v>INVOICE_OR_PLAN</x:v>
      </x:c>
      <x:c r="S2083" s="238" t="n">
        <x:f>'Model_Calc'!AL351</x:f>
        <x:v>25020.3929923584</x:v>
      </x:c>
      <x:c r="T2083" s="238" t="n">
        <x:f>ROUND(S2083-O2083,4)</x:f>
        <x:v>0</x:v>
      </x:c>
    </x:row>
    <x:row r="2084">
      <x:c r="A2084" s="187" t="str">
        <x:v>SCENARIO_COST_SAVING_2026_08</x:v>
      </x:c>
      <x:c r="B2084" s="187" t="str">
        <x:v>SCENARIO</x:v>
      </x:c>
      <x:c r="C2084" s="187" t="str">
        <x:v>COST_SAVING</x:v>
      </x:c>
      <x:c r="D2084" s="217" t="n">
        <x:v>46327</x:v>
      </x:c>
      <x:c r="E2084" s="187" t="str">
        <x:v>R_GB_DE_B_ROAD</x:v>
      </x:c>
      <x:c r="F2084" s="187" t="str">
        <x:v>GB</x:v>
      </x:c>
      <x:c r="G2084" s="187" t="str">
        <x:v>DE_FC</x:v>
      </x:c>
      <x:c r="H2084" s="187" t="str">
        <x:v>CARRIER_B</x:v>
      </x:c>
      <x:c r="I2084" s="187" t="str">
        <x:v>ROAD</x:v>
      </x:c>
      <x:c r="J2084" s="187" t="str">
        <x:v>PACKAGING</x:v>
      </x:c>
      <x:c r="K2084" s="187" t="str">
        <x:v>EUR</x:v>
      </x:c>
      <x:c r="L2084" s="232" t="n">
        <x:v>1277.0668624896</x:v>
      </x:c>
      <x:c r="M2084" s="232" t="n">
        <x:v>7.88</x:v>
      </x:c>
      <x:c r="N2084" s="187" t="str">
        <x:v>10063.286876418048000</x:v>
      </x:c>
      <x:c r="O2084" s="235" t="n">
        <x:v>10063.2869</x:v>
      </x:c>
      <x:c r="P2084" s="235"/>
      <x:c r="Q2084" s="235"/>
      <x:c r="R2084" s="235" t="str">
        <x:v>INVOICE_OR_PLAN</x:v>
      </x:c>
      <x:c r="S2084" s="238" t="n">
        <x:f>'Model_Calc'!AQ351</x:f>
        <x:v>10063.286876418046</x:v>
      </x:c>
      <x:c r="T2084" s="238" t="n">
        <x:f>ROUND(S2084-O2084,4)</x:f>
        <x:v>0</x:v>
      </x:c>
    </x:row>
    <x:row r="2085">
      <x:c r="A2085" s="187" t="str">
        <x:v>SCENARIO_COST_SAVING_2026_08</x:v>
      </x:c>
      <x:c r="B2085" s="187" t="str">
        <x:v>SCENARIO</x:v>
      </x:c>
      <x:c r="C2085" s="187" t="str">
        <x:v>COST_SAVING</x:v>
      </x:c>
      <x:c r="D2085" s="217" t="n">
        <x:v>46327</x:v>
      </x:c>
      <x:c r="E2085" s="187" t="str">
        <x:v>R_GB_DE_B_ROAD</x:v>
      </x:c>
      <x:c r="F2085" s="187" t="str">
        <x:v>GB</x:v>
      </x:c>
      <x:c r="G2085" s="187" t="str">
        <x:v>DE_FC</x:v>
      </x:c>
      <x:c r="H2085" s="187" t="str">
        <x:v>CARRIER_B</x:v>
      </x:c>
      <x:c r="I2085" s="187" t="str">
        <x:v>ROAD</x:v>
      </x:c>
      <x:c r="J2085" s="187" t="str">
        <x:v>RETURN_LOGISTICS</x:v>
      </x:c>
      <x:c r="K2085" s="187" t="str">
        <x:v>GBP</x:v>
      </x:c>
      <x:c r="L2085" s="232" t="n">
        <x:v>1162.437599232</x:v>
      </x:c>
      <x:c r="M2085" s="232" t="n">
        <x:v>9.05</x:v>
      </x:c>
      <x:c r="N2085" s="187" t="str">
        <x:v>10520.0602730496000000</x:v>
      </x:c>
      <x:c r="O2085" s="235" t="n">
        <x:v>10520.0603</x:v>
      </x:c>
      <x:c r="P2085" s="235"/>
      <x:c r="Q2085" s="235"/>
      <x:c r="R2085" s="235" t="str">
        <x:v>INVOICE_OR_PLAN</x:v>
      </x:c>
      <x:c r="S2085" s="238" t="n">
        <x:f>'Model_Calc'!AV351</x:f>
        <x:v>10520.0602730496</x:v>
      </x:c>
      <x:c r="T2085" s="238" t="n">
        <x:f>ROUND(S2085-O2085,4)</x:f>
        <x:v>0</x:v>
      </x:c>
    </x:row>
    <x:row r="2086">
      <x:c r="A2086" s="187" t="str">
        <x:v>SCENARIO_COST_SAVING_2026_08</x:v>
      </x:c>
      <x:c r="B2086" s="187" t="str">
        <x:v>SCENARIO</x:v>
      </x:c>
      <x:c r="C2086" s="187" t="str">
        <x:v>COST_SAVING</x:v>
      </x:c>
      <x:c r="D2086" s="217" t="n">
        <x:v>46327</x:v>
      </x:c>
      <x:c r="E2086" s="187" t="str">
        <x:v>R_GB_DE_B_ROAD</x:v>
      </x:c>
      <x:c r="F2086" s="187" t="str">
        <x:v>GB</x:v>
      </x:c>
      <x:c r="G2086" s="187" t="str">
        <x:v>DE_FC</x:v>
      </x:c>
      <x:c r="H2086" s="187" t="str">
        <x:v>CARRIER_B</x:v>
      </x:c>
      <x:c r="I2086" s="187" t="str">
        <x:v>ROAD</x:v>
      </x:c>
      <x:c r="J2086" s="187" t="str">
        <x:v>BILLABLE_EXCEPTION</x:v>
      </x:c>
      <x:c r="K2086" s="187" t="str">
        <x:v>GBP</x:v>
      </x:c>
      <x:c r="L2086" s="232" t="n">
        <x:v>125.882305016832</x:v>
      </x:c>
      <x:c r="M2086" s="232" t="n">
        <x:v>9.05</x:v>
      </x:c>
      <x:c r="N2086" s="187" t="str">
        <x:v>1139.23486040232960000000</x:v>
      </x:c>
      <x:c r="O2086" s="235" t="n">
        <x:v>1139.2349</x:v>
      </x:c>
      <x:c r="P2086" s="235"/>
      <x:c r="Q2086" s="235"/>
      <x:c r="R2086" s="235" t="str">
        <x:v>INVOICE_OR_PLAN</x:v>
      </x:c>
      <x:c r="S2086" s="238" t="n">
        <x:f>'Model_Calc'!BA351</x:f>
        <x:v>1139.2348604023293</x:v>
      </x:c>
      <x:c r="T2086" s="238" t="n">
        <x:f>ROUND(S2086-O2086,4)</x:f>
        <x:v>0</x:v>
      </x:c>
    </x:row>
    <x:row r="2087">
      <x:c r="A2087" s="187" t="str">
        <x:v>SCENARIO_COST_SAVING_2026_08</x:v>
      </x:c>
      <x:c r="B2087" s="187" t="str">
        <x:v>SCENARIO</x:v>
      </x:c>
      <x:c r="C2087" s="187" t="str">
        <x:v>COST_SAVING</x:v>
      </x:c>
      <x:c r="D2087" s="217" t="n">
        <x:v>46327</x:v>
      </x:c>
      <x:c r="E2087" s="187" t="str">
        <x:v>R_GB_DE_B_AIR</x:v>
      </x:c>
      <x:c r="F2087" s="187" t="str">
        <x:v>GB</x:v>
      </x:c>
      <x:c r="G2087" s="187" t="str">
        <x:v>DE_FC</x:v>
      </x:c>
      <x:c r="H2087" s="187" t="str">
        <x:v>CARRIER_B</x:v>
      </x:c>
      <x:c r="I2087" s="187" t="str">
        <x:v>AIR</x:v>
      </x:c>
      <x:c r="J2087" s="187" t="str">
        <x:v>BASE_FREIGHT</x:v>
      </x:c>
      <x:c r="K2087" s="187" t="str">
        <x:v>GBP</x:v>
      </x:c>
      <x:c r="L2087" s="232" t="n">
        <x:v>8815.036084214802</x:v>
      </x:c>
      <x:c r="M2087" s="232" t="n">
        <x:v>9.05</x:v>
      </x:c>
      <x:c r="N2087" s="187" t="str">
        <x:v>79776.07656214396645785600000</x:v>
      </x:c>
      <x:c r="O2087" s="235" t="n">
        <x:v>79776.0766</x:v>
      </x:c>
      <x:c r="P2087" s="235"/>
      <x:c r="Q2087" s="235"/>
      <x:c r="R2087" s="235" t="str">
        <x:v>INVOICE_OR_PLAN</x:v>
      </x:c>
      <x:c r="S2087" s="238" t="n">
        <x:f>'Model_Calc'!AF352</x:f>
        <x:v>79776.07656214396</x:v>
      </x:c>
      <x:c r="T2087" s="238" t="n">
        <x:f>ROUND(S2087-O2087,4)</x:f>
        <x:v>0</x:v>
      </x:c>
    </x:row>
    <x:row r="2088">
      <x:c r="A2088" s="187" t="str">
        <x:v>SCENARIO_COST_SAVING_2026_08</x:v>
      </x:c>
      <x:c r="B2088" s="187" t="str">
        <x:v>SCENARIO</x:v>
      </x:c>
      <x:c r="C2088" s="187" t="str">
        <x:v>COST_SAVING</x:v>
      </x:c>
      <x:c r="D2088" s="217" t="n">
        <x:v>46327</x:v>
      </x:c>
      <x:c r="E2088" s="187" t="str">
        <x:v>R_GB_DE_B_AIR</x:v>
      </x:c>
      <x:c r="F2088" s="187" t="str">
        <x:v>GB</x:v>
      </x:c>
      <x:c r="G2088" s="187" t="str">
        <x:v>DE_FC</x:v>
      </x:c>
      <x:c r="H2088" s="187" t="str">
        <x:v>CARRIER_B</x:v>
      </x:c>
      <x:c r="I2088" s="187" t="str">
        <x:v>AIR</x:v>
      </x:c>
      <x:c r="J2088" s="187" t="str">
        <x:v>FUEL_SURCHARGE</x:v>
      </x:c>
      <x:c r="K2088" s="187" t="str">
        <x:v>GBP</x:v>
      </x:c>
      <x:c r="L2088" s="232" t="n">
        <x:v>1091.1780567206135</x:v>
      </x:c>
      <x:c r="M2088" s="232" t="n">
        <x:v>9.05</x:v>
      </x:c>
      <x:c r="N2088" s="187" t="str">
        <x:v>9875.1614133215530319521628160000000</x:v>
      </x:c>
      <x:c r="O2088" s="235" t="n">
        <x:v>9875.1614</x:v>
      </x:c>
      <x:c r="P2088" s="235"/>
      <x:c r="Q2088" s="235"/>
      <x:c r="R2088" s="235" t="str">
        <x:v>INVOICE_OR_PLAN</x:v>
      </x:c>
      <x:c r="S2088" s="238" t="n">
        <x:f>'Model_Calc'!AG352</x:f>
        <x:v>9875.161413321552</x:v>
      </x:c>
      <x:c r="T2088" s="238" t="n">
        <x:f>ROUND(S2088-O2088,4)</x:f>
        <x:v>0</x:v>
      </x:c>
    </x:row>
    <x:row r="2089">
      <x:c r="A2089" s="187" t="str">
        <x:v>SCENARIO_COST_SAVING_2026_08</x:v>
      </x:c>
      <x:c r="B2089" s="187" t="str">
        <x:v>SCENARIO</x:v>
      </x:c>
      <x:c r="C2089" s="187" t="str">
        <x:v>COST_SAVING</x:v>
      </x:c>
      <x:c r="D2089" s="217" t="n">
        <x:v>46327</x:v>
      </x:c>
      <x:c r="E2089" s="187" t="str">
        <x:v>R_GB_DE_B_AIR</x:v>
      </x:c>
      <x:c r="F2089" s="187" t="str">
        <x:v>GB</x:v>
      </x:c>
      <x:c r="G2089" s="187" t="str">
        <x:v>DE_FC</x:v>
      </x:c>
      <x:c r="H2089" s="187" t="str">
        <x:v>CARRIER_B</x:v>
      </x:c>
      <x:c r="I2089" s="187" t="str">
        <x:v>AIR</x:v>
      </x:c>
      <x:c r="J2089" s="187" t="str">
        <x:v>WAREHOUSE_OPERATION</x:v>
      </x:c>
      <x:c r="K2089" s="187" t="str">
        <x:v>EUR</x:v>
      </x:c>
      <x:c r="L2089" s="232" t="n">
        <x:v>1474.18921728</x:v>
      </x:c>
      <x:c r="M2089" s="232" t="n">
        <x:v>7.88</x:v>
      </x:c>
      <x:c r="N2089" s="187" t="str">
        <x:v>11616.6110321664000</x:v>
      </x:c>
      <x:c r="O2089" s="235" t="n">
        <x:v>11616.611</x:v>
      </x:c>
      <x:c r="P2089" s="235"/>
      <x:c r="Q2089" s="235"/>
      <x:c r="R2089" s="235" t="str">
        <x:v>INVOICE_OR_PLAN</x:v>
      </x:c>
      <x:c r="S2089" s="238" t="n">
        <x:f>'Model_Calc'!AL352</x:f>
        <x:v>11616.611032166398</x:v>
      </x:c>
      <x:c r="T2089" s="238" t="n">
        <x:f>ROUND(S2089-O2089,4)</x:f>
        <x:v>0</x:v>
      </x:c>
    </x:row>
    <x:row r="2090">
      <x:c r="A2090" s="187" t="str">
        <x:v>SCENARIO_COST_SAVING_2026_08</x:v>
      </x:c>
      <x:c r="B2090" s="187" t="str">
        <x:v>SCENARIO</x:v>
      </x:c>
      <x:c r="C2090" s="187" t="str">
        <x:v>COST_SAVING</x:v>
      </x:c>
      <x:c r="D2090" s="217" t="n">
        <x:v>46327</x:v>
      </x:c>
      <x:c r="E2090" s="187" t="str">
        <x:v>R_GB_DE_B_AIR</x:v>
      </x:c>
      <x:c r="F2090" s="187" t="str">
        <x:v>GB</x:v>
      </x:c>
      <x:c r="G2090" s="187" t="str">
        <x:v>DE_FC</x:v>
      </x:c>
      <x:c r="H2090" s="187" t="str">
        <x:v>CARRIER_B</x:v>
      </x:c>
      <x:c r="I2090" s="187" t="str">
        <x:v>AIR</x:v>
      </x:c>
      <x:c r="J2090" s="187" t="str">
        <x:v>PACKAGING</x:v>
      </x:c>
      <x:c r="K2090" s="187" t="str">
        <x:v>EUR</x:v>
      </x:c>
      <x:c r="L2090" s="232" t="n">
        <x:v>592.9239004416</x:v>
      </x:c>
      <x:c r="M2090" s="232" t="n">
        <x:v>7.88</x:v>
      </x:c>
      <x:c r="N2090" s="187" t="str">
        <x:v>4672.240335479808000</x:v>
      </x:c>
      <x:c r="O2090" s="235" t="n">
        <x:v>4672.2403</x:v>
      </x:c>
      <x:c r="P2090" s="235"/>
      <x:c r="Q2090" s="235"/>
      <x:c r="R2090" s="235" t="str">
        <x:v>INVOICE_OR_PLAN</x:v>
      </x:c>
      <x:c r="S2090" s="238" t="n">
        <x:f>'Model_Calc'!AQ352</x:f>
        <x:v>4672.240335479807</x:v>
      </x:c>
      <x:c r="T2090" s="238" t="n">
        <x:f>ROUND(S2090-O2090,4)</x:f>
        <x:v>0</x:v>
      </x:c>
    </x:row>
    <x:row r="2091">
      <x:c r="A2091" s="187" t="str">
        <x:v>SCENARIO_COST_SAVING_2026_08</x:v>
      </x:c>
      <x:c r="B2091" s="187" t="str">
        <x:v>SCENARIO</x:v>
      </x:c>
      <x:c r="C2091" s="187" t="str">
        <x:v>COST_SAVING</x:v>
      </x:c>
      <x:c r="D2091" s="217" t="n">
        <x:v>46327</x:v>
      </x:c>
      <x:c r="E2091" s="187" t="str">
        <x:v>R_GB_DE_B_AIR</x:v>
      </x:c>
      <x:c r="F2091" s="187" t="str">
        <x:v>GB</x:v>
      </x:c>
      <x:c r="G2091" s="187" t="str">
        <x:v>DE_FC</x:v>
      </x:c>
      <x:c r="H2091" s="187" t="str">
        <x:v>CARRIER_B</x:v>
      </x:c>
      <x:c r="I2091" s="187" t="str">
        <x:v>AIR</x:v>
      </x:c>
      <x:c r="J2091" s="187" t="str">
        <x:v>RETURN_LOGISTICS</x:v>
      </x:c>
      <x:c r="K2091" s="187" t="str">
        <x:v>GBP</x:v>
      </x:c>
      <x:c r="L2091" s="232" t="n">
        <x:v>539.703171072</x:v>
      </x:c>
      <x:c r="M2091" s="232" t="n">
        <x:v>9.05</x:v>
      </x:c>
      <x:c r="N2091" s="187" t="str">
        <x:v>4884.3136982016000000</x:v>
      </x:c>
      <x:c r="O2091" s="235" t="n">
        <x:v>4884.3137</x:v>
      </x:c>
      <x:c r="P2091" s="235"/>
      <x:c r="Q2091" s="235"/>
      <x:c r="R2091" s="235" t="str">
        <x:v>INVOICE_OR_PLAN</x:v>
      </x:c>
      <x:c r="S2091" s="238" t="n">
        <x:f>'Model_Calc'!AV352</x:f>
        <x:v>4884.313698201599</x:v>
      </x:c>
      <x:c r="T2091" s="238" t="n">
        <x:f>ROUND(S2091-O2091,4)</x:f>
        <x:v>0</x:v>
      </x:c>
    </x:row>
    <x:row r="2092">
      <x:c r="A2092" s="187" t="str">
        <x:v>SCENARIO_COST_SAVING_2026_08</x:v>
      </x:c>
      <x:c r="B2092" s="187" t="str">
        <x:v>SCENARIO</x:v>
      </x:c>
      <x:c r="C2092" s="187" t="str">
        <x:v>COST_SAVING</x:v>
      </x:c>
      <x:c r="D2092" s="217" t="n">
        <x:v>46327</x:v>
      </x:c>
      <x:c r="E2092" s="187" t="str">
        <x:v>R_GB_DE_B_AIR</x:v>
      </x:c>
      <x:c r="F2092" s="187" t="str">
        <x:v>GB</x:v>
      </x:c>
      <x:c r="G2092" s="187" t="str">
        <x:v>DE_FC</x:v>
      </x:c>
      <x:c r="H2092" s="187" t="str">
        <x:v>CARRIER_B</x:v>
      </x:c>
      <x:c r="I2092" s="187" t="str">
        <x:v>AIR</x:v>
      </x:c>
      <x:c r="J2092" s="187" t="str">
        <x:v>BILLABLE_EXCEPTION</x:v>
      </x:c>
      <x:c r="K2092" s="187" t="str">
        <x:v>GBP</x:v>
      </x:c>
      <x:c r="L2092" s="232" t="n">
        <x:v>56.9206944423936</x:v>
      </x:c>
      <x:c r="M2092" s="232" t="n">
        <x:v>9.05</x:v>
      </x:c>
      <x:c r="N2092" s="187" t="str">
        <x:v>515.13228470366208000000</x:v>
      </x:c>
      <x:c r="O2092" s="235" t="n">
        <x:v>515.1323</x:v>
      </x:c>
      <x:c r="P2092" s="235"/>
      <x:c r="Q2092" s="235"/>
      <x:c r="R2092" s="235" t="str">
        <x:v>INVOICE_OR_PLAN</x:v>
      </x:c>
      <x:c r="S2092" s="238" t="n">
        <x:f>'Model_Calc'!BA352</x:f>
        <x:v>515.1322847036621</x:v>
      </x:c>
      <x:c r="T2092" s="238" t="n">
        <x:f>ROUND(S2092-O2092,4)</x:f>
        <x:v>0</x:v>
      </x:c>
    </x:row>
    <x:row r="2093">
      <x:c r="A2093" s="187" t="str">
        <x:v>SCENARIO_COST_SAVING_2026_08</x:v>
      </x:c>
      <x:c r="B2093" s="187" t="str">
        <x:v>SCENARIO</x:v>
      </x:c>
      <x:c r="C2093" s="187" t="str">
        <x:v>COST_SAVING</x:v>
      </x:c>
      <x:c r="D2093" s="217" t="n">
        <x:v>46327</x:v>
      </x:c>
      <x:c r="E2093" s="187" t="str">
        <x:v>R_GB_DE_C_AIR</x:v>
      </x:c>
      <x:c r="F2093" s="187" t="str">
        <x:v>GB</x:v>
      </x:c>
      <x:c r="G2093" s="187" t="str">
        <x:v>DE_FC</x:v>
      </x:c>
      <x:c r="H2093" s="187" t="str">
        <x:v>CARRIER_C</x:v>
      </x:c>
      <x:c r="I2093" s="187" t="str">
        <x:v>AIR</x:v>
      </x:c>
      <x:c r="J2093" s="187" t="str">
        <x:v>BASE_FREIGHT</x:v>
      </x:c>
      <x:c r="K2093" s="187" t="str">
        <x:v>GBP</x:v>
      </x:c>
      <x:c r="L2093" s="232" t="n">
        <x:v>3272.975896810494</x:v>
      </x:c>
      <x:c r="M2093" s="232" t="n">
        <x:v>9.05</x:v>
      </x:c>
      <x:c r="N2093" s="187" t="str">
        <x:v>29620.43186613497026560000000</x:v>
      </x:c>
      <x:c r="O2093" s="235" t="n">
        <x:v>29620.4319</x:v>
      </x:c>
      <x:c r="P2093" s="235"/>
      <x:c r="Q2093" s="235"/>
      <x:c r="R2093" s="235" t="str">
        <x:v>INVOICE_OR_PLAN</x:v>
      </x:c>
      <x:c r="S2093" s="238" t="n">
        <x:f>'Model_Calc'!AF353</x:f>
        <x:v>29620.43186613496</x:v>
      </x:c>
      <x:c r="T2093" s="238" t="n">
        <x:f>ROUND(S2093-O2093,4)</x:f>
        <x:v>0</x:v>
      </x:c>
    </x:row>
    <x:row r="2094">
      <x:c r="A2094" s="187" t="str">
        <x:v>SCENARIO_COST_SAVING_2026_08</x:v>
      </x:c>
      <x:c r="B2094" s="187" t="str">
        <x:v>SCENARIO</x:v>
      </x:c>
      <x:c r="C2094" s="187" t="str">
        <x:v>COST_SAVING</x:v>
      </x:c>
      <x:c r="D2094" s="217" t="n">
        <x:v>46327</x:v>
      </x:c>
      <x:c r="E2094" s="187" t="str">
        <x:v>R_GB_DE_C_AIR</x:v>
      </x:c>
      <x:c r="F2094" s="187" t="str">
        <x:v>GB</x:v>
      </x:c>
      <x:c r="G2094" s="187" t="str">
        <x:v>DE_FC</x:v>
      </x:c>
      <x:c r="H2094" s="187" t="str">
        <x:v>CARRIER_C</x:v>
      </x:c>
      <x:c r="I2094" s="187" t="str">
        <x:v>AIR</x:v>
      </x:c>
      <x:c r="J2094" s="187" t="str">
        <x:v>FUEL_SURCHARGE</x:v>
      </x:c>
      <x:c r="K2094" s="187" t="str">
        <x:v>GBP</x:v>
      </x:c>
      <x:c r="L2094" s="232" t="n">
        <x:v>253.11013602001154</x:v>
      </x:c>
      <x:c r="M2094" s="232" t="n">
        <x:v>9.05</x:v>
      </x:c>
      <x:c r="N2094" s="187" t="str">
        <x:v>2290.64673098110436720640000</x:v>
      </x:c>
      <x:c r="O2094" s="235" t="n">
        <x:v>2290.6467</x:v>
      </x:c>
      <x:c r="P2094" s="235"/>
      <x:c r="Q2094" s="235"/>
      <x:c r="R2094" s="235" t="str">
        <x:v>INVOICE_OR_PLAN</x:v>
      </x:c>
      <x:c r="S2094" s="238" t="n">
        <x:f>'Model_Calc'!AG353</x:f>
        <x:v>2290.646730981104</x:v>
      </x:c>
      <x:c r="T2094" s="238" t="n">
        <x:f>ROUND(S2094-O2094,4)</x:f>
        <x:v>0</x:v>
      </x:c>
    </x:row>
    <x:row r="2095">
      <x:c r="A2095" s="187" t="str">
        <x:v>SCENARIO_COST_SAVING_2026_08</x:v>
      </x:c>
      <x:c r="B2095" s="187" t="str">
        <x:v>SCENARIO</x:v>
      </x:c>
      <x:c r="C2095" s="187" t="str">
        <x:v>COST_SAVING</x:v>
      </x:c>
      <x:c r="D2095" s="217" t="n">
        <x:v>46327</x:v>
      </x:c>
      <x:c r="E2095" s="187" t="str">
        <x:v>R_GB_DE_C_AIR</x:v>
      </x:c>
      <x:c r="F2095" s="187" t="str">
        <x:v>GB</x:v>
      </x:c>
      <x:c r="G2095" s="187" t="str">
        <x:v>DE_FC</x:v>
      </x:c>
      <x:c r="H2095" s="187" t="str">
        <x:v>CARRIER_C</x:v>
      </x:c>
      <x:c r="I2095" s="187" t="str">
        <x:v>AIR</x:v>
      </x:c>
      <x:c r="J2095" s="187" t="str">
        <x:v>WAREHOUSE_OPERATION</x:v>
      </x:c>
      <x:c r="K2095" s="187" t="str">
        <x:v>EUR</x:v>
      </x:c>
      <x:c r="L2095" s="232" t="n">
        <x:v>453.59668224</x:v>
      </x:c>
      <x:c r="M2095" s="232" t="n">
        <x:v>7.88</x:v>
      </x:c>
      <x:c r="N2095" s="187" t="str">
        <x:v>3574.3418560512000</x:v>
      </x:c>
      <x:c r="O2095" s="235" t="n">
        <x:v>3574.3419</x:v>
      </x:c>
      <x:c r="P2095" s="235"/>
      <x:c r="Q2095" s="235"/>
      <x:c r="R2095" s="235" t="str">
        <x:v>INVOICE_OR_PLAN</x:v>
      </x:c>
      <x:c r="S2095" s="238" t="n">
        <x:f>'Model_Calc'!AL353</x:f>
        <x:v>3574.3418560511996</x:v>
      </x:c>
      <x:c r="T2095" s="238" t="n">
        <x:f>ROUND(S2095-O2095,4)</x:f>
        <x:v>0</x:v>
      </x:c>
    </x:row>
    <x:row r="2096">
      <x:c r="A2096" s="187" t="str">
        <x:v>SCENARIO_COST_SAVING_2026_08</x:v>
      </x:c>
      <x:c r="B2096" s="187" t="str">
        <x:v>SCENARIO</x:v>
      </x:c>
      <x:c r="C2096" s="187" t="str">
        <x:v>COST_SAVING</x:v>
      </x:c>
      <x:c r="D2096" s="217" t="n">
        <x:v>46327</x:v>
      </x:c>
      <x:c r="E2096" s="187" t="str">
        <x:v>R_GB_DE_C_AIR</x:v>
      </x:c>
      <x:c r="F2096" s="187" t="str">
        <x:v>GB</x:v>
      </x:c>
      <x:c r="G2096" s="187" t="str">
        <x:v>DE_FC</x:v>
      </x:c>
      <x:c r="H2096" s="187" t="str">
        <x:v>CARRIER_C</x:v>
      </x:c>
      <x:c r="I2096" s="187" t="str">
        <x:v>AIR</x:v>
      </x:c>
      <x:c r="J2096" s="187" t="str">
        <x:v>PACKAGING</x:v>
      </x:c>
      <x:c r="K2096" s="187" t="str">
        <x:v>EUR</x:v>
      </x:c>
      <x:c r="L2096" s="232" t="n">
        <x:v>182.4381232128</x:v>
      </x:c>
      <x:c r="M2096" s="232" t="n">
        <x:v>7.88</x:v>
      </x:c>
      <x:c r="N2096" s="187" t="str">
        <x:v>1437.612410916864000</x:v>
      </x:c>
      <x:c r="O2096" s="235" t="n">
        <x:v>1437.6124</x:v>
      </x:c>
      <x:c r="P2096" s="235"/>
      <x:c r="Q2096" s="235"/>
      <x:c r="R2096" s="235" t="str">
        <x:v>INVOICE_OR_PLAN</x:v>
      </x:c>
      <x:c r="S2096" s="238" t="n">
        <x:f>'Model_Calc'!AQ353</x:f>
        <x:v>1437.6124109168636</x:v>
      </x:c>
      <x:c r="T2096" s="238" t="n">
        <x:f>ROUND(S2096-O2096,4)</x:f>
        <x:v>0</x:v>
      </x:c>
    </x:row>
    <x:row r="2097">
      <x:c r="A2097" s="187" t="str">
        <x:v>SCENARIO_COST_SAVING_2026_08</x:v>
      </x:c>
      <x:c r="B2097" s="187" t="str">
        <x:v>SCENARIO</x:v>
      </x:c>
      <x:c r="C2097" s="187" t="str">
        <x:v>COST_SAVING</x:v>
      </x:c>
      <x:c r="D2097" s="217" t="n">
        <x:v>46327</x:v>
      </x:c>
      <x:c r="E2097" s="187" t="str">
        <x:v>R_GB_DE_C_AIR</x:v>
      </x:c>
      <x:c r="F2097" s="187" t="str">
        <x:v>GB</x:v>
      </x:c>
      <x:c r="G2097" s="187" t="str">
        <x:v>DE_FC</x:v>
      </x:c>
      <x:c r="H2097" s="187" t="str">
        <x:v>CARRIER_C</x:v>
      </x:c>
      <x:c r="I2097" s="187" t="str">
        <x:v>AIR</x:v>
      </x:c>
      <x:c r="J2097" s="187" t="str">
        <x:v>RETURN_LOGISTICS</x:v>
      </x:c>
      <x:c r="K2097" s="187" t="str">
        <x:v>GBP</x:v>
      </x:c>
      <x:c r="L2097" s="232" t="n">
        <x:v>166.062514176</x:v>
      </x:c>
      <x:c r="M2097" s="232" t="n">
        <x:v>9.05</x:v>
      </x:c>
      <x:c r="N2097" s="187" t="str">
        <x:v>1502.8657532928000000</x:v>
      </x:c>
      <x:c r="O2097" s="235" t="n">
        <x:v>1502.8658</x:v>
      </x:c>
      <x:c r="P2097" s="235"/>
      <x:c r="Q2097" s="235"/>
      <x:c r="R2097" s="235" t="str">
        <x:v>INVOICE_OR_PLAN</x:v>
      </x:c>
      <x:c r="S2097" s="238" t="n">
        <x:f>'Model_Calc'!AV353</x:f>
        <x:v>1502.8657532928</x:v>
      </x:c>
      <x:c r="T2097" s="238" t="n">
        <x:f>ROUND(S2097-O2097,4)</x:f>
        <x:v>0</x:v>
      </x:c>
    </x:row>
    <x:row r="2098">
      <x:c r="A2098" s="187" t="str">
        <x:v>SCENARIO_COST_SAVING_2026_08</x:v>
      </x:c>
      <x:c r="B2098" s="187" t="str">
        <x:v>SCENARIO</x:v>
      </x:c>
      <x:c r="C2098" s="187" t="str">
        <x:v>COST_SAVING</x:v>
      </x:c>
      <x:c r="D2098" s="217" t="n">
        <x:v>46327</x:v>
      </x:c>
      <x:c r="E2098" s="187" t="str">
        <x:v>R_GB_DE_C_AIR</x:v>
      </x:c>
      <x:c r="F2098" s="187" t="str">
        <x:v>GB</x:v>
      </x:c>
      <x:c r="G2098" s="187" t="str">
        <x:v>DE_FC</x:v>
      </x:c>
      <x:c r="H2098" s="187" t="str">
        <x:v>CARRIER_C</x:v>
      </x:c>
      <x:c r="I2098" s="187" t="str">
        <x:v>AIR</x:v>
      </x:c>
      <x:c r="J2098" s="187" t="str">
        <x:v>BILLABLE_EXCEPTION</x:v>
      </x:c>
      <x:c r="K2098" s="187" t="str">
        <x:v>GBP</x:v>
      </x:c>
      <x:c r="L2098" s="232" t="n">
        <x:v>15.4811778840576</x:v>
      </x:c>
      <x:c r="M2098" s="232" t="n">
        <x:v>9.05</x:v>
      </x:c>
      <x:c r="N2098" s="187" t="str">
        <x:v>140.10465985072128000000</x:v>
      </x:c>
      <x:c r="O2098" s="235" t="n">
        <x:v>140.1047</x:v>
      </x:c>
      <x:c r="P2098" s="235"/>
      <x:c r="Q2098" s="235"/>
      <x:c r="R2098" s="235" t="str">
        <x:v>INVOICE_OR_PLAN</x:v>
      </x:c>
      <x:c r="S2098" s="238" t="n">
        <x:f>'Model_Calc'!BA353</x:f>
        <x:v>140.10465985072128</x:v>
      </x:c>
      <x:c r="T2098" s="238" t="n">
        <x:f>ROUND(S2098-O2098,4)</x:f>
        <x:v>0</x:v>
      </x:c>
    </x:row>
    <x:row r="2099">
      <x:c r="A2099" s="187" t="str">
        <x:v>SCENARIO_COST_SAVING_2026_08</x:v>
      </x:c>
      <x:c r="B2099" s="187" t="str">
        <x:v>SCENARIO</x:v>
      </x:c>
      <x:c r="C2099" s="187" t="str">
        <x:v>COST_SAVING</x:v>
      </x:c>
      <x:c r="D2099" s="217" t="n">
        <x:v>46327</x:v>
      </x:c>
      <x:c r="E2099" s="187" t="str">
        <x:v>R_GB_FR_B_AIR</x:v>
      </x:c>
      <x:c r="F2099" s="187" t="str">
        <x:v>GB</x:v>
      </x:c>
      <x:c r="G2099" s="187" t="str">
        <x:v>FR_FC</x:v>
      </x:c>
      <x:c r="H2099" s="187" t="str">
        <x:v>CARRIER_B</x:v>
      </x:c>
      <x:c r="I2099" s="187" t="str">
        <x:v>AIR</x:v>
      </x:c>
      <x:c r="J2099" s="187" t="str">
        <x:v>BASE_FREIGHT</x:v>
      </x:c>
      <x:c r="K2099" s="187" t="str">
        <x:v>EUR</x:v>
      </x:c>
      <x:c r="L2099" s="232" t="n">
        <x:v>2910.324051419616</x:v>
      </x:c>
      <x:c r="M2099" s="232" t="n">
        <x:v>7.88</x:v>
      </x:c>
      <x:c r="N2099" s="187" t="str">
        <x:v>22933.3535251865740800000</x:v>
      </x:c>
      <x:c r="O2099" s="235" t="n">
        <x:v>22933.3535</x:v>
      </x:c>
      <x:c r="P2099" s="235"/>
      <x:c r="Q2099" s="235"/>
      <x:c r="R2099" s="235" t="str">
        <x:v>INVOICE_OR_PLAN</x:v>
      </x:c>
      <x:c r="S2099" s="238" t="n">
        <x:f>'Model_Calc'!AF354</x:f>
        <x:v>22933.35352518657</x:v>
      </x:c>
      <x:c r="T2099" s="238" t="n">
        <x:f>ROUND(S2099-O2099,4)</x:f>
        <x:v>0</x:v>
      </x:c>
    </x:row>
    <x:row r="2100">
      <x:c r="A2100" s="187" t="str">
        <x:v>SCENARIO_COST_SAVING_2026_08</x:v>
      </x:c>
      <x:c r="B2100" s="187" t="str">
        <x:v>SCENARIO</x:v>
      </x:c>
      <x:c r="C2100" s="187" t="str">
        <x:v>COST_SAVING</x:v>
      </x:c>
      <x:c r="D2100" s="217" t="n">
        <x:v>46327</x:v>
      </x:c>
      <x:c r="E2100" s="187" t="str">
        <x:v>R_GB_FR_B_AIR</x:v>
      </x:c>
      <x:c r="F2100" s="187" t="str">
        <x:v>GB</x:v>
      </x:c>
      <x:c r="G2100" s="187" t="str">
        <x:v>FR_FC</x:v>
      </x:c>
      <x:c r="H2100" s="187" t="str">
        <x:v>CARRIER_B</x:v>
      </x:c>
      <x:c r="I2100" s="187" t="str">
        <x:v>AIR</x:v>
      </x:c>
      <x:c r="J2100" s="187" t="str">
        <x:v>FUEL_SURCHARGE</x:v>
      </x:c>
      <x:c r="K2100" s="187" t="str">
        <x:v>EUR</x:v>
      </x:c>
      <x:c r="L2100" s="232" t="n">
        <x:v>316.27946628802675</x:v>
      </x:c>
      <x:c r="M2100" s="232" t="n">
        <x:v>7.88</x:v>
      </x:c>
      <x:c r="N2100" s="187" t="str">
        <x:v>2492.2821943496509381440000000</x:v>
      </x:c>
      <x:c r="O2100" s="235" t="n">
        <x:v>2492.2822</x:v>
      </x:c>
      <x:c r="P2100" s="235"/>
      <x:c r="Q2100" s="235"/>
      <x:c r="R2100" s="235" t="str">
        <x:v>INVOICE_OR_PLAN</x:v>
      </x:c>
      <x:c r="S2100" s="238" t="n">
        <x:f>'Model_Calc'!AG354</x:f>
        <x:v>2492.28219434965</x:v>
      </x:c>
      <x:c r="T2100" s="238" t="n">
        <x:f>ROUND(S2100-O2100,4)</x:f>
        <x:v>0</x:v>
      </x:c>
    </x:row>
    <x:row r="2101">
      <x:c r="A2101" s="187" t="str">
        <x:v>SCENARIO_COST_SAVING_2026_08</x:v>
      </x:c>
      <x:c r="B2101" s="187" t="str">
        <x:v>SCENARIO</x:v>
      </x:c>
      <x:c r="C2101" s="187" t="str">
        <x:v>COST_SAVING</x:v>
      </x:c>
      <x:c r="D2101" s="217" t="n">
        <x:v>46327</x:v>
      </x:c>
      <x:c r="E2101" s="187" t="str">
        <x:v>R_GB_FR_B_AIR</x:v>
      </x:c>
      <x:c r="F2101" s="187" t="str">
        <x:v>GB</x:v>
      </x:c>
      <x:c r="G2101" s="187" t="str">
        <x:v>FR_FC</x:v>
      </x:c>
      <x:c r="H2101" s="187" t="str">
        <x:v>CARRIER_B</x:v>
      </x:c>
      <x:c r="I2101" s="187" t="str">
        <x:v>AIR</x:v>
      </x:c>
      <x:c r="J2101" s="187" t="str">
        <x:v>WAREHOUSE_OPERATION</x:v>
      </x:c>
      <x:c r="K2101" s="187" t="str">
        <x:v>EUR</x:v>
      </x:c>
      <x:c r="L2101" s="232" t="n">
        <x:v>420.44184</x:v>
      </x:c>
      <x:c r="M2101" s="232" t="n">
        <x:v>7.88</x:v>
      </x:c>
      <x:c r="N2101" s="187" t="str">
        <x:v>3313.08169920000</x:v>
      </x:c>
      <x:c r="O2101" s="235" t="n">
        <x:v>3313.0817</x:v>
      </x:c>
      <x:c r="P2101" s="235"/>
      <x:c r="Q2101" s="235"/>
      <x:c r="R2101" s="235" t="str">
        <x:v>INVOICE_OR_PLAN</x:v>
      </x:c>
      <x:c r="S2101" s="238" t="n">
        <x:f>'Model_Calc'!AL354</x:f>
        <x:v>3313.0816992</x:v>
      </x:c>
      <x:c r="T2101" s="238" t="n">
        <x:f>ROUND(S2101-O2101,4)</x:f>
        <x:v>0</x:v>
      </x:c>
    </x:row>
    <x:row r="2102">
      <x:c r="A2102" s="187" t="str">
        <x:v>SCENARIO_COST_SAVING_2026_08</x:v>
      </x:c>
      <x:c r="B2102" s="187" t="str">
        <x:v>SCENARIO</x:v>
      </x:c>
      <x:c r="C2102" s="187" t="str">
        <x:v>COST_SAVING</x:v>
      </x:c>
      <x:c r="D2102" s="217" t="n">
        <x:v>46327</x:v>
      </x:c>
      <x:c r="E2102" s="187" t="str">
        <x:v>R_GB_FR_B_AIR</x:v>
      </x:c>
      <x:c r="F2102" s="187" t="str">
        <x:v>GB</x:v>
      </x:c>
      <x:c r="G2102" s="187" t="str">
        <x:v>FR_FC</x:v>
      </x:c>
      <x:c r="H2102" s="187" t="str">
        <x:v>CARRIER_B</x:v>
      </x:c>
      <x:c r="I2102" s="187" t="str">
        <x:v>AIR</x:v>
      </x:c>
      <x:c r="J2102" s="187" t="str">
        <x:v>PACKAGING</x:v>
      </x:c>
      <x:c r="K2102" s="187" t="str">
        <x:v>EUR</x:v>
      </x:c>
      <x:c r="L2102" s="232" t="n">
        <x:v>178.02708768</x:v>
      </x:c>
      <x:c r="M2102" s="232" t="n">
        <x:v>7.88</x:v>
      </x:c>
      <x:c r="N2102" s="187" t="str">
        <x:v>1402.8534509184000</x:v>
      </x:c>
      <x:c r="O2102" s="235" t="n">
        <x:v>1402.8535</x:v>
      </x:c>
      <x:c r="P2102" s="235"/>
      <x:c r="Q2102" s="235"/>
      <x:c r="R2102" s="235" t="str">
        <x:v>INVOICE_OR_PLAN</x:v>
      </x:c>
      <x:c r="S2102" s="238" t="n">
        <x:f>'Model_Calc'!AQ354</x:f>
        <x:v>1402.8534509183996</x:v>
      </x:c>
      <x:c r="T2102" s="238" t="n">
        <x:f>ROUND(S2102-O2102,4)</x:f>
        <x:v>0</x:v>
      </x:c>
    </x:row>
    <x:row r="2103">
      <x:c r="A2103" s="187" t="str">
        <x:v>SCENARIO_COST_SAVING_2026_08</x:v>
      </x:c>
      <x:c r="B2103" s="187" t="str">
        <x:v>SCENARIO</x:v>
      </x:c>
      <x:c r="C2103" s="187" t="str">
        <x:v>COST_SAVING</x:v>
      </x:c>
      <x:c r="D2103" s="217" t="n">
        <x:v>46327</x:v>
      </x:c>
      <x:c r="E2103" s="187" t="str">
        <x:v>R_GB_FR_B_AIR</x:v>
      </x:c>
      <x:c r="F2103" s="187" t="str">
        <x:v>GB</x:v>
      </x:c>
      <x:c r="G2103" s="187" t="str">
        <x:v>FR_FC</x:v>
      </x:c>
      <x:c r="H2103" s="187" t="str">
        <x:v>CARRIER_B</x:v>
      </x:c>
      <x:c r="I2103" s="187" t="str">
        <x:v>AIR</x:v>
      </x:c>
      <x:c r="J2103" s="187" t="str">
        <x:v>RETURN_LOGISTICS</x:v>
      </x:c>
      <x:c r="K2103" s="187" t="str">
        <x:v>EUR</x:v>
      </x:c>
      <x:c r="L2103" s="232" t="n">
        <x:v>187.3969344</x:v>
      </x:c>
      <x:c r="M2103" s="232" t="n">
        <x:v>7.88</x:v>
      </x:c>
      <x:c r="N2103" s="187" t="str">
        <x:v>1476.68784307200000</x:v>
      </x:c>
      <x:c r="O2103" s="235" t="n">
        <x:v>1476.6878</x:v>
      </x:c>
      <x:c r="P2103" s="235"/>
      <x:c r="Q2103" s="235"/>
      <x:c r="R2103" s="235" t="str">
        <x:v>INVOICE_OR_PLAN</x:v>
      </x:c>
      <x:c r="S2103" s="238" t="n">
        <x:f>'Model_Calc'!AV354</x:f>
        <x:v>1476.6878430719996</x:v>
      </x:c>
      <x:c r="T2103" s="238" t="n">
        <x:f>ROUND(S2103-O2103,4)</x:f>
        <x:v>0</x:v>
      </x:c>
    </x:row>
    <x:row r="2104">
      <x:c r="A2104" s="187" t="str">
        <x:v>SCENARIO_COST_SAVING_2026_08</x:v>
      </x:c>
      <x:c r="B2104" s="187" t="str">
        <x:v>SCENARIO</x:v>
      </x:c>
      <x:c r="C2104" s="187" t="str">
        <x:v>COST_SAVING</x:v>
      </x:c>
      <x:c r="D2104" s="217" t="n">
        <x:v>46327</x:v>
      </x:c>
      <x:c r="E2104" s="187" t="str">
        <x:v>R_GB_FR_B_AIR</x:v>
      </x:c>
      <x:c r="F2104" s="187" t="str">
        <x:v>GB</x:v>
      </x:c>
      <x:c r="G2104" s="187" t="str">
        <x:v>FR_FC</x:v>
      </x:c>
      <x:c r="H2104" s="187" t="str">
        <x:v>CARRIER_B</x:v>
      </x:c>
      <x:c r="I2104" s="187" t="str">
        <x:v>AIR</x:v>
      </x:c>
      <x:c r="J2104" s="187" t="str">
        <x:v>BILLABLE_EXCEPTION</x:v>
      </x:c>
      <x:c r="K2104" s="187" t="str">
        <x:v>EUR</x:v>
      </x:c>
      <x:c r="L2104" s="232" t="n">
        <x:v>16.52840961408</x:v>
      </x:c>
      <x:c r="M2104" s="232" t="n">
        <x:v>7.88</x:v>
      </x:c>
      <x:c r="N2104" s="187" t="str">
        <x:v>130.243867758950400000</x:v>
      </x:c>
      <x:c r="O2104" s="235" t="n">
        <x:v>130.2439</x:v>
      </x:c>
      <x:c r="P2104" s="235"/>
      <x:c r="Q2104" s="235"/>
      <x:c r="R2104" s="235" t="str">
        <x:v>INVOICE_OR_PLAN</x:v>
      </x:c>
      <x:c r="S2104" s="238" t="n">
        <x:f>'Model_Calc'!BA354</x:f>
        <x:v>130.2438677589504</x:v>
      </x:c>
      <x:c r="T2104" s="238" t="n">
        <x:f>ROUND(S2104-O2104,4)</x:f>
        <x:v>0</x:v>
      </x:c>
    </x:row>
    <x:row r="2105">
      <x:c r="A2105" s="187" t="str">
        <x:v>SCENARIO_COST_SAVING_2026_08</x:v>
      </x:c>
      <x:c r="B2105" s="187" t="str">
        <x:v>SCENARIO</x:v>
      </x:c>
      <x:c r="C2105" s="187" t="str">
        <x:v>COST_SAVING</x:v>
      </x:c>
      <x:c r="D2105" s="217" t="n">
        <x:v>46357</x:v>
      </x:c>
      <x:c r="E2105" s="187" t="str">
        <x:v>R_DE_DE_A_ROAD</x:v>
      </x:c>
      <x:c r="F2105" s="187" t="str">
        <x:v>DE</x:v>
      </x:c>
      <x:c r="G2105" s="187" t="str">
        <x:v>DE_FC</x:v>
      </x:c>
      <x:c r="H2105" s="187" t="str">
        <x:v>CARRIER_A</x:v>
      </x:c>
      <x:c r="I2105" s="187" t="str">
        <x:v>ROAD</x:v>
      </x:c>
      <x:c r="J2105" s="187" t="str">
        <x:v>BASE_FREIGHT</x:v>
      </x:c>
      <x:c r="K2105" s="187" t="str">
        <x:v>EUR</x:v>
      </x:c>
      <x:c r="L2105" s="232" t="n">
        <x:v>10032.45689077632</x:v>
      </x:c>
      <x:c r="M2105" s="232" t="n">
        <x:v>7.86</x:v>
      </x:c>
      <x:c r="N2105" s="187" t="str">
        <x:v>78855.1111615018752000000</x:v>
      </x:c>
      <x:c r="O2105" s="235" t="n">
        <x:v>78855.1112</x:v>
      </x:c>
      <x:c r="P2105" s="235"/>
      <x:c r="Q2105" s="235"/>
      <x:c r="R2105" s="235" t="str">
        <x:v>INVOICE_OR_PLAN</x:v>
      </x:c>
      <x:c r="S2105" s="238" t="n">
        <x:f>'Model_Calc'!AF355</x:f>
        <x:v>78855.11116150189</x:v>
      </x:c>
      <x:c r="T2105" s="238" t="n">
        <x:f>ROUND(S2105-O2105,4)</x:f>
        <x:v>0</x:v>
      </x:c>
    </x:row>
    <x:row r="2106">
      <x:c r="A2106" s="187" t="str">
        <x:v>SCENARIO_COST_SAVING_2026_08</x:v>
      </x:c>
      <x:c r="B2106" s="187" t="str">
        <x:v>SCENARIO</x:v>
      </x:c>
      <x:c r="C2106" s="187" t="str">
        <x:v>COST_SAVING</x:v>
      </x:c>
      <x:c r="D2106" s="217" t="n">
        <x:v>46357</x:v>
      </x:c>
      <x:c r="E2106" s="187" t="str">
        <x:v>R_DE_DE_A_ROAD</x:v>
      </x:c>
      <x:c r="F2106" s="187" t="str">
        <x:v>DE</x:v>
      </x:c>
      <x:c r="G2106" s="187" t="str">
        <x:v>DE_FC</x:v>
      </x:c>
      <x:c r="H2106" s="187" t="str">
        <x:v>CARRIER_A</x:v>
      </x:c>
      <x:c r="I2106" s="187" t="str">
        <x:v>ROAD</x:v>
      </x:c>
      <x:c r="J2106" s="187" t="str">
        <x:v>FUEL_SURCHARGE</x:v>
      </x:c>
      <x:c r="K2106" s="187" t="str">
        <x:v>EUR</x:v>
      </x:c>
      <x:c r="L2106" s="232" t="n">
        <x:v>986.4413237855816</x:v>
      </x:c>
      <x:c r="M2106" s="232" t="n">
        <x:v>7.86</x:v>
      </x:c>
      <x:c r="N2106" s="187" t="str">
        <x:v>7753.4288049546718790400000000</x:v>
      </x:c>
      <x:c r="O2106" s="235" t="n">
        <x:v>7753.4288</x:v>
      </x:c>
      <x:c r="P2106" s="235"/>
      <x:c r="Q2106" s="235"/>
      <x:c r="R2106" s="235" t="str">
        <x:v>INVOICE_OR_PLAN</x:v>
      </x:c>
      <x:c r="S2106" s="238" t="n">
        <x:f>'Model_Calc'!AG355</x:f>
        <x:v>7753.428804954672</x:v>
      </x:c>
      <x:c r="T2106" s="238" t="n">
        <x:f>ROUND(S2106-O2106,4)</x:f>
        <x:v>0</x:v>
      </x:c>
    </x:row>
    <x:row r="2107">
      <x:c r="A2107" s="187" t="str">
        <x:v>SCENARIO_COST_SAVING_2026_08</x:v>
      </x:c>
      <x:c r="B2107" s="187" t="str">
        <x:v>SCENARIO</x:v>
      </x:c>
      <x:c r="C2107" s="187" t="str">
        <x:v>COST_SAVING</x:v>
      </x:c>
      <x:c r="D2107" s="217" t="n">
        <x:v>46357</x:v>
      </x:c>
      <x:c r="E2107" s="187" t="str">
        <x:v>R_DE_DE_A_ROAD</x:v>
      </x:c>
      <x:c r="F2107" s="187" t="str">
        <x:v>DE</x:v>
      </x:c>
      <x:c r="G2107" s="187" t="str">
        <x:v>DE_FC</x:v>
      </x:c>
      <x:c r="H2107" s="187" t="str">
        <x:v>CARRIER_A</x:v>
      </x:c>
      <x:c r="I2107" s="187" t="str">
        <x:v>ROAD</x:v>
      </x:c>
      <x:c r="J2107" s="187" t="str">
        <x:v>WAREHOUSE_OPERATION</x:v>
      </x:c>
      <x:c r="K2107" s="187" t="str">
        <x:v>EUR</x:v>
      </x:c>
      <x:c r="L2107" s="232" t="n">
        <x:v>6505.2104832</x:v>
      </x:c>
      <x:c r="M2107" s="232" t="n">
        <x:v>7.86</x:v>
      </x:c>
      <x:c r="N2107" s="187" t="str">
        <x:v>51130.9543979520000</x:v>
      </x:c>
      <x:c r="O2107" s="235" t="n">
        <x:v>51130.9544</x:v>
      </x:c>
      <x:c r="P2107" s="235"/>
      <x:c r="Q2107" s="235"/>
      <x:c r="R2107" s="235" t="str">
        <x:v>INVOICE_OR_PLAN</x:v>
      </x:c>
      <x:c r="S2107" s="238" t="n">
        <x:f>'Model_Calc'!AL355</x:f>
        <x:v>51130.954397952</x:v>
      </x:c>
      <x:c r="T2107" s="238" t="n">
        <x:f>ROUND(S2107-O2107,4)</x:f>
        <x:v>0</x:v>
      </x:c>
    </x:row>
    <x:row r="2108">
      <x:c r="A2108" s="187" t="str">
        <x:v>SCENARIO_COST_SAVING_2026_08</x:v>
      </x:c>
      <x:c r="B2108" s="187" t="str">
        <x:v>SCENARIO</x:v>
      </x:c>
      <x:c r="C2108" s="187" t="str">
        <x:v>COST_SAVING</x:v>
      </x:c>
      <x:c r="D2108" s="217" t="n">
        <x:v>46357</x:v>
      </x:c>
      <x:c r="E2108" s="187" t="str">
        <x:v>R_DE_DE_A_ROAD</x:v>
      </x:c>
      <x:c r="F2108" s="187" t="str">
        <x:v>DE</x:v>
      </x:c>
      <x:c r="G2108" s="187" t="str">
        <x:v>DE_FC</x:v>
      </x:c>
      <x:c r="H2108" s="187" t="str">
        <x:v>CARRIER_A</x:v>
      </x:c>
      <x:c r="I2108" s="187" t="str">
        <x:v>ROAD</x:v>
      </x:c>
      <x:c r="J2108" s="187" t="str">
        <x:v>PACKAGING</x:v>
      </x:c>
      <x:c r="K2108" s="187" t="str">
        <x:v>EUR</x:v>
      </x:c>
      <x:c r="L2108" s="232" t="n">
        <x:v>2431.18459584</x:v>
      </x:c>
      <x:c r="M2108" s="232" t="n">
        <x:v>7.86</x:v>
      </x:c>
      <x:c r="N2108" s="187" t="str">
        <x:v>19109.110923302400000</x:v>
      </x:c>
      <x:c r="O2108" s="235" t="n">
        <x:v>19109.1109</x:v>
      </x:c>
      <x:c r="P2108" s="235"/>
      <x:c r="Q2108" s="235"/>
      <x:c r="R2108" s="235" t="str">
        <x:v>INVOICE_OR_PLAN</x:v>
      </x:c>
      <x:c r="S2108" s="238" t="n">
        <x:f>'Model_Calc'!AQ355</x:f>
        <x:v>19109.1109233024</x:v>
      </x:c>
      <x:c r="T2108" s="238" t="n">
        <x:f>ROUND(S2108-O2108,4)</x:f>
        <x:v>0</x:v>
      </x:c>
    </x:row>
    <x:row r="2109">
      <x:c r="A2109" s="187" t="str">
        <x:v>SCENARIO_COST_SAVING_2026_08</x:v>
      </x:c>
      <x:c r="B2109" s="187" t="str">
        <x:v>SCENARIO</x:v>
      </x:c>
      <x:c r="C2109" s="187" t="str">
        <x:v>COST_SAVING</x:v>
      </x:c>
      <x:c r="D2109" s="217" t="n">
        <x:v>46357</x:v>
      </x:c>
      <x:c r="E2109" s="187" t="str">
        <x:v>R_DE_DE_A_ROAD</x:v>
      </x:c>
      <x:c r="F2109" s="187" t="str">
        <x:v>DE</x:v>
      </x:c>
      <x:c r="G2109" s="187" t="str">
        <x:v>DE_FC</x:v>
      </x:c>
      <x:c r="H2109" s="187" t="str">
        <x:v>CARRIER_A</x:v>
      </x:c>
      <x:c r="I2109" s="187" t="str">
        <x:v>ROAD</x:v>
      </x:c>
      <x:c r="J2109" s="187" t="str">
        <x:v>RETURN_LOGISTICS</x:v>
      </x:c>
      <x:c r="K2109" s="187" t="str">
        <x:v>EUR</x:v>
      </x:c>
      <x:c r="L2109" s="232" t="n">
        <x:v>882.0624384</x:v>
      </x:c>
      <x:c r="M2109" s="232" t="n">
        <x:v>7.86</x:v>
      </x:c>
      <x:c r="N2109" s="187" t="str">
        <x:v>6933.0107658240000000</x:v>
      </x:c>
      <x:c r="O2109" s="235" t="n">
        <x:v>6933.0108</x:v>
      </x:c>
      <x:c r="P2109" s="235"/>
      <x:c r="Q2109" s="235"/>
      <x:c r="R2109" s="235" t="str">
        <x:v>INVOICE_OR_PLAN</x:v>
      </x:c>
      <x:c r="S2109" s="238" t="n">
        <x:f>'Model_Calc'!AV355</x:f>
        <x:v>6933.0107658239995</x:v>
      </x:c>
      <x:c r="T2109" s="238" t="n">
        <x:f>ROUND(S2109-O2109,4)</x:f>
        <x:v>0</x:v>
      </x:c>
    </x:row>
    <x:row r="2110">
      <x:c r="A2110" s="187" t="str">
        <x:v>SCENARIO_COST_SAVING_2026_08</x:v>
      </x:c>
      <x:c r="B2110" s="187" t="str">
        <x:v>SCENARIO</x:v>
      </x:c>
      <x:c r="C2110" s="187" t="str">
        <x:v>COST_SAVING</x:v>
      </x:c>
      <x:c r="D2110" s="217" t="n">
        <x:v>46357</x:v>
      </x:c>
      <x:c r="E2110" s="187" t="str">
        <x:v>R_DE_DE_A_ROAD</x:v>
      </x:c>
      <x:c r="F2110" s="187" t="str">
        <x:v>DE</x:v>
      </x:c>
      <x:c r="G2110" s="187" t="str">
        <x:v>DE_FC</x:v>
      </x:c>
      <x:c r="H2110" s="187" t="str">
        <x:v>CARRIER_A</x:v>
      </x:c>
      <x:c r="I2110" s="187" t="str">
        <x:v>ROAD</x:v>
      </x:c>
      <x:c r="J2110" s="187" t="str">
        <x:v>BILLABLE_EXCEPTION</x:v>
      </x:c>
      <x:c r="K2110" s="187" t="str">
        <x:v>EUR</x:v>
      </x:c>
      <x:c r="L2110" s="232" t="n">
        <x:v>213.0180788736</x:v>
      </x:c>
      <x:c r="M2110" s="232" t="n">
        <x:v>7.86</x:v>
      </x:c>
      <x:c r="N2110" s="187" t="str">
        <x:v>1674.322099946496000000</x:v>
      </x:c>
      <x:c r="O2110" s="235" t="n">
        <x:v>1674.3221</x:v>
      </x:c>
      <x:c r="P2110" s="235"/>
      <x:c r="Q2110" s="235"/>
      <x:c r="R2110" s="235" t="str">
        <x:v>INVOICE_OR_PLAN</x:v>
      </x:c>
      <x:c r="S2110" s="238" t="n">
        <x:f>'Model_Calc'!BA355</x:f>
        <x:v>1674.322099946496</x:v>
      </x:c>
      <x:c r="T2110" s="238" t="n">
        <x:f>ROUND(S2110-O2110,4)</x:f>
        <x:v>0</x:v>
      </x:c>
    </x:row>
    <x:row r="2111">
      <x:c r="A2111" s="187" t="str">
        <x:v>SCENARIO_COST_SAVING_2026_08</x:v>
      </x:c>
      <x:c r="B2111" s="187" t="str">
        <x:v>SCENARIO</x:v>
      </x:c>
      <x:c r="C2111" s="187" t="str">
        <x:v>COST_SAVING</x:v>
      </x:c>
      <x:c r="D2111" s="217" t="n">
        <x:v>46357</x:v>
      </x:c>
      <x:c r="E2111" s="187" t="str">
        <x:v>R_DE_DE_B_ROAD</x:v>
      </x:c>
      <x:c r="F2111" s="187" t="str">
        <x:v>DE</x:v>
      </x:c>
      <x:c r="G2111" s="187" t="str">
        <x:v>DE_FC</x:v>
      </x:c>
      <x:c r="H2111" s="187" t="str">
        <x:v>CARRIER_B</x:v>
      </x:c>
      <x:c r="I2111" s="187" t="str">
        <x:v>ROAD</x:v>
      </x:c>
      <x:c r="J2111" s="187" t="str">
        <x:v>BASE_FREIGHT</x:v>
      </x:c>
      <x:c r="K2111" s="187" t="str">
        <x:v>EUR</x:v>
      </x:c>
      <x:c r="L2111" s="232" t="n">
        <x:v>8574.749479296</x:v>
      </x:c>
      <x:c r="M2111" s="232" t="n">
        <x:v>7.86</x:v>
      </x:c>
      <x:c r="N2111" s="187" t="str">
        <x:v>67397.5309072665600000000</x:v>
      </x:c>
      <x:c r="O2111" s="235" t="n">
        <x:v>67397.5309</x:v>
      </x:c>
      <x:c r="P2111" s="235"/>
      <x:c r="Q2111" s="235"/>
      <x:c r="R2111" s="235" t="str">
        <x:v>INVOICE_OR_PLAN</x:v>
      </x:c>
      <x:c r="S2111" s="238" t="n">
        <x:f>'Model_Calc'!AF356</x:f>
        <x:v>67397.53090726658</x:v>
      </x:c>
      <x:c r="T2111" s="238" t="n">
        <x:f>ROUND(S2111-O2111,4)</x:f>
        <x:v>0</x:v>
      </x:c>
    </x:row>
    <x:row r="2112">
      <x:c r="A2112" s="187" t="str">
        <x:v>SCENARIO_COST_SAVING_2026_08</x:v>
      </x:c>
      <x:c r="B2112" s="187" t="str">
        <x:v>SCENARIO</x:v>
      </x:c>
      <x:c r="C2112" s="187" t="str">
        <x:v>COST_SAVING</x:v>
      </x:c>
      <x:c r="D2112" s="217" t="n">
        <x:v>46357</x:v>
      </x:c>
      <x:c r="E2112" s="187" t="str">
        <x:v>R_DE_DE_B_ROAD</x:v>
      </x:c>
      <x:c r="F2112" s="187" t="str">
        <x:v>DE</x:v>
      </x:c>
      <x:c r="G2112" s="187" t="str">
        <x:v>DE_FC</x:v>
      </x:c>
      <x:c r="H2112" s="187" t="str">
        <x:v>CARRIER_B</x:v>
      </x:c>
      <x:c r="I2112" s="187" t="str">
        <x:v>ROAD</x:v>
      </x:c>
      <x:c r="J2112" s="187" t="str">
        <x:v>FUEL_SURCHARGE</x:v>
      </x:c>
      <x:c r="K2112" s="187" t="str">
        <x:v>EUR</x:v>
      </x:c>
      <x:c r="L2112" s="232" t="n">
        <x:v>654.79905114624</x:v>
      </x:c>
      <x:c r="M2112" s="232" t="n">
        <x:v>7.86</x:v>
      </x:c>
      <x:c r="N2112" s="187" t="str">
        <x:v>5146.7205420094464000000</x:v>
      </x:c>
      <x:c r="O2112" s="235" t="n">
        <x:v>5146.7205</x:v>
      </x:c>
      <x:c r="P2112" s="235"/>
      <x:c r="Q2112" s="235"/>
      <x:c r="R2112" s="235" t="str">
        <x:v>INVOICE_OR_PLAN</x:v>
      </x:c>
      <x:c r="S2112" s="238" t="n">
        <x:f>'Model_Calc'!AG356</x:f>
        <x:v>5146.720542009448</x:v>
      </x:c>
      <x:c r="T2112" s="238" t="n">
        <x:f>ROUND(S2112-O2112,4)</x:f>
        <x:v>0</x:v>
      </x:c>
    </x:row>
    <x:row r="2113">
      <x:c r="A2113" s="187" t="str">
        <x:v>SCENARIO_COST_SAVING_2026_08</x:v>
      </x:c>
      <x:c r="B2113" s="187" t="str">
        <x:v>SCENARIO</x:v>
      </x:c>
      <x:c r="C2113" s="187" t="str">
        <x:v>COST_SAVING</x:v>
      </x:c>
      <x:c r="D2113" s="217" t="n">
        <x:v>46357</x:v>
      </x:c>
      <x:c r="E2113" s="187" t="str">
        <x:v>R_DE_DE_B_ROAD</x:v>
      </x:c>
      <x:c r="F2113" s="187" t="str">
        <x:v>DE</x:v>
      </x:c>
      <x:c r="G2113" s="187" t="str">
        <x:v>DE_FC</x:v>
      </x:c>
      <x:c r="H2113" s="187" t="str">
        <x:v>CARRIER_B</x:v>
      </x:c>
      <x:c r="I2113" s="187" t="str">
        <x:v>ROAD</x:v>
      </x:c>
      <x:c r="J2113" s="187" t="str">
        <x:v>WAREHOUSE_OPERATION</x:v>
      </x:c>
      <x:c r="K2113" s="187" t="str">
        <x:v>EUR</x:v>
      </x:c>
      <x:c r="L2113" s="232" t="n">
        <x:v>4336.8069888</x:v>
      </x:c>
      <x:c r="M2113" s="232" t="n">
        <x:v>7.86</x:v>
      </x:c>
      <x:c r="N2113" s="187" t="str">
        <x:v>34087.3029319680000</x:v>
      </x:c>
      <x:c r="O2113" s="235" t="n">
        <x:v>34087.3029</x:v>
      </x:c>
      <x:c r="P2113" s="235"/>
      <x:c r="Q2113" s="235"/>
      <x:c r="R2113" s="235" t="str">
        <x:v>INVOICE_OR_PLAN</x:v>
      </x:c>
      <x:c r="S2113" s="238" t="n">
        <x:f>'Model_Calc'!AL356</x:f>
        <x:v>34087.302931968006</x:v>
      </x:c>
      <x:c r="T2113" s="238" t="n">
        <x:f>ROUND(S2113-O2113,4)</x:f>
        <x:v>0</x:v>
      </x:c>
    </x:row>
    <x:row r="2114">
      <x:c r="A2114" s="187" t="str">
        <x:v>SCENARIO_COST_SAVING_2026_08</x:v>
      </x:c>
      <x:c r="B2114" s="187" t="str">
        <x:v>SCENARIO</x:v>
      </x:c>
      <x:c r="C2114" s="187" t="str">
        <x:v>COST_SAVING</x:v>
      </x:c>
      <x:c r="D2114" s="217" t="n">
        <x:v>46357</x:v>
      </x:c>
      <x:c r="E2114" s="187" t="str">
        <x:v>R_DE_DE_B_ROAD</x:v>
      </x:c>
      <x:c r="F2114" s="187" t="str">
        <x:v>DE</x:v>
      </x:c>
      <x:c r="G2114" s="187" t="str">
        <x:v>DE_FC</x:v>
      </x:c>
      <x:c r="H2114" s="187" t="str">
        <x:v>CARRIER_B</x:v>
      </x:c>
      <x:c r="I2114" s="187" t="str">
        <x:v>ROAD</x:v>
      </x:c>
      <x:c r="J2114" s="187" t="str">
        <x:v>PACKAGING</x:v>
      </x:c>
      <x:c r="K2114" s="187" t="str">
        <x:v>EUR</x:v>
      </x:c>
      <x:c r="L2114" s="232" t="n">
        <x:v>1620.78973056</x:v>
      </x:c>
      <x:c r="M2114" s="232" t="n">
        <x:v>7.86</x:v>
      </x:c>
      <x:c r="N2114" s="187" t="str">
        <x:v>12739.407282201600000</x:v>
      </x:c>
      <x:c r="O2114" s="235" t="n">
        <x:v>12739.4073</x:v>
      </x:c>
      <x:c r="P2114" s="235"/>
      <x:c r="Q2114" s="235"/>
      <x:c r="R2114" s="235" t="str">
        <x:v>INVOICE_OR_PLAN</x:v>
      </x:c>
      <x:c r="S2114" s="238" t="n">
        <x:f>'Model_Calc'!AQ356</x:f>
        <x:v>12739.407282201602</x:v>
      </x:c>
      <x:c r="T2114" s="238" t="n">
        <x:f>ROUND(S2114-O2114,4)</x:f>
        <x:v>0</x:v>
      </x:c>
    </x:row>
    <x:row r="2115">
      <x:c r="A2115" s="187" t="str">
        <x:v>SCENARIO_COST_SAVING_2026_08</x:v>
      </x:c>
      <x:c r="B2115" s="187" t="str">
        <x:v>SCENARIO</x:v>
      </x:c>
      <x:c r="C2115" s="187" t="str">
        <x:v>COST_SAVING</x:v>
      </x:c>
      <x:c r="D2115" s="217" t="n">
        <x:v>46357</x:v>
      </x:c>
      <x:c r="E2115" s="187" t="str">
        <x:v>R_DE_DE_B_ROAD</x:v>
      </x:c>
      <x:c r="F2115" s="187" t="str">
        <x:v>DE</x:v>
      </x:c>
      <x:c r="G2115" s="187" t="str">
        <x:v>DE_FC</x:v>
      </x:c>
      <x:c r="H2115" s="187" t="str">
        <x:v>CARRIER_B</x:v>
      </x:c>
      <x:c r="I2115" s="187" t="str">
        <x:v>ROAD</x:v>
      </x:c>
      <x:c r="J2115" s="187" t="str">
        <x:v>RETURN_LOGISTICS</x:v>
      </x:c>
      <x:c r="K2115" s="187" t="str">
        <x:v>EUR</x:v>
      </x:c>
      <x:c r="L2115" s="232" t="n">
        <x:v>588.0416256</x:v>
      </x:c>
      <x:c r="M2115" s="232" t="n">
        <x:v>7.86</x:v>
      </x:c>
      <x:c r="N2115" s="187" t="str">
        <x:v>4622.0071772160000000</x:v>
      </x:c>
      <x:c r="O2115" s="235" t="n">
        <x:v>4622.0072</x:v>
      </x:c>
      <x:c r="P2115" s="235"/>
      <x:c r="Q2115" s="235"/>
      <x:c r="R2115" s="235" t="str">
        <x:v>INVOICE_OR_PLAN</x:v>
      </x:c>
      <x:c r="S2115" s="238" t="n">
        <x:f>'Model_Calc'!AV356</x:f>
        <x:v>4622.007177216001</x:v>
      </x:c>
      <x:c r="T2115" s="238" t="n">
        <x:f>ROUND(S2115-O2115,4)</x:f>
        <x:v>0</x:v>
      </x:c>
    </x:row>
    <x:row r="2116">
      <x:c r="A2116" s="187" t="str">
        <x:v>SCENARIO_COST_SAVING_2026_08</x:v>
      </x:c>
      <x:c r="B2116" s="187" t="str">
        <x:v>SCENARIO</x:v>
      </x:c>
      <x:c r="C2116" s="187" t="str">
        <x:v>COST_SAVING</x:v>
      </x:c>
      <x:c r="D2116" s="217" t="n">
        <x:v>46357</x:v>
      </x:c>
      <x:c r="E2116" s="187" t="str">
        <x:v>R_DE_DE_B_ROAD</x:v>
      </x:c>
      <x:c r="F2116" s="187" t="str">
        <x:v>DE</x:v>
      </x:c>
      <x:c r="G2116" s="187" t="str">
        <x:v>DE_FC</x:v>
      </x:c>
      <x:c r="H2116" s="187" t="str">
        <x:v>CARRIER_B</x:v>
      </x:c>
      <x:c r="I2116" s="187" t="str">
        <x:v>ROAD</x:v>
      </x:c>
      <x:c r="J2116" s="187" t="str">
        <x:v>BILLABLE_EXCEPTION</x:v>
      </x:c>
      <x:c r="K2116" s="187" t="str">
        <x:v>EUR</x:v>
      </x:c>
      <x:c r="L2116" s="232" t="n">
        <x:v>115.3847927232</x:v>
      </x:c>
      <x:c r="M2116" s="232" t="n">
        <x:v>7.86</x:v>
      </x:c>
      <x:c r="N2116" s="187" t="str">
        <x:v>906.924470804352000000</x:v>
      </x:c>
      <x:c r="O2116" s="235" t="n">
        <x:v>906.9245</x:v>
      </x:c>
      <x:c r="P2116" s="235"/>
      <x:c r="Q2116" s="235"/>
      <x:c r="R2116" s="235" t="str">
        <x:v>INVOICE_OR_PLAN</x:v>
      </x:c>
      <x:c r="S2116" s="238" t="n">
        <x:f>'Model_Calc'!BA356</x:f>
        <x:v>906.924470804352</x:v>
      </x:c>
      <x:c r="T2116" s="238" t="n">
        <x:f>ROUND(S2116-O2116,4)</x:f>
        <x:v>0</x:v>
      </x:c>
    </x:row>
    <x:row r="2117">
      <x:c r="A2117" s="187" t="str">
        <x:v>SCENARIO_COST_SAVING_2026_08</x:v>
      </x:c>
      <x:c r="B2117" s="187" t="str">
        <x:v>SCENARIO</x:v>
      </x:c>
      <x:c r="C2117" s="187" t="str">
        <x:v>COST_SAVING</x:v>
      </x:c>
      <x:c r="D2117" s="217" t="n">
        <x:v>46357</x:v>
      </x:c>
      <x:c r="E2117" s="187" t="str">
        <x:v>R_DE_FR_B_ROAD</x:v>
      </x:c>
      <x:c r="F2117" s="187" t="str">
        <x:v>DE</x:v>
      </x:c>
      <x:c r="G2117" s="187" t="str">
        <x:v>FR_FC</x:v>
      </x:c>
      <x:c r="H2117" s="187" t="str">
        <x:v>CARRIER_B</x:v>
      </x:c>
      <x:c r="I2117" s="187" t="str">
        <x:v>ROAD</x:v>
      </x:c>
      <x:c r="J2117" s="187" t="str">
        <x:v>BASE_FREIGHT</x:v>
      </x:c>
      <x:c r="K2117" s="187" t="str">
        <x:v>EUR</x:v>
      </x:c>
      <x:c r="L2117" s="232" t="n">
        <x:v>879.70110269184</x:v>
      </x:c>
      <x:c r="M2117" s="232" t="n">
        <x:v>7.86</x:v>
      </x:c>
      <x:c r="N2117" s="187" t="str">
        <x:v>6914.45066715786240000</x:v>
      </x:c>
      <x:c r="O2117" s="235" t="n">
        <x:v>6914.4507</x:v>
      </x:c>
      <x:c r="P2117" s="235"/>
      <x:c r="Q2117" s="235"/>
      <x:c r="R2117" s="235" t="str">
        <x:v>INVOICE_OR_PLAN</x:v>
      </x:c>
      <x:c r="S2117" s="238" t="n">
        <x:f>'Model_Calc'!AF357</x:f>
        <x:v>6914.450667157865</x:v>
      </x:c>
      <x:c r="T2117" s="238" t="n">
        <x:f>ROUND(S2117-O2117,4)</x:f>
        <x:v>0</x:v>
      </x:c>
    </x:row>
    <x:row r="2118">
      <x:c r="A2118" s="187" t="str">
        <x:v>SCENARIO_COST_SAVING_2026_08</x:v>
      </x:c>
      <x:c r="B2118" s="187" t="str">
        <x:v>SCENARIO</x:v>
      </x:c>
      <x:c r="C2118" s="187" t="str">
        <x:v>COST_SAVING</x:v>
      </x:c>
      <x:c r="D2118" s="217" t="n">
        <x:v>46357</x:v>
      </x:c>
      <x:c r="E2118" s="187" t="str">
        <x:v>R_DE_FR_B_ROAD</x:v>
      </x:c>
      <x:c r="F2118" s="187" t="str">
        <x:v>DE</x:v>
      </x:c>
      <x:c r="G2118" s="187" t="str">
        <x:v>FR_FC</x:v>
      </x:c>
      <x:c r="H2118" s="187" t="str">
        <x:v>CARRIER_B</x:v>
      </x:c>
      <x:c r="I2118" s="187" t="str">
        <x:v>ROAD</x:v>
      </x:c>
      <x:c r="J2118" s="187" t="str">
        <x:v>FUEL_SURCHARGE</x:v>
      </x:c>
      <x:c r="K2118" s="187" t="str">
        <x:v>EUR</x:v>
      </x:c>
      <x:c r="L2118" s="232" t="n">
        <x:v>63.978262013952</x:v>
      </x:c>
      <x:c r="M2118" s="232" t="n">
        <x:v>7.86</x:v>
      </x:c>
      <x:c r="N2118" s="187" t="str">
        <x:v>502.86913942966272000</x:v>
      </x:c>
      <x:c r="O2118" s="235" t="n">
        <x:v>502.8691</x:v>
      </x:c>
      <x:c r="P2118" s="235"/>
      <x:c r="Q2118" s="235"/>
      <x:c r="R2118" s="235" t="str">
        <x:v>INVOICE_OR_PLAN</x:v>
      </x:c>
      <x:c r="S2118" s="238" t="n">
        <x:f>'Model_Calc'!AG357</x:f>
        <x:v>502.8691394296629</x:v>
      </x:c>
      <x:c r="T2118" s="238" t="n">
        <x:f>ROUND(S2118-O2118,4)</x:f>
        <x:v>0</x:v>
      </x:c>
    </x:row>
    <x:row r="2119">
      <x:c r="A2119" s="187" t="str">
        <x:v>SCENARIO_COST_SAVING_2026_08</x:v>
      </x:c>
      <x:c r="B2119" s="187" t="str">
        <x:v>SCENARIO</x:v>
      </x:c>
      <x:c r="C2119" s="187" t="str">
        <x:v>COST_SAVING</x:v>
      </x:c>
      <x:c r="D2119" s="217" t="n">
        <x:v>46357</x:v>
      </x:c>
      <x:c r="E2119" s="187" t="str">
        <x:v>R_DE_FR_B_ROAD</x:v>
      </x:c>
      <x:c r="F2119" s="187" t="str">
        <x:v>DE</x:v>
      </x:c>
      <x:c r="G2119" s="187" t="str">
        <x:v>FR_FC</x:v>
      </x:c>
      <x:c r="H2119" s="187" t="str">
        <x:v>CARRIER_B</x:v>
      </x:c>
      <x:c r="I2119" s="187" t="str">
        <x:v>ROAD</x:v>
      </x:c>
      <x:c r="J2119" s="187" t="str">
        <x:v>WAREHOUSE_OPERATION</x:v>
      </x:c>
      <x:c r="K2119" s="187" t="str">
        <x:v>EUR</x:v>
      </x:c>
      <x:c r="L2119" s="232" t="n">
        <x:v>298.37808</x:v>
      </x:c>
      <x:c r="M2119" s="232" t="n">
        <x:v>7.86</x:v>
      </x:c>
      <x:c r="N2119" s="187" t="str">
        <x:v>2345.25170880000</x:v>
      </x:c>
      <x:c r="O2119" s="235" t="n">
        <x:v>2345.2517</x:v>
      </x:c>
      <x:c r="P2119" s="235"/>
      <x:c r="Q2119" s="235"/>
      <x:c r="R2119" s="235" t="str">
        <x:v>INVOICE_OR_PLAN</x:v>
      </x:c>
      <x:c r="S2119" s="238" t="n">
        <x:f>'Model_Calc'!AL357</x:f>
        <x:v>2345.2517088</x:v>
      </x:c>
      <x:c r="T2119" s="238" t="n">
        <x:f>ROUND(S2119-O2119,4)</x:f>
        <x:v>0</x:v>
      </x:c>
    </x:row>
    <x:row r="2120">
      <x:c r="A2120" s="187" t="str">
        <x:v>SCENARIO_COST_SAVING_2026_08</x:v>
      </x:c>
      <x:c r="B2120" s="187" t="str">
        <x:v>SCENARIO</x:v>
      </x:c>
      <x:c r="C2120" s="187" t="str">
        <x:v>COST_SAVING</x:v>
      </x:c>
      <x:c r="D2120" s="217" t="n">
        <x:v>46357</x:v>
      </x:c>
      <x:c r="E2120" s="187" t="str">
        <x:v>R_DE_FR_B_ROAD</x:v>
      </x:c>
      <x:c r="F2120" s="187" t="str">
        <x:v>DE</x:v>
      </x:c>
      <x:c r="G2120" s="187" t="str">
        <x:v>FR_FC</x:v>
      </x:c>
      <x:c r="H2120" s="187" t="str">
        <x:v>CARRIER_B</x:v>
      </x:c>
      <x:c r="I2120" s="187" t="str">
        <x:v>ROAD</x:v>
      </x:c>
      <x:c r="J2120" s="187" t="str">
        <x:v>PACKAGING</x:v>
      </x:c>
      <x:c r="K2120" s="187" t="str">
        <x:v>EUR</x:v>
      </x:c>
      <x:c r="L2120" s="232" t="n">
        <x:v>116.62320384</x:v>
      </x:c>
      <x:c r="M2120" s="232" t="n">
        <x:v>7.86</x:v>
      </x:c>
      <x:c r="N2120" s="187" t="str">
        <x:v>916.6583821824000</x:v>
      </x:c>
      <x:c r="O2120" s="235" t="n">
        <x:v>916.6584</x:v>
      </x:c>
      <x:c r="P2120" s="235"/>
      <x:c r="Q2120" s="235"/>
      <x:c r="R2120" s="235" t="str">
        <x:v>INVOICE_OR_PLAN</x:v>
      </x:c>
      <x:c r="S2120" s="238" t="n">
        <x:f>'Model_Calc'!AQ357</x:f>
        <x:v>916.6583821824</x:v>
      </x:c>
      <x:c r="T2120" s="238" t="n">
        <x:f>ROUND(S2120-O2120,4)</x:f>
        <x:v>0</x:v>
      </x:c>
    </x:row>
    <x:row r="2121">
      <x:c r="A2121" s="187" t="str">
        <x:v>SCENARIO_COST_SAVING_2026_08</x:v>
      </x:c>
      <x:c r="B2121" s="187" t="str">
        <x:v>SCENARIO</x:v>
      </x:c>
      <x:c r="C2121" s="187" t="str">
        <x:v>COST_SAVING</x:v>
      </x:c>
      <x:c r="D2121" s="217" t="n">
        <x:v>46357</x:v>
      </x:c>
      <x:c r="E2121" s="187" t="str">
        <x:v>R_DE_FR_B_ROAD</x:v>
      </x:c>
      <x:c r="F2121" s="187" t="str">
        <x:v>DE</x:v>
      </x:c>
      <x:c r="G2121" s="187" t="str">
        <x:v>FR_FC</x:v>
      </x:c>
      <x:c r="H2121" s="187" t="str">
        <x:v>CARRIER_B</x:v>
      </x:c>
      <x:c r="I2121" s="187" t="str">
        <x:v>ROAD</x:v>
      </x:c>
      <x:c r="J2121" s="187" t="str">
        <x:v>RETURN_LOGISTICS</x:v>
      </x:c>
      <x:c r="K2121" s="187" t="str">
        <x:v>EUR</x:v>
      </x:c>
      <x:c r="L2121" s="232" t="n">
        <x:v>53.992224</x:v>
      </x:c>
      <x:c r="M2121" s="232" t="n">
        <x:v>7.86</x:v>
      </x:c>
      <x:c r="N2121" s="187" t="str">
        <x:v>424.37888064000000</x:v>
      </x:c>
      <x:c r="O2121" s="235" t="n">
        <x:v>424.3789</x:v>
      </x:c>
      <x:c r="P2121" s="235"/>
      <x:c r="Q2121" s="235"/>
      <x:c r="R2121" s="235" t="str">
        <x:v>INVOICE_OR_PLAN</x:v>
      </x:c>
      <x:c r="S2121" s="238" t="n">
        <x:f>'Model_Calc'!AV357</x:f>
        <x:v>424.37888064000003</x:v>
      </x:c>
      <x:c r="T2121" s="238" t="n">
        <x:f>ROUND(S2121-O2121,4)</x:f>
        <x:v>0</x:v>
      </x:c>
    </x:row>
    <x:row r="2122">
      <x:c r="A2122" s="187" t="str">
        <x:v>SCENARIO_COST_SAVING_2026_08</x:v>
      </x:c>
      <x:c r="B2122" s="187" t="str">
        <x:v>SCENARIO</x:v>
      </x:c>
      <x:c r="C2122" s="187" t="str">
        <x:v>COST_SAVING</x:v>
      </x:c>
      <x:c r="D2122" s="217" t="n">
        <x:v>46357</x:v>
      </x:c>
      <x:c r="E2122" s="187" t="str">
        <x:v>R_DE_FR_B_ROAD</x:v>
      </x:c>
      <x:c r="F2122" s="187" t="str">
        <x:v>DE</x:v>
      </x:c>
      <x:c r="G2122" s="187" t="str">
        <x:v>FR_FC</x:v>
      </x:c>
      <x:c r="H2122" s="187" t="str">
        <x:v>CARRIER_B</x:v>
      </x:c>
      <x:c r="I2122" s="187" t="str">
        <x:v>ROAD</x:v>
      </x:c>
      <x:c r="J2122" s="187" t="str">
        <x:v>BILLABLE_EXCEPTION</x:v>
      </x:c>
      <x:c r="K2122" s="187" t="str">
        <x:v>EUR</x:v>
      </x:c>
      <x:c r="L2122" s="232" t="n">
        <x:v>9.8822820096</x:v>
      </x:c>
      <x:c r="M2122" s="232" t="n">
        <x:v>7.86</x:v>
      </x:c>
      <x:c r="N2122" s="187" t="str">
        <x:v>77.6747365954560000</x:v>
      </x:c>
      <x:c r="O2122" s="235" t="n">
        <x:v>77.6747</x:v>
      </x:c>
      <x:c r="P2122" s="235"/>
      <x:c r="Q2122" s="235"/>
      <x:c r="R2122" s="235" t="str">
        <x:v>INVOICE_OR_PLAN</x:v>
      </x:c>
      <x:c r="S2122" s="238" t="n">
        <x:f>'Model_Calc'!BA357</x:f>
        <x:v>77.67473659545603</x:v>
      </x:c>
      <x:c r="T2122" s="238" t="n">
        <x:f>ROUND(S2122-O2122,4)</x:f>
        <x:v>0</x:v>
      </x:c>
    </x:row>
    <x:row r="2123">
      <x:c r="A2123" s="187" t="str">
        <x:v>SCENARIO_COST_SAVING_2026_08</x:v>
      </x:c>
      <x:c r="B2123" s="187" t="str">
        <x:v>SCENARIO</x:v>
      </x:c>
      <x:c r="C2123" s="187" t="str">
        <x:v>COST_SAVING</x:v>
      </x:c>
      <x:c r="D2123" s="217" t="n">
        <x:v>46357</x:v>
      </x:c>
      <x:c r="E2123" s="187" t="str">
        <x:v>R_FR_FR_A_ROAD</x:v>
      </x:c>
      <x:c r="F2123" s="187" t="str">
        <x:v>FR</x:v>
      </x:c>
      <x:c r="G2123" s="187" t="str">
        <x:v>FR_FC</x:v>
      </x:c>
      <x:c r="H2123" s="187" t="str">
        <x:v>CARRIER_A</x:v>
      </x:c>
      <x:c r="I2123" s="187" t="str">
        <x:v>ROAD</x:v>
      </x:c>
      <x:c r="J2123" s="187" t="str">
        <x:v>BASE_FREIGHT</x:v>
      </x:c>
      <x:c r="K2123" s="187" t="str">
        <x:v>EUR</x:v>
      </x:c>
      <x:c r="L2123" s="232" t="n">
        <x:v>4956.6994324848</x:v>
      </x:c>
      <x:c r="M2123" s="232" t="n">
        <x:v>7.86</x:v>
      </x:c>
      <x:c r="N2123" s="187" t="str">
        <x:v>38959.65753933052800000</x:v>
      </x:c>
      <x:c r="O2123" s="235" t="n">
        <x:v>38959.6575</x:v>
      </x:c>
      <x:c r="P2123" s="235"/>
      <x:c r="Q2123" s="235"/>
      <x:c r="R2123" s="235" t="str">
        <x:v>INVOICE_OR_PLAN</x:v>
      </x:c>
      <x:c r="S2123" s="238" t="n">
        <x:f>'Model_Calc'!AF358</x:f>
        <x:v>38959.65753933053</x:v>
      </x:c>
      <x:c r="T2123" s="238" t="n">
        <x:f>ROUND(S2123-O2123,4)</x:f>
        <x:v>0</x:v>
      </x:c>
    </x:row>
    <x:row r="2124">
      <x:c r="A2124" s="187" t="str">
        <x:v>SCENARIO_COST_SAVING_2026_08</x:v>
      </x:c>
      <x:c r="B2124" s="187" t="str">
        <x:v>SCENARIO</x:v>
      </x:c>
      <x:c r="C2124" s="187" t="str">
        <x:v>COST_SAVING</x:v>
      </x:c>
      <x:c r="D2124" s="217" t="n">
        <x:v>46357</x:v>
      </x:c>
      <x:c r="E2124" s="187" t="str">
        <x:v>R_FR_FR_A_ROAD</x:v>
      </x:c>
      <x:c r="F2124" s="187" t="str">
        <x:v>FR</x:v>
      </x:c>
      <x:c r="G2124" s="187" t="str">
        <x:v>FR_FC</x:v>
      </x:c>
      <x:c r="H2124" s="187" t="str">
        <x:v>CARRIER_A</x:v>
      </x:c>
      <x:c r="I2124" s="187" t="str">
        <x:v>ROAD</x:v>
      </x:c>
      <x:c r="J2124" s="187" t="str">
        <x:v>FUEL_SURCHARGE</x:v>
      </x:c>
      <x:c r="K2124" s="187" t="str">
        <x:v>EUR</x:v>
      </x:c>
      <x:c r="L2124" s="232" t="n">
        <x:v>461.71655213595915</x:v>
      </x:c>
      <x:c r="M2124" s="232" t="n">
        <x:v>7.86</x:v>
      </x:c>
      <x:c r="N2124" s="187" t="str">
        <x:v>3629.09209978863868320000000</x:v>
      </x:c>
      <x:c r="O2124" s="235" t="n">
        <x:v>3629.0921</x:v>
      </x:c>
      <x:c r="P2124" s="235"/>
      <x:c r="Q2124" s="235"/>
      <x:c r="R2124" s="235" t="str">
        <x:v>INVOICE_OR_PLAN</x:v>
      </x:c>
      <x:c r="S2124" s="238" t="n">
        <x:f>'Model_Calc'!AG358</x:f>
        <x:v>3629.0920997886387</x:v>
      </x:c>
      <x:c r="T2124" s="238" t="n">
        <x:f>ROUND(S2124-O2124,4)</x:f>
        <x:v>0</x:v>
      </x:c>
    </x:row>
    <x:row r="2125">
      <x:c r="A2125" s="187" t="str">
        <x:v>SCENARIO_COST_SAVING_2026_08</x:v>
      </x:c>
      <x:c r="B2125" s="187" t="str">
        <x:v>SCENARIO</x:v>
      </x:c>
      <x:c r="C2125" s="187" t="str">
        <x:v>COST_SAVING</x:v>
      </x:c>
      <x:c r="D2125" s="217" t="n">
        <x:v>46357</x:v>
      </x:c>
      <x:c r="E2125" s="187" t="str">
        <x:v>R_FR_FR_A_ROAD</x:v>
      </x:c>
      <x:c r="F2125" s="187" t="str">
        <x:v>FR</x:v>
      </x:c>
      <x:c r="G2125" s="187" t="str">
        <x:v>FR_FC</x:v>
      </x:c>
      <x:c r="H2125" s="187" t="str">
        <x:v>CARRIER_A</x:v>
      </x:c>
      <x:c r="I2125" s="187" t="str">
        <x:v>ROAD</x:v>
      </x:c>
      <x:c r="J2125" s="187" t="str">
        <x:v>WAREHOUSE_OPERATION</x:v>
      </x:c>
      <x:c r="K2125" s="187" t="str">
        <x:v>EUR</x:v>
      </x:c>
      <x:c r="L2125" s="232" t="n">
        <x:v>3045.9429</x:v>
      </x:c>
      <x:c r="M2125" s="232" t="n">
        <x:v>7.86</x:v>
      </x:c>
      <x:c r="N2125" s="187" t="str">
        <x:v>23941.11119400000</x:v>
      </x:c>
      <x:c r="O2125" s="235" t="n">
        <x:v>23941.1112</x:v>
      </x:c>
      <x:c r="P2125" s="235"/>
      <x:c r="Q2125" s="235"/>
      <x:c r="R2125" s="235" t="str">
        <x:v>INVOICE_OR_PLAN</x:v>
      </x:c>
      <x:c r="S2125" s="238" t="n">
        <x:f>'Model_Calc'!AL358</x:f>
        <x:v>23941.111194000005</x:v>
      </x:c>
      <x:c r="T2125" s="238" t="n">
        <x:f>ROUND(S2125-O2125,4)</x:f>
        <x:v>0</x:v>
      </x:c>
    </x:row>
    <x:row r="2126">
      <x:c r="A2126" s="187" t="str">
        <x:v>SCENARIO_COST_SAVING_2026_08</x:v>
      </x:c>
      <x:c r="B2126" s="187" t="str">
        <x:v>SCENARIO</x:v>
      </x:c>
      <x:c r="C2126" s="187" t="str">
        <x:v>COST_SAVING</x:v>
      </x:c>
      <x:c r="D2126" s="217" t="n">
        <x:v>46357</x:v>
      </x:c>
      <x:c r="E2126" s="187" t="str">
        <x:v>R_FR_FR_A_ROAD</x:v>
      </x:c>
      <x:c r="F2126" s="187" t="str">
        <x:v>FR</x:v>
      </x:c>
      <x:c r="G2126" s="187" t="str">
        <x:v>FR_FC</x:v>
      </x:c>
      <x:c r="H2126" s="187" t="str">
        <x:v>CARRIER_A</x:v>
      </x:c>
      <x:c r="I2126" s="187" t="str">
        <x:v>ROAD</x:v>
      </x:c>
      <x:c r="J2126" s="187" t="str">
        <x:v>PACKAGING</x:v>
      </x:c>
      <x:c r="K2126" s="187" t="str">
        <x:v>EUR</x:v>
      </x:c>
      <x:c r="L2126" s="232" t="n">
        <x:v>1168.4817144</x:v>
      </x:c>
      <x:c r="M2126" s="232" t="n">
        <x:v>7.86</x:v>
      </x:c>
      <x:c r="N2126" s="187" t="str">
        <x:v>9184.2662751840000</x:v>
      </x:c>
      <x:c r="O2126" s="235" t="n">
        <x:v>9184.2663</x:v>
      </x:c>
      <x:c r="P2126" s="235"/>
      <x:c r="Q2126" s="235"/>
      <x:c r="R2126" s="235" t="str">
        <x:v>INVOICE_OR_PLAN</x:v>
      </x:c>
      <x:c r="S2126" s="238" t="n">
        <x:f>'Model_Calc'!AQ358</x:f>
        <x:v>9184.266275184002</x:v>
      </x:c>
      <x:c r="T2126" s="238" t="n">
        <x:f>ROUND(S2126-O2126,4)</x:f>
        <x:v>0</x:v>
      </x:c>
    </x:row>
    <x:row r="2127">
      <x:c r="A2127" s="187" t="str">
        <x:v>SCENARIO_COST_SAVING_2026_08</x:v>
      </x:c>
      <x:c r="B2127" s="187" t="str">
        <x:v>SCENARIO</x:v>
      </x:c>
      <x:c r="C2127" s="187" t="str">
        <x:v>COST_SAVING</x:v>
      </x:c>
      <x:c r="D2127" s="217" t="n">
        <x:v>46357</x:v>
      </x:c>
      <x:c r="E2127" s="187" t="str">
        <x:v>R_FR_FR_A_ROAD</x:v>
      </x:c>
      <x:c r="F2127" s="187" t="str">
        <x:v>FR</x:v>
      </x:c>
      <x:c r="G2127" s="187" t="str">
        <x:v>FR_FC</x:v>
      </x:c>
      <x:c r="H2127" s="187" t="str">
        <x:v>CARRIER_A</x:v>
      </x:c>
      <x:c r="I2127" s="187" t="str">
        <x:v>ROAD</x:v>
      </x:c>
      <x:c r="J2127" s="187" t="str">
        <x:v>RETURN_LOGISTICS</x:v>
      </x:c>
      <x:c r="K2127" s="187" t="str">
        <x:v>EUR</x:v>
      </x:c>
      <x:c r="L2127" s="232" t="n">
        <x:v>522.16164</x:v>
      </x:c>
      <x:c r="M2127" s="232" t="n">
        <x:v>7.86</x:v>
      </x:c>
      <x:c r="N2127" s="187" t="str">
        <x:v>4104.19049040000000</x:v>
      </x:c>
      <x:c r="O2127" s="235" t="n">
        <x:v>4104.1905</x:v>
      </x:c>
      <x:c r="P2127" s="235"/>
      <x:c r="Q2127" s="235"/>
      <x:c r="R2127" s="235" t="str">
        <x:v>INVOICE_OR_PLAN</x:v>
      </x:c>
      <x:c r="S2127" s="238" t="n">
        <x:f>'Model_Calc'!AV358</x:f>
        <x:v>4104.1904904</x:v>
      </x:c>
      <x:c r="T2127" s="238" t="n">
        <x:f>ROUND(S2127-O2127,4)</x:f>
        <x:v>0</x:v>
      </x:c>
    </x:row>
    <x:row r="2128">
      <x:c r="A2128" s="187" t="str">
        <x:v>SCENARIO_COST_SAVING_2026_08</x:v>
      </x:c>
      <x:c r="B2128" s="187" t="str">
        <x:v>SCENARIO</x:v>
      </x:c>
      <x:c r="C2128" s="187" t="str">
        <x:v>COST_SAVING</x:v>
      </x:c>
      <x:c r="D2128" s="217" t="n">
        <x:v>46357</x:v>
      </x:c>
      <x:c r="E2128" s="187" t="str">
        <x:v>R_FR_FR_A_ROAD</x:v>
      </x:c>
      <x:c r="F2128" s="187" t="str">
        <x:v>FR</x:v>
      </x:c>
      <x:c r="G2128" s="187" t="str">
        <x:v>FR_FC</x:v>
      </x:c>
      <x:c r="H2128" s="187" t="str">
        <x:v>CARRIER_A</x:v>
      </x:c>
      <x:c r="I2128" s="187" t="str">
        <x:v>ROAD</x:v>
      </x:c>
      <x:c r="J2128" s="187" t="str">
        <x:v>BILLABLE_EXCEPTION</x:v>
      </x:c>
      <x:c r="K2128" s="187" t="str">
        <x:v>EUR</x:v>
      </x:c>
      <x:c r="L2128" s="232" t="n">
        <x:v>120.230618508</x:v>
      </x:c>
      <x:c r="M2128" s="232" t="n">
        <x:v>7.86</x:v>
      </x:c>
      <x:c r="N2128" s="187" t="str">
        <x:v>945.0126614728800000</x:v>
      </x:c>
      <x:c r="O2128" s="235" t="n">
        <x:v>945.0127</x:v>
      </x:c>
      <x:c r="P2128" s="235"/>
      <x:c r="Q2128" s="235"/>
      <x:c r="R2128" s="235" t="str">
        <x:v>INVOICE_OR_PLAN</x:v>
      </x:c>
      <x:c r="S2128" s="238" t="n">
        <x:f>'Model_Calc'!BA358</x:f>
        <x:v>945.0126614728802</x:v>
      </x:c>
      <x:c r="T2128" s="238" t="n">
        <x:f>ROUND(S2128-O2128,4)</x:f>
        <x:v>0</x:v>
      </x:c>
    </x:row>
    <x:row r="2129">
      <x:c r="A2129" s="187" t="str">
        <x:v>SCENARIO_COST_SAVING_2026_08</x:v>
      </x:c>
      <x:c r="B2129" s="187" t="str">
        <x:v>SCENARIO</x:v>
      </x:c>
      <x:c r="C2129" s="187" t="str">
        <x:v>COST_SAVING</x:v>
      </x:c>
      <x:c r="D2129" s="217" t="n">
        <x:v>46357</x:v>
      </x:c>
      <x:c r="E2129" s="187" t="str">
        <x:v>R_FR_FR_B_ROAD</x:v>
      </x:c>
      <x:c r="F2129" s="187" t="str">
        <x:v>FR</x:v>
      </x:c>
      <x:c r="G2129" s="187" t="str">
        <x:v>FR_FC</x:v>
      </x:c>
      <x:c r="H2129" s="187" t="str">
        <x:v>CARRIER_B</x:v>
      </x:c>
      <x:c r="I2129" s="187" t="str">
        <x:v>ROAD</x:v>
      </x:c>
      <x:c r="J2129" s="187" t="str">
        <x:v>BASE_FREIGHT</x:v>
      </x:c>
      <x:c r="K2129" s="187" t="str">
        <x:v>EUR</x:v>
      </x:c>
      <x:c r="L2129" s="232" t="n">
        <x:v>11846.9198215368</x:v>
      </x:c>
      <x:c r="M2129" s="232" t="n">
        <x:v>7.86</x:v>
      </x:c>
      <x:c r="N2129" s="187" t="str">
        <x:v>93116.78979727924800000</x:v>
      </x:c>
      <x:c r="O2129" s="235" t="n">
        <x:v>93116.7898</x:v>
      </x:c>
      <x:c r="P2129" s="235"/>
      <x:c r="Q2129" s="235"/>
      <x:c r="R2129" s="235" t="str">
        <x:v>INVOICE_OR_PLAN</x:v>
      </x:c>
      <x:c r="S2129" s="238" t="n">
        <x:f>'Model_Calc'!AF359</x:f>
        <x:v>93116.78979727926</x:v>
      </x:c>
      <x:c r="T2129" s="238" t="n">
        <x:f>ROUND(S2129-O2129,4)</x:f>
        <x:v>0</x:v>
      </x:c>
    </x:row>
    <x:row r="2130">
      <x:c r="A2130" s="187" t="str">
        <x:v>SCENARIO_COST_SAVING_2026_08</x:v>
      </x:c>
      <x:c r="B2130" s="187" t="str">
        <x:v>SCENARIO</x:v>
      </x:c>
      <x:c r="C2130" s="187" t="str">
        <x:v>COST_SAVING</x:v>
      </x:c>
      <x:c r="D2130" s="217" t="n">
        <x:v>46357</x:v>
      </x:c>
      <x:c r="E2130" s="187" t="str">
        <x:v>R_FR_FR_B_ROAD</x:v>
      </x:c>
      <x:c r="F2130" s="187" t="str">
        <x:v>FR</x:v>
      </x:c>
      <x:c r="G2130" s="187" t="str">
        <x:v>FR_FC</x:v>
      </x:c>
      <x:c r="H2130" s="187" t="str">
        <x:v>CARRIER_B</x:v>
      </x:c>
      <x:c r="I2130" s="187" t="str">
        <x:v>ROAD</x:v>
      </x:c>
      <x:c r="J2130" s="187" t="str">
        <x:v>FUEL_SURCHARGE</x:v>
      </x:c>
      <x:c r="K2130" s="187" t="str">
        <x:v>EUR</x:v>
      </x:c>
      <x:c r="L2130" s="232" t="n">
        <x:v>911.3015247336</x:v>
      </x:c>
      <x:c r="M2130" s="232" t="n">
        <x:v>7.86</x:v>
      </x:c>
      <x:c r="N2130" s="187" t="str">
        <x:v>7162.82998440609600000</x:v>
      </x:c>
      <x:c r="O2130" s="235" t="n">
        <x:v>7162.83</x:v>
      </x:c>
      <x:c r="P2130" s="235"/>
      <x:c r="Q2130" s="235"/>
      <x:c r="R2130" s="235" t="str">
        <x:v>INVOICE_OR_PLAN</x:v>
      </x:c>
      <x:c r="S2130" s="238" t="n">
        <x:f>'Model_Calc'!AG359</x:f>
        <x:v>7162.8299844060975</x:v>
      </x:c>
      <x:c r="T2130" s="238" t="n">
        <x:f>ROUND(S2130-O2130,4)</x:f>
        <x:v>0</x:v>
      </x:c>
    </x:row>
    <x:row r="2131">
      <x:c r="A2131" s="187" t="str">
        <x:v>SCENARIO_COST_SAVING_2026_08</x:v>
      </x:c>
      <x:c r="B2131" s="187" t="str">
        <x:v>SCENARIO</x:v>
      </x:c>
      <x:c r="C2131" s="187" t="str">
        <x:v>COST_SAVING</x:v>
      </x:c>
      <x:c r="D2131" s="217" t="n">
        <x:v>46357</x:v>
      </x:c>
      <x:c r="E2131" s="187" t="str">
        <x:v>R_FR_FR_B_ROAD</x:v>
      </x:c>
      <x:c r="F2131" s="187" t="str">
        <x:v>FR</x:v>
      </x:c>
      <x:c r="G2131" s="187" t="str">
        <x:v>FR_FC</x:v>
      </x:c>
      <x:c r="H2131" s="187" t="str">
        <x:v>CARRIER_B</x:v>
      </x:c>
      <x:c r="I2131" s="187" t="str">
        <x:v>ROAD</x:v>
      </x:c>
      <x:c r="J2131" s="187" t="str">
        <x:v>WAREHOUSE_OPERATION</x:v>
      </x:c>
      <x:c r="K2131" s="187" t="str">
        <x:v>EUR</x:v>
      </x:c>
      <x:c r="L2131" s="232" t="n">
        <x:v>5656.7511</x:v>
      </x:c>
      <x:c r="M2131" s="232" t="n">
        <x:v>7.86</x:v>
      </x:c>
      <x:c r="N2131" s="187" t="str">
        <x:v>44462.06364600000</x:v>
      </x:c>
      <x:c r="O2131" s="235" t="n">
        <x:v>44462.0636</x:v>
      </x:c>
      <x:c r="P2131" s="235"/>
      <x:c r="Q2131" s="235"/>
      <x:c r="R2131" s="235" t="str">
        <x:v>INVOICE_OR_PLAN</x:v>
      </x:c>
      <x:c r="S2131" s="238" t="n">
        <x:f>'Model_Calc'!AL359</x:f>
        <x:v>44462.06364600001</x:v>
      </x:c>
      <x:c r="T2131" s="238" t="n">
        <x:f>ROUND(S2131-O2131,4)</x:f>
        <x:v>0</x:v>
      </x:c>
    </x:row>
    <x:row r="2132">
      <x:c r="A2132" s="187" t="str">
        <x:v>SCENARIO_COST_SAVING_2026_08</x:v>
      </x:c>
      <x:c r="B2132" s="187" t="str">
        <x:v>SCENARIO</x:v>
      </x:c>
      <x:c r="C2132" s="187" t="str">
        <x:v>COST_SAVING</x:v>
      </x:c>
      <x:c r="D2132" s="217" t="n">
        <x:v>46357</x:v>
      </x:c>
      <x:c r="E2132" s="187" t="str">
        <x:v>R_FR_FR_B_ROAD</x:v>
      </x:c>
      <x:c r="F2132" s="187" t="str">
        <x:v>FR</x:v>
      </x:c>
      <x:c r="G2132" s="187" t="str">
        <x:v>FR_FC</x:v>
      </x:c>
      <x:c r="H2132" s="187" t="str">
        <x:v>CARRIER_B</x:v>
      </x:c>
      <x:c r="I2132" s="187" t="str">
        <x:v>ROAD</x:v>
      </x:c>
      <x:c r="J2132" s="187" t="str">
        <x:v>PACKAGING</x:v>
      </x:c>
      <x:c r="K2132" s="187" t="str">
        <x:v>EUR</x:v>
      </x:c>
      <x:c r="L2132" s="232" t="n">
        <x:v>2170.0374696</x:v>
      </x:c>
      <x:c r="M2132" s="232" t="n">
        <x:v>7.86</x:v>
      </x:c>
      <x:c r="N2132" s="187" t="str">
        <x:v>17056.4945110560000</x:v>
      </x:c>
      <x:c r="O2132" s="235" t="n">
        <x:v>17056.4945</x:v>
      </x:c>
      <x:c r="P2132" s="235"/>
      <x:c r="Q2132" s="235"/>
      <x:c r="R2132" s="235" t="str">
        <x:v>INVOICE_OR_PLAN</x:v>
      </x:c>
      <x:c r="S2132" s="238" t="n">
        <x:f>'Model_Calc'!AQ359</x:f>
        <x:v>17056.494511056004</x:v>
      </x:c>
      <x:c r="T2132" s="238" t="n">
        <x:f>ROUND(S2132-O2132,4)</x:f>
        <x:v>0</x:v>
      </x:c>
    </x:row>
    <x:row r="2133">
      <x:c r="A2133" s="187" t="str">
        <x:v>SCENARIO_COST_SAVING_2026_08</x:v>
      </x:c>
      <x:c r="B2133" s="187" t="str">
        <x:v>SCENARIO</x:v>
      </x:c>
      <x:c r="C2133" s="187" t="str">
        <x:v>COST_SAVING</x:v>
      </x:c>
      <x:c r="D2133" s="217" t="n">
        <x:v>46357</x:v>
      </x:c>
      <x:c r="E2133" s="187" t="str">
        <x:v>R_FR_FR_B_ROAD</x:v>
      </x:c>
      <x:c r="F2133" s="187" t="str">
        <x:v>FR</x:v>
      </x:c>
      <x:c r="G2133" s="187" t="str">
        <x:v>FR_FC</x:v>
      </x:c>
      <x:c r="H2133" s="187" t="str">
        <x:v>CARRIER_B</x:v>
      </x:c>
      <x:c r="I2133" s="187" t="str">
        <x:v>ROAD</x:v>
      </x:c>
      <x:c r="J2133" s="187" t="str">
        <x:v>RETURN_LOGISTICS</x:v>
      </x:c>
      <x:c r="K2133" s="187" t="str">
        <x:v>EUR</x:v>
      </x:c>
      <x:c r="L2133" s="232" t="n">
        <x:v>969.72876</x:v>
      </x:c>
      <x:c r="M2133" s="232" t="n">
        <x:v>7.86</x:v>
      </x:c>
      <x:c r="N2133" s="187" t="str">
        <x:v>7622.06805360000000</x:v>
      </x:c>
      <x:c r="O2133" s="235" t="n">
        <x:v>7622.0681</x:v>
      </x:c>
      <x:c r="P2133" s="235"/>
      <x:c r="Q2133" s="235"/>
      <x:c r="R2133" s="235" t="str">
        <x:v>INVOICE_OR_PLAN</x:v>
      </x:c>
      <x:c r="S2133" s="238" t="n">
        <x:f>'Model_Calc'!AV359</x:f>
        <x:v>7622.068053600001</x:v>
      </x:c>
      <x:c r="T2133" s="238" t="n">
        <x:f>ROUND(S2133-O2133,4)</x:f>
        <x:v>0</x:v>
      </x:c>
    </x:row>
    <x:row r="2134">
      <x:c r="A2134" s="187" t="str">
        <x:v>SCENARIO_COST_SAVING_2026_08</x:v>
      </x:c>
      <x:c r="B2134" s="187" t="str">
        <x:v>SCENARIO</x:v>
      </x:c>
      <x:c r="C2134" s="187" t="str">
        <x:v>COST_SAVING</x:v>
      </x:c>
      <x:c r="D2134" s="217" t="n">
        <x:v>46357</x:v>
      </x:c>
      <x:c r="E2134" s="187" t="str">
        <x:v>R_FR_FR_B_ROAD</x:v>
      </x:c>
      <x:c r="F2134" s="187" t="str">
        <x:v>FR</x:v>
      </x:c>
      <x:c r="G2134" s="187" t="str">
        <x:v>FR_FC</x:v>
      </x:c>
      <x:c r="H2134" s="187" t="str">
        <x:v>CARRIER_B</x:v>
      </x:c>
      <x:c r="I2134" s="187" t="str">
        <x:v>ROAD</x:v>
      </x:c>
      <x:c r="J2134" s="187" t="str">
        <x:v>BILLABLE_EXCEPTION</x:v>
      </x:c>
      <x:c r="K2134" s="187" t="str">
        <x:v>EUR</x:v>
      </x:c>
      <x:c r="L2134" s="232" t="n">
        <x:v>183.882122424</x:v>
      </x:c>
      <x:c r="M2134" s="232" t="n">
        <x:v>7.86</x:v>
      </x:c>
      <x:c r="N2134" s="187" t="str">
        <x:v>1445.3134822526400000</x:v>
      </x:c>
      <x:c r="O2134" s="235" t="n">
        <x:v>1445.3135</x:v>
      </x:c>
      <x:c r="P2134" s="235"/>
      <x:c r="Q2134" s="235"/>
      <x:c r="R2134" s="235" t="str">
        <x:v>INVOICE_OR_PLAN</x:v>
      </x:c>
      <x:c r="S2134" s="238" t="n">
        <x:f>'Model_Calc'!BA359</x:f>
        <x:v>1445.3134822526401</x:v>
      </x:c>
      <x:c r="T2134" s="238" t="n">
        <x:f>ROUND(S2134-O2134,4)</x:f>
        <x:v>0</x:v>
      </x:c>
    </x:row>
    <x:row r="2135">
      <x:c r="A2135" s="187" t="str">
        <x:v>SCENARIO_COST_SAVING_2026_08</x:v>
      </x:c>
      <x:c r="B2135" s="187" t="str">
        <x:v>SCENARIO</x:v>
      </x:c>
      <x:c r="C2135" s="187" t="str">
        <x:v>COST_SAVING</x:v>
      </x:c>
      <x:c r="D2135" s="217" t="n">
        <x:v>46357</x:v>
      </x:c>
      <x:c r="E2135" s="187" t="str">
        <x:v>R_GB_DE_A_ROAD</x:v>
      </x:c>
      <x:c r="F2135" s="187" t="str">
        <x:v>GB</x:v>
      </x:c>
      <x:c r="G2135" s="187" t="str">
        <x:v>DE_FC</x:v>
      </x:c>
      <x:c r="H2135" s="187" t="str">
        <x:v>CARRIER_A</x:v>
      </x:c>
      <x:c r="I2135" s="187" t="str">
        <x:v>ROAD</x:v>
      </x:c>
      <x:c r="J2135" s="187" t="str">
        <x:v>BASE_FREIGHT</x:v>
      </x:c>
      <x:c r="K2135" s="187" t="str">
        <x:v>GBP</x:v>
      </x:c>
      <x:c r="L2135" s="232" t="n">
        <x:v>31313.077506511258</x:v>
      </x:c>
      <x:c r="M2135" s="232" t="n">
        <x:v>9</x:v>
      </x:c>
      <x:c r="N2135" s="187" t="str">
        <x:v>281817.697558601318400000000</x:v>
      </x:c>
      <x:c r="O2135" s="235" t="n">
        <x:v>281817.6976</x:v>
      </x:c>
      <x:c r="P2135" s="235"/>
      <x:c r="Q2135" s="235"/>
      <x:c r="R2135" s="235" t="str">
        <x:v>INVOICE_OR_PLAN</x:v>
      </x:c>
      <x:c r="S2135" s="238" t="n">
        <x:f>'Model_Calc'!AF360</x:f>
        <x:v>281817.69755860127</x:v>
      </x:c>
      <x:c r="T2135" s="238" t="n">
        <x:f>ROUND(S2135-O2135,4)</x:f>
        <x:v>0</x:v>
      </x:c>
    </x:row>
    <x:row r="2136">
      <x:c r="A2136" s="187" t="str">
        <x:v>SCENARIO_COST_SAVING_2026_08</x:v>
      </x:c>
      <x:c r="B2136" s="187" t="str">
        <x:v>SCENARIO</x:v>
      </x:c>
      <x:c r="C2136" s="187" t="str">
        <x:v>COST_SAVING</x:v>
      </x:c>
      <x:c r="D2136" s="217" t="n">
        <x:v>46357</x:v>
      </x:c>
      <x:c r="E2136" s="187" t="str">
        <x:v>R_GB_DE_A_ROAD</x:v>
      </x:c>
      <x:c r="F2136" s="187" t="str">
        <x:v>GB</x:v>
      </x:c>
      <x:c r="G2136" s="187" t="str">
        <x:v>DE_FC</x:v>
      </x:c>
      <x:c r="H2136" s="187" t="str">
        <x:v>CARRIER_A</x:v>
      </x:c>
      <x:c r="I2136" s="187" t="str">
        <x:v>ROAD</x:v>
      </x:c>
      <x:c r="J2136" s="187" t="str">
        <x:v>FUEL_SURCHARGE</x:v>
      </x:c>
      <x:c r="K2136" s="187" t="str">
        <x:v>GBP</x:v>
      </x:c>
      <x:c r="L2136" s="232" t="n">
        <x:v>3240.9035219239154</x:v>
      </x:c>
      <x:c r="M2136" s="232" t="n">
        <x:v>9</x:v>
      </x:c>
      <x:c r="N2136" s="187" t="str">
        <x:v>29168.131697315236454400000000000</x:v>
      </x:c>
      <x:c r="O2136" s="235" t="n">
        <x:v>29168.1317</x:v>
      </x:c>
      <x:c r="P2136" s="235"/>
      <x:c r="Q2136" s="235"/>
      <x:c r="R2136" s="235" t="str">
        <x:v>INVOICE_OR_PLAN</x:v>
      </x:c>
      <x:c r="S2136" s="238" t="n">
        <x:f>'Model_Calc'!AG360</x:f>
        <x:v>29168.13169731523</x:v>
      </x:c>
      <x:c r="T2136" s="238" t="n">
        <x:f>ROUND(S2136-O2136,4)</x:f>
        <x:v>0</x:v>
      </x:c>
    </x:row>
    <x:row r="2137">
      <x:c r="A2137" s="187" t="str">
        <x:v>SCENARIO_COST_SAVING_2026_08</x:v>
      </x:c>
      <x:c r="B2137" s="187" t="str">
        <x:v>SCENARIO</x:v>
      </x:c>
      <x:c r="C2137" s="187" t="str">
        <x:v>COST_SAVING</x:v>
      </x:c>
      <x:c r="D2137" s="217" t="n">
        <x:v>46357</x:v>
      </x:c>
      <x:c r="E2137" s="187" t="str">
        <x:v>R_GB_DE_A_ROAD</x:v>
      </x:c>
      <x:c r="F2137" s="187" t="str">
        <x:v>GB</x:v>
      </x:c>
      <x:c r="G2137" s="187" t="str">
        <x:v>DE_FC</x:v>
      </x:c>
      <x:c r="H2137" s="187" t="str">
        <x:v>CARRIER_A</x:v>
      </x:c>
      <x:c r="I2137" s="187" t="str">
        <x:v>ROAD</x:v>
      </x:c>
      <x:c r="J2137" s="187" t="str">
        <x:v>WAREHOUSE_OPERATION</x:v>
      </x:c>
      <x:c r="K2137" s="187" t="str">
        <x:v>EUR</x:v>
      </x:c>
      <x:c r="L2137" s="232" t="n">
        <x:v>7779.4269696</x:v>
      </x:c>
      <x:c r="M2137" s="232" t="n">
        <x:v>7.86</x:v>
      </x:c>
      <x:c r="N2137" s="187" t="str">
        <x:v>61146.2959810560000</x:v>
      </x:c>
      <x:c r="O2137" s="235" t="n">
        <x:v>61146.296</x:v>
      </x:c>
      <x:c r="P2137" s="235"/>
      <x:c r="Q2137" s="235"/>
      <x:c r="R2137" s="235" t="str">
        <x:v>INVOICE_OR_PLAN</x:v>
      </x:c>
      <x:c r="S2137" s="238" t="n">
        <x:f>'Model_Calc'!AL360</x:f>
        <x:v>61146.295981056006</x:v>
      </x:c>
      <x:c r="T2137" s="238" t="n">
        <x:f>ROUND(S2137-O2137,4)</x:f>
        <x:v>0</x:v>
      </x:c>
    </x:row>
    <x:row r="2138">
      <x:c r="A2138" s="187" t="str">
        <x:v>SCENARIO_COST_SAVING_2026_08</x:v>
      </x:c>
      <x:c r="B2138" s="187" t="str">
        <x:v>SCENARIO</x:v>
      </x:c>
      <x:c r="C2138" s="187" t="str">
        <x:v>COST_SAVING</x:v>
      </x:c>
      <x:c r="D2138" s="217" t="n">
        <x:v>46357</x:v>
      </x:c>
      <x:c r="E2138" s="187" t="str">
        <x:v>R_GB_DE_A_ROAD</x:v>
      </x:c>
      <x:c r="F2138" s="187" t="str">
        <x:v>GB</x:v>
      </x:c>
      <x:c r="G2138" s="187" t="str">
        <x:v>DE_FC</x:v>
      </x:c>
      <x:c r="H2138" s="187" t="str">
        <x:v>CARRIER_A</x:v>
      </x:c>
      <x:c r="I2138" s="187" t="str">
        <x:v>ROAD</x:v>
      </x:c>
      <x:c r="J2138" s="187" t="str">
        <x:v>PACKAGING</x:v>
      </x:c>
      <x:c r="K2138" s="187" t="str">
        <x:v>EUR</x:v>
      </x:c>
      <x:c r="L2138" s="232" t="n">
        <x:v>3128.911898112</x:v>
      </x:c>
      <x:c r="M2138" s="232" t="n">
        <x:v>7.86</x:v>
      </x:c>
      <x:c r="N2138" s="187" t="str">
        <x:v>24593.247519160320000</x:v>
      </x:c>
      <x:c r="O2138" s="235" t="n">
        <x:v>24593.2475</x:v>
      </x:c>
      <x:c r="P2138" s="235"/>
      <x:c r="Q2138" s="235"/>
      <x:c r="R2138" s="235" t="str">
        <x:v>INVOICE_OR_PLAN</x:v>
      </x:c>
      <x:c r="S2138" s="238" t="n">
        <x:f>'Model_Calc'!AQ360</x:f>
        <x:v>24593.24751916032</x:v>
      </x:c>
      <x:c r="T2138" s="238" t="n">
        <x:f>ROUND(S2138-O2138,4)</x:f>
        <x:v>0</x:v>
      </x:c>
    </x:row>
    <x:row r="2139">
      <x:c r="A2139" s="187" t="str">
        <x:v>SCENARIO_COST_SAVING_2026_08</x:v>
      </x:c>
      <x:c r="B2139" s="187" t="str">
        <x:v>SCENARIO</x:v>
      </x:c>
      <x:c r="C2139" s="187" t="str">
        <x:v>COST_SAVING</x:v>
      </x:c>
      <x:c r="D2139" s="217" t="n">
        <x:v>46357</x:v>
      </x:c>
      <x:c r="E2139" s="187" t="str">
        <x:v>R_GB_DE_A_ROAD</x:v>
      </x:c>
      <x:c r="F2139" s="187" t="str">
        <x:v>GB</x:v>
      </x:c>
      <x:c r="G2139" s="187" t="str">
        <x:v>DE_FC</x:v>
      </x:c>
      <x:c r="H2139" s="187" t="str">
        <x:v>CARRIER_A</x:v>
      </x:c>
      <x:c r="I2139" s="187" t="str">
        <x:v>ROAD</x:v>
      </x:c>
      <x:c r="J2139" s="187" t="str">
        <x:v>RETURN_LOGISTICS</x:v>
      </x:c>
      <x:c r="K2139" s="187" t="str">
        <x:v>GBP</x:v>
      </x:c>
      <x:c r="L2139" s="232" t="n">
        <x:v>2848.06139904</x:v>
      </x:c>
      <x:c r="M2139" s="232" t="n">
        <x:v>9</x:v>
      </x:c>
      <x:c r="N2139" s="187" t="str">
        <x:v>25632.5525913600000000</x:v>
      </x:c>
      <x:c r="O2139" s="235" t="n">
        <x:v>25632.5526</x:v>
      </x:c>
      <x:c r="P2139" s="235"/>
      <x:c r="Q2139" s="235"/>
      <x:c r="R2139" s="235" t="str">
        <x:v>INVOICE_OR_PLAN</x:v>
      </x:c>
      <x:c r="S2139" s="238" t="n">
        <x:f>'Model_Calc'!AV360</x:f>
        <x:v>25632.55259136</x:v>
      </x:c>
      <x:c r="T2139" s="238" t="n">
        <x:f>ROUND(S2139-O2139,4)</x:f>
        <x:v>0</x:v>
      </x:c>
    </x:row>
    <x:row r="2140">
      <x:c r="A2140" s="187" t="str">
        <x:v>SCENARIO_COST_SAVING_2026_08</x:v>
      </x:c>
      <x:c r="B2140" s="187" t="str">
        <x:v>SCENARIO</x:v>
      </x:c>
      <x:c r="C2140" s="187" t="str">
        <x:v>COST_SAVING</x:v>
      </x:c>
      <x:c r="D2140" s="217" t="n">
        <x:v>46357</x:v>
      </x:c>
      <x:c r="E2140" s="187" t="str">
        <x:v>R_GB_DE_A_ROAD</x:v>
      </x:c>
      <x:c r="F2140" s="187" t="str">
        <x:v>GB</x:v>
      </x:c>
      <x:c r="G2140" s="187" t="str">
        <x:v>DE_FC</x:v>
      </x:c>
      <x:c r="H2140" s="187" t="str">
        <x:v>CARRIER_A</x:v>
      </x:c>
      <x:c r="I2140" s="187" t="str">
        <x:v>ROAD</x:v>
      </x:c>
      <x:c r="J2140" s="187" t="str">
        <x:v>BILLABLE_EXCEPTION</x:v>
      </x:c>
      <x:c r="K2140" s="187" t="str">
        <x:v>GBP</x:v>
      </x:c>
      <x:c r="L2140" s="232" t="n">
        <x:v>416.368776155904</x:v>
      </x:c>
      <x:c r="M2140" s="232" t="n">
        <x:v>9</x:v>
      </x:c>
      <x:c r="N2140" s="187" t="str">
        <x:v>3747.31898540313600000000</x:v>
      </x:c>
      <x:c r="O2140" s="235" t="n">
        <x:v>3747.319</x:v>
      </x:c>
      <x:c r="P2140" s="235"/>
      <x:c r="Q2140" s="235"/>
      <x:c r="R2140" s="235" t="str">
        <x:v>INVOICE_OR_PLAN</x:v>
      </x:c>
      <x:c r="S2140" s="238" t="n">
        <x:f>'Model_Calc'!BA360</x:f>
        <x:v>3747.3189854031352</x:v>
      </x:c>
      <x:c r="T2140" s="238" t="n">
        <x:f>ROUND(S2140-O2140,4)</x:f>
        <x:v>0</x:v>
      </x:c>
    </x:row>
    <x:row r="2141">
      <x:c r="A2141" s="187" t="str">
        <x:v>SCENARIO_COST_SAVING_2026_08</x:v>
      </x:c>
      <x:c r="B2141" s="187" t="str">
        <x:v>SCENARIO</x:v>
      </x:c>
      <x:c r="C2141" s="187" t="str">
        <x:v>COST_SAVING</x:v>
      </x:c>
      <x:c r="D2141" s="217" t="n">
        <x:v>46357</x:v>
      </x:c>
      <x:c r="E2141" s="187" t="str">
        <x:v>R_GB_DE_B_ROAD</x:v>
      </x:c>
      <x:c r="F2141" s="187" t="str">
        <x:v>GB</x:v>
      </x:c>
      <x:c r="G2141" s="187" t="str">
        <x:v>DE_FC</x:v>
      </x:c>
      <x:c r="H2141" s="187" t="str">
        <x:v>CARRIER_B</x:v>
      </x:c>
      <x:c r="I2141" s="187" t="str">
        <x:v>ROAD</x:v>
      </x:c>
      <x:c r="J2141" s="187" t="str">
        <x:v>BASE_FREIGHT</x:v>
      </x:c>
      <x:c r="K2141" s="187" t="str">
        <x:v>GBP</x:v>
      </x:c>
      <x:c r="L2141" s="232" t="n">
        <x:v>17413.797328671742</x:v>
      </x:c>
      <x:c r="M2141" s="232" t="n">
        <x:v>9</x:v>
      </x:c>
      <x:c r="N2141" s="187" t="str">
        <x:v>156724.175958045696000000000</x:v>
      </x:c>
      <x:c r="O2141" s="235" t="n">
        <x:v>156724.176</x:v>
      </x:c>
      <x:c r="P2141" s="235"/>
      <x:c r="Q2141" s="235"/>
      <x:c r="R2141" s="235" t="str">
        <x:v>INVOICE_OR_PLAN</x:v>
      </x:c>
      <x:c r="S2141" s="238" t="n">
        <x:f>'Model_Calc'!AF361</x:f>
        <x:v>156724.17595804567</x:v>
      </x:c>
      <x:c r="T2141" s="238" t="n">
        <x:f>ROUND(S2141-O2141,4)</x:f>
        <x:v>0</x:v>
      </x:c>
    </x:row>
    <x:row r="2142">
      <x:c r="A2142" s="187" t="str">
        <x:v>SCENARIO_COST_SAVING_2026_08</x:v>
      </x:c>
      <x:c r="B2142" s="187" t="str">
        <x:v>SCENARIO</x:v>
      </x:c>
      <x:c r="C2142" s="187" t="str">
        <x:v>COST_SAVING</x:v>
      </x:c>
      <x:c r="D2142" s="217" t="n">
        <x:v>46357</x:v>
      </x:c>
      <x:c r="E2142" s="187" t="str">
        <x:v>R_GB_DE_B_ROAD</x:v>
      </x:c>
      <x:c r="F2142" s="187" t="str">
        <x:v>GB</x:v>
      </x:c>
      <x:c r="G2142" s="187" t="str">
        <x:v>DE_FC</x:v>
      </x:c>
      <x:c r="H2142" s="187" t="str">
        <x:v>CARRIER_B</x:v>
      </x:c>
      <x:c r="I2142" s="187" t="str">
        <x:v>ROAD</x:v>
      </x:c>
      <x:c r="J2142" s="187" t="str">
        <x:v>FUEL_SURCHARGE</x:v>
      </x:c>
      <x:c r="K2142" s="187" t="str">
        <x:v>GBP</x:v>
      </x:c>
      <x:c r="L2142" s="232" t="n">
        <x:v>1222.6708762684416</x:v>
      </x:c>
      <x:c r="M2142" s="232" t="n">
        <x:v>9</x:v>
      </x:c>
      <x:c r="N2142" s="187" t="str">
        <x:v>11004.037886415974400000000</x:v>
      </x:c>
      <x:c r="O2142" s="235" t="n">
        <x:v>11004.0379</x:v>
      </x:c>
      <x:c r="P2142" s="235"/>
      <x:c r="Q2142" s="235"/>
      <x:c r="R2142" s="235" t="str">
        <x:v>INVOICE_OR_PLAN</x:v>
      </x:c>
      <x:c r="S2142" s="238" t="n">
        <x:f>'Model_Calc'!AG361</x:f>
        <x:v>11004.037886415974</x:v>
      </x:c>
      <x:c r="T2142" s="238" t="n">
        <x:f>ROUND(S2142-O2142,4)</x:f>
        <x:v>0</x:v>
      </x:c>
    </x:row>
    <x:row r="2143">
      <x:c r="A2143" s="187" t="str">
        <x:v>SCENARIO_COST_SAVING_2026_08</x:v>
      </x:c>
      <x:c r="B2143" s="187" t="str">
        <x:v>SCENARIO</x:v>
      </x:c>
      <x:c r="C2143" s="187" t="str">
        <x:v>COST_SAVING</x:v>
      </x:c>
      <x:c r="D2143" s="217" t="n">
        <x:v>46357</x:v>
      </x:c>
      <x:c r="E2143" s="187" t="str">
        <x:v>R_GB_DE_B_ROAD</x:v>
      </x:c>
      <x:c r="F2143" s="187" t="str">
        <x:v>GB</x:v>
      </x:c>
      <x:c r="G2143" s="187" t="str">
        <x:v>DE_FC</x:v>
      </x:c>
      <x:c r="H2143" s="187" t="str">
        <x:v>CARRIER_B</x:v>
      </x:c>
      <x:c r="I2143" s="187" t="str">
        <x:v>ROAD</x:v>
      </x:c>
      <x:c r="J2143" s="187" t="str">
        <x:v>WAREHOUSE_OPERATION</x:v>
      </x:c>
      <x:c r="K2143" s="187" t="str">
        <x:v>EUR</x:v>
      </x:c>
      <x:c r="L2143" s="232" t="n">
        <x:v>3755.5854336</x:v>
      </x:c>
      <x:c r="M2143" s="232" t="n">
        <x:v>7.86</x:v>
      </x:c>
      <x:c r="N2143" s="187" t="str">
        <x:v>29518.9015080960000</x:v>
      </x:c>
      <x:c r="O2143" s="235" t="n">
        <x:v>29518.9015</x:v>
      </x:c>
      <x:c r="P2143" s="235"/>
      <x:c r="Q2143" s="235"/>
      <x:c r="R2143" s="235" t="str">
        <x:v>INVOICE_OR_PLAN</x:v>
      </x:c>
      <x:c r="S2143" s="238" t="n">
        <x:f>'Model_Calc'!AL361</x:f>
        <x:v>29518.901508096</x:v>
      </x:c>
      <x:c r="T2143" s="238" t="n">
        <x:f>ROUND(S2143-O2143,4)</x:f>
        <x:v>0</x:v>
      </x:c>
    </x:row>
    <x:row r="2144">
      <x:c r="A2144" s="187" t="str">
        <x:v>SCENARIO_COST_SAVING_2026_08</x:v>
      </x:c>
      <x:c r="B2144" s="187" t="str">
        <x:v>SCENARIO</x:v>
      </x:c>
      <x:c r="C2144" s="187" t="str">
        <x:v>COST_SAVING</x:v>
      </x:c>
      <x:c r="D2144" s="217" t="n">
        <x:v>46357</x:v>
      </x:c>
      <x:c r="E2144" s="187" t="str">
        <x:v>R_GB_DE_B_ROAD</x:v>
      </x:c>
      <x:c r="F2144" s="187" t="str">
        <x:v>GB</x:v>
      </x:c>
      <x:c r="G2144" s="187" t="str">
        <x:v>DE_FC</x:v>
      </x:c>
      <x:c r="H2144" s="187" t="str">
        <x:v>CARRIER_B</x:v>
      </x:c>
      <x:c r="I2144" s="187" t="str">
        <x:v>ROAD</x:v>
      </x:c>
      <x:c r="J2144" s="187" t="str">
        <x:v>PACKAGING</x:v>
      </x:c>
      <x:c r="K2144" s="187" t="str">
        <x:v>EUR</x:v>
      </x:c>
      <x:c r="L2144" s="232" t="n">
        <x:v>1510.509192192</x:v>
      </x:c>
      <x:c r="M2144" s="232" t="n">
        <x:v>7.86</x:v>
      </x:c>
      <x:c r="N2144" s="187" t="str">
        <x:v>11872.602250629120000</x:v>
      </x:c>
      <x:c r="O2144" s="235" t="n">
        <x:v>11872.6023</x:v>
      </x:c>
      <x:c r="P2144" s="235"/>
      <x:c r="Q2144" s="235"/>
      <x:c r="R2144" s="235" t="str">
        <x:v>INVOICE_OR_PLAN</x:v>
      </x:c>
      <x:c r="S2144" s="238" t="n">
        <x:f>'Model_Calc'!AQ361</x:f>
        <x:v>11872.60225062912</x:v>
      </x:c>
      <x:c r="T2144" s="238" t="n">
        <x:f>ROUND(S2144-O2144,4)</x:f>
        <x:v>0</x:v>
      </x:c>
    </x:row>
    <x:row r="2145">
      <x:c r="A2145" s="187" t="str">
        <x:v>SCENARIO_COST_SAVING_2026_08</x:v>
      </x:c>
      <x:c r="B2145" s="187" t="str">
        <x:v>SCENARIO</x:v>
      </x:c>
      <x:c r="C2145" s="187" t="str">
        <x:v>COST_SAVING</x:v>
      </x:c>
      <x:c r="D2145" s="217" t="n">
        <x:v>46357</x:v>
      </x:c>
      <x:c r="E2145" s="187" t="str">
        <x:v>R_GB_DE_B_ROAD</x:v>
      </x:c>
      <x:c r="F2145" s="187" t="str">
        <x:v>GB</x:v>
      </x:c>
      <x:c r="G2145" s="187" t="str">
        <x:v>DE_FC</x:v>
      </x:c>
      <x:c r="H2145" s="187" t="str">
        <x:v>CARRIER_B</x:v>
      </x:c>
      <x:c r="I2145" s="187" t="str">
        <x:v>ROAD</x:v>
      </x:c>
      <x:c r="J2145" s="187" t="str">
        <x:v>RETURN_LOGISTICS</x:v>
      </x:c>
      <x:c r="K2145" s="187" t="str">
        <x:v>GBP</x:v>
      </x:c>
      <x:c r="L2145" s="232" t="n">
        <x:v>1374.92619264</x:v>
      </x:c>
      <x:c r="M2145" s="232" t="n">
        <x:v>9</x:v>
      </x:c>
      <x:c r="N2145" s="187" t="str">
        <x:v>12374.3357337600000000</x:v>
      </x:c>
      <x:c r="O2145" s="235" t="n">
        <x:v>12374.3357</x:v>
      </x:c>
      <x:c r="P2145" s="235"/>
      <x:c r="Q2145" s="235"/>
      <x:c r="R2145" s="235" t="str">
        <x:v>INVOICE_OR_PLAN</x:v>
      </x:c>
      <x:c r="S2145" s="238" t="n">
        <x:f>'Model_Calc'!AV361</x:f>
        <x:v>12374.33573376</x:v>
      </x:c>
      <x:c r="T2145" s="238" t="n">
        <x:f>ROUND(S2145-O2145,4)</x:f>
        <x:v>0</x:v>
      </x:c>
    </x:row>
    <x:row r="2146">
      <x:c r="A2146" s="187" t="str">
        <x:v>SCENARIO_COST_SAVING_2026_08</x:v>
      </x:c>
      <x:c r="B2146" s="187" t="str">
        <x:v>SCENARIO</x:v>
      </x:c>
      <x:c r="C2146" s="187" t="str">
        <x:v>COST_SAVING</x:v>
      </x:c>
      <x:c r="D2146" s="217" t="n">
        <x:v>46357</x:v>
      </x:c>
      <x:c r="E2146" s="187" t="str">
        <x:v>R_GB_DE_B_ROAD</x:v>
      </x:c>
      <x:c r="F2146" s="187" t="str">
        <x:v>GB</x:v>
      </x:c>
      <x:c r="G2146" s="187" t="str">
        <x:v>DE_FC</x:v>
      </x:c>
      <x:c r="H2146" s="187" t="str">
        <x:v>CARRIER_B</x:v>
      </x:c>
      <x:c r="I2146" s="187" t="str">
        <x:v>ROAD</x:v>
      </x:c>
      <x:c r="J2146" s="187" t="str">
        <x:v>BILLABLE_EXCEPTION</x:v>
      </x:c>
      <x:c r="K2146" s="187" t="str">
        <x:v>GBP</x:v>
      </x:c>
      <x:c r="L2146" s="232" t="n">
        <x:v>148.89304894464</x:v>
      </x:c>
      <x:c r="M2146" s="232" t="n">
        <x:v>9</x:v>
      </x:c>
      <x:c r="N2146" s="187" t="str">
        <x:v>1340.03744050176000000000</x:v>
      </x:c>
      <x:c r="O2146" s="235" t="n">
        <x:v>1340.0374</x:v>
      </x:c>
      <x:c r="P2146" s="235"/>
      <x:c r="Q2146" s="235"/>
      <x:c r="R2146" s="235" t="str">
        <x:v>INVOICE_OR_PLAN</x:v>
      </x:c>
      <x:c r="S2146" s="238" t="n">
        <x:f>'Model_Calc'!BA361</x:f>
        <x:v>1340.0374405017599</x:v>
      </x:c>
      <x:c r="T2146" s="238" t="n">
        <x:f>ROUND(S2146-O2146,4)</x:f>
        <x:v>0</x:v>
      </x:c>
    </x:row>
    <x:row r="2147">
      <x:c r="A2147" s="187" t="str">
        <x:v>SCENARIO_COST_SAVING_2026_08</x:v>
      </x:c>
      <x:c r="B2147" s="187" t="str">
        <x:v>SCENARIO</x:v>
      </x:c>
      <x:c r="C2147" s="187" t="str">
        <x:v>COST_SAVING</x:v>
      </x:c>
      <x:c r="D2147" s="217" t="n">
        <x:v>46357</x:v>
      </x:c>
      <x:c r="E2147" s="187" t="str">
        <x:v>R_GB_DE_B_AIR</x:v>
      </x:c>
      <x:c r="F2147" s="187" t="str">
        <x:v>GB</x:v>
      </x:c>
      <x:c r="G2147" s="187" t="str">
        <x:v>DE_FC</x:v>
      </x:c>
      <x:c r="H2147" s="187" t="str">
        <x:v>CARRIER_B</x:v>
      </x:c>
      <x:c r="I2147" s="187" t="str">
        <x:v>AIR</x:v>
      </x:c>
      <x:c r="J2147" s="187" t="str">
        <x:v>BASE_FREIGHT</x:v>
      </x:c>
      <x:c r="K2147" s="187" t="str">
        <x:v>GBP</x:v>
      </x:c>
      <x:c r="L2147" s="232" t="n">
        <x:v>8020.297512519672</x:v>
      </x:c>
      <x:c r="M2147" s="232" t="n">
        <x:v>9</x:v>
      </x:c>
      <x:c r="N2147" s="187" t="str">
        <x:v>72182.67761267704627200000000</x:v>
      </x:c>
      <x:c r="O2147" s="235" t="n">
        <x:v>72182.6776</x:v>
      </x:c>
      <x:c r="P2147" s="235"/>
      <x:c r="Q2147" s="235"/>
      <x:c r="R2147" s="235" t="str">
        <x:v>INVOICE_OR_PLAN</x:v>
      </x:c>
      <x:c r="S2147" s="238" t="n">
        <x:f>'Model_Calc'!AF362</x:f>
        <x:v>72182.67761267704</x:v>
      </x:c>
      <x:c r="T2147" s="238" t="n">
        <x:f>ROUND(S2147-O2147,4)</x:f>
        <x:v>0</x:v>
      </x:c>
    </x:row>
    <x:row r="2148">
      <x:c r="A2148" s="187" t="str">
        <x:v>SCENARIO_COST_SAVING_2026_08</x:v>
      </x:c>
      <x:c r="B2148" s="187" t="str">
        <x:v>SCENARIO</x:v>
      </x:c>
      <x:c r="C2148" s="187" t="str">
        <x:v>COST_SAVING</x:v>
      </x:c>
      <x:c r="D2148" s="217" t="n">
        <x:v>46357</x:v>
      </x:c>
      <x:c r="E2148" s="187" t="str">
        <x:v>R_GB_DE_B_AIR</x:v>
      </x:c>
      <x:c r="F2148" s="187" t="str">
        <x:v>GB</x:v>
      </x:c>
      <x:c r="G2148" s="187" t="str">
        <x:v>DE_FC</x:v>
      </x:c>
      <x:c r="H2148" s="187" t="str">
        <x:v>CARRIER_B</x:v>
      </x:c>
      <x:c r="I2148" s="187" t="str">
        <x:v>AIR</x:v>
      </x:c>
      <x:c r="J2148" s="187" t="str">
        <x:v>FUEL_SURCHARGE</x:v>
      </x:c>
      <x:c r="K2148" s="187" t="str">
        <x:v>GBP</x:v>
      </x:c>
      <x:c r="L2148" s="232" t="n">
        <x:v>992.8005478847601</x:v>
      </x:c>
      <x:c r="M2148" s="232" t="n">
        <x:v>9</x:v>
      </x:c>
      <x:c r="N2148" s="187" t="str">
        <x:v>8935.2049309628408498257920000000000</x:v>
      </x:c>
      <x:c r="O2148" s="235" t="n">
        <x:v>8935.2049</x:v>
      </x:c>
      <x:c r="P2148" s="235"/>
      <x:c r="Q2148" s="235"/>
      <x:c r="R2148" s="235" t="str">
        <x:v>INVOICE_OR_PLAN</x:v>
      </x:c>
      <x:c r="S2148" s="238" t="n">
        <x:f>'Model_Calc'!AG362</x:f>
        <x:v>8935.20493096284</x:v>
      </x:c>
      <x:c r="T2148" s="238" t="n">
        <x:f>ROUND(S2148-O2148,4)</x:f>
        <x:v>0</x:v>
      </x:c>
    </x:row>
    <x:row r="2149">
      <x:c r="A2149" s="187" t="str">
        <x:v>SCENARIO_COST_SAVING_2026_08</x:v>
      </x:c>
      <x:c r="B2149" s="187" t="str">
        <x:v>SCENARIO</x:v>
      </x:c>
      <x:c r="C2149" s="187" t="str">
        <x:v>COST_SAVING</x:v>
      </x:c>
      <x:c r="D2149" s="217" t="n">
        <x:v>46357</x:v>
      </x:c>
      <x:c r="E2149" s="187" t="str">
        <x:v>R_GB_DE_B_AIR</x:v>
      </x:c>
      <x:c r="F2149" s="187" t="str">
        <x:v>GB</x:v>
      </x:c>
      <x:c r="G2149" s="187" t="str">
        <x:v>DE_FC</x:v>
      </x:c>
      <x:c r="H2149" s="187" t="str">
        <x:v>CARRIER_B</x:v>
      </x:c>
      <x:c r="I2149" s="187" t="str">
        <x:v>AIR</x:v>
      </x:c>
      <x:c r="J2149" s="187" t="str">
        <x:v>WAREHOUSE_OPERATION</x:v>
      </x:c>
      <x:c r="K2149" s="187" t="str">
        <x:v>EUR</x:v>
      </x:c>
      <x:c r="L2149" s="232" t="n">
        <x:v>1341.280512</x:v>
      </x:c>
      <x:c r="M2149" s="232" t="n">
        <x:v>7.86</x:v>
      </x:c>
      <x:c r="N2149" s="187" t="str">
        <x:v>10542.4648243200000</x:v>
      </x:c>
      <x:c r="O2149" s="235" t="n">
        <x:v>10542.4648</x:v>
      </x:c>
      <x:c r="P2149" s="235"/>
      <x:c r="Q2149" s="235"/>
      <x:c r="R2149" s="235" t="str">
        <x:v>INVOICE_OR_PLAN</x:v>
      </x:c>
      <x:c r="S2149" s="238" t="n">
        <x:f>'Model_Calc'!AL362</x:f>
        <x:v>10542.46482432</x:v>
      </x:c>
      <x:c r="T2149" s="238" t="n">
        <x:f>ROUND(S2149-O2149,4)</x:f>
        <x:v>0</x:v>
      </x:c>
    </x:row>
    <x:row r="2150">
      <x:c r="A2150" s="187" t="str">
        <x:v>SCENARIO_COST_SAVING_2026_08</x:v>
      </x:c>
      <x:c r="B2150" s="187" t="str">
        <x:v>SCENARIO</x:v>
      </x:c>
      <x:c r="C2150" s="187" t="str">
        <x:v>COST_SAVING</x:v>
      </x:c>
      <x:c r="D2150" s="217" t="n">
        <x:v>46357</x:v>
      </x:c>
      <x:c r="E2150" s="187" t="str">
        <x:v>R_GB_DE_B_AIR</x:v>
      </x:c>
      <x:c r="F2150" s="187" t="str">
        <x:v>GB</x:v>
      </x:c>
      <x:c r="G2150" s="187" t="str">
        <x:v>DE_FC</x:v>
      </x:c>
      <x:c r="H2150" s="187" t="str">
        <x:v>CARRIER_B</x:v>
      </x:c>
      <x:c r="I2150" s="187" t="str">
        <x:v>AIR</x:v>
      </x:c>
      <x:c r="J2150" s="187" t="str">
        <x:v>PACKAGING</x:v>
      </x:c>
      <x:c r="K2150" s="187" t="str">
        <x:v>EUR</x:v>
      </x:c>
      <x:c r="L2150" s="232" t="n">
        <x:v>539.46756864</x:v>
      </x:c>
      <x:c r="M2150" s="232" t="n">
        <x:v>7.86</x:v>
      </x:c>
      <x:c r="N2150" s="187" t="str">
        <x:v>4240.215089510400000</x:v>
      </x:c>
      <x:c r="O2150" s="235" t="n">
        <x:v>4240.2151</x:v>
      </x:c>
      <x:c r="P2150" s="235"/>
      <x:c r="Q2150" s="235"/>
      <x:c r="R2150" s="235" t="str">
        <x:v>INVOICE_OR_PLAN</x:v>
      </x:c>
      <x:c r="S2150" s="238" t="n">
        <x:f>'Model_Calc'!AQ362</x:f>
        <x:v>4240.2150895104</x:v>
      </x:c>
      <x:c r="T2150" s="238" t="n">
        <x:f>ROUND(S2150-O2150,4)</x:f>
        <x:v>0</x:v>
      </x:c>
    </x:row>
    <x:row r="2151">
      <x:c r="A2151" s="187" t="str">
        <x:v>SCENARIO_COST_SAVING_2026_08</x:v>
      </x:c>
      <x:c r="B2151" s="187" t="str">
        <x:v>SCENARIO</x:v>
      </x:c>
      <x:c r="C2151" s="187" t="str">
        <x:v>COST_SAVING</x:v>
      </x:c>
      <x:c r="D2151" s="217" t="n">
        <x:v>46357</x:v>
      </x:c>
      <x:c r="E2151" s="187" t="str">
        <x:v>R_GB_DE_B_AIR</x:v>
      </x:c>
      <x:c r="F2151" s="187" t="str">
        <x:v>GB</x:v>
      </x:c>
      <x:c r="G2151" s="187" t="str">
        <x:v>DE_FC</x:v>
      </x:c>
      <x:c r="H2151" s="187" t="str">
        <x:v>CARRIER_B</x:v>
      </x:c>
      <x:c r="I2151" s="187" t="str">
        <x:v>AIR</x:v>
      </x:c>
      <x:c r="J2151" s="187" t="str">
        <x:v>RETURN_LOGISTICS</x:v>
      </x:c>
      <x:c r="K2151" s="187" t="str">
        <x:v>GBP</x:v>
      </x:c>
      <x:c r="L2151" s="232" t="n">
        <x:v>491.0450688</x:v>
      </x:c>
      <x:c r="M2151" s="232" t="n">
        <x:v>9</x:v>
      </x:c>
      <x:c r="N2151" s="187" t="str">
        <x:v>4419.4056192000000000</x:v>
      </x:c>
      <x:c r="O2151" s="235" t="n">
        <x:v>4419.4056</x:v>
      </x:c>
      <x:c r="P2151" s="235"/>
      <x:c r="Q2151" s="235"/>
      <x:c r="R2151" s="235" t="str">
        <x:v>INVOICE_OR_PLAN</x:v>
      </x:c>
      <x:c r="S2151" s="238" t="n">
        <x:f>'Model_Calc'!AV362</x:f>
        <x:v>4419.4056192</x:v>
      </x:c>
      <x:c r="T2151" s="238" t="n">
        <x:f>ROUND(S2151-O2151,4)</x:f>
        <x:v>0</x:v>
      </x:c>
    </x:row>
    <x:row r="2152">
      <x:c r="A2152" s="187" t="str">
        <x:v>SCENARIO_COST_SAVING_2026_08</x:v>
      </x:c>
      <x:c r="B2152" s="187" t="str">
        <x:v>SCENARIO</x:v>
      </x:c>
      <x:c r="C2152" s="187" t="str">
        <x:v>COST_SAVING</x:v>
      </x:c>
      <x:c r="D2152" s="217" t="n">
        <x:v>46357</x:v>
      </x:c>
      <x:c r="E2152" s="187" t="str">
        <x:v>R_GB_DE_B_AIR</x:v>
      </x:c>
      <x:c r="F2152" s="187" t="str">
        <x:v>GB</x:v>
      </x:c>
      <x:c r="G2152" s="187" t="str">
        <x:v>DE_FC</x:v>
      </x:c>
      <x:c r="H2152" s="187" t="str">
        <x:v>CARRIER_B</x:v>
      </x:c>
      <x:c r="I2152" s="187" t="str">
        <x:v>AIR</x:v>
      </x:c>
      <x:c r="J2152" s="187" t="str">
        <x:v>BILLABLE_EXCEPTION</x:v>
      </x:c>
      <x:c r="K2152" s="187" t="str">
        <x:v>GBP</x:v>
      </x:c>
      <x:c r="L2152" s="232" t="n">
        <x:v>51.78888658944</x:v>
      </x:c>
      <x:c r="M2152" s="232" t="n">
        <x:v>9</x:v>
      </x:c>
      <x:c r="N2152" s="187" t="str">
        <x:v>466.09997930496000000000</x:v>
      </x:c>
      <x:c r="O2152" s="235" t="n">
        <x:v>466.1</x:v>
      </x:c>
      <x:c r="P2152" s="235"/>
      <x:c r="Q2152" s="235"/>
      <x:c r="R2152" s="235" t="str">
        <x:v>INVOICE_OR_PLAN</x:v>
      </x:c>
      <x:c r="S2152" s="238" t="n">
        <x:f>'Model_Calc'!BA362</x:f>
        <x:v>466.0999793049599</x:v>
      </x:c>
      <x:c r="T2152" s="238" t="n">
        <x:f>ROUND(S2152-O2152,4)</x:f>
        <x:v>0</x:v>
      </x:c>
    </x:row>
    <x:row r="2153">
      <x:c r="A2153" s="187" t="str">
        <x:v>SCENARIO_COST_SAVING_2026_08</x:v>
      </x:c>
      <x:c r="B2153" s="187" t="str">
        <x:v>SCENARIO</x:v>
      </x:c>
      <x:c r="C2153" s="187" t="str">
        <x:v>COST_SAVING</x:v>
      </x:c>
      <x:c r="D2153" s="217" t="n">
        <x:v>46357</x:v>
      </x:c>
      <x:c r="E2153" s="187" t="str">
        <x:v>R_GB_DE_C_AIR</x:v>
      </x:c>
      <x:c r="F2153" s="187" t="str">
        <x:v>GB</x:v>
      </x:c>
      <x:c r="G2153" s="187" t="str">
        <x:v>DE_FC</x:v>
      </x:c>
      <x:c r="H2153" s="187" t="str">
        <x:v>CARRIER_C</x:v>
      </x:c>
      <x:c r="I2153" s="187" t="str">
        <x:v>AIR</x:v>
      </x:c>
      <x:c r="J2153" s="187" t="str">
        <x:v>BASE_FREIGHT</x:v>
      </x:c>
      <x:c r="K2153" s="187" t="str">
        <x:v>GBP</x:v>
      </x:c>
      <x:c r="L2153" s="232" t="n">
        <x:v>3871.261813431767</x:v>
      </x:c>
      <x:c r="M2153" s="232" t="n">
        <x:v>9</x:v>
      </x:c>
      <x:c r="N2153" s="187" t="str">
        <x:v>34841.35632088590336000000000</x:v>
      </x:c>
      <x:c r="O2153" s="235" t="n">
        <x:v>34841.3563</x:v>
      </x:c>
      <x:c r="P2153" s="235"/>
      <x:c r="Q2153" s="235"/>
      <x:c r="R2153" s="235" t="str">
        <x:v>INVOICE_OR_PLAN</x:v>
      </x:c>
      <x:c r="S2153" s="238" t="n">
        <x:f>'Model_Calc'!AF363</x:f>
        <x:v>34841.35632088589</x:v>
      </x:c>
      <x:c r="T2153" s="238" t="n">
        <x:f>ROUND(S2153-O2153,4)</x:f>
        <x:v>0</x:v>
      </x:c>
    </x:row>
    <x:row r="2154">
      <x:c r="A2154" s="187" t="str">
        <x:v>SCENARIO_COST_SAVING_2026_08</x:v>
      </x:c>
      <x:c r="B2154" s="187" t="str">
        <x:v>SCENARIO</x:v>
      </x:c>
      <x:c r="C2154" s="187" t="str">
        <x:v>COST_SAVING</x:v>
      </x:c>
      <x:c r="D2154" s="217" t="n">
        <x:v>46357</x:v>
      </x:c>
      <x:c r="E2154" s="187" t="str">
        <x:v>R_GB_DE_C_AIR</x:v>
      </x:c>
      <x:c r="F2154" s="187" t="str">
        <x:v>GB</x:v>
      </x:c>
      <x:c r="G2154" s="187" t="str">
        <x:v>DE_FC</x:v>
      </x:c>
      <x:c r="H2154" s="187" t="str">
        <x:v>CARRIER_C</x:v>
      </x:c>
      <x:c r="I2154" s="187" t="str">
        <x:v>AIR</x:v>
      </x:c>
      <x:c r="J2154" s="187" t="str">
        <x:v>FUEL_SURCHARGE</x:v>
      </x:c>
      <x:c r="K2154" s="187" t="str">
        <x:v>GBP</x:v>
      </x:c>
      <x:c r="L2154" s="232" t="n">
        <x:v>299.37758023872334</x:v>
      </x:c>
      <x:c r="M2154" s="232" t="n">
        <x:v>9</x:v>
      </x:c>
      <x:c r="N2154" s="187" t="str">
        <x:v>2694.39822214850985984000000</x:v>
      </x:c>
      <x:c r="O2154" s="235" t="n">
        <x:v>2694.3982</x:v>
      </x:c>
      <x:c r="P2154" s="235"/>
      <x:c r="Q2154" s="235"/>
      <x:c r="R2154" s="235" t="str">
        <x:v>INVOICE_OR_PLAN</x:v>
      </x:c>
      <x:c r="S2154" s="238" t="n">
        <x:f>'Model_Calc'!AG363</x:f>
        <x:v>2694.3982221485094</x:v>
      </x:c>
      <x:c r="T2154" s="238" t="n">
        <x:f>ROUND(S2154-O2154,4)</x:f>
        <x:v>0</x:v>
      </x:c>
    </x:row>
    <x:row r="2155">
      <x:c r="A2155" s="187" t="str">
        <x:v>SCENARIO_COST_SAVING_2026_08</x:v>
      </x:c>
      <x:c r="B2155" s="187" t="str">
        <x:v>SCENARIO</x:v>
      </x:c>
      <x:c r="C2155" s="187" t="str">
        <x:v>COST_SAVING</x:v>
      </x:c>
      <x:c r="D2155" s="217" t="n">
        <x:v>46357</x:v>
      </x:c>
      <x:c r="E2155" s="187" t="str">
        <x:v>R_GB_DE_C_AIR</x:v>
      </x:c>
      <x:c r="F2155" s="187" t="str">
        <x:v>GB</x:v>
      </x:c>
      <x:c r="G2155" s="187" t="str">
        <x:v>DE_FC</x:v>
      </x:c>
      <x:c r="H2155" s="187" t="str">
        <x:v>CARRIER_C</x:v>
      </x:c>
      <x:c r="I2155" s="187" t="str">
        <x:v>AIR</x:v>
      </x:c>
      <x:c r="J2155" s="187" t="str">
        <x:v>WAREHOUSE_OPERATION</x:v>
      </x:c>
      <x:c r="K2155" s="187" t="str">
        <x:v>EUR</x:v>
      </x:c>
      <x:c r="L2155" s="232" t="n">
        <x:v>536.5122048</x:v>
      </x:c>
      <x:c r="M2155" s="232" t="n">
        <x:v>7.86</x:v>
      </x:c>
      <x:c r="N2155" s="187" t="str">
        <x:v>4216.9859297280000</x:v>
      </x:c>
      <x:c r="O2155" s="235" t="n">
        <x:v>4216.9859</x:v>
      </x:c>
      <x:c r="P2155" s="235"/>
      <x:c r="Q2155" s="235"/>
      <x:c r="R2155" s="235" t="str">
        <x:v>INVOICE_OR_PLAN</x:v>
      </x:c>
      <x:c r="S2155" s="238" t="n">
        <x:f>'Model_Calc'!AL363</x:f>
        <x:v>4216.985929728001</x:v>
      </x:c>
      <x:c r="T2155" s="238" t="n">
        <x:f>ROUND(S2155-O2155,4)</x:f>
        <x:v>0</x:v>
      </x:c>
    </x:row>
    <x:row r="2156">
      <x:c r="A2156" s="187" t="str">
        <x:v>SCENARIO_COST_SAVING_2026_08</x:v>
      </x:c>
      <x:c r="B2156" s="187" t="str">
        <x:v>SCENARIO</x:v>
      </x:c>
      <x:c r="C2156" s="187" t="str">
        <x:v>COST_SAVING</x:v>
      </x:c>
      <x:c r="D2156" s="217" t="n">
        <x:v>46357</x:v>
      </x:c>
      <x:c r="E2156" s="187" t="str">
        <x:v>R_GB_DE_C_AIR</x:v>
      </x:c>
      <x:c r="F2156" s="187" t="str">
        <x:v>GB</x:v>
      </x:c>
      <x:c r="G2156" s="187" t="str">
        <x:v>DE_FC</x:v>
      </x:c>
      <x:c r="H2156" s="187" t="str">
        <x:v>CARRIER_C</x:v>
      </x:c>
      <x:c r="I2156" s="187" t="str">
        <x:v>AIR</x:v>
      </x:c>
      <x:c r="J2156" s="187" t="str">
        <x:v>PACKAGING</x:v>
      </x:c>
      <x:c r="K2156" s="187" t="str">
        <x:v>EUR</x:v>
      </x:c>
      <x:c r="L2156" s="232" t="n">
        <x:v>215.787027456</x:v>
      </x:c>
      <x:c r="M2156" s="232" t="n">
        <x:v>7.86</x:v>
      </x:c>
      <x:c r="N2156" s="187" t="str">
        <x:v>1696.086035804160000</x:v>
      </x:c>
      <x:c r="O2156" s="235" t="n">
        <x:v>1696.086</x:v>
      </x:c>
      <x:c r="P2156" s="235"/>
      <x:c r="Q2156" s="235"/>
      <x:c r="R2156" s="235" t="str">
        <x:v>INVOICE_OR_PLAN</x:v>
      </x:c>
      <x:c r="S2156" s="238" t="n">
        <x:f>'Model_Calc'!AQ363</x:f>
        <x:v>1696.0860358041596</x:v>
      </x:c>
      <x:c r="T2156" s="238" t="n">
        <x:f>ROUND(S2156-O2156,4)</x:f>
        <x:v>0</x:v>
      </x:c>
    </x:row>
    <x:row r="2157">
      <x:c r="A2157" s="187" t="str">
        <x:v>SCENARIO_COST_SAVING_2026_08</x:v>
      </x:c>
      <x:c r="B2157" s="187" t="str">
        <x:v>SCENARIO</x:v>
      </x:c>
      <x:c r="C2157" s="187" t="str">
        <x:v>COST_SAVING</x:v>
      </x:c>
      <x:c r="D2157" s="217" t="n">
        <x:v>46357</x:v>
      </x:c>
      <x:c r="E2157" s="187" t="str">
        <x:v>R_GB_DE_C_AIR</x:v>
      </x:c>
      <x:c r="F2157" s="187" t="str">
        <x:v>GB</x:v>
      </x:c>
      <x:c r="G2157" s="187" t="str">
        <x:v>DE_FC</x:v>
      </x:c>
      <x:c r="H2157" s="187" t="str">
        <x:v>CARRIER_C</x:v>
      </x:c>
      <x:c r="I2157" s="187" t="str">
        <x:v>AIR</x:v>
      </x:c>
      <x:c r="J2157" s="187" t="str">
        <x:v>RETURN_LOGISTICS</x:v>
      </x:c>
      <x:c r="K2157" s="187" t="str">
        <x:v>GBP</x:v>
      </x:c>
      <x:c r="L2157" s="232" t="n">
        <x:v>196.41802752</x:v>
      </x:c>
      <x:c r="M2157" s="232" t="n">
        <x:v>9</x:v>
      </x:c>
      <x:c r="N2157" s="187" t="str">
        <x:v>1767.7622476800000000</x:v>
      </x:c>
      <x:c r="O2157" s="235" t="n">
        <x:v>1767.7622</x:v>
      </x:c>
      <x:c r="P2157" s="235"/>
      <x:c r="Q2157" s="235"/>
      <x:c r="R2157" s="235" t="str">
        <x:v>INVOICE_OR_PLAN</x:v>
      </x:c>
      <x:c r="S2157" s="238" t="n">
        <x:f>'Model_Calc'!AV363</x:f>
        <x:v>1767.7622476799997</x:v>
      </x:c>
      <x:c r="T2157" s="238" t="n">
        <x:f>ROUND(S2157-O2157,4)</x:f>
        <x:v>0</x:v>
      </x:c>
    </x:row>
    <x:row r="2158">
      <x:c r="A2158" s="187" t="str">
        <x:v>SCENARIO_COST_SAVING_2026_08</x:v>
      </x:c>
      <x:c r="B2158" s="187" t="str">
        <x:v>SCENARIO</x:v>
      </x:c>
      <x:c r="C2158" s="187" t="str">
        <x:v>COST_SAVING</x:v>
      </x:c>
      <x:c r="D2158" s="217" t="n">
        <x:v>46357</x:v>
      </x:c>
      <x:c r="E2158" s="187" t="str">
        <x:v>R_GB_DE_C_AIR</x:v>
      </x:c>
      <x:c r="F2158" s="187" t="str">
        <x:v>GB</x:v>
      </x:c>
      <x:c r="G2158" s="187" t="str">
        <x:v>DE_FC</x:v>
      </x:c>
      <x:c r="H2158" s="187" t="str">
        <x:v>CARRIER_C</x:v>
      </x:c>
      <x:c r="I2158" s="187" t="str">
        <x:v>AIR</x:v>
      </x:c>
      <x:c r="J2158" s="187" t="str">
        <x:v>BILLABLE_EXCEPTION</x:v>
      </x:c>
      <x:c r="K2158" s="187" t="str">
        <x:v>GBP</x:v>
      </x:c>
      <x:c r="L2158" s="232" t="n">
        <x:v>18.311070615552</x:v>
      </x:c>
      <x:c r="M2158" s="232" t="n">
        <x:v>9</x:v>
      </x:c>
      <x:c r="N2158" s="187" t="str">
        <x:v>164.79963553996800000000</x:v>
      </x:c>
      <x:c r="O2158" s="235" t="n">
        <x:v>164.7996</x:v>
      </x:c>
      <x:c r="P2158" s="235"/>
      <x:c r="Q2158" s="235"/>
      <x:c r="R2158" s="235" t="str">
        <x:v>INVOICE_OR_PLAN</x:v>
      </x:c>
      <x:c r="S2158" s="238" t="n">
        <x:f>'Model_Calc'!BA363</x:f>
        <x:v>164.79963553996802</x:v>
      </x:c>
      <x:c r="T2158" s="238" t="n">
        <x:f>ROUND(S2158-O2158,4)</x:f>
        <x:v>0</x:v>
      </x:c>
    </x:row>
    <x:row r="2159">
      <x:c r="A2159" s="187" t="str">
        <x:v>SCENARIO_COST_SAVING_2026_08</x:v>
      </x:c>
      <x:c r="B2159" s="187" t="str">
        <x:v>SCENARIO</x:v>
      </x:c>
      <x:c r="C2159" s="187" t="str">
        <x:v>COST_SAVING</x:v>
      </x:c>
      <x:c r="D2159" s="217" t="n">
        <x:v>46357</x:v>
      </x:c>
      <x:c r="E2159" s="187" t="str">
        <x:v>R_GB_FR_B_AIR</x:v>
      </x:c>
      <x:c r="F2159" s="187" t="str">
        <x:v>GB</x:v>
      </x:c>
      <x:c r="G2159" s="187" t="str">
        <x:v>FR_FC</x:v>
      </x:c>
      <x:c r="H2159" s="187" t="str">
        <x:v>CARRIER_B</x:v>
      </x:c>
      <x:c r="I2159" s="187" t="str">
        <x:v>AIR</x:v>
      </x:c>
      <x:c r="J2159" s="187" t="str">
        <x:v>BASE_FREIGHT</x:v>
      </x:c>
      <x:c r="K2159" s="187" t="str">
        <x:v>EUR</x:v>
      </x:c>
      <x:c r="L2159" s="232" t="n">
        <x:v>3442.31877049632</x:v>
      </x:c>
      <x:c r="M2159" s="232" t="n">
        <x:v>7.86</x:v>
      </x:c>
      <x:c r="N2159" s="187" t="str">
        <x:v>27056.6255361010752000000</x:v>
      </x:c>
      <x:c r="O2159" s="235" t="n">
        <x:v>27056.6255</x:v>
      </x:c>
      <x:c r="P2159" s="235"/>
      <x:c r="Q2159" s="235"/>
      <x:c r="R2159" s="235" t="str">
        <x:v>INVOICE_OR_PLAN</x:v>
      </x:c>
      <x:c r="S2159" s="238" t="n">
        <x:f>'Model_Calc'!AF364</x:f>
        <x:v>27056.625536101074</x:v>
      </x:c>
      <x:c r="T2159" s="238" t="n">
        <x:f>ROUND(S2159-O2159,4)</x:f>
        <x:v>0</x:v>
      </x:c>
    </x:row>
    <x:row r="2160">
      <x:c r="A2160" s="187" t="str">
        <x:v>SCENARIO_COST_SAVING_2026_08</x:v>
      </x:c>
      <x:c r="B2160" s="187" t="str">
        <x:v>SCENARIO</x:v>
      </x:c>
      <x:c r="C2160" s="187" t="str">
        <x:v>COST_SAVING</x:v>
      </x:c>
      <x:c r="D2160" s="217" t="n">
        <x:v>46357</x:v>
      </x:c>
      <x:c r="E2160" s="187" t="str">
        <x:v>R_GB_FR_B_AIR</x:v>
      </x:c>
      <x:c r="F2160" s="187" t="str">
        <x:v>GB</x:v>
      </x:c>
      <x:c r="G2160" s="187" t="str">
        <x:v>FR_FC</x:v>
      </x:c>
      <x:c r="H2160" s="187" t="str">
        <x:v>CARRIER_B</x:v>
      </x:c>
      <x:c r="I2160" s="187" t="str">
        <x:v>AIR</x:v>
      </x:c>
      <x:c r="J2160" s="187" t="str">
        <x:v>FUEL_SURCHARGE</x:v>
      </x:c>
      <x:c r="K2160" s="187" t="str">
        <x:v>EUR</x:v>
      </x:c>
      <x:c r="L2160" s="232" t="n">
        <x:v>374.0939923836876</x:v>
      </x:c>
      <x:c r="M2160" s="232" t="n">
        <x:v>7.86</x:v>
      </x:c>
      <x:c r="N2160" s="187" t="str">
        <x:v>2940.3787801357843473600000000</x:v>
      </x:c>
      <x:c r="O2160" s="235" t="n">
        <x:v>2940.3788</x:v>
      </x:c>
      <x:c r="P2160" s="235"/>
      <x:c r="Q2160" s="235"/>
      <x:c r="R2160" s="235" t="str">
        <x:v>INVOICE_OR_PLAN</x:v>
      </x:c>
      <x:c r="S2160" s="238" t="n">
        <x:f>'Model_Calc'!AG364</x:f>
        <x:v>2940.378780135784</x:v>
      </x:c>
      <x:c r="T2160" s="238" t="n">
        <x:f>ROUND(S2160-O2160,4)</x:f>
        <x:v>0</x:v>
      </x:c>
    </x:row>
    <x:row r="2161">
      <x:c r="A2161" s="187" t="str">
        <x:v>SCENARIO_COST_SAVING_2026_08</x:v>
      </x:c>
      <x:c r="B2161" s="187" t="str">
        <x:v>SCENARIO</x:v>
      </x:c>
      <x:c r="C2161" s="187" t="str">
        <x:v>COST_SAVING</x:v>
      </x:c>
      <x:c r="D2161" s="217" t="n">
        <x:v>46357</x:v>
      </x:c>
      <x:c r="E2161" s="187" t="str">
        <x:v>R_GB_FR_B_AIR</x:v>
      </x:c>
      <x:c r="F2161" s="187" t="str">
        <x:v>GB</x:v>
      </x:c>
      <x:c r="G2161" s="187" t="str">
        <x:v>FR_FC</x:v>
      </x:c>
      <x:c r="H2161" s="187" t="str">
        <x:v>CARRIER_B</x:v>
      </x:c>
      <x:c r="I2161" s="187" t="str">
        <x:v>AIR</x:v>
      </x:c>
      <x:c r="J2161" s="187" t="str">
        <x:v>WAREHOUSE_OPERATION</x:v>
      </x:c>
      <x:c r="K2161" s="187" t="str">
        <x:v>EUR</x:v>
      </x:c>
      <x:c r="L2161" s="232" t="n">
        <x:v>497.2968</x:v>
      </x:c>
      <x:c r="M2161" s="232" t="n">
        <x:v>7.86</x:v>
      </x:c>
      <x:c r="N2161" s="187" t="str">
        <x:v>3908.75284800000</x:v>
      </x:c>
      <x:c r="O2161" s="235" t="n">
        <x:v>3908.7528</x:v>
      </x:c>
      <x:c r="P2161" s="235"/>
      <x:c r="Q2161" s="235"/>
      <x:c r="R2161" s="235" t="str">
        <x:v>INVOICE_OR_PLAN</x:v>
      </x:c>
      <x:c r="S2161" s="238" t="n">
        <x:f>'Model_Calc'!AL364</x:f>
        <x:v>3908.7528480000005</x:v>
      </x:c>
      <x:c r="T2161" s="238" t="n">
        <x:f>ROUND(S2161-O2161,4)</x:f>
        <x:v>0</x:v>
      </x:c>
    </x:row>
    <x:row r="2162">
      <x:c r="A2162" s="187" t="str">
        <x:v>SCENARIO_COST_SAVING_2026_08</x:v>
      </x:c>
      <x:c r="B2162" s="187" t="str">
        <x:v>SCENARIO</x:v>
      </x:c>
      <x:c r="C2162" s="187" t="str">
        <x:v>COST_SAVING</x:v>
      </x:c>
      <x:c r="D2162" s="217" t="n">
        <x:v>46357</x:v>
      </x:c>
      <x:c r="E2162" s="187" t="str">
        <x:v>R_GB_FR_B_AIR</x:v>
      </x:c>
      <x:c r="F2162" s="187" t="str">
        <x:v>GB</x:v>
      </x:c>
      <x:c r="G2162" s="187" t="str">
        <x:v>FR_FC</x:v>
      </x:c>
      <x:c r="H2162" s="187" t="str">
        <x:v>CARRIER_B</x:v>
      </x:c>
      <x:c r="I2162" s="187" t="str">
        <x:v>AIR</x:v>
      </x:c>
      <x:c r="J2162" s="187" t="str">
        <x:v>PACKAGING</x:v>
      </x:c>
      <x:c r="K2162" s="187" t="str">
        <x:v>EUR</x:v>
      </x:c>
      <x:c r="L2162" s="232" t="n">
        <x:v>210.5696736</x:v>
      </x:c>
      <x:c r="M2162" s="232" t="n">
        <x:v>7.86</x:v>
      </x:c>
      <x:c r="N2162" s="187" t="str">
        <x:v>1655.0776344960000</x:v>
      </x:c>
      <x:c r="O2162" s="235" t="n">
        <x:v>1655.0776</x:v>
      </x:c>
      <x:c r="P2162" s="235"/>
      <x:c r="Q2162" s="235"/>
      <x:c r="R2162" s="235" t="str">
        <x:v>INVOICE_OR_PLAN</x:v>
      </x:c>
      <x:c r="S2162" s="238" t="n">
        <x:f>'Model_Calc'!AQ364</x:f>
        <x:v>1655.0776344959997</x:v>
      </x:c>
      <x:c r="T2162" s="238" t="n">
        <x:f>ROUND(S2162-O2162,4)</x:f>
        <x:v>0</x:v>
      </x:c>
    </x:row>
    <x:row r="2163">
      <x:c r="A2163" s="187" t="str">
        <x:v>SCENARIO_COST_SAVING_2026_08</x:v>
      </x:c>
      <x:c r="B2163" s="187" t="str">
        <x:v>SCENARIO</x:v>
      </x:c>
      <x:c r="C2163" s="187" t="str">
        <x:v>COST_SAVING</x:v>
      </x:c>
      <x:c r="D2163" s="217" t="n">
        <x:v>46357</x:v>
      </x:c>
      <x:c r="E2163" s="187" t="str">
        <x:v>R_GB_FR_B_AIR</x:v>
      </x:c>
      <x:c r="F2163" s="187" t="str">
        <x:v>GB</x:v>
      </x:c>
      <x:c r="G2163" s="187" t="str">
        <x:v>FR_FC</x:v>
      </x:c>
      <x:c r="H2163" s="187" t="str">
        <x:v>CARRIER_B</x:v>
      </x:c>
      <x:c r="I2163" s="187" t="str">
        <x:v>AIR</x:v>
      </x:c>
      <x:c r="J2163" s="187" t="str">
        <x:v>RETURN_LOGISTICS</x:v>
      </x:c>
      <x:c r="K2163" s="187" t="str">
        <x:v>EUR</x:v>
      </x:c>
      <x:c r="L2163" s="232" t="n">
        <x:v>221.652288</x:v>
      </x:c>
      <x:c r="M2163" s="232" t="n">
        <x:v>7.86</x:v>
      </x:c>
      <x:c r="N2163" s="187" t="str">
        <x:v>1742.18698368000000</x:v>
      </x:c>
      <x:c r="O2163" s="235" t="n">
        <x:v>1742.187</x:v>
      </x:c>
      <x:c r="P2163" s="235"/>
      <x:c r="Q2163" s="235"/>
      <x:c r="R2163" s="235" t="str">
        <x:v>INVOICE_OR_PLAN</x:v>
      </x:c>
      <x:c r="S2163" s="238" t="n">
        <x:f>'Model_Calc'!AV364</x:f>
        <x:v>1742.18698368</x:v>
      </x:c>
      <x:c r="T2163" s="238" t="n">
        <x:f>ROUND(S2163-O2163,4)</x:f>
        <x:v>0</x:v>
      </x:c>
    </x:row>
    <x:row r="2164">
      <x:c r="A2164" s="188" t="str">
        <x:v>SCENARIO_COST_SAVING_2026_08</x:v>
      </x:c>
      <x:c r="B2164" s="188" t="str">
        <x:v>SCENARIO</x:v>
      </x:c>
      <x:c r="C2164" s="188" t="str">
        <x:v>COST_SAVING</x:v>
      </x:c>
      <x:c r="D2164" s="218" t="n">
        <x:v>46357</x:v>
      </x:c>
      <x:c r="E2164" s="188" t="str">
        <x:v>R_GB_FR_B_AIR</x:v>
      </x:c>
      <x:c r="F2164" s="188" t="str">
        <x:v>GB</x:v>
      </x:c>
      <x:c r="G2164" s="188" t="str">
        <x:v>FR_FC</x:v>
      </x:c>
      <x:c r="H2164" s="188" t="str">
        <x:v>CARRIER_B</x:v>
      </x:c>
      <x:c r="I2164" s="188" t="str">
        <x:v>AIR</x:v>
      </x:c>
      <x:c r="J2164" s="188" t="str">
        <x:v>BILLABLE_EXCEPTION</x:v>
      </x:c>
      <x:c r="K2164" s="188" t="str">
        <x:v>EUR</x:v>
      </x:c>
      <x:c r="L2164" s="233" t="n">
        <x:v>19.5497318016</x:v>
      </x:c>
      <x:c r="M2164" s="233" t="n">
        <x:v>7.86</x:v>
      </x:c>
      <x:c r="N2164" s="188" t="str">
        <x:v>153.660891960576000000</x:v>
      </x:c>
      <x:c r="O2164" s="236" t="n">
        <x:v>153.6609</x:v>
      </x:c>
      <x:c r="P2164" s="236"/>
      <x:c r="Q2164" s="236"/>
      <x:c r="R2164" s="236" t="str">
        <x:v>INVOICE_OR_PLAN</x:v>
      </x:c>
      <x:c r="S2164" s="239" t="n">
        <x:f>'Model_Calc'!BA364</x:f>
        <x:v>153.660891960576</x:v>
      </x:c>
      <x:c r="T2164" s="239" t="n">
        <x:f>ROUND(S2164-O2164,4)</x:f>
        <x:v>0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76030935a79f4f1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2" customHeight="1">
      <x:c r="A1" s="3" t="str">
        <x:v>固定成本事实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仓租、物流人工和系统费用按发货仓或共享范围单独展示，不分摊到目的国或线路。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179" t="str">
        <x:v>Version</x:v>
      </x:c>
      <x:c r="B4" s="180" t="str">
        <x:v>Type</x:v>
      </x:c>
      <x:c r="C4" s="180" t="str">
        <x:v>Scenario</x:v>
      </x:c>
      <x:c r="D4" s="180" t="str">
        <x:v>Month</x:v>
      </x:c>
      <x:c r="E4" s="180" t="str">
        <x:v>Scope</x:v>
      </x:c>
      <x:c r="F4" s="180" t="str">
        <x:v>Category</x:v>
      </x:c>
      <x:c r="G4" s="180" t="str">
        <x:v>Currency</x:v>
      </x:c>
      <x:c r="H4" s="180" t="str">
        <x:v>Original Amount</x:v>
      </x:c>
      <x:c r="I4" s="180" t="str">
        <x:v>FX</x:v>
      </x:c>
      <x:c r="J4" s="180" t="str">
        <x:v>High Precision CNY (text)</x:v>
      </x:c>
      <x:c r="K4" s="180" t="str">
        <x:v>Report CNY</x:v>
      </x:c>
      <x:c r="L4" s="180" t="str">
        <x:v>Recalc CNY</x:v>
      </x:c>
      <x:c r="M4" s="181" t="str">
        <x:v>Delta</x:v>
      </x:c>
    </x:row>
    <x:row r="5">
      <x:c r="A5" s="186" t="str">
        <x:v>BUDGET_2026_V1</x:v>
      </x:c>
      <x:c r="B5" s="186" t="str">
        <x:v>BUDGET</x:v>
      </x:c>
      <x:c r="C5" s="186"/>
      <x:c r="D5" s="216" t="n">
        <x:v>46023</x:v>
      </x:c>
      <x:c r="E5" s="186" t="str">
        <x:v>DE_FC</x:v>
      </x:c>
      <x:c r="F5" s="186" t="str">
        <x:v>WAREHOUSE_RENT</x:v>
      </x:c>
      <x:c r="G5" s="186" t="str">
        <x:v>EUR</x:v>
      </x:c>
      <x:c r="H5" s="234" t="n">
        <x:v>25000</x:v>
      </x:c>
      <x:c r="I5" s="234" t="n">
        <x:v>7.8</x:v>
      </x:c>
      <x:c r="J5" s="234" t="str">
        <x:v>195000.00</x:v>
      </x:c>
      <x:c r="K5" s="234" t="n">
        <x:v>195000</x:v>
      </x:c>
      <x:c r="L5" s="237" t="n">
        <x:f>H5*I5</x:f>
        <x:v>195000</x:v>
      </x:c>
      <x:c r="M5" s="237" t="n">
        <x:f>L5-K5</x:f>
        <x:v>0</x:v>
      </x:c>
    </x:row>
    <x:row r="6">
      <x:c r="A6" s="187" t="str">
        <x:v>BUDGET_2026_V1</x:v>
      </x:c>
      <x:c r="B6" s="187" t="str">
        <x:v>BUDGET</x:v>
      </x:c>
      <x:c r="C6" s="187"/>
      <x:c r="D6" s="217" t="n">
        <x:v>46023</x:v>
      </x:c>
      <x:c r="E6" s="187" t="str">
        <x:v>DE_FC</x:v>
      </x:c>
      <x:c r="F6" s="187" t="str">
        <x:v>LOGISTICS_LABOR</x:v>
      </x:c>
      <x:c r="G6" s="187" t="str">
        <x:v>EUR</x:v>
      </x:c>
      <x:c r="H6" s="235" t="n">
        <x:v>18000</x:v>
      </x:c>
      <x:c r="I6" s="235" t="n">
        <x:v>7.8</x:v>
      </x:c>
      <x:c r="J6" s="235" t="str">
        <x:v>140400.00</x:v>
      </x:c>
      <x:c r="K6" s="235" t="n">
        <x:v>140400</x:v>
      </x:c>
      <x:c r="L6" s="238" t="n">
        <x:f>H6*I6</x:f>
        <x:v>140400</x:v>
      </x:c>
      <x:c r="M6" s="238" t="n">
        <x:f>L6-K6</x:f>
        <x:v>0</x:v>
      </x:c>
    </x:row>
    <x:row r="7">
      <x:c r="A7" s="187" t="str">
        <x:v>BUDGET_2026_V1</x:v>
      </x:c>
      <x:c r="B7" s="187" t="str">
        <x:v>BUDGET</x:v>
      </x:c>
      <x:c r="C7" s="187"/>
      <x:c r="D7" s="217" t="n">
        <x:v>46023</x:v>
      </x:c>
      <x:c r="E7" s="187" t="str">
        <x:v>FR_FC</x:v>
      </x:c>
      <x:c r="F7" s="187" t="str">
        <x:v>WAREHOUSE_RENT</x:v>
      </x:c>
      <x:c r="G7" s="187" t="str">
        <x:v>EUR</x:v>
      </x:c>
      <x:c r="H7" s="235" t="n">
        <x:v>18000</x:v>
      </x:c>
      <x:c r="I7" s="235" t="n">
        <x:v>7.8</x:v>
      </x:c>
      <x:c r="J7" s="235" t="str">
        <x:v>140400.00</x:v>
      </x:c>
      <x:c r="K7" s="235" t="n">
        <x:v>140400</x:v>
      </x:c>
      <x:c r="L7" s="238" t="n">
        <x:f>H7*I7</x:f>
        <x:v>140400</x:v>
      </x:c>
      <x:c r="M7" s="238" t="n">
        <x:f>L7-K7</x:f>
        <x:v>0</x:v>
      </x:c>
    </x:row>
    <x:row r="8">
      <x:c r="A8" s="187" t="str">
        <x:v>BUDGET_2026_V1</x:v>
      </x:c>
      <x:c r="B8" s="187" t="str">
        <x:v>BUDGET</x:v>
      </x:c>
      <x:c r="C8" s="187"/>
      <x:c r="D8" s="217" t="n">
        <x:v>46023</x:v>
      </x:c>
      <x:c r="E8" s="187" t="str">
        <x:v>FR_FC</x:v>
      </x:c>
      <x:c r="F8" s="187" t="str">
        <x:v>LOGISTICS_LABOR</x:v>
      </x:c>
      <x:c r="G8" s="187" t="str">
        <x:v>EUR</x:v>
      </x:c>
      <x:c r="H8" s="235" t="n">
        <x:v>14000</x:v>
      </x:c>
      <x:c r="I8" s="235" t="n">
        <x:v>7.8</x:v>
      </x:c>
      <x:c r="J8" s="235" t="str">
        <x:v>109200.00</x:v>
      </x:c>
      <x:c r="K8" s="235" t="n">
        <x:v>109200</x:v>
      </x:c>
      <x:c r="L8" s="238" t="n">
        <x:f>H8*I8</x:f>
        <x:v>109200</x:v>
      </x:c>
      <x:c r="M8" s="238" t="n">
        <x:f>L8-K8</x:f>
        <x:v>0</x:v>
      </x:c>
    </x:row>
    <x:row r="9">
      <x:c r="A9" s="187" t="str">
        <x:v>BUDGET_2026_V1</x:v>
      </x:c>
      <x:c r="B9" s="187" t="str">
        <x:v>BUDGET</x:v>
      </x:c>
      <x:c r="C9" s="187"/>
      <x:c r="D9" s="217" t="n">
        <x:v>46023</x:v>
      </x:c>
      <x:c r="E9" s="187" t="str">
        <x:v>SHARED</x:v>
      </x:c>
      <x:c r="F9" s="187" t="str">
        <x:v>SYSTEM_COST</x:v>
      </x:c>
      <x:c r="G9" s="187" t="str">
        <x:v>CNY</x:v>
      </x:c>
      <x:c r="H9" s="235" t="n">
        <x:v>50000</x:v>
      </x:c>
      <x:c r="I9" s="235" t="n">
        <x:v>1</x:v>
      </x:c>
      <x:c r="J9" s="235" t="str">
        <x:v>50000</x:v>
      </x:c>
      <x:c r="K9" s="235" t="n">
        <x:v>50000</x:v>
      </x:c>
      <x:c r="L9" s="238" t="n">
        <x:f>H9*I9</x:f>
        <x:v>50000</x:v>
      </x:c>
      <x:c r="M9" s="238" t="n">
        <x:f>L9-K9</x:f>
        <x:v>0</x:v>
      </x:c>
    </x:row>
    <x:row r="10">
      <x:c r="A10" s="187" t="str">
        <x:v>BUDGET_2026_V1</x:v>
      </x:c>
      <x:c r="B10" s="187" t="str">
        <x:v>BUDGET</x:v>
      </x:c>
      <x:c r="C10" s="187"/>
      <x:c r="D10" s="217" t="n">
        <x:v>46054</x:v>
      </x:c>
      <x:c r="E10" s="187" t="str">
        <x:v>DE_FC</x:v>
      </x:c>
      <x:c r="F10" s="187" t="str">
        <x:v>WAREHOUSE_RENT</x:v>
      </x:c>
      <x:c r="G10" s="187" t="str">
        <x:v>EUR</x:v>
      </x:c>
      <x:c r="H10" s="235" t="n">
        <x:v>25000</x:v>
      </x:c>
      <x:c r="I10" s="235" t="n">
        <x:v>7.8</x:v>
      </x:c>
      <x:c r="J10" s="235" t="str">
        <x:v>195000.00</x:v>
      </x:c>
      <x:c r="K10" s="235" t="n">
        <x:v>195000</x:v>
      </x:c>
      <x:c r="L10" s="238" t="n">
        <x:f>H10*I10</x:f>
        <x:v>195000</x:v>
      </x:c>
      <x:c r="M10" s="238" t="n">
        <x:f>L10-K10</x:f>
        <x:v>0</x:v>
      </x:c>
    </x:row>
    <x:row r="11">
      <x:c r="A11" s="187" t="str">
        <x:v>BUDGET_2026_V1</x:v>
      </x:c>
      <x:c r="B11" s="187" t="str">
        <x:v>BUDGET</x:v>
      </x:c>
      <x:c r="C11" s="187"/>
      <x:c r="D11" s="217" t="n">
        <x:v>46054</x:v>
      </x:c>
      <x:c r="E11" s="187" t="str">
        <x:v>DE_FC</x:v>
      </x:c>
      <x:c r="F11" s="187" t="str">
        <x:v>LOGISTICS_LABOR</x:v>
      </x:c>
      <x:c r="G11" s="187" t="str">
        <x:v>EUR</x:v>
      </x:c>
      <x:c r="H11" s="235" t="n">
        <x:v>18000</x:v>
      </x:c>
      <x:c r="I11" s="235" t="n">
        <x:v>7.8</x:v>
      </x:c>
      <x:c r="J11" s="235" t="str">
        <x:v>140400.00</x:v>
      </x:c>
      <x:c r="K11" s="235" t="n">
        <x:v>140400</x:v>
      </x:c>
      <x:c r="L11" s="238" t="n">
        <x:f>H11*I11</x:f>
        <x:v>140400</x:v>
      </x:c>
      <x:c r="M11" s="238" t="n">
        <x:f>L11-K11</x:f>
        <x:v>0</x:v>
      </x:c>
    </x:row>
    <x:row r="12">
      <x:c r="A12" s="187" t="str">
        <x:v>BUDGET_2026_V1</x:v>
      </x:c>
      <x:c r="B12" s="187" t="str">
        <x:v>BUDGET</x:v>
      </x:c>
      <x:c r="C12" s="187"/>
      <x:c r="D12" s="217" t="n">
        <x:v>46054</x:v>
      </x:c>
      <x:c r="E12" s="187" t="str">
        <x:v>FR_FC</x:v>
      </x:c>
      <x:c r="F12" s="187" t="str">
        <x:v>WAREHOUSE_RENT</x:v>
      </x:c>
      <x:c r="G12" s="187" t="str">
        <x:v>EUR</x:v>
      </x:c>
      <x:c r="H12" s="235" t="n">
        <x:v>18000</x:v>
      </x:c>
      <x:c r="I12" s="235" t="n">
        <x:v>7.8</x:v>
      </x:c>
      <x:c r="J12" s="235" t="str">
        <x:v>140400.00</x:v>
      </x:c>
      <x:c r="K12" s="235" t="n">
        <x:v>140400</x:v>
      </x:c>
      <x:c r="L12" s="238" t="n">
        <x:f>H12*I12</x:f>
        <x:v>140400</x:v>
      </x:c>
      <x:c r="M12" s="238" t="n">
        <x:f>L12-K12</x:f>
        <x:v>0</x:v>
      </x:c>
    </x:row>
    <x:row r="13">
      <x:c r="A13" s="187" t="str">
        <x:v>BUDGET_2026_V1</x:v>
      </x:c>
      <x:c r="B13" s="187" t="str">
        <x:v>BUDGET</x:v>
      </x:c>
      <x:c r="C13" s="187"/>
      <x:c r="D13" s="217" t="n">
        <x:v>46054</x:v>
      </x:c>
      <x:c r="E13" s="187" t="str">
        <x:v>FR_FC</x:v>
      </x:c>
      <x:c r="F13" s="187" t="str">
        <x:v>LOGISTICS_LABOR</x:v>
      </x:c>
      <x:c r="G13" s="187" t="str">
        <x:v>EUR</x:v>
      </x:c>
      <x:c r="H13" s="235" t="n">
        <x:v>14000</x:v>
      </x:c>
      <x:c r="I13" s="235" t="n">
        <x:v>7.8</x:v>
      </x:c>
      <x:c r="J13" s="235" t="str">
        <x:v>109200.00</x:v>
      </x:c>
      <x:c r="K13" s="235" t="n">
        <x:v>109200</x:v>
      </x:c>
      <x:c r="L13" s="238" t="n">
        <x:f>H13*I13</x:f>
        <x:v>109200</x:v>
      </x:c>
      <x:c r="M13" s="238" t="n">
        <x:f>L13-K13</x:f>
        <x:v>0</x:v>
      </x:c>
    </x:row>
    <x:row r="14">
      <x:c r="A14" s="187" t="str">
        <x:v>BUDGET_2026_V1</x:v>
      </x:c>
      <x:c r="B14" s="187" t="str">
        <x:v>BUDGET</x:v>
      </x:c>
      <x:c r="C14" s="187"/>
      <x:c r="D14" s="217" t="n">
        <x:v>46054</x:v>
      </x:c>
      <x:c r="E14" s="187" t="str">
        <x:v>SHARED</x:v>
      </x:c>
      <x:c r="F14" s="187" t="str">
        <x:v>SYSTEM_COST</x:v>
      </x:c>
      <x:c r="G14" s="187" t="str">
        <x:v>CNY</x:v>
      </x:c>
      <x:c r="H14" s="235" t="n">
        <x:v>50000</x:v>
      </x:c>
      <x:c r="I14" s="235" t="n">
        <x:v>1</x:v>
      </x:c>
      <x:c r="J14" s="235" t="str">
        <x:v>50000</x:v>
      </x:c>
      <x:c r="K14" s="235" t="n">
        <x:v>50000</x:v>
      </x:c>
      <x:c r="L14" s="238" t="n">
        <x:f>H14*I14</x:f>
        <x:v>50000</x:v>
      </x:c>
      <x:c r="M14" s="238" t="n">
        <x:f>L14-K14</x:f>
        <x:v>0</x:v>
      </x:c>
    </x:row>
    <x:row r="15">
      <x:c r="A15" s="187" t="str">
        <x:v>BUDGET_2026_V1</x:v>
      </x:c>
      <x:c r="B15" s="187" t="str">
        <x:v>BUDGET</x:v>
      </x:c>
      <x:c r="C15" s="187"/>
      <x:c r="D15" s="217" t="n">
        <x:v>46082</x:v>
      </x:c>
      <x:c r="E15" s="187" t="str">
        <x:v>DE_FC</x:v>
      </x:c>
      <x:c r="F15" s="187" t="str">
        <x:v>WAREHOUSE_RENT</x:v>
      </x:c>
      <x:c r="G15" s="187" t="str">
        <x:v>EUR</x:v>
      </x:c>
      <x:c r="H15" s="235" t="n">
        <x:v>25000</x:v>
      </x:c>
      <x:c r="I15" s="235" t="n">
        <x:v>7.8</x:v>
      </x:c>
      <x:c r="J15" s="235" t="str">
        <x:v>195000.00</x:v>
      </x:c>
      <x:c r="K15" s="235" t="n">
        <x:v>195000</x:v>
      </x:c>
      <x:c r="L15" s="238" t="n">
        <x:f>H15*I15</x:f>
        <x:v>195000</x:v>
      </x:c>
      <x:c r="M15" s="238" t="n">
        <x:f>L15-K15</x:f>
        <x:v>0</x:v>
      </x:c>
    </x:row>
    <x:row r="16">
      <x:c r="A16" s="187" t="str">
        <x:v>BUDGET_2026_V1</x:v>
      </x:c>
      <x:c r="B16" s="187" t="str">
        <x:v>BUDGET</x:v>
      </x:c>
      <x:c r="C16" s="187"/>
      <x:c r="D16" s="217" t="n">
        <x:v>46082</x:v>
      </x:c>
      <x:c r="E16" s="187" t="str">
        <x:v>DE_FC</x:v>
      </x:c>
      <x:c r="F16" s="187" t="str">
        <x:v>LOGISTICS_LABOR</x:v>
      </x:c>
      <x:c r="G16" s="187" t="str">
        <x:v>EUR</x:v>
      </x:c>
      <x:c r="H16" s="235" t="n">
        <x:v>18000</x:v>
      </x:c>
      <x:c r="I16" s="235" t="n">
        <x:v>7.8</x:v>
      </x:c>
      <x:c r="J16" s="235" t="str">
        <x:v>140400.00</x:v>
      </x:c>
      <x:c r="K16" s="235" t="n">
        <x:v>140400</x:v>
      </x:c>
      <x:c r="L16" s="238" t="n">
        <x:f>H16*I16</x:f>
        <x:v>140400</x:v>
      </x:c>
      <x:c r="M16" s="238" t="n">
        <x:f>L16-K16</x:f>
        <x:v>0</x:v>
      </x:c>
    </x:row>
    <x:row r="17">
      <x:c r="A17" s="187" t="str">
        <x:v>BUDGET_2026_V1</x:v>
      </x:c>
      <x:c r="B17" s="187" t="str">
        <x:v>BUDGET</x:v>
      </x:c>
      <x:c r="C17" s="187"/>
      <x:c r="D17" s="217" t="n">
        <x:v>46082</x:v>
      </x:c>
      <x:c r="E17" s="187" t="str">
        <x:v>FR_FC</x:v>
      </x:c>
      <x:c r="F17" s="187" t="str">
        <x:v>WAREHOUSE_RENT</x:v>
      </x:c>
      <x:c r="G17" s="187" t="str">
        <x:v>EUR</x:v>
      </x:c>
      <x:c r="H17" s="235" t="n">
        <x:v>18000</x:v>
      </x:c>
      <x:c r="I17" s="235" t="n">
        <x:v>7.8</x:v>
      </x:c>
      <x:c r="J17" s="235" t="str">
        <x:v>140400.00</x:v>
      </x:c>
      <x:c r="K17" s="235" t="n">
        <x:v>140400</x:v>
      </x:c>
      <x:c r="L17" s="238" t="n">
        <x:f>H17*I17</x:f>
        <x:v>140400</x:v>
      </x:c>
      <x:c r="M17" s="238" t="n">
        <x:f>L17-K17</x:f>
        <x:v>0</x:v>
      </x:c>
    </x:row>
    <x:row r="18">
      <x:c r="A18" s="187" t="str">
        <x:v>BUDGET_2026_V1</x:v>
      </x:c>
      <x:c r="B18" s="187" t="str">
        <x:v>BUDGET</x:v>
      </x:c>
      <x:c r="C18" s="187"/>
      <x:c r="D18" s="217" t="n">
        <x:v>46082</x:v>
      </x:c>
      <x:c r="E18" s="187" t="str">
        <x:v>FR_FC</x:v>
      </x:c>
      <x:c r="F18" s="187" t="str">
        <x:v>LOGISTICS_LABOR</x:v>
      </x:c>
      <x:c r="G18" s="187" t="str">
        <x:v>EUR</x:v>
      </x:c>
      <x:c r="H18" s="235" t="n">
        <x:v>14000</x:v>
      </x:c>
      <x:c r="I18" s="235" t="n">
        <x:v>7.8</x:v>
      </x:c>
      <x:c r="J18" s="235" t="str">
        <x:v>109200.00</x:v>
      </x:c>
      <x:c r="K18" s="235" t="n">
        <x:v>109200</x:v>
      </x:c>
      <x:c r="L18" s="238" t="n">
        <x:f>H18*I18</x:f>
        <x:v>109200</x:v>
      </x:c>
      <x:c r="M18" s="238" t="n">
        <x:f>L18-K18</x:f>
        <x:v>0</x:v>
      </x:c>
    </x:row>
    <x:row r="19">
      <x:c r="A19" s="187" t="str">
        <x:v>BUDGET_2026_V1</x:v>
      </x:c>
      <x:c r="B19" s="187" t="str">
        <x:v>BUDGET</x:v>
      </x:c>
      <x:c r="C19" s="187"/>
      <x:c r="D19" s="217" t="n">
        <x:v>46082</x:v>
      </x:c>
      <x:c r="E19" s="187" t="str">
        <x:v>SHARED</x:v>
      </x:c>
      <x:c r="F19" s="187" t="str">
        <x:v>SYSTEM_COST</x:v>
      </x:c>
      <x:c r="G19" s="187" t="str">
        <x:v>CNY</x:v>
      </x:c>
      <x:c r="H19" s="235" t="n">
        <x:v>50000</x:v>
      </x:c>
      <x:c r="I19" s="235" t="n">
        <x:v>1</x:v>
      </x:c>
      <x:c r="J19" s="235" t="str">
        <x:v>50000</x:v>
      </x:c>
      <x:c r="K19" s="235" t="n">
        <x:v>50000</x:v>
      </x:c>
      <x:c r="L19" s="238" t="n">
        <x:f>H19*I19</x:f>
        <x:v>50000</x:v>
      </x:c>
      <x:c r="M19" s="238" t="n">
        <x:f>L19-K19</x:f>
        <x:v>0</x:v>
      </x:c>
    </x:row>
    <x:row r="20">
      <x:c r="A20" s="187" t="str">
        <x:v>BUDGET_2026_V1</x:v>
      </x:c>
      <x:c r="B20" s="187" t="str">
        <x:v>BUDGET</x:v>
      </x:c>
      <x:c r="C20" s="187"/>
      <x:c r="D20" s="217" t="n">
        <x:v>46113</x:v>
      </x:c>
      <x:c r="E20" s="187" t="str">
        <x:v>DE_FC</x:v>
      </x:c>
      <x:c r="F20" s="187" t="str">
        <x:v>WAREHOUSE_RENT</x:v>
      </x:c>
      <x:c r="G20" s="187" t="str">
        <x:v>EUR</x:v>
      </x:c>
      <x:c r="H20" s="235" t="n">
        <x:v>25000</x:v>
      </x:c>
      <x:c r="I20" s="235" t="n">
        <x:v>7.8</x:v>
      </x:c>
      <x:c r="J20" s="235" t="str">
        <x:v>195000.00</x:v>
      </x:c>
      <x:c r="K20" s="235" t="n">
        <x:v>195000</x:v>
      </x:c>
      <x:c r="L20" s="238" t="n">
        <x:f>H20*I20</x:f>
        <x:v>195000</x:v>
      </x:c>
      <x:c r="M20" s="238" t="n">
        <x:f>L20-K20</x:f>
        <x:v>0</x:v>
      </x:c>
    </x:row>
    <x:row r="21">
      <x:c r="A21" s="187" t="str">
        <x:v>BUDGET_2026_V1</x:v>
      </x:c>
      <x:c r="B21" s="187" t="str">
        <x:v>BUDGET</x:v>
      </x:c>
      <x:c r="C21" s="187"/>
      <x:c r="D21" s="217" t="n">
        <x:v>46113</x:v>
      </x:c>
      <x:c r="E21" s="187" t="str">
        <x:v>DE_FC</x:v>
      </x:c>
      <x:c r="F21" s="187" t="str">
        <x:v>LOGISTICS_LABOR</x:v>
      </x:c>
      <x:c r="G21" s="187" t="str">
        <x:v>EUR</x:v>
      </x:c>
      <x:c r="H21" s="235" t="n">
        <x:v>18000</x:v>
      </x:c>
      <x:c r="I21" s="235" t="n">
        <x:v>7.8</x:v>
      </x:c>
      <x:c r="J21" s="235" t="str">
        <x:v>140400.00</x:v>
      </x:c>
      <x:c r="K21" s="235" t="n">
        <x:v>140400</x:v>
      </x:c>
      <x:c r="L21" s="238" t="n">
        <x:f>H21*I21</x:f>
        <x:v>140400</x:v>
      </x:c>
      <x:c r="M21" s="238" t="n">
        <x:f>L21-K21</x:f>
        <x:v>0</x:v>
      </x:c>
    </x:row>
    <x:row r="22">
      <x:c r="A22" s="187" t="str">
        <x:v>BUDGET_2026_V1</x:v>
      </x:c>
      <x:c r="B22" s="187" t="str">
        <x:v>BUDGET</x:v>
      </x:c>
      <x:c r="C22" s="187"/>
      <x:c r="D22" s="217" t="n">
        <x:v>46113</x:v>
      </x:c>
      <x:c r="E22" s="187" t="str">
        <x:v>FR_FC</x:v>
      </x:c>
      <x:c r="F22" s="187" t="str">
        <x:v>WAREHOUSE_RENT</x:v>
      </x:c>
      <x:c r="G22" s="187" t="str">
        <x:v>EUR</x:v>
      </x:c>
      <x:c r="H22" s="235" t="n">
        <x:v>18000</x:v>
      </x:c>
      <x:c r="I22" s="235" t="n">
        <x:v>7.8</x:v>
      </x:c>
      <x:c r="J22" s="235" t="str">
        <x:v>140400.00</x:v>
      </x:c>
      <x:c r="K22" s="235" t="n">
        <x:v>140400</x:v>
      </x:c>
      <x:c r="L22" s="238" t="n">
        <x:f>H22*I22</x:f>
        <x:v>140400</x:v>
      </x:c>
      <x:c r="M22" s="238" t="n">
        <x:f>L22-K22</x:f>
        <x:v>0</x:v>
      </x:c>
    </x:row>
    <x:row r="23">
      <x:c r="A23" s="187" t="str">
        <x:v>BUDGET_2026_V1</x:v>
      </x:c>
      <x:c r="B23" s="187" t="str">
        <x:v>BUDGET</x:v>
      </x:c>
      <x:c r="C23" s="187"/>
      <x:c r="D23" s="217" t="n">
        <x:v>46113</x:v>
      </x:c>
      <x:c r="E23" s="187" t="str">
        <x:v>FR_FC</x:v>
      </x:c>
      <x:c r="F23" s="187" t="str">
        <x:v>LOGISTICS_LABOR</x:v>
      </x:c>
      <x:c r="G23" s="187" t="str">
        <x:v>EUR</x:v>
      </x:c>
      <x:c r="H23" s="235" t="n">
        <x:v>14000</x:v>
      </x:c>
      <x:c r="I23" s="235" t="n">
        <x:v>7.8</x:v>
      </x:c>
      <x:c r="J23" s="235" t="str">
        <x:v>109200.00</x:v>
      </x:c>
      <x:c r="K23" s="235" t="n">
        <x:v>109200</x:v>
      </x:c>
      <x:c r="L23" s="238" t="n">
        <x:f>H23*I23</x:f>
        <x:v>109200</x:v>
      </x:c>
      <x:c r="M23" s="238" t="n">
        <x:f>L23-K23</x:f>
        <x:v>0</x:v>
      </x:c>
    </x:row>
    <x:row r="24">
      <x:c r="A24" s="187" t="str">
        <x:v>BUDGET_2026_V1</x:v>
      </x:c>
      <x:c r="B24" s="187" t="str">
        <x:v>BUDGET</x:v>
      </x:c>
      <x:c r="C24" s="187"/>
      <x:c r="D24" s="217" t="n">
        <x:v>46113</x:v>
      </x:c>
      <x:c r="E24" s="187" t="str">
        <x:v>SHARED</x:v>
      </x:c>
      <x:c r="F24" s="187" t="str">
        <x:v>SYSTEM_COST</x:v>
      </x:c>
      <x:c r="G24" s="187" t="str">
        <x:v>CNY</x:v>
      </x:c>
      <x:c r="H24" s="235" t="n">
        <x:v>50000</x:v>
      </x:c>
      <x:c r="I24" s="235" t="n">
        <x:v>1</x:v>
      </x:c>
      <x:c r="J24" s="235" t="str">
        <x:v>50000</x:v>
      </x:c>
      <x:c r="K24" s="235" t="n">
        <x:v>50000</x:v>
      </x:c>
      <x:c r="L24" s="238" t="n">
        <x:f>H24*I24</x:f>
        <x:v>50000</x:v>
      </x:c>
      <x:c r="M24" s="238" t="n">
        <x:f>L24-K24</x:f>
        <x:v>0</x:v>
      </x:c>
    </x:row>
    <x:row r="25">
      <x:c r="A25" s="187" t="str">
        <x:v>BUDGET_2026_V1</x:v>
      </x:c>
      <x:c r="B25" s="187" t="str">
        <x:v>BUDGET</x:v>
      </x:c>
      <x:c r="C25" s="187"/>
      <x:c r="D25" s="217" t="n">
        <x:v>46143</x:v>
      </x:c>
      <x:c r="E25" s="187" t="str">
        <x:v>DE_FC</x:v>
      </x:c>
      <x:c r="F25" s="187" t="str">
        <x:v>WAREHOUSE_RENT</x:v>
      </x:c>
      <x:c r="G25" s="187" t="str">
        <x:v>EUR</x:v>
      </x:c>
      <x:c r="H25" s="235" t="n">
        <x:v>25000</x:v>
      </x:c>
      <x:c r="I25" s="235" t="n">
        <x:v>7.8</x:v>
      </x:c>
      <x:c r="J25" s="235" t="str">
        <x:v>195000.00</x:v>
      </x:c>
      <x:c r="K25" s="235" t="n">
        <x:v>195000</x:v>
      </x:c>
      <x:c r="L25" s="238" t="n">
        <x:f>H25*I25</x:f>
        <x:v>195000</x:v>
      </x:c>
      <x:c r="M25" s="238" t="n">
        <x:f>L25-K25</x:f>
        <x:v>0</x:v>
      </x:c>
    </x:row>
    <x:row r="26">
      <x:c r="A26" s="187" t="str">
        <x:v>BUDGET_2026_V1</x:v>
      </x:c>
      <x:c r="B26" s="187" t="str">
        <x:v>BUDGET</x:v>
      </x:c>
      <x:c r="C26" s="187"/>
      <x:c r="D26" s="217" t="n">
        <x:v>46143</x:v>
      </x:c>
      <x:c r="E26" s="187" t="str">
        <x:v>DE_FC</x:v>
      </x:c>
      <x:c r="F26" s="187" t="str">
        <x:v>LOGISTICS_LABOR</x:v>
      </x:c>
      <x:c r="G26" s="187" t="str">
        <x:v>EUR</x:v>
      </x:c>
      <x:c r="H26" s="235" t="n">
        <x:v>18000</x:v>
      </x:c>
      <x:c r="I26" s="235" t="n">
        <x:v>7.8</x:v>
      </x:c>
      <x:c r="J26" s="235" t="str">
        <x:v>140400.00</x:v>
      </x:c>
      <x:c r="K26" s="235" t="n">
        <x:v>140400</x:v>
      </x:c>
      <x:c r="L26" s="238" t="n">
        <x:f>H26*I26</x:f>
        <x:v>140400</x:v>
      </x:c>
      <x:c r="M26" s="238" t="n">
        <x:f>L26-K26</x:f>
        <x:v>0</x:v>
      </x:c>
    </x:row>
    <x:row r="27">
      <x:c r="A27" s="187" t="str">
        <x:v>BUDGET_2026_V1</x:v>
      </x:c>
      <x:c r="B27" s="187" t="str">
        <x:v>BUDGET</x:v>
      </x:c>
      <x:c r="C27" s="187"/>
      <x:c r="D27" s="217" t="n">
        <x:v>46143</x:v>
      </x:c>
      <x:c r="E27" s="187" t="str">
        <x:v>FR_FC</x:v>
      </x:c>
      <x:c r="F27" s="187" t="str">
        <x:v>WAREHOUSE_RENT</x:v>
      </x:c>
      <x:c r="G27" s="187" t="str">
        <x:v>EUR</x:v>
      </x:c>
      <x:c r="H27" s="235" t="n">
        <x:v>18000</x:v>
      </x:c>
      <x:c r="I27" s="235" t="n">
        <x:v>7.8</x:v>
      </x:c>
      <x:c r="J27" s="235" t="str">
        <x:v>140400.00</x:v>
      </x:c>
      <x:c r="K27" s="235" t="n">
        <x:v>140400</x:v>
      </x:c>
      <x:c r="L27" s="238" t="n">
        <x:f>H27*I27</x:f>
        <x:v>140400</x:v>
      </x:c>
      <x:c r="M27" s="238" t="n">
        <x:f>L27-K27</x:f>
        <x:v>0</x:v>
      </x:c>
    </x:row>
    <x:row r="28">
      <x:c r="A28" s="187" t="str">
        <x:v>BUDGET_2026_V1</x:v>
      </x:c>
      <x:c r="B28" s="187" t="str">
        <x:v>BUDGET</x:v>
      </x:c>
      <x:c r="C28" s="187"/>
      <x:c r="D28" s="217" t="n">
        <x:v>46143</x:v>
      </x:c>
      <x:c r="E28" s="187" t="str">
        <x:v>FR_FC</x:v>
      </x:c>
      <x:c r="F28" s="187" t="str">
        <x:v>LOGISTICS_LABOR</x:v>
      </x:c>
      <x:c r="G28" s="187" t="str">
        <x:v>EUR</x:v>
      </x:c>
      <x:c r="H28" s="235" t="n">
        <x:v>14000</x:v>
      </x:c>
      <x:c r="I28" s="235" t="n">
        <x:v>7.8</x:v>
      </x:c>
      <x:c r="J28" s="235" t="str">
        <x:v>109200.00</x:v>
      </x:c>
      <x:c r="K28" s="235" t="n">
        <x:v>109200</x:v>
      </x:c>
      <x:c r="L28" s="238" t="n">
        <x:f>H28*I28</x:f>
        <x:v>109200</x:v>
      </x:c>
      <x:c r="M28" s="238" t="n">
        <x:f>L28-K28</x:f>
        <x:v>0</x:v>
      </x:c>
    </x:row>
    <x:row r="29">
      <x:c r="A29" s="187" t="str">
        <x:v>BUDGET_2026_V1</x:v>
      </x:c>
      <x:c r="B29" s="187" t="str">
        <x:v>BUDGET</x:v>
      </x:c>
      <x:c r="C29" s="187"/>
      <x:c r="D29" s="217" t="n">
        <x:v>46143</x:v>
      </x:c>
      <x:c r="E29" s="187" t="str">
        <x:v>SHARED</x:v>
      </x:c>
      <x:c r="F29" s="187" t="str">
        <x:v>SYSTEM_COST</x:v>
      </x:c>
      <x:c r="G29" s="187" t="str">
        <x:v>CNY</x:v>
      </x:c>
      <x:c r="H29" s="235" t="n">
        <x:v>50000</x:v>
      </x:c>
      <x:c r="I29" s="235" t="n">
        <x:v>1</x:v>
      </x:c>
      <x:c r="J29" s="235" t="str">
        <x:v>50000</x:v>
      </x:c>
      <x:c r="K29" s="235" t="n">
        <x:v>50000</x:v>
      </x:c>
      <x:c r="L29" s="238" t="n">
        <x:f>H29*I29</x:f>
        <x:v>50000</x:v>
      </x:c>
      <x:c r="M29" s="238" t="n">
        <x:f>L29-K29</x:f>
        <x:v>0</x:v>
      </x:c>
    </x:row>
    <x:row r="30">
      <x:c r="A30" s="187" t="str">
        <x:v>BUDGET_2026_V1</x:v>
      </x:c>
      <x:c r="B30" s="187" t="str">
        <x:v>BUDGET</x:v>
      </x:c>
      <x:c r="C30" s="187"/>
      <x:c r="D30" s="217" t="n">
        <x:v>46174</x:v>
      </x:c>
      <x:c r="E30" s="187" t="str">
        <x:v>DE_FC</x:v>
      </x:c>
      <x:c r="F30" s="187" t="str">
        <x:v>WAREHOUSE_RENT</x:v>
      </x:c>
      <x:c r="G30" s="187" t="str">
        <x:v>EUR</x:v>
      </x:c>
      <x:c r="H30" s="235" t="n">
        <x:v>25000</x:v>
      </x:c>
      <x:c r="I30" s="235" t="n">
        <x:v>7.8</x:v>
      </x:c>
      <x:c r="J30" s="235" t="str">
        <x:v>195000.00</x:v>
      </x:c>
      <x:c r="K30" s="235" t="n">
        <x:v>195000</x:v>
      </x:c>
      <x:c r="L30" s="238" t="n">
        <x:f>H30*I30</x:f>
        <x:v>195000</x:v>
      </x:c>
      <x:c r="M30" s="238" t="n">
        <x:f>L30-K30</x:f>
        <x:v>0</x:v>
      </x:c>
    </x:row>
    <x:row r="31">
      <x:c r="A31" s="187" t="str">
        <x:v>BUDGET_2026_V1</x:v>
      </x:c>
      <x:c r="B31" s="187" t="str">
        <x:v>BUDGET</x:v>
      </x:c>
      <x:c r="C31" s="187"/>
      <x:c r="D31" s="217" t="n">
        <x:v>46174</x:v>
      </x:c>
      <x:c r="E31" s="187" t="str">
        <x:v>DE_FC</x:v>
      </x:c>
      <x:c r="F31" s="187" t="str">
        <x:v>LOGISTICS_LABOR</x:v>
      </x:c>
      <x:c r="G31" s="187" t="str">
        <x:v>EUR</x:v>
      </x:c>
      <x:c r="H31" s="235" t="n">
        <x:v>18000</x:v>
      </x:c>
      <x:c r="I31" s="235" t="n">
        <x:v>7.8</x:v>
      </x:c>
      <x:c r="J31" s="235" t="str">
        <x:v>140400.00</x:v>
      </x:c>
      <x:c r="K31" s="235" t="n">
        <x:v>140400</x:v>
      </x:c>
      <x:c r="L31" s="238" t="n">
        <x:f>H31*I31</x:f>
        <x:v>140400</x:v>
      </x:c>
      <x:c r="M31" s="238" t="n">
        <x:f>L31-K31</x:f>
        <x:v>0</x:v>
      </x:c>
    </x:row>
    <x:row r="32">
      <x:c r="A32" s="187" t="str">
        <x:v>BUDGET_2026_V1</x:v>
      </x:c>
      <x:c r="B32" s="187" t="str">
        <x:v>BUDGET</x:v>
      </x:c>
      <x:c r="C32" s="187"/>
      <x:c r="D32" s="217" t="n">
        <x:v>46174</x:v>
      </x:c>
      <x:c r="E32" s="187" t="str">
        <x:v>FR_FC</x:v>
      </x:c>
      <x:c r="F32" s="187" t="str">
        <x:v>WAREHOUSE_RENT</x:v>
      </x:c>
      <x:c r="G32" s="187" t="str">
        <x:v>EUR</x:v>
      </x:c>
      <x:c r="H32" s="235" t="n">
        <x:v>18000</x:v>
      </x:c>
      <x:c r="I32" s="235" t="n">
        <x:v>7.8</x:v>
      </x:c>
      <x:c r="J32" s="235" t="str">
        <x:v>140400.00</x:v>
      </x:c>
      <x:c r="K32" s="235" t="n">
        <x:v>140400</x:v>
      </x:c>
      <x:c r="L32" s="238" t="n">
        <x:f>H32*I32</x:f>
        <x:v>140400</x:v>
      </x:c>
      <x:c r="M32" s="238" t="n">
        <x:f>L32-K32</x:f>
        <x:v>0</x:v>
      </x:c>
    </x:row>
    <x:row r="33">
      <x:c r="A33" s="187" t="str">
        <x:v>BUDGET_2026_V1</x:v>
      </x:c>
      <x:c r="B33" s="187" t="str">
        <x:v>BUDGET</x:v>
      </x:c>
      <x:c r="C33" s="187"/>
      <x:c r="D33" s="217" t="n">
        <x:v>46174</x:v>
      </x:c>
      <x:c r="E33" s="187" t="str">
        <x:v>FR_FC</x:v>
      </x:c>
      <x:c r="F33" s="187" t="str">
        <x:v>LOGISTICS_LABOR</x:v>
      </x:c>
      <x:c r="G33" s="187" t="str">
        <x:v>EUR</x:v>
      </x:c>
      <x:c r="H33" s="235" t="n">
        <x:v>14000</x:v>
      </x:c>
      <x:c r="I33" s="235" t="n">
        <x:v>7.8</x:v>
      </x:c>
      <x:c r="J33" s="235" t="str">
        <x:v>109200.00</x:v>
      </x:c>
      <x:c r="K33" s="235" t="n">
        <x:v>109200</x:v>
      </x:c>
      <x:c r="L33" s="238" t="n">
        <x:f>H33*I33</x:f>
        <x:v>109200</x:v>
      </x:c>
      <x:c r="M33" s="238" t="n">
        <x:f>L33-K33</x:f>
        <x:v>0</x:v>
      </x:c>
    </x:row>
    <x:row r="34">
      <x:c r="A34" s="187" t="str">
        <x:v>BUDGET_2026_V1</x:v>
      </x:c>
      <x:c r="B34" s="187" t="str">
        <x:v>BUDGET</x:v>
      </x:c>
      <x:c r="C34" s="187"/>
      <x:c r="D34" s="217" t="n">
        <x:v>46174</x:v>
      </x:c>
      <x:c r="E34" s="187" t="str">
        <x:v>SHARED</x:v>
      </x:c>
      <x:c r="F34" s="187" t="str">
        <x:v>SYSTEM_COST</x:v>
      </x:c>
      <x:c r="G34" s="187" t="str">
        <x:v>CNY</x:v>
      </x:c>
      <x:c r="H34" s="235" t="n">
        <x:v>50000</x:v>
      </x:c>
      <x:c r="I34" s="235" t="n">
        <x:v>1</x:v>
      </x:c>
      <x:c r="J34" s="235" t="str">
        <x:v>50000</x:v>
      </x:c>
      <x:c r="K34" s="235" t="n">
        <x:v>50000</x:v>
      </x:c>
      <x:c r="L34" s="238" t="n">
        <x:f>H34*I34</x:f>
        <x:v>50000</x:v>
      </x:c>
      <x:c r="M34" s="238" t="n">
        <x:f>L34-K34</x:f>
        <x:v>0</x:v>
      </x:c>
    </x:row>
    <x:row r="35">
      <x:c r="A35" s="187" t="str">
        <x:v>BUDGET_2026_V1</x:v>
      </x:c>
      <x:c r="B35" s="187" t="str">
        <x:v>BUDGET</x:v>
      </x:c>
      <x:c r="C35" s="187"/>
      <x:c r="D35" s="217" t="n">
        <x:v>46204</x:v>
      </x:c>
      <x:c r="E35" s="187" t="str">
        <x:v>DE_FC</x:v>
      </x:c>
      <x:c r="F35" s="187" t="str">
        <x:v>WAREHOUSE_RENT</x:v>
      </x:c>
      <x:c r="G35" s="187" t="str">
        <x:v>EUR</x:v>
      </x:c>
      <x:c r="H35" s="235" t="n">
        <x:v>25000</x:v>
      </x:c>
      <x:c r="I35" s="235" t="n">
        <x:v>7.8</x:v>
      </x:c>
      <x:c r="J35" s="235" t="str">
        <x:v>195000.00</x:v>
      </x:c>
      <x:c r="K35" s="235" t="n">
        <x:v>195000</x:v>
      </x:c>
      <x:c r="L35" s="238" t="n">
        <x:f>H35*I35</x:f>
        <x:v>195000</x:v>
      </x:c>
      <x:c r="M35" s="238" t="n">
        <x:f>L35-K35</x:f>
        <x:v>0</x:v>
      </x:c>
    </x:row>
    <x:row r="36">
      <x:c r="A36" s="187" t="str">
        <x:v>BUDGET_2026_V1</x:v>
      </x:c>
      <x:c r="B36" s="187" t="str">
        <x:v>BUDGET</x:v>
      </x:c>
      <x:c r="C36" s="187"/>
      <x:c r="D36" s="217" t="n">
        <x:v>46204</x:v>
      </x:c>
      <x:c r="E36" s="187" t="str">
        <x:v>DE_FC</x:v>
      </x:c>
      <x:c r="F36" s="187" t="str">
        <x:v>LOGISTICS_LABOR</x:v>
      </x:c>
      <x:c r="G36" s="187" t="str">
        <x:v>EUR</x:v>
      </x:c>
      <x:c r="H36" s="235" t="n">
        <x:v>18000</x:v>
      </x:c>
      <x:c r="I36" s="235" t="n">
        <x:v>7.8</x:v>
      </x:c>
      <x:c r="J36" s="235" t="str">
        <x:v>140400.00</x:v>
      </x:c>
      <x:c r="K36" s="235" t="n">
        <x:v>140400</x:v>
      </x:c>
      <x:c r="L36" s="238" t="n">
        <x:f>H36*I36</x:f>
        <x:v>140400</x:v>
      </x:c>
      <x:c r="M36" s="238" t="n">
        <x:f>L36-K36</x:f>
        <x:v>0</x:v>
      </x:c>
    </x:row>
    <x:row r="37">
      <x:c r="A37" s="187" t="str">
        <x:v>BUDGET_2026_V1</x:v>
      </x:c>
      <x:c r="B37" s="187" t="str">
        <x:v>BUDGET</x:v>
      </x:c>
      <x:c r="C37" s="187"/>
      <x:c r="D37" s="217" t="n">
        <x:v>46204</x:v>
      </x:c>
      <x:c r="E37" s="187" t="str">
        <x:v>FR_FC</x:v>
      </x:c>
      <x:c r="F37" s="187" t="str">
        <x:v>WAREHOUSE_RENT</x:v>
      </x:c>
      <x:c r="G37" s="187" t="str">
        <x:v>EUR</x:v>
      </x:c>
      <x:c r="H37" s="235" t="n">
        <x:v>18000</x:v>
      </x:c>
      <x:c r="I37" s="235" t="n">
        <x:v>7.8</x:v>
      </x:c>
      <x:c r="J37" s="235" t="str">
        <x:v>140400.00</x:v>
      </x:c>
      <x:c r="K37" s="235" t="n">
        <x:v>140400</x:v>
      </x:c>
      <x:c r="L37" s="238" t="n">
        <x:f>H37*I37</x:f>
        <x:v>140400</x:v>
      </x:c>
      <x:c r="M37" s="238" t="n">
        <x:f>L37-K37</x:f>
        <x:v>0</x:v>
      </x:c>
    </x:row>
    <x:row r="38">
      <x:c r="A38" s="187" t="str">
        <x:v>BUDGET_2026_V1</x:v>
      </x:c>
      <x:c r="B38" s="187" t="str">
        <x:v>BUDGET</x:v>
      </x:c>
      <x:c r="C38" s="187"/>
      <x:c r="D38" s="217" t="n">
        <x:v>46204</x:v>
      </x:c>
      <x:c r="E38" s="187" t="str">
        <x:v>FR_FC</x:v>
      </x:c>
      <x:c r="F38" s="187" t="str">
        <x:v>LOGISTICS_LABOR</x:v>
      </x:c>
      <x:c r="G38" s="187" t="str">
        <x:v>EUR</x:v>
      </x:c>
      <x:c r="H38" s="235" t="n">
        <x:v>14000</x:v>
      </x:c>
      <x:c r="I38" s="235" t="n">
        <x:v>7.8</x:v>
      </x:c>
      <x:c r="J38" s="235" t="str">
        <x:v>109200.00</x:v>
      </x:c>
      <x:c r="K38" s="235" t="n">
        <x:v>109200</x:v>
      </x:c>
      <x:c r="L38" s="238" t="n">
        <x:f>H38*I38</x:f>
        <x:v>109200</x:v>
      </x:c>
      <x:c r="M38" s="238" t="n">
        <x:f>L38-K38</x:f>
        <x:v>0</x:v>
      </x:c>
    </x:row>
    <x:row r="39">
      <x:c r="A39" s="187" t="str">
        <x:v>BUDGET_2026_V1</x:v>
      </x:c>
      <x:c r="B39" s="187" t="str">
        <x:v>BUDGET</x:v>
      </x:c>
      <x:c r="C39" s="187"/>
      <x:c r="D39" s="217" t="n">
        <x:v>46204</x:v>
      </x:c>
      <x:c r="E39" s="187" t="str">
        <x:v>SHARED</x:v>
      </x:c>
      <x:c r="F39" s="187" t="str">
        <x:v>SYSTEM_COST</x:v>
      </x:c>
      <x:c r="G39" s="187" t="str">
        <x:v>CNY</x:v>
      </x:c>
      <x:c r="H39" s="235" t="n">
        <x:v>50000</x:v>
      </x:c>
      <x:c r="I39" s="235" t="n">
        <x:v>1</x:v>
      </x:c>
      <x:c r="J39" s="235" t="str">
        <x:v>50000</x:v>
      </x:c>
      <x:c r="K39" s="235" t="n">
        <x:v>50000</x:v>
      </x:c>
      <x:c r="L39" s="238" t="n">
        <x:f>H39*I39</x:f>
        <x:v>50000</x:v>
      </x:c>
      <x:c r="M39" s="238" t="n">
        <x:f>L39-K39</x:f>
        <x:v>0</x:v>
      </x:c>
    </x:row>
    <x:row r="40">
      <x:c r="A40" s="187" t="str">
        <x:v>BUDGET_2026_V1</x:v>
      </x:c>
      <x:c r="B40" s="187" t="str">
        <x:v>BUDGET</x:v>
      </x:c>
      <x:c r="C40" s="187"/>
      <x:c r="D40" s="217" t="n">
        <x:v>46235</x:v>
      </x:c>
      <x:c r="E40" s="187" t="str">
        <x:v>DE_FC</x:v>
      </x:c>
      <x:c r="F40" s="187" t="str">
        <x:v>WAREHOUSE_RENT</x:v>
      </x:c>
      <x:c r="G40" s="187" t="str">
        <x:v>EUR</x:v>
      </x:c>
      <x:c r="H40" s="235" t="n">
        <x:v>25000</x:v>
      </x:c>
      <x:c r="I40" s="235" t="n">
        <x:v>7.8</x:v>
      </x:c>
      <x:c r="J40" s="235" t="str">
        <x:v>195000.00</x:v>
      </x:c>
      <x:c r="K40" s="235" t="n">
        <x:v>195000</x:v>
      </x:c>
      <x:c r="L40" s="238" t="n">
        <x:f>H40*I40</x:f>
        <x:v>195000</x:v>
      </x:c>
      <x:c r="M40" s="238" t="n">
        <x:f>L40-K40</x:f>
        <x:v>0</x:v>
      </x:c>
    </x:row>
    <x:row r="41">
      <x:c r="A41" s="187" t="str">
        <x:v>BUDGET_2026_V1</x:v>
      </x:c>
      <x:c r="B41" s="187" t="str">
        <x:v>BUDGET</x:v>
      </x:c>
      <x:c r="C41" s="187"/>
      <x:c r="D41" s="217" t="n">
        <x:v>46235</x:v>
      </x:c>
      <x:c r="E41" s="187" t="str">
        <x:v>DE_FC</x:v>
      </x:c>
      <x:c r="F41" s="187" t="str">
        <x:v>LOGISTICS_LABOR</x:v>
      </x:c>
      <x:c r="G41" s="187" t="str">
        <x:v>EUR</x:v>
      </x:c>
      <x:c r="H41" s="235" t="n">
        <x:v>18000</x:v>
      </x:c>
      <x:c r="I41" s="235" t="n">
        <x:v>7.8</x:v>
      </x:c>
      <x:c r="J41" s="235" t="str">
        <x:v>140400.00</x:v>
      </x:c>
      <x:c r="K41" s="235" t="n">
        <x:v>140400</x:v>
      </x:c>
      <x:c r="L41" s="238" t="n">
        <x:f>H41*I41</x:f>
        <x:v>140400</x:v>
      </x:c>
      <x:c r="M41" s="238" t="n">
        <x:f>L41-K41</x:f>
        <x:v>0</x:v>
      </x:c>
    </x:row>
    <x:row r="42">
      <x:c r="A42" s="187" t="str">
        <x:v>BUDGET_2026_V1</x:v>
      </x:c>
      <x:c r="B42" s="187" t="str">
        <x:v>BUDGET</x:v>
      </x:c>
      <x:c r="C42" s="187"/>
      <x:c r="D42" s="217" t="n">
        <x:v>46235</x:v>
      </x:c>
      <x:c r="E42" s="187" t="str">
        <x:v>FR_FC</x:v>
      </x:c>
      <x:c r="F42" s="187" t="str">
        <x:v>WAREHOUSE_RENT</x:v>
      </x:c>
      <x:c r="G42" s="187" t="str">
        <x:v>EUR</x:v>
      </x:c>
      <x:c r="H42" s="235" t="n">
        <x:v>18000</x:v>
      </x:c>
      <x:c r="I42" s="235" t="n">
        <x:v>7.8</x:v>
      </x:c>
      <x:c r="J42" s="235" t="str">
        <x:v>140400.00</x:v>
      </x:c>
      <x:c r="K42" s="235" t="n">
        <x:v>140400</x:v>
      </x:c>
      <x:c r="L42" s="238" t="n">
        <x:f>H42*I42</x:f>
        <x:v>140400</x:v>
      </x:c>
      <x:c r="M42" s="238" t="n">
        <x:f>L42-K42</x:f>
        <x:v>0</x:v>
      </x:c>
    </x:row>
    <x:row r="43">
      <x:c r="A43" s="187" t="str">
        <x:v>BUDGET_2026_V1</x:v>
      </x:c>
      <x:c r="B43" s="187" t="str">
        <x:v>BUDGET</x:v>
      </x:c>
      <x:c r="C43" s="187"/>
      <x:c r="D43" s="217" t="n">
        <x:v>46235</x:v>
      </x:c>
      <x:c r="E43" s="187" t="str">
        <x:v>FR_FC</x:v>
      </x:c>
      <x:c r="F43" s="187" t="str">
        <x:v>LOGISTICS_LABOR</x:v>
      </x:c>
      <x:c r="G43" s="187" t="str">
        <x:v>EUR</x:v>
      </x:c>
      <x:c r="H43" s="235" t="n">
        <x:v>14000</x:v>
      </x:c>
      <x:c r="I43" s="235" t="n">
        <x:v>7.8</x:v>
      </x:c>
      <x:c r="J43" s="235" t="str">
        <x:v>109200.00</x:v>
      </x:c>
      <x:c r="K43" s="235" t="n">
        <x:v>109200</x:v>
      </x:c>
      <x:c r="L43" s="238" t="n">
        <x:f>H43*I43</x:f>
        <x:v>109200</x:v>
      </x:c>
      <x:c r="M43" s="238" t="n">
        <x:f>L43-K43</x:f>
        <x:v>0</x:v>
      </x:c>
    </x:row>
    <x:row r="44">
      <x:c r="A44" s="187" t="str">
        <x:v>BUDGET_2026_V1</x:v>
      </x:c>
      <x:c r="B44" s="187" t="str">
        <x:v>BUDGET</x:v>
      </x:c>
      <x:c r="C44" s="187"/>
      <x:c r="D44" s="217" t="n">
        <x:v>46235</x:v>
      </x:c>
      <x:c r="E44" s="187" t="str">
        <x:v>SHARED</x:v>
      </x:c>
      <x:c r="F44" s="187" t="str">
        <x:v>SYSTEM_COST</x:v>
      </x:c>
      <x:c r="G44" s="187" t="str">
        <x:v>CNY</x:v>
      </x:c>
      <x:c r="H44" s="235" t="n">
        <x:v>50000</x:v>
      </x:c>
      <x:c r="I44" s="235" t="n">
        <x:v>1</x:v>
      </x:c>
      <x:c r="J44" s="235" t="str">
        <x:v>50000</x:v>
      </x:c>
      <x:c r="K44" s="235" t="n">
        <x:v>50000</x:v>
      </x:c>
      <x:c r="L44" s="238" t="n">
        <x:f>H44*I44</x:f>
        <x:v>50000</x:v>
      </x:c>
      <x:c r="M44" s="238" t="n">
        <x:f>L44-K44</x:f>
        <x:v>0</x:v>
      </x:c>
    </x:row>
    <x:row r="45">
      <x:c r="A45" s="187" t="str">
        <x:v>BUDGET_2026_V1</x:v>
      </x:c>
      <x:c r="B45" s="187" t="str">
        <x:v>BUDGET</x:v>
      </x:c>
      <x:c r="C45" s="187"/>
      <x:c r="D45" s="217" t="n">
        <x:v>46266</x:v>
      </x:c>
      <x:c r="E45" s="187" t="str">
        <x:v>DE_FC</x:v>
      </x:c>
      <x:c r="F45" s="187" t="str">
        <x:v>WAREHOUSE_RENT</x:v>
      </x:c>
      <x:c r="G45" s="187" t="str">
        <x:v>EUR</x:v>
      </x:c>
      <x:c r="H45" s="235" t="n">
        <x:v>25000</x:v>
      </x:c>
      <x:c r="I45" s="235" t="n">
        <x:v>7.8</x:v>
      </x:c>
      <x:c r="J45" s="235" t="str">
        <x:v>195000.00</x:v>
      </x:c>
      <x:c r="K45" s="235" t="n">
        <x:v>195000</x:v>
      </x:c>
      <x:c r="L45" s="238" t="n">
        <x:f>H45*I45</x:f>
        <x:v>195000</x:v>
      </x:c>
      <x:c r="M45" s="238" t="n">
        <x:f>L45-K45</x:f>
        <x:v>0</x:v>
      </x:c>
    </x:row>
    <x:row r="46">
      <x:c r="A46" s="187" t="str">
        <x:v>BUDGET_2026_V1</x:v>
      </x:c>
      <x:c r="B46" s="187" t="str">
        <x:v>BUDGET</x:v>
      </x:c>
      <x:c r="C46" s="187"/>
      <x:c r="D46" s="217" t="n">
        <x:v>46266</x:v>
      </x:c>
      <x:c r="E46" s="187" t="str">
        <x:v>DE_FC</x:v>
      </x:c>
      <x:c r="F46" s="187" t="str">
        <x:v>LOGISTICS_LABOR</x:v>
      </x:c>
      <x:c r="G46" s="187" t="str">
        <x:v>EUR</x:v>
      </x:c>
      <x:c r="H46" s="235" t="n">
        <x:v>18000</x:v>
      </x:c>
      <x:c r="I46" s="235" t="n">
        <x:v>7.8</x:v>
      </x:c>
      <x:c r="J46" s="235" t="str">
        <x:v>140400.00</x:v>
      </x:c>
      <x:c r="K46" s="235" t="n">
        <x:v>140400</x:v>
      </x:c>
      <x:c r="L46" s="238" t="n">
        <x:f>H46*I46</x:f>
        <x:v>140400</x:v>
      </x:c>
      <x:c r="M46" s="238" t="n">
        <x:f>L46-K46</x:f>
        <x:v>0</x:v>
      </x:c>
    </x:row>
    <x:row r="47">
      <x:c r="A47" s="187" t="str">
        <x:v>BUDGET_2026_V1</x:v>
      </x:c>
      <x:c r="B47" s="187" t="str">
        <x:v>BUDGET</x:v>
      </x:c>
      <x:c r="C47" s="187"/>
      <x:c r="D47" s="217" t="n">
        <x:v>46266</x:v>
      </x:c>
      <x:c r="E47" s="187" t="str">
        <x:v>FR_FC</x:v>
      </x:c>
      <x:c r="F47" s="187" t="str">
        <x:v>WAREHOUSE_RENT</x:v>
      </x:c>
      <x:c r="G47" s="187" t="str">
        <x:v>EUR</x:v>
      </x:c>
      <x:c r="H47" s="235" t="n">
        <x:v>18000</x:v>
      </x:c>
      <x:c r="I47" s="235" t="n">
        <x:v>7.8</x:v>
      </x:c>
      <x:c r="J47" s="235" t="str">
        <x:v>140400.00</x:v>
      </x:c>
      <x:c r="K47" s="235" t="n">
        <x:v>140400</x:v>
      </x:c>
      <x:c r="L47" s="238" t="n">
        <x:f>H47*I47</x:f>
        <x:v>140400</x:v>
      </x:c>
      <x:c r="M47" s="238" t="n">
        <x:f>L47-K47</x:f>
        <x:v>0</x:v>
      </x:c>
    </x:row>
    <x:row r="48">
      <x:c r="A48" s="187" t="str">
        <x:v>BUDGET_2026_V1</x:v>
      </x:c>
      <x:c r="B48" s="187" t="str">
        <x:v>BUDGET</x:v>
      </x:c>
      <x:c r="C48" s="187"/>
      <x:c r="D48" s="217" t="n">
        <x:v>46266</x:v>
      </x:c>
      <x:c r="E48" s="187" t="str">
        <x:v>FR_FC</x:v>
      </x:c>
      <x:c r="F48" s="187" t="str">
        <x:v>LOGISTICS_LABOR</x:v>
      </x:c>
      <x:c r="G48" s="187" t="str">
        <x:v>EUR</x:v>
      </x:c>
      <x:c r="H48" s="235" t="n">
        <x:v>14000</x:v>
      </x:c>
      <x:c r="I48" s="235" t="n">
        <x:v>7.8</x:v>
      </x:c>
      <x:c r="J48" s="235" t="str">
        <x:v>109200.00</x:v>
      </x:c>
      <x:c r="K48" s="235" t="n">
        <x:v>109200</x:v>
      </x:c>
      <x:c r="L48" s="238" t="n">
        <x:f>H48*I48</x:f>
        <x:v>109200</x:v>
      </x:c>
      <x:c r="M48" s="238" t="n">
        <x:f>L48-K48</x:f>
        <x:v>0</x:v>
      </x:c>
    </x:row>
    <x:row r="49">
      <x:c r="A49" s="187" t="str">
        <x:v>BUDGET_2026_V1</x:v>
      </x:c>
      <x:c r="B49" s="187" t="str">
        <x:v>BUDGET</x:v>
      </x:c>
      <x:c r="C49" s="187"/>
      <x:c r="D49" s="217" t="n">
        <x:v>46266</x:v>
      </x:c>
      <x:c r="E49" s="187" t="str">
        <x:v>SHARED</x:v>
      </x:c>
      <x:c r="F49" s="187" t="str">
        <x:v>SYSTEM_COST</x:v>
      </x:c>
      <x:c r="G49" s="187" t="str">
        <x:v>CNY</x:v>
      </x:c>
      <x:c r="H49" s="235" t="n">
        <x:v>50000</x:v>
      </x:c>
      <x:c r="I49" s="235" t="n">
        <x:v>1</x:v>
      </x:c>
      <x:c r="J49" s="235" t="str">
        <x:v>50000</x:v>
      </x:c>
      <x:c r="K49" s="235" t="n">
        <x:v>50000</x:v>
      </x:c>
      <x:c r="L49" s="238" t="n">
        <x:f>H49*I49</x:f>
        <x:v>50000</x:v>
      </x:c>
      <x:c r="M49" s="238" t="n">
        <x:f>L49-K49</x:f>
        <x:v>0</x:v>
      </x:c>
    </x:row>
    <x:row r="50">
      <x:c r="A50" s="187" t="str">
        <x:v>BUDGET_2026_V1</x:v>
      </x:c>
      <x:c r="B50" s="187" t="str">
        <x:v>BUDGET</x:v>
      </x:c>
      <x:c r="C50" s="187"/>
      <x:c r="D50" s="217" t="n">
        <x:v>46296</x:v>
      </x:c>
      <x:c r="E50" s="187" t="str">
        <x:v>DE_FC</x:v>
      </x:c>
      <x:c r="F50" s="187" t="str">
        <x:v>WAREHOUSE_RENT</x:v>
      </x:c>
      <x:c r="G50" s="187" t="str">
        <x:v>EUR</x:v>
      </x:c>
      <x:c r="H50" s="235" t="n">
        <x:v>25000</x:v>
      </x:c>
      <x:c r="I50" s="235" t="n">
        <x:v>7.8</x:v>
      </x:c>
      <x:c r="J50" s="235" t="str">
        <x:v>195000.00</x:v>
      </x:c>
      <x:c r="K50" s="235" t="n">
        <x:v>195000</x:v>
      </x:c>
      <x:c r="L50" s="238" t="n">
        <x:f>H50*I50</x:f>
        <x:v>195000</x:v>
      </x:c>
      <x:c r="M50" s="238" t="n">
        <x:f>L50-K50</x:f>
        <x:v>0</x:v>
      </x:c>
    </x:row>
    <x:row r="51">
      <x:c r="A51" s="187" t="str">
        <x:v>BUDGET_2026_V1</x:v>
      </x:c>
      <x:c r="B51" s="187" t="str">
        <x:v>BUDGET</x:v>
      </x:c>
      <x:c r="C51" s="187"/>
      <x:c r="D51" s="217" t="n">
        <x:v>46296</x:v>
      </x:c>
      <x:c r="E51" s="187" t="str">
        <x:v>DE_FC</x:v>
      </x:c>
      <x:c r="F51" s="187" t="str">
        <x:v>LOGISTICS_LABOR</x:v>
      </x:c>
      <x:c r="G51" s="187" t="str">
        <x:v>EUR</x:v>
      </x:c>
      <x:c r="H51" s="235" t="n">
        <x:v>18000</x:v>
      </x:c>
      <x:c r="I51" s="235" t="n">
        <x:v>7.8</x:v>
      </x:c>
      <x:c r="J51" s="235" t="str">
        <x:v>140400.00</x:v>
      </x:c>
      <x:c r="K51" s="235" t="n">
        <x:v>140400</x:v>
      </x:c>
      <x:c r="L51" s="238" t="n">
        <x:f>H51*I51</x:f>
        <x:v>140400</x:v>
      </x:c>
      <x:c r="M51" s="238" t="n">
        <x:f>L51-K51</x:f>
        <x:v>0</x:v>
      </x:c>
    </x:row>
    <x:row r="52">
      <x:c r="A52" s="187" t="str">
        <x:v>BUDGET_2026_V1</x:v>
      </x:c>
      <x:c r="B52" s="187" t="str">
        <x:v>BUDGET</x:v>
      </x:c>
      <x:c r="C52" s="187"/>
      <x:c r="D52" s="217" t="n">
        <x:v>46296</x:v>
      </x:c>
      <x:c r="E52" s="187" t="str">
        <x:v>FR_FC</x:v>
      </x:c>
      <x:c r="F52" s="187" t="str">
        <x:v>WAREHOUSE_RENT</x:v>
      </x:c>
      <x:c r="G52" s="187" t="str">
        <x:v>EUR</x:v>
      </x:c>
      <x:c r="H52" s="235" t="n">
        <x:v>18000</x:v>
      </x:c>
      <x:c r="I52" s="235" t="n">
        <x:v>7.8</x:v>
      </x:c>
      <x:c r="J52" s="235" t="str">
        <x:v>140400.00</x:v>
      </x:c>
      <x:c r="K52" s="235" t="n">
        <x:v>140400</x:v>
      </x:c>
      <x:c r="L52" s="238" t="n">
        <x:f>H52*I52</x:f>
        <x:v>140400</x:v>
      </x:c>
      <x:c r="M52" s="238" t="n">
        <x:f>L52-K52</x:f>
        <x:v>0</x:v>
      </x:c>
    </x:row>
    <x:row r="53">
      <x:c r="A53" s="187" t="str">
        <x:v>BUDGET_2026_V1</x:v>
      </x:c>
      <x:c r="B53" s="187" t="str">
        <x:v>BUDGET</x:v>
      </x:c>
      <x:c r="C53" s="187"/>
      <x:c r="D53" s="217" t="n">
        <x:v>46296</x:v>
      </x:c>
      <x:c r="E53" s="187" t="str">
        <x:v>FR_FC</x:v>
      </x:c>
      <x:c r="F53" s="187" t="str">
        <x:v>LOGISTICS_LABOR</x:v>
      </x:c>
      <x:c r="G53" s="187" t="str">
        <x:v>EUR</x:v>
      </x:c>
      <x:c r="H53" s="235" t="n">
        <x:v>14000</x:v>
      </x:c>
      <x:c r="I53" s="235" t="n">
        <x:v>7.8</x:v>
      </x:c>
      <x:c r="J53" s="235" t="str">
        <x:v>109200.00</x:v>
      </x:c>
      <x:c r="K53" s="235" t="n">
        <x:v>109200</x:v>
      </x:c>
      <x:c r="L53" s="238" t="n">
        <x:f>H53*I53</x:f>
        <x:v>109200</x:v>
      </x:c>
      <x:c r="M53" s="238" t="n">
        <x:f>L53-K53</x:f>
        <x:v>0</x:v>
      </x:c>
    </x:row>
    <x:row r="54">
      <x:c r="A54" s="187" t="str">
        <x:v>BUDGET_2026_V1</x:v>
      </x:c>
      <x:c r="B54" s="187" t="str">
        <x:v>BUDGET</x:v>
      </x:c>
      <x:c r="C54" s="187"/>
      <x:c r="D54" s="217" t="n">
        <x:v>46296</x:v>
      </x:c>
      <x:c r="E54" s="187" t="str">
        <x:v>SHARED</x:v>
      </x:c>
      <x:c r="F54" s="187" t="str">
        <x:v>SYSTEM_COST</x:v>
      </x:c>
      <x:c r="G54" s="187" t="str">
        <x:v>CNY</x:v>
      </x:c>
      <x:c r="H54" s="235" t="n">
        <x:v>50000</x:v>
      </x:c>
      <x:c r="I54" s="235" t="n">
        <x:v>1</x:v>
      </x:c>
      <x:c r="J54" s="235" t="str">
        <x:v>50000</x:v>
      </x:c>
      <x:c r="K54" s="235" t="n">
        <x:v>50000</x:v>
      </x:c>
      <x:c r="L54" s="238" t="n">
        <x:f>H54*I54</x:f>
        <x:v>50000</x:v>
      </x:c>
      <x:c r="M54" s="238" t="n">
        <x:f>L54-K54</x:f>
        <x:v>0</x:v>
      </x:c>
    </x:row>
    <x:row r="55">
      <x:c r="A55" s="187" t="str">
        <x:v>BUDGET_2026_V1</x:v>
      </x:c>
      <x:c r="B55" s="187" t="str">
        <x:v>BUDGET</x:v>
      </x:c>
      <x:c r="C55" s="187"/>
      <x:c r="D55" s="217" t="n">
        <x:v>46327</x:v>
      </x:c>
      <x:c r="E55" s="187" t="str">
        <x:v>DE_FC</x:v>
      </x:c>
      <x:c r="F55" s="187" t="str">
        <x:v>WAREHOUSE_RENT</x:v>
      </x:c>
      <x:c r="G55" s="187" t="str">
        <x:v>EUR</x:v>
      </x:c>
      <x:c r="H55" s="235" t="n">
        <x:v>25000</x:v>
      </x:c>
      <x:c r="I55" s="235" t="n">
        <x:v>7.8</x:v>
      </x:c>
      <x:c r="J55" s="235" t="str">
        <x:v>195000.00</x:v>
      </x:c>
      <x:c r="K55" s="235" t="n">
        <x:v>195000</x:v>
      </x:c>
      <x:c r="L55" s="238" t="n">
        <x:f>H55*I55</x:f>
        <x:v>195000</x:v>
      </x:c>
      <x:c r="M55" s="238" t="n">
        <x:f>L55-K55</x:f>
        <x:v>0</x:v>
      </x:c>
    </x:row>
    <x:row r="56">
      <x:c r="A56" s="187" t="str">
        <x:v>BUDGET_2026_V1</x:v>
      </x:c>
      <x:c r="B56" s="187" t="str">
        <x:v>BUDGET</x:v>
      </x:c>
      <x:c r="C56" s="187"/>
      <x:c r="D56" s="217" t="n">
        <x:v>46327</x:v>
      </x:c>
      <x:c r="E56" s="187" t="str">
        <x:v>DE_FC</x:v>
      </x:c>
      <x:c r="F56" s="187" t="str">
        <x:v>LOGISTICS_LABOR</x:v>
      </x:c>
      <x:c r="G56" s="187" t="str">
        <x:v>EUR</x:v>
      </x:c>
      <x:c r="H56" s="235" t="n">
        <x:v>18000</x:v>
      </x:c>
      <x:c r="I56" s="235" t="n">
        <x:v>7.8</x:v>
      </x:c>
      <x:c r="J56" s="235" t="str">
        <x:v>140400.00</x:v>
      </x:c>
      <x:c r="K56" s="235" t="n">
        <x:v>140400</x:v>
      </x:c>
      <x:c r="L56" s="238" t="n">
        <x:f>H56*I56</x:f>
        <x:v>140400</x:v>
      </x:c>
      <x:c r="M56" s="238" t="n">
        <x:f>L56-K56</x:f>
        <x:v>0</x:v>
      </x:c>
    </x:row>
    <x:row r="57">
      <x:c r="A57" s="187" t="str">
        <x:v>BUDGET_2026_V1</x:v>
      </x:c>
      <x:c r="B57" s="187" t="str">
        <x:v>BUDGET</x:v>
      </x:c>
      <x:c r="C57" s="187"/>
      <x:c r="D57" s="217" t="n">
        <x:v>46327</x:v>
      </x:c>
      <x:c r="E57" s="187" t="str">
        <x:v>FR_FC</x:v>
      </x:c>
      <x:c r="F57" s="187" t="str">
        <x:v>WAREHOUSE_RENT</x:v>
      </x:c>
      <x:c r="G57" s="187" t="str">
        <x:v>EUR</x:v>
      </x:c>
      <x:c r="H57" s="235" t="n">
        <x:v>18000</x:v>
      </x:c>
      <x:c r="I57" s="235" t="n">
        <x:v>7.8</x:v>
      </x:c>
      <x:c r="J57" s="235" t="str">
        <x:v>140400.00</x:v>
      </x:c>
      <x:c r="K57" s="235" t="n">
        <x:v>140400</x:v>
      </x:c>
      <x:c r="L57" s="238" t="n">
        <x:f>H57*I57</x:f>
        <x:v>140400</x:v>
      </x:c>
      <x:c r="M57" s="238" t="n">
        <x:f>L57-K57</x:f>
        <x:v>0</x:v>
      </x:c>
    </x:row>
    <x:row r="58">
      <x:c r="A58" s="187" t="str">
        <x:v>BUDGET_2026_V1</x:v>
      </x:c>
      <x:c r="B58" s="187" t="str">
        <x:v>BUDGET</x:v>
      </x:c>
      <x:c r="C58" s="187"/>
      <x:c r="D58" s="217" t="n">
        <x:v>46327</x:v>
      </x:c>
      <x:c r="E58" s="187" t="str">
        <x:v>FR_FC</x:v>
      </x:c>
      <x:c r="F58" s="187" t="str">
        <x:v>LOGISTICS_LABOR</x:v>
      </x:c>
      <x:c r="G58" s="187" t="str">
        <x:v>EUR</x:v>
      </x:c>
      <x:c r="H58" s="235" t="n">
        <x:v>14000</x:v>
      </x:c>
      <x:c r="I58" s="235" t="n">
        <x:v>7.8</x:v>
      </x:c>
      <x:c r="J58" s="235" t="str">
        <x:v>109200.00</x:v>
      </x:c>
      <x:c r="K58" s="235" t="n">
        <x:v>109200</x:v>
      </x:c>
      <x:c r="L58" s="238" t="n">
        <x:f>H58*I58</x:f>
        <x:v>109200</x:v>
      </x:c>
      <x:c r="M58" s="238" t="n">
        <x:f>L58-K58</x:f>
        <x:v>0</x:v>
      </x:c>
    </x:row>
    <x:row r="59">
      <x:c r="A59" s="187" t="str">
        <x:v>BUDGET_2026_V1</x:v>
      </x:c>
      <x:c r="B59" s="187" t="str">
        <x:v>BUDGET</x:v>
      </x:c>
      <x:c r="C59" s="187"/>
      <x:c r="D59" s="217" t="n">
        <x:v>46327</x:v>
      </x:c>
      <x:c r="E59" s="187" t="str">
        <x:v>SHARED</x:v>
      </x:c>
      <x:c r="F59" s="187" t="str">
        <x:v>SYSTEM_COST</x:v>
      </x:c>
      <x:c r="G59" s="187" t="str">
        <x:v>CNY</x:v>
      </x:c>
      <x:c r="H59" s="235" t="n">
        <x:v>50000</x:v>
      </x:c>
      <x:c r="I59" s="235" t="n">
        <x:v>1</x:v>
      </x:c>
      <x:c r="J59" s="235" t="str">
        <x:v>50000</x:v>
      </x:c>
      <x:c r="K59" s="235" t="n">
        <x:v>50000</x:v>
      </x:c>
      <x:c r="L59" s="238" t="n">
        <x:f>H59*I59</x:f>
        <x:v>50000</x:v>
      </x:c>
      <x:c r="M59" s="238" t="n">
        <x:f>L59-K59</x:f>
        <x:v>0</x:v>
      </x:c>
    </x:row>
    <x:row r="60">
      <x:c r="A60" s="187" t="str">
        <x:v>BUDGET_2026_V1</x:v>
      </x:c>
      <x:c r="B60" s="187" t="str">
        <x:v>BUDGET</x:v>
      </x:c>
      <x:c r="C60" s="187"/>
      <x:c r="D60" s="217" t="n">
        <x:v>46357</x:v>
      </x:c>
      <x:c r="E60" s="187" t="str">
        <x:v>DE_FC</x:v>
      </x:c>
      <x:c r="F60" s="187" t="str">
        <x:v>WAREHOUSE_RENT</x:v>
      </x:c>
      <x:c r="G60" s="187" t="str">
        <x:v>EUR</x:v>
      </x:c>
      <x:c r="H60" s="235" t="n">
        <x:v>25000</x:v>
      </x:c>
      <x:c r="I60" s="235" t="n">
        <x:v>7.8</x:v>
      </x:c>
      <x:c r="J60" s="235" t="str">
        <x:v>195000.00</x:v>
      </x:c>
      <x:c r="K60" s="235" t="n">
        <x:v>195000</x:v>
      </x:c>
      <x:c r="L60" s="238" t="n">
        <x:f>H60*I60</x:f>
        <x:v>195000</x:v>
      </x:c>
      <x:c r="M60" s="238" t="n">
        <x:f>L60-K60</x:f>
        <x:v>0</x:v>
      </x:c>
    </x:row>
    <x:row r="61">
      <x:c r="A61" s="187" t="str">
        <x:v>BUDGET_2026_V1</x:v>
      </x:c>
      <x:c r="B61" s="187" t="str">
        <x:v>BUDGET</x:v>
      </x:c>
      <x:c r="C61" s="187"/>
      <x:c r="D61" s="217" t="n">
        <x:v>46357</x:v>
      </x:c>
      <x:c r="E61" s="187" t="str">
        <x:v>DE_FC</x:v>
      </x:c>
      <x:c r="F61" s="187" t="str">
        <x:v>LOGISTICS_LABOR</x:v>
      </x:c>
      <x:c r="G61" s="187" t="str">
        <x:v>EUR</x:v>
      </x:c>
      <x:c r="H61" s="235" t="n">
        <x:v>18000</x:v>
      </x:c>
      <x:c r="I61" s="235" t="n">
        <x:v>7.8</x:v>
      </x:c>
      <x:c r="J61" s="235" t="str">
        <x:v>140400.00</x:v>
      </x:c>
      <x:c r="K61" s="235" t="n">
        <x:v>140400</x:v>
      </x:c>
      <x:c r="L61" s="238" t="n">
        <x:f>H61*I61</x:f>
        <x:v>140400</x:v>
      </x:c>
      <x:c r="M61" s="238" t="n">
        <x:f>L61-K61</x:f>
        <x:v>0</x:v>
      </x:c>
    </x:row>
    <x:row r="62">
      <x:c r="A62" s="187" t="str">
        <x:v>BUDGET_2026_V1</x:v>
      </x:c>
      <x:c r="B62" s="187" t="str">
        <x:v>BUDGET</x:v>
      </x:c>
      <x:c r="C62" s="187"/>
      <x:c r="D62" s="217" t="n">
        <x:v>46357</x:v>
      </x:c>
      <x:c r="E62" s="187" t="str">
        <x:v>FR_FC</x:v>
      </x:c>
      <x:c r="F62" s="187" t="str">
        <x:v>WAREHOUSE_RENT</x:v>
      </x:c>
      <x:c r="G62" s="187" t="str">
        <x:v>EUR</x:v>
      </x:c>
      <x:c r="H62" s="235" t="n">
        <x:v>18000</x:v>
      </x:c>
      <x:c r="I62" s="235" t="n">
        <x:v>7.8</x:v>
      </x:c>
      <x:c r="J62" s="235" t="str">
        <x:v>140400.00</x:v>
      </x:c>
      <x:c r="K62" s="235" t="n">
        <x:v>140400</x:v>
      </x:c>
      <x:c r="L62" s="238" t="n">
        <x:f>H62*I62</x:f>
        <x:v>140400</x:v>
      </x:c>
      <x:c r="M62" s="238" t="n">
        <x:f>L62-K62</x:f>
        <x:v>0</x:v>
      </x:c>
    </x:row>
    <x:row r="63">
      <x:c r="A63" s="187" t="str">
        <x:v>BUDGET_2026_V1</x:v>
      </x:c>
      <x:c r="B63" s="187" t="str">
        <x:v>BUDGET</x:v>
      </x:c>
      <x:c r="C63" s="187"/>
      <x:c r="D63" s="217" t="n">
        <x:v>46357</x:v>
      </x:c>
      <x:c r="E63" s="187" t="str">
        <x:v>FR_FC</x:v>
      </x:c>
      <x:c r="F63" s="187" t="str">
        <x:v>LOGISTICS_LABOR</x:v>
      </x:c>
      <x:c r="G63" s="187" t="str">
        <x:v>EUR</x:v>
      </x:c>
      <x:c r="H63" s="235" t="n">
        <x:v>14000</x:v>
      </x:c>
      <x:c r="I63" s="235" t="n">
        <x:v>7.8</x:v>
      </x:c>
      <x:c r="J63" s="235" t="str">
        <x:v>109200.00</x:v>
      </x:c>
      <x:c r="K63" s="235" t="n">
        <x:v>109200</x:v>
      </x:c>
      <x:c r="L63" s="238" t="n">
        <x:f>H63*I63</x:f>
        <x:v>109200</x:v>
      </x:c>
      <x:c r="M63" s="238" t="n">
        <x:f>L63-K63</x:f>
        <x:v>0</x:v>
      </x:c>
    </x:row>
    <x:row r="64">
      <x:c r="A64" s="187" t="str">
        <x:v>BUDGET_2026_V1</x:v>
      </x:c>
      <x:c r="B64" s="187" t="str">
        <x:v>BUDGET</x:v>
      </x:c>
      <x:c r="C64" s="187"/>
      <x:c r="D64" s="217" t="n">
        <x:v>46357</x:v>
      </x:c>
      <x:c r="E64" s="187" t="str">
        <x:v>SHARED</x:v>
      </x:c>
      <x:c r="F64" s="187" t="str">
        <x:v>SYSTEM_COST</x:v>
      </x:c>
      <x:c r="G64" s="187" t="str">
        <x:v>CNY</x:v>
      </x:c>
      <x:c r="H64" s="235" t="n">
        <x:v>50000</x:v>
      </x:c>
      <x:c r="I64" s="235" t="n">
        <x:v>1</x:v>
      </x:c>
      <x:c r="J64" s="235" t="str">
        <x:v>50000</x:v>
      </x:c>
      <x:c r="K64" s="235" t="n">
        <x:v>50000</x:v>
      </x:c>
      <x:c r="L64" s="238" t="n">
        <x:f>H64*I64</x:f>
        <x:v>50000</x:v>
      </x:c>
      <x:c r="M64" s="238" t="n">
        <x:f>L64-K64</x:f>
        <x:v>0</x:v>
      </x:c>
    </x:row>
    <x:row r="65">
      <x:c r="A65" s="187" t="str">
        <x:v>ACTUAL_2026_08_CLOSE_V1</x:v>
      </x:c>
      <x:c r="B65" s="187" t="str">
        <x:v>ACTUAL</x:v>
      </x:c>
      <x:c r="C65" s="187"/>
      <x:c r="D65" s="217" t="n">
        <x:v>46023</x:v>
      </x:c>
      <x:c r="E65" s="187" t="str">
        <x:v>DE_FC</x:v>
      </x:c>
      <x:c r="F65" s="187" t="str">
        <x:v>WAREHOUSE_RENT</x:v>
      </x:c>
      <x:c r="G65" s="187" t="str">
        <x:v>EUR</x:v>
      </x:c>
      <x:c r="H65" s="235" t="n">
        <x:v>25037.5</x:v>
      </x:c>
      <x:c r="I65" s="235" t="n">
        <x:v>7.78</x:v>
      </x:c>
      <x:c r="J65" s="235" t="str">
        <x:v>194791.750000</x:v>
      </x:c>
      <x:c r="K65" s="235" t="n">
        <x:v>194791.75</x:v>
      </x:c>
      <x:c r="L65" s="238" t="n">
        <x:f>H65*I65</x:f>
        <x:v>194791.75</x:v>
      </x:c>
      <x:c r="M65" s="238" t="n">
        <x:f>L65-K65</x:f>
        <x:v>0</x:v>
      </x:c>
    </x:row>
    <x:row r="66">
      <x:c r="A66" s="187" t="str">
        <x:v>ACTUAL_2026_08_CLOSE_V1</x:v>
      </x:c>
      <x:c r="B66" s="187" t="str">
        <x:v>ACTUAL</x:v>
      </x:c>
      <x:c r="C66" s="187"/>
      <x:c r="D66" s="217" t="n">
        <x:v>46023</x:v>
      </x:c>
      <x:c r="E66" s="187" t="str">
        <x:v>DE_FC</x:v>
      </x:c>
      <x:c r="F66" s="187" t="str">
        <x:v>LOGISTICS_LABOR</x:v>
      </x:c>
      <x:c r="G66" s="187" t="str">
        <x:v>EUR</x:v>
      </x:c>
      <x:c r="H66" s="235" t="n">
        <x:v>18027</x:v>
      </x:c>
      <x:c r="I66" s="235" t="n">
        <x:v>7.78</x:v>
      </x:c>
      <x:c r="J66" s="235" t="str">
        <x:v>140250.060000</x:v>
      </x:c>
      <x:c r="K66" s="235" t="n">
        <x:v>140250.06</x:v>
      </x:c>
      <x:c r="L66" s="238" t="n">
        <x:f>H66*I66</x:f>
        <x:v>140250.06</x:v>
      </x:c>
      <x:c r="M66" s="238" t="n">
        <x:f>L66-K66</x:f>
        <x:v>0</x:v>
      </x:c>
    </x:row>
    <x:row r="67">
      <x:c r="A67" s="187" t="str">
        <x:v>ACTUAL_2026_08_CLOSE_V1</x:v>
      </x:c>
      <x:c r="B67" s="187" t="str">
        <x:v>ACTUAL</x:v>
      </x:c>
      <x:c r="C67" s="187"/>
      <x:c r="D67" s="217" t="n">
        <x:v>46023</x:v>
      </x:c>
      <x:c r="E67" s="187" t="str">
        <x:v>FR_FC</x:v>
      </x:c>
      <x:c r="F67" s="187" t="str">
        <x:v>WAREHOUSE_RENT</x:v>
      </x:c>
      <x:c r="G67" s="187" t="str">
        <x:v>EUR</x:v>
      </x:c>
      <x:c r="H67" s="235" t="n">
        <x:v>18027</x:v>
      </x:c>
      <x:c r="I67" s="235" t="n">
        <x:v>7.78</x:v>
      </x:c>
      <x:c r="J67" s="235" t="str">
        <x:v>140250.060000</x:v>
      </x:c>
      <x:c r="K67" s="235" t="n">
        <x:v>140250.06</x:v>
      </x:c>
      <x:c r="L67" s="238" t="n">
        <x:f>H67*I67</x:f>
        <x:v>140250.06</x:v>
      </x:c>
      <x:c r="M67" s="238" t="n">
        <x:f>L67-K67</x:f>
        <x:v>0</x:v>
      </x:c>
    </x:row>
    <x:row r="68">
      <x:c r="A68" s="187" t="str">
        <x:v>ACTUAL_2026_08_CLOSE_V1</x:v>
      </x:c>
      <x:c r="B68" s="187" t="str">
        <x:v>ACTUAL</x:v>
      </x:c>
      <x:c r="C68" s="187"/>
      <x:c r="D68" s="217" t="n">
        <x:v>46023</x:v>
      </x:c>
      <x:c r="E68" s="187" t="str">
        <x:v>FR_FC</x:v>
      </x:c>
      <x:c r="F68" s="187" t="str">
        <x:v>LOGISTICS_LABOR</x:v>
      </x:c>
      <x:c r="G68" s="187" t="str">
        <x:v>EUR</x:v>
      </x:c>
      <x:c r="H68" s="235" t="n">
        <x:v>14021</x:v>
      </x:c>
      <x:c r="I68" s="235" t="n">
        <x:v>7.78</x:v>
      </x:c>
      <x:c r="J68" s="235" t="str">
        <x:v>109083.380000</x:v>
      </x:c>
      <x:c r="K68" s="235" t="n">
        <x:v>109083.38</x:v>
      </x:c>
      <x:c r="L68" s="238" t="n">
        <x:f>H68*I68</x:f>
        <x:v>109083.38</x:v>
      </x:c>
      <x:c r="M68" s="238" t="n">
        <x:f>L68-K68</x:f>
        <x:v>0</x:v>
      </x:c>
    </x:row>
    <x:row r="69">
      <x:c r="A69" s="187" t="str">
        <x:v>ACTUAL_2026_08_CLOSE_V1</x:v>
      </x:c>
      <x:c r="B69" s="187" t="str">
        <x:v>ACTUAL</x:v>
      </x:c>
      <x:c r="C69" s="187"/>
      <x:c r="D69" s="217" t="n">
        <x:v>46023</x:v>
      </x:c>
      <x:c r="E69" s="187" t="str">
        <x:v>SHARED</x:v>
      </x:c>
      <x:c r="F69" s="187" t="str">
        <x:v>SYSTEM_COST</x:v>
      </x:c>
      <x:c r="G69" s="187" t="str">
        <x:v>CNY</x:v>
      </x:c>
      <x:c r="H69" s="235" t="n">
        <x:v>50075</x:v>
      </x:c>
      <x:c r="I69" s="235" t="n">
        <x:v>1</x:v>
      </x:c>
      <x:c r="J69" s="235" t="str">
        <x:v>50075.0000</x:v>
      </x:c>
      <x:c r="K69" s="235" t="n">
        <x:v>50075</x:v>
      </x:c>
      <x:c r="L69" s="238" t="n">
        <x:f>H69*I69</x:f>
        <x:v>50075</x:v>
      </x:c>
      <x:c r="M69" s="238" t="n">
        <x:f>L69-K69</x:f>
        <x:v>0</x:v>
      </x:c>
    </x:row>
    <x:row r="70">
      <x:c r="A70" s="187" t="str">
        <x:v>ACTUAL_2026_08_CLOSE_V1</x:v>
      </x:c>
      <x:c r="B70" s="187" t="str">
        <x:v>ACTUAL</x:v>
      </x:c>
      <x:c r="C70" s="187"/>
      <x:c r="D70" s="217" t="n">
        <x:v>46054</x:v>
      </x:c>
      <x:c r="E70" s="187" t="str">
        <x:v>DE_FC</x:v>
      </x:c>
      <x:c r="F70" s="187" t="str">
        <x:v>WAREHOUSE_RENT</x:v>
      </x:c>
      <x:c r="G70" s="187" t="str">
        <x:v>EUR</x:v>
      </x:c>
      <x:c r="H70" s="235" t="n">
        <x:v>25075</x:v>
      </x:c>
      <x:c r="I70" s="235" t="n">
        <x:v>7.76</x:v>
      </x:c>
      <x:c r="J70" s="235" t="str">
        <x:v>194582.000000</x:v>
      </x:c>
      <x:c r="K70" s="235" t="n">
        <x:v>194582</x:v>
      </x:c>
      <x:c r="L70" s="238" t="n">
        <x:f>H70*I70</x:f>
        <x:v>194582</x:v>
      </x:c>
      <x:c r="M70" s="238" t="n">
        <x:f>L70-K70</x:f>
        <x:v>0</x:v>
      </x:c>
    </x:row>
    <x:row r="71">
      <x:c r="A71" s="187" t="str">
        <x:v>ACTUAL_2026_08_CLOSE_V1</x:v>
      </x:c>
      <x:c r="B71" s="187" t="str">
        <x:v>ACTUAL</x:v>
      </x:c>
      <x:c r="C71" s="187"/>
      <x:c r="D71" s="217" t="n">
        <x:v>46054</x:v>
      </x:c>
      <x:c r="E71" s="187" t="str">
        <x:v>DE_FC</x:v>
      </x:c>
      <x:c r="F71" s="187" t="str">
        <x:v>LOGISTICS_LABOR</x:v>
      </x:c>
      <x:c r="G71" s="187" t="str">
        <x:v>EUR</x:v>
      </x:c>
      <x:c r="H71" s="235" t="n">
        <x:v>18054</x:v>
      </x:c>
      <x:c r="I71" s="235" t="n">
        <x:v>7.76</x:v>
      </x:c>
      <x:c r="J71" s="235" t="str">
        <x:v>140099.040000</x:v>
      </x:c>
      <x:c r="K71" s="235" t="n">
        <x:v>140099.04</x:v>
      </x:c>
      <x:c r="L71" s="238" t="n">
        <x:f>H71*I71</x:f>
        <x:v>140099.04</x:v>
      </x:c>
      <x:c r="M71" s="238" t="n">
        <x:f>L71-K71</x:f>
        <x:v>0</x:v>
      </x:c>
    </x:row>
    <x:row r="72">
      <x:c r="A72" s="187" t="str">
        <x:v>ACTUAL_2026_08_CLOSE_V1</x:v>
      </x:c>
      <x:c r="B72" s="187" t="str">
        <x:v>ACTUAL</x:v>
      </x:c>
      <x:c r="C72" s="187"/>
      <x:c r="D72" s="217" t="n">
        <x:v>46054</x:v>
      </x:c>
      <x:c r="E72" s="187" t="str">
        <x:v>FR_FC</x:v>
      </x:c>
      <x:c r="F72" s="187" t="str">
        <x:v>WAREHOUSE_RENT</x:v>
      </x:c>
      <x:c r="G72" s="187" t="str">
        <x:v>EUR</x:v>
      </x:c>
      <x:c r="H72" s="235" t="n">
        <x:v>18054</x:v>
      </x:c>
      <x:c r="I72" s="235" t="n">
        <x:v>7.76</x:v>
      </x:c>
      <x:c r="J72" s="235" t="str">
        <x:v>140099.040000</x:v>
      </x:c>
      <x:c r="K72" s="235" t="n">
        <x:v>140099.04</x:v>
      </x:c>
      <x:c r="L72" s="238" t="n">
        <x:f>H72*I72</x:f>
        <x:v>140099.04</x:v>
      </x:c>
      <x:c r="M72" s="238" t="n">
        <x:f>L72-K72</x:f>
        <x:v>0</x:v>
      </x:c>
    </x:row>
    <x:row r="73">
      <x:c r="A73" s="187" t="str">
        <x:v>ACTUAL_2026_08_CLOSE_V1</x:v>
      </x:c>
      <x:c r="B73" s="187" t="str">
        <x:v>ACTUAL</x:v>
      </x:c>
      <x:c r="C73" s="187"/>
      <x:c r="D73" s="217" t="n">
        <x:v>46054</x:v>
      </x:c>
      <x:c r="E73" s="187" t="str">
        <x:v>FR_FC</x:v>
      </x:c>
      <x:c r="F73" s="187" t="str">
        <x:v>LOGISTICS_LABOR</x:v>
      </x:c>
      <x:c r="G73" s="187" t="str">
        <x:v>EUR</x:v>
      </x:c>
      <x:c r="H73" s="235" t="n">
        <x:v>14042</x:v>
      </x:c>
      <x:c r="I73" s="235" t="n">
        <x:v>7.76</x:v>
      </x:c>
      <x:c r="J73" s="235" t="str">
        <x:v>108965.920000</x:v>
      </x:c>
      <x:c r="K73" s="235" t="n">
        <x:v>108965.92</x:v>
      </x:c>
      <x:c r="L73" s="238" t="n">
        <x:f>H73*I73</x:f>
        <x:v>108965.92</x:v>
      </x:c>
      <x:c r="M73" s="238" t="n">
        <x:f>L73-K73</x:f>
        <x:v>0</x:v>
      </x:c>
    </x:row>
    <x:row r="74">
      <x:c r="A74" s="187" t="str">
        <x:v>ACTUAL_2026_08_CLOSE_V1</x:v>
      </x:c>
      <x:c r="B74" s="187" t="str">
        <x:v>ACTUAL</x:v>
      </x:c>
      <x:c r="C74" s="187"/>
      <x:c r="D74" s="217" t="n">
        <x:v>46054</x:v>
      </x:c>
      <x:c r="E74" s="187" t="str">
        <x:v>SHARED</x:v>
      </x:c>
      <x:c r="F74" s="187" t="str">
        <x:v>SYSTEM_COST</x:v>
      </x:c>
      <x:c r="G74" s="187" t="str">
        <x:v>CNY</x:v>
      </x:c>
      <x:c r="H74" s="235" t="n">
        <x:v>50150</x:v>
      </x:c>
      <x:c r="I74" s="235" t="n">
        <x:v>1</x:v>
      </x:c>
      <x:c r="J74" s="235" t="str">
        <x:v>50150.0000</x:v>
      </x:c>
      <x:c r="K74" s="235" t="n">
        <x:v>50150</x:v>
      </x:c>
      <x:c r="L74" s="238" t="n">
        <x:f>H74*I74</x:f>
        <x:v>50150</x:v>
      </x:c>
      <x:c r="M74" s="238" t="n">
        <x:f>L74-K74</x:f>
        <x:v>0</x:v>
      </x:c>
    </x:row>
    <x:row r="75">
      <x:c r="A75" s="187" t="str">
        <x:v>ACTUAL_2026_08_CLOSE_V1</x:v>
      </x:c>
      <x:c r="B75" s="187" t="str">
        <x:v>ACTUAL</x:v>
      </x:c>
      <x:c r="C75" s="187"/>
      <x:c r="D75" s="217" t="n">
        <x:v>46082</x:v>
      </x:c>
      <x:c r="E75" s="187" t="str">
        <x:v>DE_FC</x:v>
      </x:c>
      <x:c r="F75" s="187" t="str">
        <x:v>WAREHOUSE_RENT</x:v>
      </x:c>
      <x:c r="G75" s="187" t="str">
        <x:v>EUR</x:v>
      </x:c>
      <x:c r="H75" s="235" t="n">
        <x:v>25112.5</x:v>
      </x:c>
      <x:c r="I75" s="235" t="n">
        <x:v>7.82</x:v>
      </x:c>
      <x:c r="J75" s="235" t="str">
        <x:v>196379.750000</x:v>
      </x:c>
      <x:c r="K75" s="235" t="n">
        <x:v>196379.75</x:v>
      </x:c>
      <x:c r="L75" s="238" t="n">
        <x:f>H75*I75</x:f>
        <x:v>196379.75</x:v>
      </x:c>
      <x:c r="M75" s="238" t="n">
        <x:f>L75-K75</x:f>
        <x:v>0</x:v>
      </x:c>
    </x:row>
    <x:row r="76">
      <x:c r="A76" s="187" t="str">
        <x:v>ACTUAL_2026_08_CLOSE_V1</x:v>
      </x:c>
      <x:c r="B76" s="187" t="str">
        <x:v>ACTUAL</x:v>
      </x:c>
      <x:c r="C76" s="187"/>
      <x:c r="D76" s="217" t="n">
        <x:v>46082</x:v>
      </x:c>
      <x:c r="E76" s="187" t="str">
        <x:v>DE_FC</x:v>
      </x:c>
      <x:c r="F76" s="187" t="str">
        <x:v>LOGISTICS_LABOR</x:v>
      </x:c>
      <x:c r="G76" s="187" t="str">
        <x:v>EUR</x:v>
      </x:c>
      <x:c r="H76" s="235" t="n">
        <x:v>18081</x:v>
      </x:c>
      <x:c r="I76" s="235" t="n">
        <x:v>7.82</x:v>
      </x:c>
      <x:c r="J76" s="235" t="str">
        <x:v>141393.420000</x:v>
      </x:c>
      <x:c r="K76" s="235" t="n">
        <x:v>141393.42</x:v>
      </x:c>
      <x:c r="L76" s="238" t="n">
        <x:f>H76*I76</x:f>
        <x:v>141393.42</x:v>
      </x:c>
      <x:c r="M76" s="238" t="n">
        <x:f>L76-K76</x:f>
        <x:v>0</x:v>
      </x:c>
    </x:row>
    <x:row r="77">
      <x:c r="A77" s="187" t="str">
        <x:v>ACTUAL_2026_08_CLOSE_V1</x:v>
      </x:c>
      <x:c r="B77" s="187" t="str">
        <x:v>ACTUAL</x:v>
      </x:c>
      <x:c r="C77" s="187"/>
      <x:c r="D77" s="217" t="n">
        <x:v>46082</x:v>
      </x:c>
      <x:c r="E77" s="187" t="str">
        <x:v>FR_FC</x:v>
      </x:c>
      <x:c r="F77" s="187" t="str">
        <x:v>WAREHOUSE_RENT</x:v>
      </x:c>
      <x:c r="G77" s="187" t="str">
        <x:v>EUR</x:v>
      </x:c>
      <x:c r="H77" s="235" t="n">
        <x:v>18081</x:v>
      </x:c>
      <x:c r="I77" s="235" t="n">
        <x:v>7.82</x:v>
      </x:c>
      <x:c r="J77" s="235" t="str">
        <x:v>141393.420000</x:v>
      </x:c>
      <x:c r="K77" s="235" t="n">
        <x:v>141393.42</x:v>
      </x:c>
      <x:c r="L77" s="238" t="n">
        <x:f>H77*I77</x:f>
        <x:v>141393.42</x:v>
      </x:c>
      <x:c r="M77" s="238" t="n">
        <x:f>L77-K77</x:f>
        <x:v>0</x:v>
      </x:c>
    </x:row>
    <x:row r="78">
      <x:c r="A78" s="187" t="str">
        <x:v>ACTUAL_2026_08_CLOSE_V1</x:v>
      </x:c>
      <x:c r="B78" s="187" t="str">
        <x:v>ACTUAL</x:v>
      </x:c>
      <x:c r="C78" s="187"/>
      <x:c r="D78" s="217" t="n">
        <x:v>46082</x:v>
      </x:c>
      <x:c r="E78" s="187" t="str">
        <x:v>FR_FC</x:v>
      </x:c>
      <x:c r="F78" s="187" t="str">
        <x:v>LOGISTICS_LABOR</x:v>
      </x:c>
      <x:c r="G78" s="187" t="str">
        <x:v>EUR</x:v>
      </x:c>
      <x:c r="H78" s="235" t="n">
        <x:v>14063</x:v>
      </x:c>
      <x:c r="I78" s="235" t="n">
        <x:v>7.82</x:v>
      </x:c>
      <x:c r="J78" s="235" t="str">
        <x:v>109972.660000</x:v>
      </x:c>
      <x:c r="K78" s="235" t="n">
        <x:v>109972.66</x:v>
      </x:c>
      <x:c r="L78" s="238" t="n">
        <x:f>H78*I78</x:f>
        <x:v>109972.66</x:v>
      </x:c>
      <x:c r="M78" s="238" t="n">
        <x:f>L78-K78</x:f>
        <x:v>0</x:v>
      </x:c>
    </x:row>
    <x:row r="79">
      <x:c r="A79" s="187" t="str">
        <x:v>ACTUAL_2026_08_CLOSE_V1</x:v>
      </x:c>
      <x:c r="B79" s="187" t="str">
        <x:v>ACTUAL</x:v>
      </x:c>
      <x:c r="C79" s="187"/>
      <x:c r="D79" s="217" t="n">
        <x:v>46082</x:v>
      </x:c>
      <x:c r="E79" s="187" t="str">
        <x:v>SHARED</x:v>
      </x:c>
      <x:c r="F79" s="187" t="str">
        <x:v>SYSTEM_COST</x:v>
      </x:c>
      <x:c r="G79" s="187" t="str">
        <x:v>CNY</x:v>
      </x:c>
      <x:c r="H79" s="235" t="n">
        <x:v>50225</x:v>
      </x:c>
      <x:c r="I79" s="235" t="n">
        <x:v>1</x:v>
      </x:c>
      <x:c r="J79" s="235" t="str">
        <x:v>50225.0000</x:v>
      </x:c>
      <x:c r="K79" s="235" t="n">
        <x:v>50225</x:v>
      </x:c>
      <x:c r="L79" s="238" t="n">
        <x:f>H79*I79</x:f>
        <x:v>50225</x:v>
      </x:c>
      <x:c r="M79" s="238" t="n">
        <x:f>L79-K79</x:f>
        <x:v>0</x:v>
      </x:c>
    </x:row>
    <x:row r="80">
      <x:c r="A80" s="187" t="str">
        <x:v>ACTUAL_2026_08_CLOSE_V1</x:v>
      </x:c>
      <x:c r="B80" s="187" t="str">
        <x:v>ACTUAL</x:v>
      </x:c>
      <x:c r="C80" s="187"/>
      <x:c r="D80" s="217" t="n">
        <x:v>46113</x:v>
      </x:c>
      <x:c r="E80" s="187" t="str">
        <x:v>DE_FC</x:v>
      </x:c>
      <x:c r="F80" s="187" t="str">
        <x:v>WAREHOUSE_RENT</x:v>
      </x:c>
      <x:c r="G80" s="187" t="str">
        <x:v>EUR</x:v>
      </x:c>
      <x:c r="H80" s="235" t="n">
        <x:v>25150</x:v>
      </x:c>
      <x:c r="I80" s="235" t="n">
        <x:v>7.84</x:v>
      </x:c>
      <x:c r="J80" s="235" t="str">
        <x:v>197176.000000</x:v>
      </x:c>
      <x:c r="K80" s="235" t="n">
        <x:v>197176</x:v>
      </x:c>
      <x:c r="L80" s="238" t="n">
        <x:f>H80*I80</x:f>
        <x:v>197176</x:v>
      </x:c>
      <x:c r="M80" s="238" t="n">
        <x:f>L80-K80</x:f>
        <x:v>0</x:v>
      </x:c>
    </x:row>
    <x:row r="81">
      <x:c r="A81" s="187" t="str">
        <x:v>ACTUAL_2026_08_CLOSE_V1</x:v>
      </x:c>
      <x:c r="B81" s="187" t="str">
        <x:v>ACTUAL</x:v>
      </x:c>
      <x:c r="C81" s="187"/>
      <x:c r="D81" s="217" t="n">
        <x:v>46113</x:v>
      </x:c>
      <x:c r="E81" s="187" t="str">
        <x:v>DE_FC</x:v>
      </x:c>
      <x:c r="F81" s="187" t="str">
        <x:v>LOGISTICS_LABOR</x:v>
      </x:c>
      <x:c r="G81" s="187" t="str">
        <x:v>EUR</x:v>
      </x:c>
      <x:c r="H81" s="235" t="n">
        <x:v>18108</x:v>
      </x:c>
      <x:c r="I81" s="235" t="n">
        <x:v>7.84</x:v>
      </x:c>
      <x:c r="J81" s="235" t="str">
        <x:v>141966.720000</x:v>
      </x:c>
      <x:c r="K81" s="235" t="n">
        <x:v>141966.72</x:v>
      </x:c>
      <x:c r="L81" s="238" t="n">
        <x:f>H81*I81</x:f>
        <x:v>141966.72</x:v>
      </x:c>
      <x:c r="M81" s="238" t="n">
        <x:f>L81-K81</x:f>
        <x:v>0</x:v>
      </x:c>
    </x:row>
    <x:row r="82">
      <x:c r="A82" s="187" t="str">
        <x:v>ACTUAL_2026_08_CLOSE_V1</x:v>
      </x:c>
      <x:c r="B82" s="187" t="str">
        <x:v>ACTUAL</x:v>
      </x:c>
      <x:c r="C82" s="187"/>
      <x:c r="D82" s="217" t="n">
        <x:v>46113</x:v>
      </x:c>
      <x:c r="E82" s="187" t="str">
        <x:v>FR_FC</x:v>
      </x:c>
      <x:c r="F82" s="187" t="str">
        <x:v>WAREHOUSE_RENT</x:v>
      </x:c>
      <x:c r="G82" s="187" t="str">
        <x:v>EUR</x:v>
      </x:c>
      <x:c r="H82" s="235" t="n">
        <x:v>18108</x:v>
      </x:c>
      <x:c r="I82" s="235" t="n">
        <x:v>7.84</x:v>
      </x:c>
      <x:c r="J82" s="235" t="str">
        <x:v>141966.720000</x:v>
      </x:c>
      <x:c r="K82" s="235" t="n">
        <x:v>141966.72</x:v>
      </x:c>
      <x:c r="L82" s="238" t="n">
        <x:f>H82*I82</x:f>
        <x:v>141966.72</x:v>
      </x:c>
      <x:c r="M82" s="238" t="n">
        <x:f>L82-K82</x:f>
        <x:v>0</x:v>
      </x:c>
    </x:row>
    <x:row r="83">
      <x:c r="A83" s="187" t="str">
        <x:v>ACTUAL_2026_08_CLOSE_V1</x:v>
      </x:c>
      <x:c r="B83" s="187" t="str">
        <x:v>ACTUAL</x:v>
      </x:c>
      <x:c r="C83" s="187"/>
      <x:c r="D83" s="217" t="n">
        <x:v>46113</x:v>
      </x:c>
      <x:c r="E83" s="187" t="str">
        <x:v>FR_FC</x:v>
      </x:c>
      <x:c r="F83" s="187" t="str">
        <x:v>LOGISTICS_LABOR</x:v>
      </x:c>
      <x:c r="G83" s="187" t="str">
        <x:v>EUR</x:v>
      </x:c>
      <x:c r="H83" s="235" t="n">
        <x:v>14084</x:v>
      </x:c>
      <x:c r="I83" s="235" t="n">
        <x:v>7.84</x:v>
      </x:c>
      <x:c r="J83" s="235" t="str">
        <x:v>110418.560000</x:v>
      </x:c>
      <x:c r="K83" s="235" t="n">
        <x:v>110418.56</x:v>
      </x:c>
      <x:c r="L83" s="238" t="n">
        <x:f>H83*I83</x:f>
        <x:v>110418.56</x:v>
      </x:c>
      <x:c r="M83" s="238" t="n">
        <x:f>L83-K83</x:f>
        <x:v>0</x:v>
      </x:c>
    </x:row>
    <x:row r="84">
      <x:c r="A84" s="187" t="str">
        <x:v>ACTUAL_2026_08_CLOSE_V1</x:v>
      </x:c>
      <x:c r="B84" s="187" t="str">
        <x:v>ACTUAL</x:v>
      </x:c>
      <x:c r="C84" s="187"/>
      <x:c r="D84" s="217" t="n">
        <x:v>46113</x:v>
      </x:c>
      <x:c r="E84" s="187" t="str">
        <x:v>SHARED</x:v>
      </x:c>
      <x:c r="F84" s="187" t="str">
        <x:v>SYSTEM_COST</x:v>
      </x:c>
      <x:c r="G84" s="187" t="str">
        <x:v>CNY</x:v>
      </x:c>
      <x:c r="H84" s="235" t="n">
        <x:v>50300</x:v>
      </x:c>
      <x:c r="I84" s="235" t="n">
        <x:v>1</x:v>
      </x:c>
      <x:c r="J84" s="235" t="str">
        <x:v>50300.0000</x:v>
      </x:c>
      <x:c r="K84" s="235" t="n">
        <x:v>50300</x:v>
      </x:c>
      <x:c r="L84" s="238" t="n">
        <x:f>H84*I84</x:f>
        <x:v>50300</x:v>
      </x:c>
      <x:c r="M84" s="238" t="n">
        <x:f>L84-K84</x:f>
        <x:v>0</x:v>
      </x:c>
    </x:row>
    <x:row r="85">
      <x:c r="A85" s="187" t="str">
        <x:v>ACTUAL_2026_08_CLOSE_V1</x:v>
      </x:c>
      <x:c r="B85" s="187" t="str">
        <x:v>ACTUAL</x:v>
      </x:c>
      <x:c r="C85" s="187"/>
      <x:c r="D85" s="217" t="n">
        <x:v>46143</x:v>
      </x:c>
      <x:c r="E85" s="187" t="str">
        <x:v>DE_FC</x:v>
      </x:c>
      <x:c r="F85" s="187" t="str">
        <x:v>WAREHOUSE_RENT</x:v>
      </x:c>
      <x:c r="G85" s="187" t="str">
        <x:v>EUR</x:v>
      </x:c>
      <x:c r="H85" s="235" t="n">
        <x:v>25187.5</x:v>
      </x:c>
      <x:c r="I85" s="235" t="n">
        <x:v>7.87</x:v>
      </x:c>
      <x:c r="J85" s="235" t="str">
        <x:v>198225.625000</x:v>
      </x:c>
      <x:c r="K85" s="235" t="n">
        <x:v>198225.625</x:v>
      </x:c>
      <x:c r="L85" s="238" t="n">
        <x:f>H85*I85</x:f>
        <x:v>198225.625</x:v>
      </x:c>
      <x:c r="M85" s="238" t="n">
        <x:f>L85-K85</x:f>
        <x:v>0</x:v>
      </x:c>
    </x:row>
    <x:row r="86">
      <x:c r="A86" s="187" t="str">
        <x:v>ACTUAL_2026_08_CLOSE_V1</x:v>
      </x:c>
      <x:c r="B86" s="187" t="str">
        <x:v>ACTUAL</x:v>
      </x:c>
      <x:c r="C86" s="187"/>
      <x:c r="D86" s="217" t="n">
        <x:v>46143</x:v>
      </x:c>
      <x:c r="E86" s="187" t="str">
        <x:v>DE_FC</x:v>
      </x:c>
      <x:c r="F86" s="187" t="str">
        <x:v>LOGISTICS_LABOR</x:v>
      </x:c>
      <x:c r="G86" s="187" t="str">
        <x:v>EUR</x:v>
      </x:c>
      <x:c r="H86" s="235" t="n">
        <x:v>18135</x:v>
      </x:c>
      <x:c r="I86" s="235" t="n">
        <x:v>7.87</x:v>
      </x:c>
      <x:c r="J86" s="235" t="str">
        <x:v>142722.450000</x:v>
      </x:c>
      <x:c r="K86" s="235" t="n">
        <x:v>142722.45</x:v>
      </x:c>
      <x:c r="L86" s="238" t="n">
        <x:f>H86*I86</x:f>
        <x:v>142722.45</x:v>
      </x:c>
      <x:c r="M86" s="238" t="n">
        <x:f>L86-K86</x:f>
        <x:v>0</x:v>
      </x:c>
    </x:row>
    <x:row r="87">
      <x:c r="A87" s="187" t="str">
        <x:v>ACTUAL_2026_08_CLOSE_V1</x:v>
      </x:c>
      <x:c r="B87" s="187" t="str">
        <x:v>ACTUAL</x:v>
      </x:c>
      <x:c r="C87" s="187"/>
      <x:c r="D87" s="217" t="n">
        <x:v>46143</x:v>
      </x:c>
      <x:c r="E87" s="187" t="str">
        <x:v>FR_FC</x:v>
      </x:c>
      <x:c r="F87" s="187" t="str">
        <x:v>WAREHOUSE_RENT</x:v>
      </x:c>
      <x:c r="G87" s="187" t="str">
        <x:v>EUR</x:v>
      </x:c>
      <x:c r="H87" s="235" t="n">
        <x:v>18135</x:v>
      </x:c>
      <x:c r="I87" s="235" t="n">
        <x:v>7.87</x:v>
      </x:c>
      <x:c r="J87" s="235" t="str">
        <x:v>142722.450000</x:v>
      </x:c>
      <x:c r="K87" s="235" t="n">
        <x:v>142722.45</x:v>
      </x:c>
      <x:c r="L87" s="238" t="n">
        <x:f>H87*I87</x:f>
        <x:v>142722.45</x:v>
      </x:c>
      <x:c r="M87" s="238" t="n">
        <x:f>L87-K87</x:f>
        <x:v>0</x:v>
      </x:c>
    </x:row>
    <x:row r="88">
      <x:c r="A88" s="187" t="str">
        <x:v>ACTUAL_2026_08_CLOSE_V1</x:v>
      </x:c>
      <x:c r="B88" s="187" t="str">
        <x:v>ACTUAL</x:v>
      </x:c>
      <x:c r="C88" s="187"/>
      <x:c r="D88" s="217" t="n">
        <x:v>46143</x:v>
      </x:c>
      <x:c r="E88" s="187" t="str">
        <x:v>FR_FC</x:v>
      </x:c>
      <x:c r="F88" s="187" t="str">
        <x:v>LOGISTICS_LABOR</x:v>
      </x:c>
      <x:c r="G88" s="187" t="str">
        <x:v>EUR</x:v>
      </x:c>
      <x:c r="H88" s="235" t="n">
        <x:v>14105</x:v>
      </x:c>
      <x:c r="I88" s="235" t="n">
        <x:v>7.87</x:v>
      </x:c>
      <x:c r="J88" s="235" t="str">
        <x:v>111006.350000</x:v>
      </x:c>
      <x:c r="K88" s="235" t="n">
        <x:v>111006.35</x:v>
      </x:c>
      <x:c r="L88" s="238" t="n">
        <x:f>H88*I88</x:f>
        <x:v>111006.35</x:v>
      </x:c>
      <x:c r="M88" s="238" t="n">
        <x:f>L88-K88</x:f>
        <x:v>0</x:v>
      </x:c>
    </x:row>
    <x:row r="89">
      <x:c r="A89" s="187" t="str">
        <x:v>ACTUAL_2026_08_CLOSE_V1</x:v>
      </x:c>
      <x:c r="B89" s="187" t="str">
        <x:v>ACTUAL</x:v>
      </x:c>
      <x:c r="C89" s="187"/>
      <x:c r="D89" s="217" t="n">
        <x:v>46143</x:v>
      </x:c>
      <x:c r="E89" s="187" t="str">
        <x:v>SHARED</x:v>
      </x:c>
      <x:c r="F89" s="187" t="str">
        <x:v>SYSTEM_COST</x:v>
      </x:c>
      <x:c r="G89" s="187" t="str">
        <x:v>CNY</x:v>
      </x:c>
      <x:c r="H89" s="235" t="n">
        <x:v>50375</x:v>
      </x:c>
      <x:c r="I89" s="235" t="n">
        <x:v>1</x:v>
      </x:c>
      <x:c r="J89" s="235" t="str">
        <x:v>50375.0000</x:v>
      </x:c>
      <x:c r="K89" s="235" t="n">
        <x:v>50375</x:v>
      </x:c>
      <x:c r="L89" s="238" t="n">
        <x:f>H89*I89</x:f>
        <x:v>50375</x:v>
      </x:c>
      <x:c r="M89" s="238" t="n">
        <x:f>L89-K89</x:f>
        <x:v>0</x:v>
      </x:c>
    </x:row>
    <x:row r="90">
      <x:c r="A90" s="187" t="str">
        <x:v>ACTUAL_2026_08_CLOSE_V1</x:v>
      </x:c>
      <x:c r="B90" s="187" t="str">
        <x:v>ACTUAL</x:v>
      </x:c>
      <x:c r="C90" s="187"/>
      <x:c r="D90" s="217" t="n">
        <x:v>46174</x:v>
      </x:c>
      <x:c r="E90" s="187" t="str">
        <x:v>DE_FC</x:v>
      </x:c>
      <x:c r="F90" s="187" t="str">
        <x:v>WAREHOUSE_RENT</x:v>
      </x:c>
      <x:c r="G90" s="187" t="str">
        <x:v>EUR</x:v>
      </x:c>
      <x:c r="H90" s="235" t="n">
        <x:v>25225</x:v>
      </x:c>
      <x:c r="I90" s="235" t="n">
        <x:v>7.89</x:v>
      </x:c>
      <x:c r="J90" s="235" t="str">
        <x:v>199025.250000</x:v>
      </x:c>
      <x:c r="K90" s="235" t="n">
        <x:v>199025.25</x:v>
      </x:c>
      <x:c r="L90" s="238" t="n">
        <x:f>H90*I90</x:f>
        <x:v>199025.25</x:v>
      </x:c>
      <x:c r="M90" s="238" t="n">
        <x:f>L90-K90</x:f>
        <x:v>0</x:v>
      </x:c>
    </x:row>
    <x:row r="91">
      <x:c r="A91" s="187" t="str">
        <x:v>ACTUAL_2026_08_CLOSE_V1</x:v>
      </x:c>
      <x:c r="B91" s="187" t="str">
        <x:v>ACTUAL</x:v>
      </x:c>
      <x:c r="C91" s="187"/>
      <x:c r="D91" s="217" t="n">
        <x:v>46174</x:v>
      </x:c>
      <x:c r="E91" s="187" t="str">
        <x:v>DE_FC</x:v>
      </x:c>
      <x:c r="F91" s="187" t="str">
        <x:v>LOGISTICS_LABOR</x:v>
      </x:c>
      <x:c r="G91" s="187" t="str">
        <x:v>EUR</x:v>
      </x:c>
      <x:c r="H91" s="235" t="n">
        <x:v>18162</x:v>
      </x:c>
      <x:c r="I91" s="235" t="n">
        <x:v>7.89</x:v>
      </x:c>
      <x:c r="J91" s="235" t="str">
        <x:v>143298.180000</x:v>
      </x:c>
      <x:c r="K91" s="235" t="n">
        <x:v>143298.18</x:v>
      </x:c>
      <x:c r="L91" s="238" t="n">
        <x:f>H91*I91</x:f>
        <x:v>143298.18</x:v>
      </x:c>
      <x:c r="M91" s="238" t="n">
        <x:f>L91-K91</x:f>
        <x:v>0</x:v>
      </x:c>
    </x:row>
    <x:row r="92">
      <x:c r="A92" s="187" t="str">
        <x:v>ACTUAL_2026_08_CLOSE_V1</x:v>
      </x:c>
      <x:c r="B92" s="187" t="str">
        <x:v>ACTUAL</x:v>
      </x:c>
      <x:c r="C92" s="187"/>
      <x:c r="D92" s="217" t="n">
        <x:v>46174</x:v>
      </x:c>
      <x:c r="E92" s="187" t="str">
        <x:v>FR_FC</x:v>
      </x:c>
      <x:c r="F92" s="187" t="str">
        <x:v>WAREHOUSE_RENT</x:v>
      </x:c>
      <x:c r="G92" s="187" t="str">
        <x:v>EUR</x:v>
      </x:c>
      <x:c r="H92" s="235" t="n">
        <x:v>18162</x:v>
      </x:c>
      <x:c r="I92" s="235" t="n">
        <x:v>7.89</x:v>
      </x:c>
      <x:c r="J92" s="235" t="str">
        <x:v>143298.180000</x:v>
      </x:c>
      <x:c r="K92" s="235" t="n">
        <x:v>143298.18</x:v>
      </x:c>
      <x:c r="L92" s="238" t="n">
        <x:f>H92*I92</x:f>
        <x:v>143298.18</x:v>
      </x:c>
      <x:c r="M92" s="238" t="n">
        <x:f>L92-K92</x:f>
        <x:v>0</x:v>
      </x:c>
    </x:row>
    <x:row r="93">
      <x:c r="A93" s="187" t="str">
        <x:v>ACTUAL_2026_08_CLOSE_V1</x:v>
      </x:c>
      <x:c r="B93" s="187" t="str">
        <x:v>ACTUAL</x:v>
      </x:c>
      <x:c r="C93" s="187"/>
      <x:c r="D93" s="217" t="n">
        <x:v>46174</x:v>
      </x:c>
      <x:c r="E93" s="187" t="str">
        <x:v>FR_FC</x:v>
      </x:c>
      <x:c r="F93" s="187" t="str">
        <x:v>LOGISTICS_LABOR</x:v>
      </x:c>
      <x:c r="G93" s="187" t="str">
        <x:v>EUR</x:v>
      </x:c>
      <x:c r="H93" s="235" t="n">
        <x:v>14126</x:v>
      </x:c>
      <x:c r="I93" s="235" t="n">
        <x:v>7.89</x:v>
      </x:c>
      <x:c r="J93" s="235" t="str">
        <x:v>111454.140000</x:v>
      </x:c>
      <x:c r="K93" s="235" t="n">
        <x:v>111454.14</x:v>
      </x:c>
      <x:c r="L93" s="238" t="n">
        <x:f>H93*I93</x:f>
        <x:v>111454.14</x:v>
      </x:c>
      <x:c r="M93" s="238" t="n">
        <x:f>L93-K93</x:f>
        <x:v>0</x:v>
      </x:c>
    </x:row>
    <x:row r="94">
      <x:c r="A94" s="187" t="str">
        <x:v>ACTUAL_2026_08_CLOSE_V1</x:v>
      </x:c>
      <x:c r="B94" s="187" t="str">
        <x:v>ACTUAL</x:v>
      </x:c>
      <x:c r="C94" s="187"/>
      <x:c r="D94" s="217" t="n">
        <x:v>46174</x:v>
      </x:c>
      <x:c r="E94" s="187" t="str">
        <x:v>SHARED</x:v>
      </x:c>
      <x:c r="F94" s="187" t="str">
        <x:v>SYSTEM_COST</x:v>
      </x:c>
      <x:c r="G94" s="187" t="str">
        <x:v>CNY</x:v>
      </x:c>
      <x:c r="H94" s="235" t="n">
        <x:v>50450</x:v>
      </x:c>
      <x:c r="I94" s="235" t="n">
        <x:v>1</x:v>
      </x:c>
      <x:c r="J94" s="235" t="str">
        <x:v>50450.0000</x:v>
      </x:c>
      <x:c r="K94" s="235" t="n">
        <x:v>50450</x:v>
      </x:c>
      <x:c r="L94" s="238" t="n">
        <x:f>H94*I94</x:f>
        <x:v>50450</x:v>
      </x:c>
      <x:c r="M94" s="238" t="n">
        <x:f>L94-K94</x:f>
        <x:v>0</x:v>
      </x:c>
    </x:row>
    <x:row r="95">
      <x:c r="A95" s="187" t="str">
        <x:v>ACTUAL_2026_08_CLOSE_V1</x:v>
      </x:c>
      <x:c r="B95" s="187" t="str">
        <x:v>ACTUAL</x:v>
      </x:c>
      <x:c r="C95" s="187"/>
      <x:c r="D95" s="217" t="n">
        <x:v>46204</x:v>
      </x:c>
      <x:c r="E95" s="187" t="str">
        <x:v>DE_FC</x:v>
      </x:c>
      <x:c r="F95" s="187" t="str">
        <x:v>WAREHOUSE_RENT</x:v>
      </x:c>
      <x:c r="G95" s="187" t="str">
        <x:v>EUR</x:v>
      </x:c>
      <x:c r="H95" s="235" t="n">
        <x:v>25262.5</x:v>
      </x:c>
      <x:c r="I95" s="235" t="n">
        <x:v>7.91</x:v>
      </x:c>
      <x:c r="J95" s="235" t="str">
        <x:v>199826.375000</x:v>
      </x:c>
      <x:c r="K95" s="235" t="n">
        <x:v>199826.375</x:v>
      </x:c>
      <x:c r="L95" s="238" t="n">
        <x:f>H95*I95</x:f>
        <x:v>199826.375</x:v>
      </x:c>
      <x:c r="M95" s="238" t="n">
        <x:f>L95-K95</x:f>
        <x:v>0</x:v>
      </x:c>
    </x:row>
    <x:row r="96">
      <x:c r="A96" s="187" t="str">
        <x:v>ACTUAL_2026_08_CLOSE_V1</x:v>
      </x:c>
      <x:c r="B96" s="187" t="str">
        <x:v>ACTUAL</x:v>
      </x:c>
      <x:c r="C96" s="187"/>
      <x:c r="D96" s="217" t="n">
        <x:v>46204</x:v>
      </x:c>
      <x:c r="E96" s="187" t="str">
        <x:v>DE_FC</x:v>
      </x:c>
      <x:c r="F96" s="187" t="str">
        <x:v>LOGISTICS_LABOR</x:v>
      </x:c>
      <x:c r="G96" s="187" t="str">
        <x:v>EUR</x:v>
      </x:c>
      <x:c r="H96" s="235" t="n">
        <x:v>18189</x:v>
      </x:c>
      <x:c r="I96" s="235" t="n">
        <x:v>7.91</x:v>
      </x:c>
      <x:c r="J96" s="235" t="str">
        <x:v>143874.990000</x:v>
      </x:c>
      <x:c r="K96" s="235" t="n">
        <x:v>143874.99</x:v>
      </x:c>
      <x:c r="L96" s="238" t="n">
        <x:f>H96*I96</x:f>
        <x:v>143874.99</x:v>
      </x:c>
      <x:c r="M96" s="238" t="n">
        <x:f>L96-K96</x:f>
        <x:v>0</x:v>
      </x:c>
    </x:row>
    <x:row r="97">
      <x:c r="A97" s="187" t="str">
        <x:v>ACTUAL_2026_08_CLOSE_V1</x:v>
      </x:c>
      <x:c r="B97" s="187" t="str">
        <x:v>ACTUAL</x:v>
      </x:c>
      <x:c r="C97" s="187"/>
      <x:c r="D97" s="217" t="n">
        <x:v>46204</x:v>
      </x:c>
      <x:c r="E97" s="187" t="str">
        <x:v>FR_FC</x:v>
      </x:c>
      <x:c r="F97" s="187" t="str">
        <x:v>WAREHOUSE_RENT</x:v>
      </x:c>
      <x:c r="G97" s="187" t="str">
        <x:v>EUR</x:v>
      </x:c>
      <x:c r="H97" s="235" t="n">
        <x:v>18189</x:v>
      </x:c>
      <x:c r="I97" s="235" t="n">
        <x:v>7.91</x:v>
      </x:c>
      <x:c r="J97" s="235" t="str">
        <x:v>143874.990000</x:v>
      </x:c>
      <x:c r="K97" s="235" t="n">
        <x:v>143874.99</x:v>
      </x:c>
      <x:c r="L97" s="238" t="n">
        <x:f>H97*I97</x:f>
        <x:v>143874.99</x:v>
      </x:c>
      <x:c r="M97" s="238" t="n">
        <x:f>L97-K97</x:f>
        <x:v>0</x:v>
      </x:c>
    </x:row>
    <x:row r="98">
      <x:c r="A98" s="187" t="str">
        <x:v>ACTUAL_2026_08_CLOSE_V1</x:v>
      </x:c>
      <x:c r="B98" s="187" t="str">
        <x:v>ACTUAL</x:v>
      </x:c>
      <x:c r="C98" s="187"/>
      <x:c r="D98" s="217" t="n">
        <x:v>46204</x:v>
      </x:c>
      <x:c r="E98" s="187" t="str">
        <x:v>FR_FC</x:v>
      </x:c>
      <x:c r="F98" s="187" t="str">
        <x:v>LOGISTICS_LABOR</x:v>
      </x:c>
      <x:c r="G98" s="187" t="str">
        <x:v>EUR</x:v>
      </x:c>
      <x:c r="H98" s="235" t="n">
        <x:v>14147</x:v>
      </x:c>
      <x:c r="I98" s="235" t="n">
        <x:v>7.91</x:v>
      </x:c>
      <x:c r="J98" s="235" t="str">
        <x:v>111902.770000</x:v>
      </x:c>
      <x:c r="K98" s="235" t="n">
        <x:v>111902.77</x:v>
      </x:c>
      <x:c r="L98" s="238" t="n">
        <x:f>H98*I98</x:f>
        <x:v>111902.77</x:v>
      </x:c>
      <x:c r="M98" s="238" t="n">
        <x:f>L98-K98</x:f>
        <x:v>0</x:v>
      </x:c>
    </x:row>
    <x:row r="99">
      <x:c r="A99" s="187" t="str">
        <x:v>ACTUAL_2026_08_CLOSE_V1</x:v>
      </x:c>
      <x:c r="B99" s="187" t="str">
        <x:v>ACTUAL</x:v>
      </x:c>
      <x:c r="C99" s="187"/>
      <x:c r="D99" s="217" t="n">
        <x:v>46204</x:v>
      </x:c>
      <x:c r="E99" s="187" t="str">
        <x:v>SHARED</x:v>
      </x:c>
      <x:c r="F99" s="187" t="str">
        <x:v>SYSTEM_COST</x:v>
      </x:c>
      <x:c r="G99" s="187" t="str">
        <x:v>CNY</x:v>
      </x:c>
      <x:c r="H99" s="235" t="n">
        <x:v>50525</x:v>
      </x:c>
      <x:c r="I99" s="235" t="n">
        <x:v>1</x:v>
      </x:c>
      <x:c r="J99" s="235" t="str">
        <x:v>50525.0000</x:v>
      </x:c>
      <x:c r="K99" s="235" t="n">
        <x:v>50525</x:v>
      </x:c>
      <x:c r="L99" s="238" t="n">
        <x:f>H99*I99</x:f>
        <x:v>50525</x:v>
      </x:c>
      <x:c r="M99" s="238" t="n">
        <x:f>L99-K99</x:f>
        <x:v>0</x:v>
      </x:c>
    </x:row>
    <x:row r="100">
      <x:c r="A100" s="187" t="str">
        <x:v>ACTUAL_2026_08_CLOSE_V1</x:v>
      </x:c>
      <x:c r="B100" s="187" t="str">
        <x:v>ACTUAL</x:v>
      </x:c>
      <x:c r="C100" s="187"/>
      <x:c r="D100" s="217" t="n">
        <x:v>46235</x:v>
      </x:c>
      <x:c r="E100" s="187" t="str">
        <x:v>DE_FC</x:v>
      </x:c>
      <x:c r="F100" s="187" t="str">
        <x:v>WAREHOUSE_RENT</x:v>
      </x:c>
      <x:c r="G100" s="187" t="str">
        <x:v>EUR</x:v>
      </x:c>
      <x:c r="H100" s="235" t="n">
        <x:v>25300</x:v>
      </x:c>
      <x:c r="I100" s="235" t="n">
        <x:v>7.95</x:v>
      </x:c>
      <x:c r="J100" s="235" t="str">
        <x:v>201135.000000</x:v>
      </x:c>
      <x:c r="K100" s="235" t="n">
        <x:v>201135</x:v>
      </x:c>
      <x:c r="L100" s="238" t="n">
        <x:f>H100*I100</x:f>
        <x:v>201135</x:v>
      </x:c>
      <x:c r="M100" s="238" t="n">
        <x:f>L100-K100</x:f>
        <x:v>0</x:v>
      </x:c>
    </x:row>
    <x:row r="101">
      <x:c r="A101" s="187" t="str">
        <x:v>ACTUAL_2026_08_CLOSE_V1</x:v>
      </x:c>
      <x:c r="B101" s="187" t="str">
        <x:v>ACTUAL</x:v>
      </x:c>
      <x:c r="C101" s="187"/>
      <x:c r="D101" s="217" t="n">
        <x:v>46235</x:v>
      </x:c>
      <x:c r="E101" s="187" t="str">
        <x:v>DE_FC</x:v>
      </x:c>
      <x:c r="F101" s="187" t="str">
        <x:v>LOGISTICS_LABOR</x:v>
      </x:c>
      <x:c r="G101" s="187" t="str">
        <x:v>EUR</x:v>
      </x:c>
      <x:c r="H101" s="235" t="n">
        <x:v>21016</x:v>
      </x:c>
      <x:c r="I101" s="235" t="n">
        <x:v>7.95</x:v>
      </x:c>
      <x:c r="J101" s="235" t="str">
        <x:v>167077.200000</x:v>
      </x:c>
      <x:c r="K101" s="235" t="n">
        <x:v>167077.2</x:v>
      </x:c>
      <x:c r="L101" s="238" t="n">
        <x:f>H101*I101</x:f>
        <x:v>167077.2</x:v>
      </x:c>
      <x:c r="M101" s="238" t="n">
        <x:f>L101-K101</x:f>
        <x:v>0</x:v>
      </x:c>
    </x:row>
    <x:row r="102">
      <x:c r="A102" s="187" t="str">
        <x:v>ACTUAL_2026_08_CLOSE_V1</x:v>
      </x:c>
      <x:c r="B102" s="187" t="str">
        <x:v>ACTUAL</x:v>
      </x:c>
      <x:c r="C102" s="187"/>
      <x:c r="D102" s="217" t="n">
        <x:v>46235</x:v>
      </x:c>
      <x:c r="E102" s="187" t="str">
        <x:v>FR_FC</x:v>
      </x:c>
      <x:c r="F102" s="187" t="str">
        <x:v>WAREHOUSE_RENT</x:v>
      </x:c>
      <x:c r="G102" s="187" t="str">
        <x:v>EUR</x:v>
      </x:c>
      <x:c r="H102" s="235" t="n">
        <x:v>18216</x:v>
      </x:c>
      <x:c r="I102" s="235" t="n">
        <x:v>7.95</x:v>
      </x:c>
      <x:c r="J102" s="235" t="str">
        <x:v>144817.200000</x:v>
      </x:c>
      <x:c r="K102" s="235" t="n">
        <x:v>144817.2</x:v>
      </x:c>
      <x:c r="L102" s="238" t="n">
        <x:f>H102*I102</x:f>
        <x:v>144817.2</x:v>
      </x:c>
      <x:c r="M102" s="238" t="n">
        <x:f>L102-K102</x:f>
        <x:v>0</x:v>
      </x:c>
    </x:row>
    <x:row r="103">
      <x:c r="A103" s="187" t="str">
        <x:v>ACTUAL_2026_08_CLOSE_V1</x:v>
      </x:c>
      <x:c r="B103" s="187" t="str">
        <x:v>ACTUAL</x:v>
      </x:c>
      <x:c r="C103" s="187"/>
      <x:c r="D103" s="217" t="n">
        <x:v>46235</x:v>
      </x:c>
      <x:c r="E103" s="187" t="str">
        <x:v>FR_FC</x:v>
      </x:c>
      <x:c r="F103" s="187" t="str">
        <x:v>LOGISTICS_LABOR</x:v>
      </x:c>
      <x:c r="G103" s="187" t="str">
        <x:v>EUR</x:v>
      </x:c>
      <x:c r="H103" s="235" t="n">
        <x:v>14168</x:v>
      </x:c>
      <x:c r="I103" s="235" t="n">
        <x:v>7.95</x:v>
      </x:c>
      <x:c r="J103" s="235" t="str">
        <x:v>112635.600000</x:v>
      </x:c>
      <x:c r="K103" s="235" t="n">
        <x:v>112635.6</x:v>
      </x:c>
      <x:c r="L103" s="238" t="n">
        <x:f>H103*I103</x:f>
        <x:v>112635.6</x:v>
      </x:c>
      <x:c r="M103" s="238" t="n">
        <x:f>L103-K103</x:f>
        <x:v>0</x:v>
      </x:c>
    </x:row>
    <x:row r="104">
      <x:c r="A104" s="187" t="str">
        <x:v>ACTUAL_2026_08_CLOSE_V1</x:v>
      </x:c>
      <x:c r="B104" s="187" t="str">
        <x:v>ACTUAL</x:v>
      </x:c>
      <x:c r="C104" s="187"/>
      <x:c r="D104" s="217" t="n">
        <x:v>46235</x:v>
      </x:c>
      <x:c r="E104" s="187" t="str">
        <x:v>SHARED</x:v>
      </x:c>
      <x:c r="F104" s="187" t="str">
        <x:v>SYSTEM_COST</x:v>
      </x:c>
      <x:c r="G104" s="187" t="str">
        <x:v>CNY</x:v>
      </x:c>
      <x:c r="H104" s="235" t="n">
        <x:v>50600</x:v>
      </x:c>
      <x:c r="I104" s="235" t="n">
        <x:v>1</x:v>
      </x:c>
      <x:c r="J104" s="235" t="str">
        <x:v>50600.0000</x:v>
      </x:c>
      <x:c r="K104" s="235" t="n">
        <x:v>50600</x:v>
      </x:c>
      <x:c r="L104" s="238" t="n">
        <x:f>H104*I104</x:f>
        <x:v>50600</x:v>
      </x:c>
      <x:c r="M104" s="238" t="n">
        <x:f>L104-K104</x:f>
        <x:v>0</x:v>
      </x:c>
    </x:row>
    <x:row r="105">
      <x:c r="A105" s="187" t="str">
        <x:v>FORECAST_2026_08_V1</x:v>
      </x:c>
      <x:c r="B105" s="187" t="str">
        <x:v>FORECAST</x:v>
      </x:c>
      <x:c r="C105" s="187"/>
      <x:c r="D105" s="217" t="n">
        <x:v>46266</x:v>
      </x:c>
      <x:c r="E105" s="187" t="str">
        <x:v>DE_FC</x:v>
      </x:c>
      <x:c r="F105" s="187" t="str">
        <x:v>WAREHOUSE_RENT</x:v>
      </x:c>
      <x:c r="G105" s="187" t="str">
        <x:v>EUR</x:v>
      </x:c>
      <x:c r="H105" s="235" t="n">
        <x:v>25450</x:v>
      </x:c>
      <x:c r="I105" s="235" t="n">
        <x:v>7.92</x:v>
      </x:c>
      <x:c r="J105" s="235" t="str">
        <x:v>201564.00000</x:v>
      </x:c>
      <x:c r="K105" s="235" t="n">
        <x:v>201564</x:v>
      </x:c>
      <x:c r="L105" s="238" t="n">
        <x:f>H105*I105</x:f>
        <x:v>201564</x:v>
      </x:c>
      <x:c r="M105" s="238" t="n">
        <x:f>L105-K105</x:f>
        <x:v>0</x:v>
      </x:c>
    </x:row>
    <x:row r="106">
      <x:c r="A106" s="187" t="str">
        <x:v>FORECAST_2026_08_V1</x:v>
      </x:c>
      <x:c r="B106" s="187" t="str">
        <x:v>FORECAST</x:v>
      </x:c>
      <x:c r="C106" s="187"/>
      <x:c r="D106" s="217" t="n">
        <x:v>46266</x:v>
      </x:c>
      <x:c r="E106" s="187" t="str">
        <x:v>DE_FC</x:v>
      </x:c>
      <x:c r="F106" s="187" t="str">
        <x:v>LOGISTICS_LABOR</x:v>
      </x:c>
      <x:c r="G106" s="187" t="str">
        <x:v>EUR</x:v>
      </x:c>
      <x:c r="H106" s="235" t="n">
        <x:v>20124</x:v>
      </x:c>
      <x:c r="I106" s="235" t="n">
        <x:v>7.92</x:v>
      </x:c>
      <x:c r="J106" s="235" t="str">
        <x:v>159382.08000</x:v>
      </x:c>
      <x:c r="K106" s="235" t="n">
        <x:v>159382.08</x:v>
      </x:c>
      <x:c r="L106" s="238" t="n">
        <x:f>H106*I106</x:f>
        <x:v>159382.08</x:v>
      </x:c>
      <x:c r="M106" s="238" t="n">
        <x:f>L106-K106</x:f>
        <x:v>0</x:v>
      </x:c>
    </x:row>
    <x:row r="107">
      <x:c r="A107" s="187" t="str">
        <x:v>FORECAST_2026_08_V1</x:v>
      </x:c>
      <x:c r="B107" s="187" t="str">
        <x:v>FORECAST</x:v>
      </x:c>
      <x:c r="C107" s="187"/>
      <x:c r="D107" s="217" t="n">
        <x:v>46266</x:v>
      </x:c>
      <x:c r="E107" s="187" t="str">
        <x:v>FR_FC</x:v>
      </x:c>
      <x:c r="F107" s="187" t="str">
        <x:v>WAREHOUSE_RENT</x:v>
      </x:c>
      <x:c r="G107" s="187" t="str">
        <x:v>EUR</x:v>
      </x:c>
      <x:c r="H107" s="235" t="n">
        <x:v>18324</x:v>
      </x:c>
      <x:c r="I107" s="235" t="n">
        <x:v>7.92</x:v>
      </x:c>
      <x:c r="J107" s="235" t="str">
        <x:v>145126.08000</x:v>
      </x:c>
      <x:c r="K107" s="235" t="n">
        <x:v>145126.08</x:v>
      </x:c>
      <x:c r="L107" s="238" t="n">
        <x:f>H107*I107</x:f>
        <x:v>145126.08</x:v>
      </x:c>
      <x:c r="M107" s="238" t="n">
        <x:f>L107-K107</x:f>
        <x:v>0</x:v>
      </x:c>
    </x:row>
    <x:row r="108">
      <x:c r="A108" s="187" t="str">
        <x:v>FORECAST_2026_08_V1</x:v>
      </x:c>
      <x:c r="B108" s="187" t="str">
        <x:v>FORECAST</x:v>
      </x:c>
      <x:c r="C108" s="187"/>
      <x:c r="D108" s="217" t="n">
        <x:v>46266</x:v>
      </x:c>
      <x:c r="E108" s="187" t="str">
        <x:v>FR_FC</x:v>
      </x:c>
      <x:c r="F108" s="187" t="str">
        <x:v>LOGISTICS_LABOR</x:v>
      </x:c>
      <x:c r="G108" s="187" t="str">
        <x:v>EUR</x:v>
      </x:c>
      <x:c r="H108" s="235" t="n">
        <x:v>14252</x:v>
      </x:c>
      <x:c r="I108" s="235" t="n">
        <x:v>7.92</x:v>
      </x:c>
      <x:c r="J108" s="235" t="str">
        <x:v>112875.84000</x:v>
      </x:c>
      <x:c r="K108" s="235" t="n">
        <x:v>112875.84</x:v>
      </x:c>
      <x:c r="L108" s="238" t="n">
        <x:f>H108*I108</x:f>
        <x:v>112875.84</x:v>
      </x:c>
      <x:c r="M108" s="238" t="n">
        <x:f>L108-K108</x:f>
        <x:v>0</x:v>
      </x:c>
    </x:row>
    <x:row r="109">
      <x:c r="A109" s="187" t="str">
        <x:v>FORECAST_2026_08_V1</x:v>
      </x:c>
      <x:c r="B109" s="187" t="str">
        <x:v>FORECAST</x:v>
      </x:c>
      <x:c r="C109" s="187"/>
      <x:c r="D109" s="217" t="n">
        <x:v>46266</x:v>
      </x:c>
      <x:c r="E109" s="187" t="str">
        <x:v>SHARED</x:v>
      </x:c>
      <x:c r="F109" s="187" t="str">
        <x:v>SYSTEM_COST</x:v>
      </x:c>
      <x:c r="G109" s="187" t="str">
        <x:v>CNY</x:v>
      </x:c>
      <x:c r="H109" s="235" t="n">
        <x:v>50900</x:v>
      </x:c>
      <x:c r="I109" s="235" t="n">
        <x:v>1</x:v>
      </x:c>
      <x:c r="J109" s="235" t="str">
        <x:v>50900.000</x:v>
      </x:c>
      <x:c r="K109" s="235" t="n">
        <x:v>50900</x:v>
      </x:c>
      <x:c r="L109" s="238" t="n">
        <x:f>H109*I109</x:f>
        <x:v>50900</x:v>
      </x:c>
      <x:c r="M109" s="238" t="n">
        <x:f>L109-K109</x:f>
        <x:v>0</x:v>
      </x:c>
    </x:row>
    <x:row r="110">
      <x:c r="A110" s="187" t="str">
        <x:v>FORECAST_2026_08_V1</x:v>
      </x:c>
      <x:c r="B110" s="187" t="str">
        <x:v>FORECAST</x:v>
      </x:c>
      <x:c r="C110" s="187"/>
      <x:c r="D110" s="217" t="n">
        <x:v>46296</x:v>
      </x:c>
      <x:c r="E110" s="187" t="str">
        <x:v>DE_FC</x:v>
      </x:c>
      <x:c r="F110" s="187" t="str">
        <x:v>WAREHOUSE_RENT</x:v>
      </x:c>
      <x:c r="G110" s="187" t="str">
        <x:v>EUR</x:v>
      </x:c>
      <x:c r="H110" s="235" t="n">
        <x:v>25450</x:v>
      </x:c>
      <x:c r="I110" s="235" t="n">
        <x:v>7.9</x:v>
      </x:c>
      <x:c r="J110" s="235" t="str">
        <x:v>201055.00000</x:v>
      </x:c>
      <x:c r="K110" s="235" t="n">
        <x:v>201055</x:v>
      </x:c>
      <x:c r="L110" s="238" t="n">
        <x:f>H110*I110</x:f>
        <x:v>201055</x:v>
      </x:c>
      <x:c r="M110" s="238" t="n">
        <x:f>L110-K110</x:f>
        <x:v>0</x:v>
      </x:c>
    </x:row>
    <x:row r="111">
      <x:c r="A111" s="187" t="str">
        <x:v>FORECAST_2026_08_V1</x:v>
      </x:c>
      <x:c r="B111" s="187" t="str">
        <x:v>FORECAST</x:v>
      </x:c>
      <x:c r="C111" s="187"/>
      <x:c r="D111" s="217" t="n">
        <x:v>46296</x:v>
      </x:c>
      <x:c r="E111" s="187" t="str">
        <x:v>DE_FC</x:v>
      </x:c>
      <x:c r="F111" s="187" t="str">
        <x:v>LOGISTICS_LABOR</x:v>
      </x:c>
      <x:c r="G111" s="187" t="str">
        <x:v>EUR</x:v>
      </x:c>
      <x:c r="H111" s="235" t="n">
        <x:v>20124</x:v>
      </x:c>
      <x:c r="I111" s="235" t="n">
        <x:v>7.9</x:v>
      </x:c>
      <x:c r="J111" s="235" t="str">
        <x:v>158979.60000</x:v>
      </x:c>
      <x:c r="K111" s="235" t="n">
        <x:v>158979.6</x:v>
      </x:c>
      <x:c r="L111" s="238" t="n">
        <x:f>H111*I111</x:f>
        <x:v>158979.6</x:v>
      </x:c>
      <x:c r="M111" s="238" t="n">
        <x:f>L111-K111</x:f>
        <x:v>0</x:v>
      </x:c>
    </x:row>
    <x:row r="112">
      <x:c r="A112" s="187" t="str">
        <x:v>FORECAST_2026_08_V1</x:v>
      </x:c>
      <x:c r="B112" s="187" t="str">
        <x:v>FORECAST</x:v>
      </x:c>
      <x:c r="C112" s="187"/>
      <x:c r="D112" s="217" t="n">
        <x:v>46296</x:v>
      </x:c>
      <x:c r="E112" s="187" t="str">
        <x:v>FR_FC</x:v>
      </x:c>
      <x:c r="F112" s="187" t="str">
        <x:v>WAREHOUSE_RENT</x:v>
      </x:c>
      <x:c r="G112" s="187" t="str">
        <x:v>EUR</x:v>
      </x:c>
      <x:c r="H112" s="235" t="n">
        <x:v>18324</x:v>
      </x:c>
      <x:c r="I112" s="235" t="n">
        <x:v>7.9</x:v>
      </x:c>
      <x:c r="J112" s="235" t="str">
        <x:v>144759.60000</x:v>
      </x:c>
      <x:c r="K112" s="235" t="n">
        <x:v>144759.6</x:v>
      </x:c>
      <x:c r="L112" s="238" t="n">
        <x:f>H112*I112</x:f>
        <x:v>144759.6</x:v>
      </x:c>
      <x:c r="M112" s="238" t="n">
        <x:f>L112-K112</x:f>
        <x:v>0</x:v>
      </x:c>
    </x:row>
    <x:row r="113">
      <x:c r="A113" s="187" t="str">
        <x:v>FORECAST_2026_08_V1</x:v>
      </x:c>
      <x:c r="B113" s="187" t="str">
        <x:v>FORECAST</x:v>
      </x:c>
      <x:c r="C113" s="187"/>
      <x:c r="D113" s="217" t="n">
        <x:v>46296</x:v>
      </x:c>
      <x:c r="E113" s="187" t="str">
        <x:v>FR_FC</x:v>
      </x:c>
      <x:c r="F113" s="187" t="str">
        <x:v>LOGISTICS_LABOR</x:v>
      </x:c>
      <x:c r="G113" s="187" t="str">
        <x:v>EUR</x:v>
      </x:c>
      <x:c r="H113" s="235" t="n">
        <x:v>14252</x:v>
      </x:c>
      <x:c r="I113" s="235" t="n">
        <x:v>7.9</x:v>
      </x:c>
      <x:c r="J113" s="235" t="str">
        <x:v>112590.80000</x:v>
      </x:c>
      <x:c r="K113" s="235" t="n">
        <x:v>112590.8</x:v>
      </x:c>
      <x:c r="L113" s="238" t="n">
        <x:f>H113*I113</x:f>
        <x:v>112590.8</x:v>
      </x:c>
      <x:c r="M113" s="238" t="n">
        <x:f>L113-K113</x:f>
        <x:v>0</x:v>
      </x:c>
    </x:row>
    <x:row r="114">
      <x:c r="A114" s="187" t="str">
        <x:v>FORECAST_2026_08_V1</x:v>
      </x:c>
      <x:c r="B114" s="187" t="str">
        <x:v>FORECAST</x:v>
      </x:c>
      <x:c r="C114" s="187"/>
      <x:c r="D114" s="217" t="n">
        <x:v>46296</x:v>
      </x:c>
      <x:c r="E114" s="187" t="str">
        <x:v>SHARED</x:v>
      </x:c>
      <x:c r="F114" s="187" t="str">
        <x:v>SYSTEM_COST</x:v>
      </x:c>
      <x:c r="G114" s="187" t="str">
        <x:v>CNY</x:v>
      </x:c>
      <x:c r="H114" s="235" t="n">
        <x:v>50900</x:v>
      </x:c>
      <x:c r="I114" s="235" t="n">
        <x:v>1</x:v>
      </x:c>
      <x:c r="J114" s="235" t="str">
        <x:v>50900.000</x:v>
      </x:c>
      <x:c r="K114" s="235" t="n">
        <x:v>50900</x:v>
      </x:c>
      <x:c r="L114" s="238" t="n">
        <x:f>H114*I114</x:f>
        <x:v>50900</x:v>
      </x:c>
      <x:c r="M114" s="238" t="n">
        <x:f>L114-K114</x:f>
        <x:v>0</x:v>
      </x:c>
    </x:row>
    <x:row r="115">
      <x:c r="A115" s="187" t="str">
        <x:v>FORECAST_2026_08_V1</x:v>
      </x:c>
      <x:c r="B115" s="187" t="str">
        <x:v>FORECAST</x:v>
      </x:c>
      <x:c r="C115" s="187"/>
      <x:c r="D115" s="217" t="n">
        <x:v>46327</x:v>
      </x:c>
      <x:c r="E115" s="187" t="str">
        <x:v>DE_FC</x:v>
      </x:c>
      <x:c r="F115" s="187" t="str">
        <x:v>WAREHOUSE_RENT</x:v>
      </x:c>
      <x:c r="G115" s="187" t="str">
        <x:v>EUR</x:v>
      </x:c>
      <x:c r="H115" s="235" t="n">
        <x:v>25450</x:v>
      </x:c>
      <x:c r="I115" s="235" t="n">
        <x:v>7.88</x:v>
      </x:c>
      <x:c r="J115" s="235" t="str">
        <x:v>200546.00000</x:v>
      </x:c>
      <x:c r="K115" s="235" t="n">
        <x:v>200546</x:v>
      </x:c>
      <x:c r="L115" s="238" t="n">
        <x:f>H115*I115</x:f>
        <x:v>200546</x:v>
      </x:c>
      <x:c r="M115" s="238" t="n">
        <x:f>L115-K115</x:f>
        <x:v>0</x:v>
      </x:c>
    </x:row>
    <x:row r="116">
      <x:c r="A116" s="187" t="str">
        <x:v>FORECAST_2026_08_V1</x:v>
      </x:c>
      <x:c r="B116" s="187" t="str">
        <x:v>FORECAST</x:v>
      </x:c>
      <x:c r="C116" s="187"/>
      <x:c r="D116" s="217" t="n">
        <x:v>46327</x:v>
      </x:c>
      <x:c r="E116" s="187" t="str">
        <x:v>DE_FC</x:v>
      </x:c>
      <x:c r="F116" s="187" t="str">
        <x:v>LOGISTICS_LABOR</x:v>
      </x:c>
      <x:c r="G116" s="187" t="str">
        <x:v>EUR</x:v>
      </x:c>
      <x:c r="H116" s="235" t="n">
        <x:v>19124</x:v>
      </x:c>
      <x:c r="I116" s="235" t="n">
        <x:v>7.88</x:v>
      </x:c>
      <x:c r="J116" s="235" t="str">
        <x:v>150697.12000</x:v>
      </x:c>
      <x:c r="K116" s="235" t="n">
        <x:v>150697.12</x:v>
      </x:c>
      <x:c r="L116" s="238" t="n">
        <x:f>H116*I116</x:f>
        <x:v>150697.12</x:v>
      </x:c>
      <x:c r="M116" s="238" t="n">
        <x:f>L116-K116</x:f>
        <x:v>0</x:v>
      </x:c>
    </x:row>
    <x:row r="117">
      <x:c r="A117" s="187" t="str">
        <x:v>FORECAST_2026_08_V1</x:v>
      </x:c>
      <x:c r="B117" s="187" t="str">
        <x:v>FORECAST</x:v>
      </x:c>
      <x:c r="C117" s="187"/>
      <x:c r="D117" s="217" t="n">
        <x:v>46327</x:v>
      </x:c>
      <x:c r="E117" s="187" t="str">
        <x:v>FR_FC</x:v>
      </x:c>
      <x:c r="F117" s="187" t="str">
        <x:v>WAREHOUSE_RENT</x:v>
      </x:c>
      <x:c r="G117" s="187" t="str">
        <x:v>EUR</x:v>
      </x:c>
      <x:c r="H117" s="235" t="n">
        <x:v>18324</x:v>
      </x:c>
      <x:c r="I117" s="235" t="n">
        <x:v>7.88</x:v>
      </x:c>
      <x:c r="J117" s="235" t="str">
        <x:v>144393.12000</x:v>
      </x:c>
      <x:c r="K117" s="235" t="n">
        <x:v>144393.12</x:v>
      </x:c>
      <x:c r="L117" s="238" t="n">
        <x:f>H117*I117</x:f>
        <x:v>144393.12</x:v>
      </x:c>
      <x:c r="M117" s="238" t="n">
        <x:f>L117-K117</x:f>
        <x:v>0</x:v>
      </x:c>
    </x:row>
    <x:row r="118">
      <x:c r="A118" s="187" t="str">
        <x:v>FORECAST_2026_08_V1</x:v>
      </x:c>
      <x:c r="B118" s="187" t="str">
        <x:v>FORECAST</x:v>
      </x:c>
      <x:c r="C118" s="187"/>
      <x:c r="D118" s="217" t="n">
        <x:v>46327</x:v>
      </x:c>
      <x:c r="E118" s="187" t="str">
        <x:v>FR_FC</x:v>
      </x:c>
      <x:c r="F118" s="187" t="str">
        <x:v>LOGISTICS_LABOR</x:v>
      </x:c>
      <x:c r="G118" s="187" t="str">
        <x:v>EUR</x:v>
      </x:c>
      <x:c r="H118" s="235" t="n">
        <x:v>14252</x:v>
      </x:c>
      <x:c r="I118" s="235" t="n">
        <x:v>7.88</x:v>
      </x:c>
      <x:c r="J118" s="235" t="str">
        <x:v>112305.76000</x:v>
      </x:c>
      <x:c r="K118" s="235" t="n">
        <x:v>112305.76</x:v>
      </x:c>
      <x:c r="L118" s="238" t="n">
        <x:f>H118*I118</x:f>
        <x:v>112305.76</x:v>
      </x:c>
      <x:c r="M118" s="238" t="n">
        <x:f>L118-K118</x:f>
        <x:v>0</x:v>
      </x:c>
    </x:row>
    <x:row r="119">
      <x:c r="A119" s="187" t="str">
        <x:v>FORECAST_2026_08_V1</x:v>
      </x:c>
      <x:c r="B119" s="187" t="str">
        <x:v>FORECAST</x:v>
      </x:c>
      <x:c r="C119" s="187"/>
      <x:c r="D119" s="217" t="n">
        <x:v>46327</x:v>
      </x:c>
      <x:c r="E119" s="187" t="str">
        <x:v>SHARED</x:v>
      </x:c>
      <x:c r="F119" s="187" t="str">
        <x:v>SYSTEM_COST</x:v>
      </x:c>
      <x:c r="G119" s="187" t="str">
        <x:v>CNY</x:v>
      </x:c>
      <x:c r="H119" s="235" t="n">
        <x:v>50900</x:v>
      </x:c>
      <x:c r="I119" s="235" t="n">
        <x:v>1</x:v>
      </x:c>
      <x:c r="J119" s="235" t="str">
        <x:v>50900.000</x:v>
      </x:c>
      <x:c r="K119" s="235" t="n">
        <x:v>50900</x:v>
      </x:c>
      <x:c r="L119" s="238" t="n">
        <x:f>H119*I119</x:f>
        <x:v>50900</x:v>
      </x:c>
      <x:c r="M119" s="238" t="n">
        <x:f>L119-K119</x:f>
        <x:v>0</x:v>
      </x:c>
    </x:row>
    <x:row r="120">
      <x:c r="A120" s="187" t="str">
        <x:v>FORECAST_2026_08_V1</x:v>
      </x:c>
      <x:c r="B120" s="187" t="str">
        <x:v>FORECAST</x:v>
      </x:c>
      <x:c r="C120" s="187"/>
      <x:c r="D120" s="217" t="n">
        <x:v>46357</x:v>
      </x:c>
      <x:c r="E120" s="187" t="str">
        <x:v>DE_FC</x:v>
      </x:c>
      <x:c r="F120" s="187" t="str">
        <x:v>WAREHOUSE_RENT</x:v>
      </x:c>
      <x:c r="G120" s="187" t="str">
        <x:v>EUR</x:v>
      </x:c>
      <x:c r="H120" s="235" t="n">
        <x:v>25450</x:v>
      </x:c>
      <x:c r="I120" s="235" t="n">
        <x:v>7.86</x:v>
      </x:c>
      <x:c r="J120" s="235" t="str">
        <x:v>200037.00000</x:v>
      </x:c>
      <x:c r="K120" s="235" t="n">
        <x:v>200037</x:v>
      </x:c>
      <x:c r="L120" s="238" t="n">
        <x:f>H120*I120</x:f>
        <x:v>200037</x:v>
      </x:c>
      <x:c r="M120" s="238" t="n">
        <x:f>L120-K120</x:f>
        <x:v>0</x:v>
      </x:c>
    </x:row>
    <x:row r="121">
      <x:c r="A121" s="187" t="str">
        <x:v>FORECAST_2026_08_V1</x:v>
      </x:c>
      <x:c r="B121" s="187" t="str">
        <x:v>FORECAST</x:v>
      </x:c>
      <x:c r="C121" s="187"/>
      <x:c r="D121" s="217" t="n">
        <x:v>46357</x:v>
      </x:c>
      <x:c r="E121" s="187" t="str">
        <x:v>DE_FC</x:v>
      </x:c>
      <x:c r="F121" s="187" t="str">
        <x:v>LOGISTICS_LABOR</x:v>
      </x:c>
      <x:c r="G121" s="187" t="str">
        <x:v>EUR</x:v>
      </x:c>
      <x:c r="H121" s="235" t="n">
        <x:v>19124</x:v>
      </x:c>
      <x:c r="I121" s="235" t="n">
        <x:v>7.86</x:v>
      </x:c>
      <x:c r="J121" s="235" t="str">
        <x:v>150314.64000</x:v>
      </x:c>
      <x:c r="K121" s="235" t="n">
        <x:v>150314.64</x:v>
      </x:c>
      <x:c r="L121" s="238" t="n">
        <x:f>H121*I121</x:f>
        <x:v>150314.64</x:v>
      </x:c>
      <x:c r="M121" s="238" t="n">
        <x:f>L121-K121</x:f>
        <x:v>0</x:v>
      </x:c>
    </x:row>
    <x:row r="122">
      <x:c r="A122" s="187" t="str">
        <x:v>FORECAST_2026_08_V1</x:v>
      </x:c>
      <x:c r="B122" s="187" t="str">
        <x:v>FORECAST</x:v>
      </x:c>
      <x:c r="C122" s="187"/>
      <x:c r="D122" s="217" t="n">
        <x:v>46357</x:v>
      </x:c>
      <x:c r="E122" s="187" t="str">
        <x:v>FR_FC</x:v>
      </x:c>
      <x:c r="F122" s="187" t="str">
        <x:v>WAREHOUSE_RENT</x:v>
      </x:c>
      <x:c r="G122" s="187" t="str">
        <x:v>EUR</x:v>
      </x:c>
      <x:c r="H122" s="235" t="n">
        <x:v>18324</x:v>
      </x:c>
      <x:c r="I122" s="235" t="n">
        <x:v>7.86</x:v>
      </x:c>
      <x:c r="J122" s="235" t="str">
        <x:v>144026.64000</x:v>
      </x:c>
      <x:c r="K122" s="235" t="n">
        <x:v>144026.64</x:v>
      </x:c>
      <x:c r="L122" s="238" t="n">
        <x:f>H122*I122</x:f>
        <x:v>144026.64</x:v>
      </x:c>
      <x:c r="M122" s="238" t="n">
        <x:f>L122-K122</x:f>
        <x:v>0</x:v>
      </x:c>
    </x:row>
    <x:row r="123">
      <x:c r="A123" s="187" t="str">
        <x:v>FORECAST_2026_08_V1</x:v>
      </x:c>
      <x:c r="B123" s="187" t="str">
        <x:v>FORECAST</x:v>
      </x:c>
      <x:c r="C123" s="187"/>
      <x:c r="D123" s="217" t="n">
        <x:v>46357</x:v>
      </x:c>
      <x:c r="E123" s="187" t="str">
        <x:v>FR_FC</x:v>
      </x:c>
      <x:c r="F123" s="187" t="str">
        <x:v>LOGISTICS_LABOR</x:v>
      </x:c>
      <x:c r="G123" s="187" t="str">
        <x:v>EUR</x:v>
      </x:c>
      <x:c r="H123" s="235" t="n">
        <x:v>14252</x:v>
      </x:c>
      <x:c r="I123" s="235" t="n">
        <x:v>7.86</x:v>
      </x:c>
      <x:c r="J123" s="235" t="str">
        <x:v>112020.72000</x:v>
      </x:c>
      <x:c r="K123" s="235" t="n">
        <x:v>112020.72</x:v>
      </x:c>
      <x:c r="L123" s="238" t="n">
        <x:f>H123*I123</x:f>
        <x:v>112020.72</x:v>
      </x:c>
      <x:c r="M123" s="238" t="n">
        <x:f>L123-K123</x:f>
        <x:v>0</x:v>
      </x:c>
    </x:row>
    <x:row r="124">
      <x:c r="A124" s="187" t="str">
        <x:v>FORECAST_2026_08_V1</x:v>
      </x:c>
      <x:c r="B124" s="187" t="str">
        <x:v>FORECAST</x:v>
      </x:c>
      <x:c r="C124" s="187"/>
      <x:c r="D124" s="217" t="n">
        <x:v>46357</x:v>
      </x:c>
      <x:c r="E124" s="187" t="str">
        <x:v>SHARED</x:v>
      </x:c>
      <x:c r="F124" s="187" t="str">
        <x:v>SYSTEM_COST</x:v>
      </x:c>
      <x:c r="G124" s="187" t="str">
        <x:v>CNY</x:v>
      </x:c>
      <x:c r="H124" s="235" t="n">
        <x:v>50900</x:v>
      </x:c>
      <x:c r="I124" s="235" t="n">
        <x:v>1</x:v>
      </x:c>
      <x:c r="J124" s="235" t="str">
        <x:v>50900.000</x:v>
      </x:c>
      <x:c r="K124" s="235" t="n">
        <x:v>50900</x:v>
      </x:c>
      <x:c r="L124" s="238" t="n">
        <x:f>H124*I124</x:f>
        <x:v>50900</x:v>
      </x:c>
      <x:c r="M124" s="238" t="n">
        <x:f>L124-K124</x:f>
        <x:v>0</x:v>
      </x:c>
    </x:row>
    <x:row r="125">
      <x:c r="A125" s="187" t="str">
        <x:v>SCENARIO_BASE_2026_08</x:v>
      </x:c>
      <x:c r="B125" s="187" t="str">
        <x:v>SCENARIO</x:v>
      </x:c>
      <x:c r="C125" s="187" t="str">
        <x:v>BASE</x:v>
      </x:c>
      <x:c r="D125" s="217" t="n">
        <x:v>46266</x:v>
      </x:c>
      <x:c r="E125" s="187" t="str">
        <x:v>DE_FC</x:v>
      </x:c>
      <x:c r="F125" s="187" t="str">
        <x:v>WAREHOUSE_RENT</x:v>
      </x:c>
      <x:c r="G125" s="187" t="str">
        <x:v>EUR</x:v>
      </x:c>
      <x:c r="H125" s="235" t="n">
        <x:v>25450</x:v>
      </x:c>
      <x:c r="I125" s="235" t="n">
        <x:v>7.92</x:v>
      </x:c>
      <x:c r="J125" s="235" t="str">
        <x:v>201564.00000</x:v>
      </x:c>
      <x:c r="K125" s="235" t="n">
        <x:v>201564</x:v>
      </x:c>
      <x:c r="L125" s="238" t="n">
        <x:f>H125*I125</x:f>
        <x:v>201564</x:v>
      </x:c>
      <x:c r="M125" s="238" t="n">
        <x:f>L125-K125</x:f>
        <x:v>0</x:v>
      </x:c>
    </x:row>
    <x:row r="126">
      <x:c r="A126" s="187" t="str">
        <x:v>SCENARIO_BASE_2026_08</x:v>
      </x:c>
      <x:c r="B126" s="187" t="str">
        <x:v>SCENARIO</x:v>
      </x:c>
      <x:c r="C126" s="187" t="str">
        <x:v>BASE</x:v>
      </x:c>
      <x:c r="D126" s="217" t="n">
        <x:v>46266</x:v>
      </x:c>
      <x:c r="E126" s="187" t="str">
        <x:v>DE_FC</x:v>
      </x:c>
      <x:c r="F126" s="187" t="str">
        <x:v>LOGISTICS_LABOR</x:v>
      </x:c>
      <x:c r="G126" s="187" t="str">
        <x:v>EUR</x:v>
      </x:c>
      <x:c r="H126" s="235" t="n">
        <x:v>20124</x:v>
      </x:c>
      <x:c r="I126" s="235" t="n">
        <x:v>7.92</x:v>
      </x:c>
      <x:c r="J126" s="235" t="str">
        <x:v>159382.08000</x:v>
      </x:c>
      <x:c r="K126" s="235" t="n">
        <x:v>159382.08</x:v>
      </x:c>
      <x:c r="L126" s="238" t="n">
        <x:f>H126*I126</x:f>
        <x:v>159382.08</x:v>
      </x:c>
      <x:c r="M126" s="238" t="n">
        <x:f>L126-K126</x:f>
        <x:v>0</x:v>
      </x:c>
    </x:row>
    <x:row r="127">
      <x:c r="A127" s="187" t="str">
        <x:v>SCENARIO_BASE_2026_08</x:v>
      </x:c>
      <x:c r="B127" s="187" t="str">
        <x:v>SCENARIO</x:v>
      </x:c>
      <x:c r="C127" s="187" t="str">
        <x:v>BASE</x:v>
      </x:c>
      <x:c r="D127" s="217" t="n">
        <x:v>46266</x:v>
      </x:c>
      <x:c r="E127" s="187" t="str">
        <x:v>FR_FC</x:v>
      </x:c>
      <x:c r="F127" s="187" t="str">
        <x:v>WAREHOUSE_RENT</x:v>
      </x:c>
      <x:c r="G127" s="187" t="str">
        <x:v>EUR</x:v>
      </x:c>
      <x:c r="H127" s="235" t="n">
        <x:v>18324</x:v>
      </x:c>
      <x:c r="I127" s="235" t="n">
        <x:v>7.92</x:v>
      </x:c>
      <x:c r="J127" s="235" t="str">
        <x:v>145126.08000</x:v>
      </x:c>
      <x:c r="K127" s="235" t="n">
        <x:v>145126.08</x:v>
      </x:c>
      <x:c r="L127" s="238" t="n">
        <x:f>H127*I127</x:f>
        <x:v>145126.08</x:v>
      </x:c>
      <x:c r="M127" s="238" t="n">
        <x:f>L127-K127</x:f>
        <x:v>0</x:v>
      </x:c>
    </x:row>
    <x:row r="128">
      <x:c r="A128" s="187" t="str">
        <x:v>SCENARIO_BASE_2026_08</x:v>
      </x:c>
      <x:c r="B128" s="187" t="str">
        <x:v>SCENARIO</x:v>
      </x:c>
      <x:c r="C128" s="187" t="str">
        <x:v>BASE</x:v>
      </x:c>
      <x:c r="D128" s="217" t="n">
        <x:v>46266</x:v>
      </x:c>
      <x:c r="E128" s="187" t="str">
        <x:v>FR_FC</x:v>
      </x:c>
      <x:c r="F128" s="187" t="str">
        <x:v>LOGISTICS_LABOR</x:v>
      </x:c>
      <x:c r="G128" s="187" t="str">
        <x:v>EUR</x:v>
      </x:c>
      <x:c r="H128" s="235" t="n">
        <x:v>14252</x:v>
      </x:c>
      <x:c r="I128" s="235" t="n">
        <x:v>7.92</x:v>
      </x:c>
      <x:c r="J128" s="235" t="str">
        <x:v>112875.84000</x:v>
      </x:c>
      <x:c r="K128" s="235" t="n">
        <x:v>112875.84</x:v>
      </x:c>
      <x:c r="L128" s="238" t="n">
        <x:f>H128*I128</x:f>
        <x:v>112875.84</x:v>
      </x:c>
      <x:c r="M128" s="238" t="n">
        <x:f>L128-K128</x:f>
        <x:v>0</x:v>
      </x:c>
    </x:row>
    <x:row r="129">
      <x:c r="A129" s="187" t="str">
        <x:v>SCENARIO_BASE_2026_08</x:v>
      </x:c>
      <x:c r="B129" s="187" t="str">
        <x:v>SCENARIO</x:v>
      </x:c>
      <x:c r="C129" s="187" t="str">
        <x:v>BASE</x:v>
      </x:c>
      <x:c r="D129" s="217" t="n">
        <x:v>46266</x:v>
      </x:c>
      <x:c r="E129" s="187" t="str">
        <x:v>SHARED</x:v>
      </x:c>
      <x:c r="F129" s="187" t="str">
        <x:v>SYSTEM_COST</x:v>
      </x:c>
      <x:c r="G129" s="187" t="str">
        <x:v>CNY</x:v>
      </x:c>
      <x:c r="H129" s="235" t="n">
        <x:v>50900</x:v>
      </x:c>
      <x:c r="I129" s="235" t="n">
        <x:v>1</x:v>
      </x:c>
      <x:c r="J129" s="235" t="str">
        <x:v>50900.000</x:v>
      </x:c>
      <x:c r="K129" s="235" t="n">
        <x:v>50900</x:v>
      </x:c>
      <x:c r="L129" s="238" t="n">
        <x:f>H129*I129</x:f>
        <x:v>50900</x:v>
      </x:c>
      <x:c r="M129" s="238" t="n">
        <x:f>L129-K129</x:f>
        <x:v>0</x:v>
      </x:c>
    </x:row>
    <x:row r="130">
      <x:c r="A130" s="187" t="str">
        <x:v>SCENARIO_BASE_2026_08</x:v>
      </x:c>
      <x:c r="B130" s="187" t="str">
        <x:v>SCENARIO</x:v>
      </x:c>
      <x:c r="C130" s="187" t="str">
        <x:v>BASE</x:v>
      </x:c>
      <x:c r="D130" s="217" t="n">
        <x:v>46296</x:v>
      </x:c>
      <x:c r="E130" s="187" t="str">
        <x:v>DE_FC</x:v>
      </x:c>
      <x:c r="F130" s="187" t="str">
        <x:v>WAREHOUSE_RENT</x:v>
      </x:c>
      <x:c r="G130" s="187" t="str">
        <x:v>EUR</x:v>
      </x:c>
      <x:c r="H130" s="235" t="n">
        <x:v>25450</x:v>
      </x:c>
      <x:c r="I130" s="235" t="n">
        <x:v>7.9</x:v>
      </x:c>
      <x:c r="J130" s="235" t="str">
        <x:v>201055.00000</x:v>
      </x:c>
      <x:c r="K130" s="235" t="n">
        <x:v>201055</x:v>
      </x:c>
      <x:c r="L130" s="238" t="n">
        <x:f>H130*I130</x:f>
        <x:v>201055</x:v>
      </x:c>
      <x:c r="M130" s="238" t="n">
        <x:f>L130-K130</x:f>
        <x:v>0</x:v>
      </x:c>
    </x:row>
    <x:row r="131">
      <x:c r="A131" s="187" t="str">
        <x:v>SCENARIO_BASE_2026_08</x:v>
      </x:c>
      <x:c r="B131" s="187" t="str">
        <x:v>SCENARIO</x:v>
      </x:c>
      <x:c r="C131" s="187" t="str">
        <x:v>BASE</x:v>
      </x:c>
      <x:c r="D131" s="217" t="n">
        <x:v>46296</x:v>
      </x:c>
      <x:c r="E131" s="187" t="str">
        <x:v>DE_FC</x:v>
      </x:c>
      <x:c r="F131" s="187" t="str">
        <x:v>LOGISTICS_LABOR</x:v>
      </x:c>
      <x:c r="G131" s="187" t="str">
        <x:v>EUR</x:v>
      </x:c>
      <x:c r="H131" s="235" t="n">
        <x:v>20124</x:v>
      </x:c>
      <x:c r="I131" s="235" t="n">
        <x:v>7.9</x:v>
      </x:c>
      <x:c r="J131" s="235" t="str">
        <x:v>158979.60000</x:v>
      </x:c>
      <x:c r="K131" s="235" t="n">
        <x:v>158979.6</x:v>
      </x:c>
      <x:c r="L131" s="238" t="n">
        <x:f>H131*I131</x:f>
        <x:v>158979.6</x:v>
      </x:c>
      <x:c r="M131" s="238" t="n">
        <x:f>L131-K131</x:f>
        <x:v>0</x:v>
      </x:c>
    </x:row>
    <x:row r="132">
      <x:c r="A132" s="187" t="str">
        <x:v>SCENARIO_BASE_2026_08</x:v>
      </x:c>
      <x:c r="B132" s="187" t="str">
        <x:v>SCENARIO</x:v>
      </x:c>
      <x:c r="C132" s="187" t="str">
        <x:v>BASE</x:v>
      </x:c>
      <x:c r="D132" s="217" t="n">
        <x:v>46296</x:v>
      </x:c>
      <x:c r="E132" s="187" t="str">
        <x:v>FR_FC</x:v>
      </x:c>
      <x:c r="F132" s="187" t="str">
        <x:v>WAREHOUSE_RENT</x:v>
      </x:c>
      <x:c r="G132" s="187" t="str">
        <x:v>EUR</x:v>
      </x:c>
      <x:c r="H132" s="235" t="n">
        <x:v>18324</x:v>
      </x:c>
      <x:c r="I132" s="235" t="n">
        <x:v>7.9</x:v>
      </x:c>
      <x:c r="J132" s="235" t="str">
        <x:v>144759.60000</x:v>
      </x:c>
      <x:c r="K132" s="235" t="n">
        <x:v>144759.6</x:v>
      </x:c>
      <x:c r="L132" s="238" t="n">
        <x:f>H132*I132</x:f>
        <x:v>144759.6</x:v>
      </x:c>
      <x:c r="M132" s="238" t="n">
        <x:f>L132-K132</x:f>
        <x:v>0</x:v>
      </x:c>
    </x:row>
    <x:row r="133">
      <x:c r="A133" s="187" t="str">
        <x:v>SCENARIO_BASE_2026_08</x:v>
      </x:c>
      <x:c r="B133" s="187" t="str">
        <x:v>SCENARIO</x:v>
      </x:c>
      <x:c r="C133" s="187" t="str">
        <x:v>BASE</x:v>
      </x:c>
      <x:c r="D133" s="217" t="n">
        <x:v>46296</x:v>
      </x:c>
      <x:c r="E133" s="187" t="str">
        <x:v>FR_FC</x:v>
      </x:c>
      <x:c r="F133" s="187" t="str">
        <x:v>LOGISTICS_LABOR</x:v>
      </x:c>
      <x:c r="G133" s="187" t="str">
        <x:v>EUR</x:v>
      </x:c>
      <x:c r="H133" s="235" t="n">
        <x:v>14252</x:v>
      </x:c>
      <x:c r="I133" s="235" t="n">
        <x:v>7.9</x:v>
      </x:c>
      <x:c r="J133" s="235" t="str">
        <x:v>112590.80000</x:v>
      </x:c>
      <x:c r="K133" s="235" t="n">
        <x:v>112590.8</x:v>
      </x:c>
      <x:c r="L133" s="238" t="n">
        <x:f>H133*I133</x:f>
        <x:v>112590.8</x:v>
      </x:c>
      <x:c r="M133" s="238" t="n">
        <x:f>L133-K133</x:f>
        <x:v>0</x:v>
      </x:c>
    </x:row>
    <x:row r="134">
      <x:c r="A134" s="187" t="str">
        <x:v>SCENARIO_BASE_2026_08</x:v>
      </x:c>
      <x:c r="B134" s="187" t="str">
        <x:v>SCENARIO</x:v>
      </x:c>
      <x:c r="C134" s="187" t="str">
        <x:v>BASE</x:v>
      </x:c>
      <x:c r="D134" s="217" t="n">
        <x:v>46296</x:v>
      </x:c>
      <x:c r="E134" s="187" t="str">
        <x:v>SHARED</x:v>
      </x:c>
      <x:c r="F134" s="187" t="str">
        <x:v>SYSTEM_COST</x:v>
      </x:c>
      <x:c r="G134" s="187" t="str">
        <x:v>CNY</x:v>
      </x:c>
      <x:c r="H134" s="235" t="n">
        <x:v>50900</x:v>
      </x:c>
      <x:c r="I134" s="235" t="n">
        <x:v>1</x:v>
      </x:c>
      <x:c r="J134" s="235" t="str">
        <x:v>50900.000</x:v>
      </x:c>
      <x:c r="K134" s="235" t="n">
        <x:v>50900</x:v>
      </x:c>
      <x:c r="L134" s="238" t="n">
        <x:f>H134*I134</x:f>
        <x:v>50900</x:v>
      </x:c>
      <x:c r="M134" s="238" t="n">
        <x:f>L134-K134</x:f>
        <x:v>0</x:v>
      </x:c>
    </x:row>
    <x:row r="135">
      <x:c r="A135" s="187" t="str">
        <x:v>SCENARIO_BASE_2026_08</x:v>
      </x:c>
      <x:c r="B135" s="187" t="str">
        <x:v>SCENARIO</x:v>
      </x:c>
      <x:c r="C135" s="187" t="str">
        <x:v>BASE</x:v>
      </x:c>
      <x:c r="D135" s="217" t="n">
        <x:v>46327</x:v>
      </x:c>
      <x:c r="E135" s="187" t="str">
        <x:v>DE_FC</x:v>
      </x:c>
      <x:c r="F135" s="187" t="str">
        <x:v>WAREHOUSE_RENT</x:v>
      </x:c>
      <x:c r="G135" s="187" t="str">
        <x:v>EUR</x:v>
      </x:c>
      <x:c r="H135" s="235" t="n">
        <x:v>25450</x:v>
      </x:c>
      <x:c r="I135" s="235" t="n">
        <x:v>7.88</x:v>
      </x:c>
      <x:c r="J135" s="235" t="str">
        <x:v>200546.00000</x:v>
      </x:c>
      <x:c r="K135" s="235" t="n">
        <x:v>200546</x:v>
      </x:c>
      <x:c r="L135" s="238" t="n">
        <x:f>H135*I135</x:f>
        <x:v>200546</x:v>
      </x:c>
      <x:c r="M135" s="238" t="n">
        <x:f>L135-K135</x:f>
        <x:v>0</x:v>
      </x:c>
    </x:row>
    <x:row r="136">
      <x:c r="A136" s="187" t="str">
        <x:v>SCENARIO_BASE_2026_08</x:v>
      </x:c>
      <x:c r="B136" s="187" t="str">
        <x:v>SCENARIO</x:v>
      </x:c>
      <x:c r="C136" s="187" t="str">
        <x:v>BASE</x:v>
      </x:c>
      <x:c r="D136" s="217" t="n">
        <x:v>46327</x:v>
      </x:c>
      <x:c r="E136" s="187" t="str">
        <x:v>DE_FC</x:v>
      </x:c>
      <x:c r="F136" s="187" t="str">
        <x:v>LOGISTICS_LABOR</x:v>
      </x:c>
      <x:c r="G136" s="187" t="str">
        <x:v>EUR</x:v>
      </x:c>
      <x:c r="H136" s="235" t="n">
        <x:v>19124</x:v>
      </x:c>
      <x:c r="I136" s="235" t="n">
        <x:v>7.88</x:v>
      </x:c>
      <x:c r="J136" s="235" t="str">
        <x:v>150697.12000</x:v>
      </x:c>
      <x:c r="K136" s="235" t="n">
        <x:v>150697.12</x:v>
      </x:c>
      <x:c r="L136" s="238" t="n">
        <x:f>H136*I136</x:f>
        <x:v>150697.12</x:v>
      </x:c>
      <x:c r="M136" s="238" t="n">
        <x:f>L136-K136</x:f>
        <x:v>0</x:v>
      </x:c>
    </x:row>
    <x:row r="137">
      <x:c r="A137" s="187" t="str">
        <x:v>SCENARIO_BASE_2026_08</x:v>
      </x:c>
      <x:c r="B137" s="187" t="str">
        <x:v>SCENARIO</x:v>
      </x:c>
      <x:c r="C137" s="187" t="str">
        <x:v>BASE</x:v>
      </x:c>
      <x:c r="D137" s="217" t="n">
        <x:v>46327</x:v>
      </x:c>
      <x:c r="E137" s="187" t="str">
        <x:v>FR_FC</x:v>
      </x:c>
      <x:c r="F137" s="187" t="str">
        <x:v>WAREHOUSE_RENT</x:v>
      </x:c>
      <x:c r="G137" s="187" t="str">
        <x:v>EUR</x:v>
      </x:c>
      <x:c r="H137" s="235" t="n">
        <x:v>18324</x:v>
      </x:c>
      <x:c r="I137" s="235" t="n">
        <x:v>7.88</x:v>
      </x:c>
      <x:c r="J137" s="235" t="str">
        <x:v>144393.12000</x:v>
      </x:c>
      <x:c r="K137" s="235" t="n">
        <x:v>144393.12</x:v>
      </x:c>
      <x:c r="L137" s="238" t="n">
        <x:f>H137*I137</x:f>
        <x:v>144393.12</x:v>
      </x:c>
      <x:c r="M137" s="238" t="n">
        <x:f>L137-K137</x:f>
        <x:v>0</x:v>
      </x:c>
    </x:row>
    <x:row r="138">
      <x:c r="A138" s="187" t="str">
        <x:v>SCENARIO_BASE_2026_08</x:v>
      </x:c>
      <x:c r="B138" s="187" t="str">
        <x:v>SCENARIO</x:v>
      </x:c>
      <x:c r="C138" s="187" t="str">
        <x:v>BASE</x:v>
      </x:c>
      <x:c r="D138" s="217" t="n">
        <x:v>46327</x:v>
      </x:c>
      <x:c r="E138" s="187" t="str">
        <x:v>FR_FC</x:v>
      </x:c>
      <x:c r="F138" s="187" t="str">
        <x:v>LOGISTICS_LABOR</x:v>
      </x:c>
      <x:c r="G138" s="187" t="str">
        <x:v>EUR</x:v>
      </x:c>
      <x:c r="H138" s="235" t="n">
        <x:v>14252</x:v>
      </x:c>
      <x:c r="I138" s="235" t="n">
        <x:v>7.88</x:v>
      </x:c>
      <x:c r="J138" s="235" t="str">
        <x:v>112305.76000</x:v>
      </x:c>
      <x:c r="K138" s="235" t="n">
        <x:v>112305.76</x:v>
      </x:c>
      <x:c r="L138" s="238" t="n">
        <x:f>H138*I138</x:f>
        <x:v>112305.76</x:v>
      </x:c>
      <x:c r="M138" s="238" t="n">
        <x:f>L138-K138</x:f>
        <x:v>0</x:v>
      </x:c>
    </x:row>
    <x:row r="139">
      <x:c r="A139" s="187" t="str">
        <x:v>SCENARIO_BASE_2026_08</x:v>
      </x:c>
      <x:c r="B139" s="187" t="str">
        <x:v>SCENARIO</x:v>
      </x:c>
      <x:c r="C139" s="187" t="str">
        <x:v>BASE</x:v>
      </x:c>
      <x:c r="D139" s="217" t="n">
        <x:v>46327</x:v>
      </x:c>
      <x:c r="E139" s="187" t="str">
        <x:v>SHARED</x:v>
      </x:c>
      <x:c r="F139" s="187" t="str">
        <x:v>SYSTEM_COST</x:v>
      </x:c>
      <x:c r="G139" s="187" t="str">
        <x:v>CNY</x:v>
      </x:c>
      <x:c r="H139" s="235" t="n">
        <x:v>50900</x:v>
      </x:c>
      <x:c r="I139" s="235" t="n">
        <x:v>1</x:v>
      </x:c>
      <x:c r="J139" s="235" t="str">
        <x:v>50900.000</x:v>
      </x:c>
      <x:c r="K139" s="235" t="n">
        <x:v>50900</x:v>
      </x:c>
      <x:c r="L139" s="238" t="n">
        <x:f>H139*I139</x:f>
        <x:v>50900</x:v>
      </x:c>
      <x:c r="M139" s="238" t="n">
        <x:f>L139-K139</x:f>
        <x:v>0</x:v>
      </x:c>
    </x:row>
    <x:row r="140">
      <x:c r="A140" s="187" t="str">
        <x:v>SCENARIO_BASE_2026_08</x:v>
      </x:c>
      <x:c r="B140" s="187" t="str">
        <x:v>SCENARIO</x:v>
      </x:c>
      <x:c r="C140" s="187" t="str">
        <x:v>BASE</x:v>
      </x:c>
      <x:c r="D140" s="217" t="n">
        <x:v>46357</x:v>
      </x:c>
      <x:c r="E140" s="187" t="str">
        <x:v>DE_FC</x:v>
      </x:c>
      <x:c r="F140" s="187" t="str">
        <x:v>WAREHOUSE_RENT</x:v>
      </x:c>
      <x:c r="G140" s="187" t="str">
        <x:v>EUR</x:v>
      </x:c>
      <x:c r="H140" s="235" t="n">
        <x:v>25450</x:v>
      </x:c>
      <x:c r="I140" s="235" t="n">
        <x:v>7.86</x:v>
      </x:c>
      <x:c r="J140" s="235" t="str">
        <x:v>200037.00000</x:v>
      </x:c>
      <x:c r="K140" s="235" t="n">
        <x:v>200037</x:v>
      </x:c>
      <x:c r="L140" s="238" t="n">
        <x:f>H140*I140</x:f>
        <x:v>200037</x:v>
      </x:c>
      <x:c r="M140" s="238" t="n">
        <x:f>L140-K140</x:f>
        <x:v>0</x:v>
      </x:c>
    </x:row>
    <x:row r="141">
      <x:c r="A141" s="187" t="str">
        <x:v>SCENARIO_BASE_2026_08</x:v>
      </x:c>
      <x:c r="B141" s="187" t="str">
        <x:v>SCENARIO</x:v>
      </x:c>
      <x:c r="C141" s="187" t="str">
        <x:v>BASE</x:v>
      </x:c>
      <x:c r="D141" s="217" t="n">
        <x:v>46357</x:v>
      </x:c>
      <x:c r="E141" s="187" t="str">
        <x:v>DE_FC</x:v>
      </x:c>
      <x:c r="F141" s="187" t="str">
        <x:v>LOGISTICS_LABOR</x:v>
      </x:c>
      <x:c r="G141" s="187" t="str">
        <x:v>EUR</x:v>
      </x:c>
      <x:c r="H141" s="235" t="n">
        <x:v>19124</x:v>
      </x:c>
      <x:c r="I141" s="235" t="n">
        <x:v>7.86</x:v>
      </x:c>
      <x:c r="J141" s="235" t="str">
        <x:v>150314.64000</x:v>
      </x:c>
      <x:c r="K141" s="235" t="n">
        <x:v>150314.64</x:v>
      </x:c>
      <x:c r="L141" s="238" t="n">
        <x:f>H141*I141</x:f>
        <x:v>150314.64</x:v>
      </x:c>
      <x:c r="M141" s="238" t="n">
        <x:f>L141-K141</x:f>
        <x:v>0</x:v>
      </x:c>
    </x:row>
    <x:row r="142">
      <x:c r="A142" s="187" t="str">
        <x:v>SCENARIO_BASE_2026_08</x:v>
      </x:c>
      <x:c r="B142" s="187" t="str">
        <x:v>SCENARIO</x:v>
      </x:c>
      <x:c r="C142" s="187" t="str">
        <x:v>BASE</x:v>
      </x:c>
      <x:c r="D142" s="217" t="n">
        <x:v>46357</x:v>
      </x:c>
      <x:c r="E142" s="187" t="str">
        <x:v>FR_FC</x:v>
      </x:c>
      <x:c r="F142" s="187" t="str">
        <x:v>WAREHOUSE_RENT</x:v>
      </x:c>
      <x:c r="G142" s="187" t="str">
        <x:v>EUR</x:v>
      </x:c>
      <x:c r="H142" s="235" t="n">
        <x:v>18324</x:v>
      </x:c>
      <x:c r="I142" s="235" t="n">
        <x:v>7.86</x:v>
      </x:c>
      <x:c r="J142" s="235" t="str">
        <x:v>144026.64000</x:v>
      </x:c>
      <x:c r="K142" s="235" t="n">
        <x:v>144026.64</x:v>
      </x:c>
      <x:c r="L142" s="238" t="n">
        <x:f>H142*I142</x:f>
        <x:v>144026.64</x:v>
      </x:c>
      <x:c r="M142" s="238" t="n">
        <x:f>L142-K142</x:f>
        <x:v>0</x:v>
      </x:c>
    </x:row>
    <x:row r="143">
      <x:c r="A143" s="187" t="str">
        <x:v>SCENARIO_BASE_2026_08</x:v>
      </x:c>
      <x:c r="B143" s="187" t="str">
        <x:v>SCENARIO</x:v>
      </x:c>
      <x:c r="C143" s="187" t="str">
        <x:v>BASE</x:v>
      </x:c>
      <x:c r="D143" s="217" t="n">
        <x:v>46357</x:v>
      </x:c>
      <x:c r="E143" s="187" t="str">
        <x:v>FR_FC</x:v>
      </x:c>
      <x:c r="F143" s="187" t="str">
        <x:v>LOGISTICS_LABOR</x:v>
      </x:c>
      <x:c r="G143" s="187" t="str">
        <x:v>EUR</x:v>
      </x:c>
      <x:c r="H143" s="235" t="n">
        <x:v>14252</x:v>
      </x:c>
      <x:c r="I143" s="235" t="n">
        <x:v>7.86</x:v>
      </x:c>
      <x:c r="J143" s="235" t="str">
        <x:v>112020.72000</x:v>
      </x:c>
      <x:c r="K143" s="235" t="n">
        <x:v>112020.72</x:v>
      </x:c>
      <x:c r="L143" s="238" t="n">
        <x:f>H143*I143</x:f>
        <x:v>112020.72</x:v>
      </x:c>
      <x:c r="M143" s="238" t="n">
        <x:f>L143-K143</x:f>
        <x:v>0</x:v>
      </x:c>
    </x:row>
    <x:row r="144">
      <x:c r="A144" s="187" t="str">
        <x:v>SCENARIO_BASE_2026_08</x:v>
      </x:c>
      <x:c r="B144" s="187" t="str">
        <x:v>SCENARIO</x:v>
      </x:c>
      <x:c r="C144" s="187" t="str">
        <x:v>BASE</x:v>
      </x:c>
      <x:c r="D144" s="217" t="n">
        <x:v>46357</x:v>
      </x:c>
      <x:c r="E144" s="187" t="str">
        <x:v>SHARED</x:v>
      </x:c>
      <x:c r="F144" s="187" t="str">
        <x:v>SYSTEM_COST</x:v>
      </x:c>
      <x:c r="G144" s="187" t="str">
        <x:v>CNY</x:v>
      </x:c>
      <x:c r="H144" s="235" t="n">
        <x:v>50900</x:v>
      </x:c>
      <x:c r="I144" s="235" t="n">
        <x:v>1</x:v>
      </x:c>
      <x:c r="J144" s="235" t="str">
        <x:v>50900.000</x:v>
      </x:c>
      <x:c r="K144" s="235" t="n">
        <x:v>50900</x:v>
      </x:c>
      <x:c r="L144" s="238" t="n">
        <x:f>H144*I144</x:f>
        <x:v>50900</x:v>
      </x:c>
      <x:c r="M144" s="238" t="n">
        <x:f>L144-K144</x:f>
        <x:v>0</x:v>
      </x:c>
    </x:row>
    <x:row r="145">
      <x:c r="A145" s="187" t="str">
        <x:v>SCENARIO_GROWTH_2026_08</x:v>
      </x:c>
      <x:c r="B145" s="187" t="str">
        <x:v>SCENARIO</x:v>
      </x:c>
      <x:c r="C145" s="187" t="str">
        <x:v>GROWTH</x:v>
      </x:c>
      <x:c r="D145" s="217" t="n">
        <x:v>46266</x:v>
      </x:c>
      <x:c r="E145" s="187" t="str">
        <x:v>DE_FC</x:v>
      </x:c>
      <x:c r="F145" s="187" t="str">
        <x:v>WAREHOUSE_RENT</x:v>
      </x:c>
      <x:c r="G145" s="187" t="str">
        <x:v>EUR</x:v>
      </x:c>
      <x:c r="H145" s="235" t="n">
        <x:v>25450</x:v>
      </x:c>
      <x:c r="I145" s="235" t="n">
        <x:v>7.92</x:v>
      </x:c>
      <x:c r="J145" s="235" t="str">
        <x:v>201564.00000</x:v>
      </x:c>
      <x:c r="K145" s="235" t="n">
        <x:v>201564</x:v>
      </x:c>
      <x:c r="L145" s="238" t="n">
        <x:f>H145*I145</x:f>
        <x:v>201564</x:v>
      </x:c>
      <x:c r="M145" s="238" t="n">
        <x:f>L145-K145</x:f>
        <x:v>0</x:v>
      </x:c>
    </x:row>
    <x:row r="146">
      <x:c r="A146" s="187" t="str">
        <x:v>SCENARIO_GROWTH_2026_08</x:v>
      </x:c>
      <x:c r="B146" s="187" t="str">
        <x:v>SCENARIO</x:v>
      </x:c>
      <x:c r="C146" s="187" t="str">
        <x:v>GROWTH</x:v>
      </x:c>
      <x:c r="D146" s="217" t="n">
        <x:v>46266</x:v>
      </x:c>
      <x:c r="E146" s="187" t="str">
        <x:v>DE_FC</x:v>
      </x:c>
      <x:c r="F146" s="187" t="str">
        <x:v>LOGISTICS_LABOR</x:v>
      </x:c>
      <x:c r="G146" s="187" t="str">
        <x:v>EUR</x:v>
      </x:c>
      <x:c r="H146" s="235" t="n">
        <x:v>20124</x:v>
      </x:c>
      <x:c r="I146" s="235" t="n">
        <x:v>7.92</x:v>
      </x:c>
      <x:c r="J146" s="235" t="str">
        <x:v>159382.08000</x:v>
      </x:c>
      <x:c r="K146" s="235" t="n">
        <x:v>159382.08</x:v>
      </x:c>
      <x:c r="L146" s="238" t="n">
        <x:f>H146*I146</x:f>
        <x:v>159382.08</x:v>
      </x:c>
      <x:c r="M146" s="238" t="n">
        <x:f>L146-K146</x:f>
        <x:v>0</x:v>
      </x:c>
    </x:row>
    <x:row r="147">
      <x:c r="A147" s="187" t="str">
        <x:v>SCENARIO_GROWTH_2026_08</x:v>
      </x:c>
      <x:c r="B147" s="187" t="str">
        <x:v>SCENARIO</x:v>
      </x:c>
      <x:c r="C147" s="187" t="str">
        <x:v>GROWTH</x:v>
      </x:c>
      <x:c r="D147" s="217" t="n">
        <x:v>46266</x:v>
      </x:c>
      <x:c r="E147" s="187" t="str">
        <x:v>FR_FC</x:v>
      </x:c>
      <x:c r="F147" s="187" t="str">
        <x:v>WAREHOUSE_RENT</x:v>
      </x:c>
      <x:c r="G147" s="187" t="str">
        <x:v>EUR</x:v>
      </x:c>
      <x:c r="H147" s="235" t="n">
        <x:v>18324</x:v>
      </x:c>
      <x:c r="I147" s="235" t="n">
        <x:v>7.92</x:v>
      </x:c>
      <x:c r="J147" s="235" t="str">
        <x:v>145126.08000</x:v>
      </x:c>
      <x:c r="K147" s="235" t="n">
        <x:v>145126.08</x:v>
      </x:c>
      <x:c r="L147" s="238" t="n">
        <x:f>H147*I147</x:f>
        <x:v>145126.08</x:v>
      </x:c>
      <x:c r="M147" s="238" t="n">
        <x:f>L147-K147</x:f>
        <x:v>0</x:v>
      </x:c>
    </x:row>
    <x:row r="148">
      <x:c r="A148" s="187" t="str">
        <x:v>SCENARIO_GROWTH_2026_08</x:v>
      </x:c>
      <x:c r="B148" s="187" t="str">
        <x:v>SCENARIO</x:v>
      </x:c>
      <x:c r="C148" s="187" t="str">
        <x:v>GROWTH</x:v>
      </x:c>
      <x:c r="D148" s="217" t="n">
        <x:v>46266</x:v>
      </x:c>
      <x:c r="E148" s="187" t="str">
        <x:v>FR_FC</x:v>
      </x:c>
      <x:c r="F148" s="187" t="str">
        <x:v>LOGISTICS_LABOR</x:v>
      </x:c>
      <x:c r="G148" s="187" t="str">
        <x:v>EUR</x:v>
      </x:c>
      <x:c r="H148" s="235" t="n">
        <x:v>14252</x:v>
      </x:c>
      <x:c r="I148" s="235" t="n">
        <x:v>7.92</x:v>
      </x:c>
      <x:c r="J148" s="235" t="str">
        <x:v>112875.84000</x:v>
      </x:c>
      <x:c r="K148" s="235" t="n">
        <x:v>112875.84</x:v>
      </x:c>
      <x:c r="L148" s="238" t="n">
        <x:f>H148*I148</x:f>
        <x:v>112875.84</x:v>
      </x:c>
      <x:c r="M148" s="238" t="n">
        <x:f>L148-K148</x:f>
        <x:v>0</x:v>
      </x:c>
    </x:row>
    <x:row r="149">
      <x:c r="A149" s="187" t="str">
        <x:v>SCENARIO_GROWTH_2026_08</x:v>
      </x:c>
      <x:c r="B149" s="187" t="str">
        <x:v>SCENARIO</x:v>
      </x:c>
      <x:c r="C149" s="187" t="str">
        <x:v>GROWTH</x:v>
      </x:c>
      <x:c r="D149" s="217" t="n">
        <x:v>46266</x:v>
      </x:c>
      <x:c r="E149" s="187" t="str">
        <x:v>SHARED</x:v>
      </x:c>
      <x:c r="F149" s="187" t="str">
        <x:v>SYSTEM_COST</x:v>
      </x:c>
      <x:c r="G149" s="187" t="str">
        <x:v>CNY</x:v>
      </x:c>
      <x:c r="H149" s="235" t="n">
        <x:v>50900</x:v>
      </x:c>
      <x:c r="I149" s="235" t="n">
        <x:v>1</x:v>
      </x:c>
      <x:c r="J149" s="235" t="str">
        <x:v>50900.000</x:v>
      </x:c>
      <x:c r="K149" s="235" t="n">
        <x:v>50900</x:v>
      </x:c>
      <x:c r="L149" s="238" t="n">
        <x:f>H149*I149</x:f>
        <x:v>50900</x:v>
      </x:c>
      <x:c r="M149" s="238" t="n">
        <x:f>L149-K149</x:f>
        <x:v>0</x:v>
      </x:c>
    </x:row>
    <x:row r="150">
      <x:c r="A150" s="187" t="str">
        <x:v>SCENARIO_GROWTH_2026_08</x:v>
      </x:c>
      <x:c r="B150" s="187" t="str">
        <x:v>SCENARIO</x:v>
      </x:c>
      <x:c r="C150" s="187" t="str">
        <x:v>GROWTH</x:v>
      </x:c>
      <x:c r="D150" s="217" t="n">
        <x:v>46296</x:v>
      </x:c>
      <x:c r="E150" s="187" t="str">
        <x:v>DE_FC</x:v>
      </x:c>
      <x:c r="F150" s="187" t="str">
        <x:v>WAREHOUSE_RENT</x:v>
      </x:c>
      <x:c r="G150" s="187" t="str">
        <x:v>EUR</x:v>
      </x:c>
      <x:c r="H150" s="235" t="n">
        <x:v>25450</x:v>
      </x:c>
      <x:c r="I150" s="235" t="n">
        <x:v>7.9</x:v>
      </x:c>
      <x:c r="J150" s="235" t="str">
        <x:v>201055.00000</x:v>
      </x:c>
      <x:c r="K150" s="235" t="n">
        <x:v>201055</x:v>
      </x:c>
      <x:c r="L150" s="238" t="n">
        <x:f>H150*I150</x:f>
        <x:v>201055</x:v>
      </x:c>
      <x:c r="M150" s="238" t="n">
        <x:f>L150-K150</x:f>
        <x:v>0</x:v>
      </x:c>
    </x:row>
    <x:row r="151">
      <x:c r="A151" s="187" t="str">
        <x:v>SCENARIO_GROWTH_2026_08</x:v>
      </x:c>
      <x:c r="B151" s="187" t="str">
        <x:v>SCENARIO</x:v>
      </x:c>
      <x:c r="C151" s="187" t="str">
        <x:v>GROWTH</x:v>
      </x:c>
      <x:c r="D151" s="217" t="n">
        <x:v>46296</x:v>
      </x:c>
      <x:c r="E151" s="187" t="str">
        <x:v>DE_FC</x:v>
      </x:c>
      <x:c r="F151" s="187" t="str">
        <x:v>LOGISTICS_LABOR</x:v>
      </x:c>
      <x:c r="G151" s="187" t="str">
        <x:v>EUR</x:v>
      </x:c>
      <x:c r="H151" s="235" t="n">
        <x:v>20124</x:v>
      </x:c>
      <x:c r="I151" s="235" t="n">
        <x:v>7.9</x:v>
      </x:c>
      <x:c r="J151" s="235" t="str">
        <x:v>158979.60000</x:v>
      </x:c>
      <x:c r="K151" s="235" t="n">
        <x:v>158979.6</x:v>
      </x:c>
      <x:c r="L151" s="238" t="n">
        <x:f>H151*I151</x:f>
        <x:v>158979.6</x:v>
      </x:c>
      <x:c r="M151" s="238" t="n">
        <x:f>L151-K151</x:f>
        <x:v>0</x:v>
      </x:c>
    </x:row>
    <x:row r="152">
      <x:c r="A152" s="187" t="str">
        <x:v>SCENARIO_GROWTH_2026_08</x:v>
      </x:c>
      <x:c r="B152" s="187" t="str">
        <x:v>SCENARIO</x:v>
      </x:c>
      <x:c r="C152" s="187" t="str">
        <x:v>GROWTH</x:v>
      </x:c>
      <x:c r="D152" s="217" t="n">
        <x:v>46296</x:v>
      </x:c>
      <x:c r="E152" s="187" t="str">
        <x:v>FR_FC</x:v>
      </x:c>
      <x:c r="F152" s="187" t="str">
        <x:v>WAREHOUSE_RENT</x:v>
      </x:c>
      <x:c r="G152" s="187" t="str">
        <x:v>EUR</x:v>
      </x:c>
      <x:c r="H152" s="235" t="n">
        <x:v>18324</x:v>
      </x:c>
      <x:c r="I152" s="235" t="n">
        <x:v>7.9</x:v>
      </x:c>
      <x:c r="J152" s="235" t="str">
        <x:v>144759.60000</x:v>
      </x:c>
      <x:c r="K152" s="235" t="n">
        <x:v>144759.6</x:v>
      </x:c>
      <x:c r="L152" s="238" t="n">
        <x:f>H152*I152</x:f>
        <x:v>144759.6</x:v>
      </x:c>
      <x:c r="M152" s="238" t="n">
        <x:f>L152-K152</x:f>
        <x:v>0</x:v>
      </x:c>
    </x:row>
    <x:row r="153">
      <x:c r="A153" s="187" t="str">
        <x:v>SCENARIO_GROWTH_2026_08</x:v>
      </x:c>
      <x:c r="B153" s="187" t="str">
        <x:v>SCENARIO</x:v>
      </x:c>
      <x:c r="C153" s="187" t="str">
        <x:v>GROWTH</x:v>
      </x:c>
      <x:c r="D153" s="217" t="n">
        <x:v>46296</x:v>
      </x:c>
      <x:c r="E153" s="187" t="str">
        <x:v>FR_FC</x:v>
      </x:c>
      <x:c r="F153" s="187" t="str">
        <x:v>LOGISTICS_LABOR</x:v>
      </x:c>
      <x:c r="G153" s="187" t="str">
        <x:v>EUR</x:v>
      </x:c>
      <x:c r="H153" s="235" t="n">
        <x:v>14252</x:v>
      </x:c>
      <x:c r="I153" s="235" t="n">
        <x:v>7.9</x:v>
      </x:c>
      <x:c r="J153" s="235" t="str">
        <x:v>112590.80000</x:v>
      </x:c>
      <x:c r="K153" s="235" t="n">
        <x:v>112590.8</x:v>
      </x:c>
      <x:c r="L153" s="238" t="n">
        <x:f>H153*I153</x:f>
        <x:v>112590.8</x:v>
      </x:c>
      <x:c r="M153" s="238" t="n">
        <x:f>L153-K153</x:f>
        <x:v>0</x:v>
      </x:c>
    </x:row>
    <x:row r="154">
      <x:c r="A154" s="187" t="str">
        <x:v>SCENARIO_GROWTH_2026_08</x:v>
      </x:c>
      <x:c r="B154" s="187" t="str">
        <x:v>SCENARIO</x:v>
      </x:c>
      <x:c r="C154" s="187" t="str">
        <x:v>GROWTH</x:v>
      </x:c>
      <x:c r="D154" s="217" t="n">
        <x:v>46296</x:v>
      </x:c>
      <x:c r="E154" s="187" t="str">
        <x:v>SHARED</x:v>
      </x:c>
      <x:c r="F154" s="187" t="str">
        <x:v>SYSTEM_COST</x:v>
      </x:c>
      <x:c r="G154" s="187" t="str">
        <x:v>CNY</x:v>
      </x:c>
      <x:c r="H154" s="235" t="n">
        <x:v>50900</x:v>
      </x:c>
      <x:c r="I154" s="235" t="n">
        <x:v>1</x:v>
      </x:c>
      <x:c r="J154" s="235" t="str">
        <x:v>50900.000</x:v>
      </x:c>
      <x:c r="K154" s="235" t="n">
        <x:v>50900</x:v>
      </x:c>
      <x:c r="L154" s="238" t="n">
        <x:f>H154*I154</x:f>
        <x:v>50900</x:v>
      </x:c>
      <x:c r="M154" s="238" t="n">
        <x:f>L154-K154</x:f>
        <x:v>0</x:v>
      </x:c>
    </x:row>
    <x:row r="155">
      <x:c r="A155" s="187" t="str">
        <x:v>SCENARIO_GROWTH_2026_08</x:v>
      </x:c>
      <x:c r="B155" s="187" t="str">
        <x:v>SCENARIO</x:v>
      </x:c>
      <x:c r="C155" s="187" t="str">
        <x:v>GROWTH</x:v>
      </x:c>
      <x:c r="D155" s="217" t="n">
        <x:v>46327</x:v>
      </x:c>
      <x:c r="E155" s="187" t="str">
        <x:v>DE_FC</x:v>
      </x:c>
      <x:c r="F155" s="187" t="str">
        <x:v>WAREHOUSE_RENT</x:v>
      </x:c>
      <x:c r="G155" s="187" t="str">
        <x:v>EUR</x:v>
      </x:c>
      <x:c r="H155" s="235" t="n">
        <x:v>25450</x:v>
      </x:c>
      <x:c r="I155" s="235" t="n">
        <x:v>7.88</x:v>
      </x:c>
      <x:c r="J155" s="235" t="str">
        <x:v>200546.00000</x:v>
      </x:c>
      <x:c r="K155" s="235" t="n">
        <x:v>200546</x:v>
      </x:c>
      <x:c r="L155" s="238" t="n">
        <x:f>H155*I155</x:f>
        <x:v>200546</x:v>
      </x:c>
      <x:c r="M155" s="238" t="n">
        <x:f>L155-K155</x:f>
        <x:v>0</x:v>
      </x:c>
    </x:row>
    <x:row r="156">
      <x:c r="A156" s="187" t="str">
        <x:v>SCENARIO_GROWTH_2026_08</x:v>
      </x:c>
      <x:c r="B156" s="187" t="str">
        <x:v>SCENARIO</x:v>
      </x:c>
      <x:c r="C156" s="187" t="str">
        <x:v>GROWTH</x:v>
      </x:c>
      <x:c r="D156" s="217" t="n">
        <x:v>46327</x:v>
      </x:c>
      <x:c r="E156" s="187" t="str">
        <x:v>DE_FC</x:v>
      </x:c>
      <x:c r="F156" s="187" t="str">
        <x:v>LOGISTICS_LABOR</x:v>
      </x:c>
      <x:c r="G156" s="187" t="str">
        <x:v>EUR</x:v>
      </x:c>
      <x:c r="H156" s="235" t="n">
        <x:v>19124</x:v>
      </x:c>
      <x:c r="I156" s="235" t="n">
        <x:v>7.88</x:v>
      </x:c>
      <x:c r="J156" s="235" t="str">
        <x:v>150697.12000</x:v>
      </x:c>
      <x:c r="K156" s="235" t="n">
        <x:v>150697.12</x:v>
      </x:c>
      <x:c r="L156" s="238" t="n">
        <x:f>H156*I156</x:f>
        <x:v>150697.12</x:v>
      </x:c>
      <x:c r="M156" s="238" t="n">
        <x:f>L156-K156</x:f>
        <x:v>0</x:v>
      </x:c>
    </x:row>
    <x:row r="157">
      <x:c r="A157" s="187" t="str">
        <x:v>SCENARIO_GROWTH_2026_08</x:v>
      </x:c>
      <x:c r="B157" s="187" t="str">
        <x:v>SCENARIO</x:v>
      </x:c>
      <x:c r="C157" s="187" t="str">
        <x:v>GROWTH</x:v>
      </x:c>
      <x:c r="D157" s="217" t="n">
        <x:v>46327</x:v>
      </x:c>
      <x:c r="E157" s="187" t="str">
        <x:v>FR_FC</x:v>
      </x:c>
      <x:c r="F157" s="187" t="str">
        <x:v>WAREHOUSE_RENT</x:v>
      </x:c>
      <x:c r="G157" s="187" t="str">
        <x:v>EUR</x:v>
      </x:c>
      <x:c r="H157" s="235" t="n">
        <x:v>18324</x:v>
      </x:c>
      <x:c r="I157" s="235" t="n">
        <x:v>7.88</x:v>
      </x:c>
      <x:c r="J157" s="235" t="str">
        <x:v>144393.12000</x:v>
      </x:c>
      <x:c r="K157" s="235" t="n">
        <x:v>144393.12</x:v>
      </x:c>
      <x:c r="L157" s="238" t="n">
        <x:f>H157*I157</x:f>
        <x:v>144393.12</x:v>
      </x:c>
      <x:c r="M157" s="238" t="n">
        <x:f>L157-K157</x:f>
        <x:v>0</x:v>
      </x:c>
    </x:row>
    <x:row r="158">
      <x:c r="A158" s="187" t="str">
        <x:v>SCENARIO_GROWTH_2026_08</x:v>
      </x:c>
      <x:c r="B158" s="187" t="str">
        <x:v>SCENARIO</x:v>
      </x:c>
      <x:c r="C158" s="187" t="str">
        <x:v>GROWTH</x:v>
      </x:c>
      <x:c r="D158" s="217" t="n">
        <x:v>46327</x:v>
      </x:c>
      <x:c r="E158" s="187" t="str">
        <x:v>FR_FC</x:v>
      </x:c>
      <x:c r="F158" s="187" t="str">
        <x:v>LOGISTICS_LABOR</x:v>
      </x:c>
      <x:c r="G158" s="187" t="str">
        <x:v>EUR</x:v>
      </x:c>
      <x:c r="H158" s="235" t="n">
        <x:v>14252</x:v>
      </x:c>
      <x:c r="I158" s="235" t="n">
        <x:v>7.88</x:v>
      </x:c>
      <x:c r="J158" s="235" t="str">
        <x:v>112305.76000</x:v>
      </x:c>
      <x:c r="K158" s="235" t="n">
        <x:v>112305.76</x:v>
      </x:c>
      <x:c r="L158" s="238" t="n">
        <x:f>H158*I158</x:f>
        <x:v>112305.76</x:v>
      </x:c>
      <x:c r="M158" s="238" t="n">
        <x:f>L158-K158</x:f>
        <x:v>0</x:v>
      </x:c>
    </x:row>
    <x:row r="159">
      <x:c r="A159" s="187" t="str">
        <x:v>SCENARIO_GROWTH_2026_08</x:v>
      </x:c>
      <x:c r="B159" s="187" t="str">
        <x:v>SCENARIO</x:v>
      </x:c>
      <x:c r="C159" s="187" t="str">
        <x:v>GROWTH</x:v>
      </x:c>
      <x:c r="D159" s="217" t="n">
        <x:v>46327</x:v>
      </x:c>
      <x:c r="E159" s="187" t="str">
        <x:v>SHARED</x:v>
      </x:c>
      <x:c r="F159" s="187" t="str">
        <x:v>SYSTEM_COST</x:v>
      </x:c>
      <x:c r="G159" s="187" t="str">
        <x:v>CNY</x:v>
      </x:c>
      <x:c r="H159" s="235" t="n">
        <x:v>50900</x:v>
      </x:c>
      <x:c r="I159" s="235" t="n">
        <x:v>1</x:v>
      </x:c>
      <x:c r="J159" s="235" t="str">
        <x:v>50900.000</x:v>
      </x:c>
      <x:c r="K159" s="235" t="n">
        <x:v>50900</x:v>
      </x:c>
      <x:c r="L159" s="238" t="n">
        <x:f>H159*I159</x:f>
        <x:v>50900</x:v>
      </x:c>
      <x:c r="M159" s="238" t="n">
        <x:f>L159-K159</x:f>
        <x:v>0</x:v>
      </x:c>
    </x:row>
    <x:row r="160">
      <x:c r="A160" s="187" t="str">
        <x:v>SCENARIO_GROWTH_2026_08</x:v>
      </x:c>
      <x:c r="B160" s="187" t="str">
        <x:v>SCENARIO</x:v>
      </x:c>
      <x:c r="C160" s="187" t="str">
        <x:v>GROWTH</x:v>
      </x:c>
      <x:c r="D160" s="217" t="n">
        <x:v>46357</x:v>
      </x:c>
      <x:c r="E160" s="187" t="str">
        <x:v>DE_FC</x:v>
      </x:c>
      <x:c r="F160" s="187" t="str">
        <x:v>WAREHOUSE_RENT</x:v>
      </x:c>
      <x:c r="G160" s="187" t="str">
        <x:v>EUR</x:v>
      </x:c>
      <x:c r="H160" s="235" t="n">
        <x:v>25450</x:v>
      </x:c>
      <x:c r="I160" s="235" t="n">
        <x:v>7.86</x:v>
      </x:c>
      <x:c r="J160" s="235" t="str">
        <x:v>200037.00000</x:v>
      </x:c>
      <x:c r="K160" s="235" t="n">
        <x:v>200037</x:v>
      </x:c>
      <x:c r="L160" s="238" t="n">
        <x:f>H160*I160</x:f>
        <x:v>200037</x:v>
      </x:c>
      <x:c r="M160" s="238" t="n">
        <x:f>L160-K160</x:f>
        <x:v>0</x:v>
      </x:c>
    </x:row>
    <x:row r="161">
      <x:c r="A161" s="187" t="str">
        <x:v>SCENARIO_GROWTH_2026_08</x:v>
      </x:c>
      <x:c r="B161" s="187" t="str">
        <x:v>SCENARIO</x:v>
      </x:c>
      <x:c r="C161" s="187" t="str">
        <x:v>GROWTH</x:v>
      </x:c>
      <x:c r="D161" s="217" t="n">
        <x:v>46357</x:v>
      </x:c>
      <x:c r="E161" s="187" t="str">
        <x:v>DE_FC</x:v>
      </x:c>
      <x:c r="F161" s="187" t="str">
        <x:v>LOGISTICS_LABOR</x:v>
      </x:c>
      <x:c r="G161" s="187" t="str">
        <x:v>EUR</x:v>
      </x:c>
      <x:c r="H161" s="235" t="n">
        <x:v>19124</x:v>
      </x:c>
      <x:c r="I161" s="235" t="n">
        <x:v>7.86</x:v>
      </x:c>
      <x:c r="J161" s="235" t="str">
        <x:v>150314.64000</x:v>
      </x:c>
      <x:c r="K161" s="235" t="n">
        <x:v>150314.64</x:v>
      </x:c>
      <x:c r="L161" s="238" t="n">
        <x:f>H161*I161</x:f>
        <x:v>150314.64</x:v>
      </x:c>
      <x:c r="M161" s="238" t="n">
        <x:f>L161-K161</x:f>
        <x:v>0</x:v>
      </x:c>
    </x:row>
    <x:row r="162">
      <x:c r="A162" s="187" t="str">
        <x:v>SCENARIO_GROWTH_2026_08</x:v>
      </x:c>
      <x:c r="B162" s="187" t="str">
        <x:v>SCENARIO</x:v>
      </x:c>
      <x:c r="C162" s="187" t="str">
        <x:v>GROWTH</x:v>
      </x:c>
      <x:c r="D162" s="217" t="n">
        <x:v>46357</x:v>
      </x:c>
      <x:c r="E162" s="187" t="str">
        <x:v>FR_FC</x:v>
      </x:c>
      <x:c r="F162" s="187" t="str">
        <x:v>WAREHOUSE_RENT</x:v>
      </x:c>
      <x:c r="G162" s="187" t="str">
        <x:v>EUR</x:v>
      </x:c>
      <x:c r="H162" s="235" t="n">
        <x:v>18324</x:v>
      </x:c>
      <x:c r="I162" s="235" t="n">
        <x:v>7.86</x:v>
      </x:c>
      <x:c r="J162" s="235" t="str">
        <x:v>144026.64000</x:v>
      </x:c>
      <x:c r="K162" s="235" t="n">
        <x:v>144026.64</x:v>
      </x:c>
      <x:c r="L162" s="238" t="n">
        <x:f>H162*I162</x:f>
        <x:v>144026.64</x:v>
      </x:c>
      <x:c r="M162" s="238" t="n">
        <x:f>L162-K162</x:f>
        <x:v>0</x:v>
      </x:c>
    </x:row>
    <x:row r="163">
      <x:c r="A163" s="187" t="str">
        <x:v>SCENARIO_GROWTH_2026_08</x:v>
      </x:c>
      <x:c r="B163" s="187" t="str">
        <x:v>SCENARIO</x:v>
      </x:c>
      <x:c r="C163" s="187" t="str">
        <x:v>GROWTH</x:v>
      </x:c>
      <x:c r="D163" s="217" t="n">
        <x:v>46357</x:v>
      </x:c>
      <x:c r="E163" s="187" t="str">
        <x:v>FR_FC</x:v>
      </x:c>
      <x:c r="F163" s="187" t="str">
        <x:v>LOGISTICS_LABOR</x:v>
      </x:c>
      <x:c r="G163" s="187" t="str">
        <x:v>EUR</x:v>
      </x:c>
      <x:c r="H163" s="235" t="n">
        <x:v>14252</x:v>
      </x:c>
      <x:c r="I163" s="235" t="n">
        <x:v>7.86</x:v>
      </x:c>
      <x:c r="J163" s="235" t="str">
        <x:v>112020.72000</x:v>
      </x:c>
      <x:c r="K163" s="235" t="n">
        <x:v>112020.72</x:v>
      </x:c>
      <x:c r="L163" s="238" t="n">
        <x:f>H163*I163</x:f>
        <x:v>112020.72</x:v>
      </x:c>
      <x:c r="M163" s="238" t="n">
        <x:f>L163-K163</x:f>
        <x:v>0</x:v>
      </x:c>
    </x:row>
    <x:row r="164">
      <x:c r="A164" s="187" t="str">
        <x:v>SCENARIO_GROWTH_2026_08</x:v>
      </x:c>
      <x:c r="B164" s="187" t="str">
        <x:v>SCENARIO</x:v>
      </x:c>
      <x:c r="C164" s="187" t="str">
        <x:v>GROWTH</x:v>
      </x:c>
      <x:c r="D164" s="217" t="n">
        <x:v>46357</x:v>
      </x:c>
      <x:c r="E164" s="187" t="str">
        <x:v>SHARED</x:v>
      </x:c>
      <x:c r="F164" s="187" t="str">
        <x:v>SYSTEM_COST</x:v>
      </x:c>
      <x:c r="G164" s="187" t="str">
        <x:v>CNY</x:v>
      </x:c>
      <x:c r="H164" s="235" t="n">
        <x:v>50900</x:v>
      </x:c>
      <x:c r="I164" s="235" t="n">
        <x:v>1</x:v>
      </x:c>
      <x:c r="J164" s="235" t="str">
        <x:v>50900.000</x:v>
      </x:c>
      <x:c r="K164" s="235" t="n">
        <x:v>50900</x:v>
      </x:c>
      <x:c r="L164" s="238" t="n">
        <x:f>H164*I164</x:f>
        <x:v>50900</x:v>
      </x:c>
      <x:c r="M164" s="238" t="n">
        <x:f>L164-K164</x:f>
        <x:v>0</x:v>
      </x:c>
    </x:row>
    <x:row r="165">
      <x:c r="A165" s="187" t="str">
        <x:v>SCENARIO_COST_SAVING_2026_08</x:v>
      </x:c>
      <x:c r="B165" s="187" t="str">
        <x:v>SCENARIO</x:v>
      </x:c>
      <x:c r="C165" s="187" t="str">
        <x:v>COST_SAVING</x:v>
      </x:c>
      <x:c r="D165" s="217" t="n">
        <x:v>46266</x:v>
      </x:c>
      <x:c r="E165" s="187" t="str">
        <x:v>DE_FC</x:v>
      </x:c>
      <x:c r="F165" s="187" t="str">
        <x:v>WAREHOUSE_RENT</x:v>
      </x:c>
      <x:c r="G165" s="187" t="str">
        <x:v>EUR</x:v>
      </x:c>
      <x:c r="H165" s="235" t="n">
        <x:v>25450</x:v>
      </x:c>
      <x:c r="I165" s="235" t="n">
        <x:v>7.92</x:v>
      </x:c>
      <x:c r="J165" s="235" t="str">
        <x:v>201564.00000</x:v>
      </x:c>
      <x:c r="K165" s="235" t="n">
        <x:v>201564</x:v>
      </x:c>
      <x:c r="L165" s="238" t="n">
        <x:f>H165*I165</x:f>
        <x:v>201564</x:v>
      </x:c>
      <x:c r="M165" s="238" t="n">
        <x:f>L165-K165</x:f>
        <x:v>0</x:v>
      </x:c>
    </x:row>
    <x:row r="166">
      <x:c r="A166" s="187" t="str">
        <x:v>SCENARIO_COST_SAVING_2026_08</x:v>
      </x:c>
      <x:c r="B166" s="187" t="str">
        <x:v>SCENARIO</x:v>
      </x:c>
      <x:c r="C166" s="187" t="str">
        <x:v>COST_SAVING</x:v>
      </x:c>
      <x:c r="D166" s="217" t="n">
        <x:v>46266</x:v>
      </x:c>
      <x:c r="E166" s="187" t="str">
        <x:v>DE_FC</x:v>
      </x:c>
      <x:c r="F166" s="187" t="str">
        <x:v>LOGISTICS_LABOR</x:v>
      </x:c>
      <x:c r="G166" s="187" t="str">
        <x:v>EUR</x:v>
      </x:c>
      <x:c r="H166" s="235" t="n">
        <x:v>20124</x:v>
      </x:c>
      <x:c r="I166" s="235" t="n">
        <x:v>7.92</x:v>
      </x:c>
      <x:c r="J166" s="235" t="str">
        <x:v>159382.08000</x:v>
      </x:c>
      <x:c r="K166" s="235" t="n">
        <x:v>159382.08</x:v>
      </x:c>
      <x:c r="L166" s="238" t="n">
        <x:f>H166*I166</x:f>
        <x:v>159382.08</x:v>
      </x:c>
      <x:c r="M166" s="238" t="n">
        <x:f>L166-K166</x:f>
        <x:v>0</x:v>
      </x:c>
    </x:row>
    <x:row r="167">
      <x:c r="A167" s="187" t="str">
        <x:v>SCENARIO_COST_SAVING_2026_08</x:v>
      </x:c>
      <x:c r="B167" s="187" t="str">
        <x:v>SCENARIO</x:v>
      </x:c>
      <x:c r="C167" s="187" t="str">
        <x:v>COST_SAVING</x:v>
      </x:c>
      <x:c r="D167" s="217" t="n">
        <x:v>46266</x:v>
      </x:c>
      <x:c r="E167" s="187" t="str">
        <x:v>FR_FC</x:v>
      </x:c>
      <x:c r="F167" s="187" t="str">
        <x:v>WAREHOUSE_RENT</x:v>
      </x:c>
      <x:c r="G167" s="187" t="str">
        <x:v>EUR</x:v>
      </x:c>
      <x:c r="H167" s="235" t="n">
        <x:v>18324</x:v>
      </x:c>
      <x:c r="I167" s="235" t="n">
        <x:v>7.92</x:v>
      </x:c>
      <x:c r="J167" s="235" t="str">
        <x:v>145126.08000</x:v>
      </x:c>
      <x:c r="K167" s="235" t="n">
        <x:v>145126.08</x:v>
      </x:c>
      <x:c r="L167" s="238" t="n">
        <x:f>H167*I167</x:f>
        <x:v>145126.08</x:v>
      </x:c>
      <x:c r="M167" s="238" t="n">
        <x:f>L167-K167</x:f>
        <x:v>0</x:v>
      </x:c>
    </x:row>
    <x:row r="168">
      <x:c r="A168" s="187" t="str">
        <x:v>SCENARIO_COST_SAVING_2026_08</x:v>
      </x:c>
      <x:c r="B168" s="187" t="str">
        <x:v>SCENARIO</x:v>
      </x:c>
      <x:c r="C168" s="187" t="str">
        <x:v>COST_SAVING</x:v>
      </x:c>
      <x:c r="D168" s="217" t="n">
        <x:v>46266</x:v>
      </x:c>
      <x:c r="E168" s="187" t="str">
        <x:v>FR_FC</x:v>
      </x:c>
      <x:c r="F168" s="187" t="str">
        <x:v>LOGISTICS_LABOR</x:v>
      </x:c>
      <x:c r="G168" s="187" t="str">
        <x:v>EUR</x:v>
      </x:c>
      <x:c r="H168" s="235" t="n">
        <x:v>14252</x:v>
      </x:c>
      <x:c r="I168" s="235" t="n">
        <x:v>7.92</x:v>
      </x:c>
      <x:c r="J168" s="235" t="str">
        <x:v>112875.84000</x:v>
      </x:c>
      <x:c r="K168" s="235" t="n">
        <x:v>112875.84</x:v>
      </x:c>
      <x:c r="L168" s="238" t="n">
        <x:f>H168*I168</x:f>
        <x:v>112875.84</x:v>
      </x:c>
      <x:c r="M168" s="238" t="n">
        <x:f>L168-K168</x:f>
        <x:v>0</x:v>
      </x:c>
    </x:row>
    <x:row r="169">
      <x:c r="A169" s="187" t="str">
        <x:v>SCENARIO_COST_SAVING_2026_08</x:v>
      </x:c>
      <x:c r="B169" s="187" t="str">
        <x:v>SCENARIO</x:v>
      </x:c>
      <x:c r="C169" s="187" t="str">
        <x:v>COST_SAVING</x:v>
      </x:c>
      <x:c r="D169" s="217" t="n">
        <x:v>46266</x:v>
      </x:c>
      <x:c r="E169" s="187" t="str">
        <x:v>SHARED</x:v>
      </x:c>
      <x:c r="F169" s="187" t="str">
        <x:v>SYSTEM_COST</x:v>
      </x:c>
      <x:c r="G169" s="187" t="str">
        <x:v>CNY</x:v>
      </x:c>
      <x:c r="H169" s="235" t="n">
        <x:v>50900</x:v>
      </x:c>
      <x:c r="I169" s="235" t="n">
        <x:v>1</x:v>
      </x:c>
      <x:c r="J169" s="235" t="str">
        <x:v>50900.000</x:v>
      </x:c>
      <x:c r="K169" s="235" t="n">
        <x:v>50900</x:v>
      </x:c>
      <x:c r="L169" s="238" t="n">
        <x:f>H169*I169</x:f>
        <x:v>50900</x:v>
      </x:c>
      <x:c r="M169" s="238" t="n">
        <x:f>L169-K169</x:f>
        <x:v>0</x:v>
      </x:c>
    </x:row>
    <x:row r="170">
      <x:c r="A170" s="187" t="str">
        <x:v>SCENARIO_COST_SAVING_2026_08</x:v>
      </x:c>
      <x:c r="B170" s="187" t="str">
        <x:v>SCENARIO</x:v>
      </x:c>
      <x:c r="C170" s="187" t="str">
        <x:v>COST_SAVING</x:v>
      </x:c>
      <x:c r="D170" s="217" t="n">
        <x:v>46296</x:v>
      </x:c>
      <x:c r="E170" s="187" t="str">
        <x:v>DE_FC</x:v>
      </x:c>
      <x:c r="F170" s="187" t="str">
        <x:v>WAREHOUSE_RENT</x:v>
      </x:c>
      <x:c r="G170" s="187" t="str">
        <x:v>EUR</x:v>
      </x:c>
      <x:c r="H170" s="235" t="n">
        <x:v>25450</x:v>
      </x:c>
      <x:c r="I170" s="235" t="n">
        <x:v>7.9</x:v>
      </x:c>
      <x:c r="J170" s="235" t="str">
        <x:v>201055.00000</x:v>
      </x:c>
      <x:c r="K170" s="235" t="n">
        <x:v>201055</x:v>
      </x:c>
      <x:c r="L170" s="238" t="n">
        <x:f>H170*I170</x:f>
        <x:v>201055</x:v>
      </x:c>
      <x:c r="M170" s="238" t="n">
        <x:f>L170-K170</x:f>
        <x:v>0</x:v>
      </x:c>
    </x:row>
    <x:row r="171">
      <x:c r="A171" s="187" t="str">
        <x:v>SCENARIO_COST_SAVING_2026_08</x:v>
      </x:c>
      <x:c r="B171" s="187" t="str">
        <x:v>SCENARIO</x:v>
      </x:c>
      <x:c r="C171" s="187" t="str">
        <x:v>COST_SAVING</x:v>
      </x:c>
      <x:c r="D171" s="217" t="n">
        <x:v>46296</x:v>
      </x:c>
      <x:c r="E171" s="187" t="str">
        <x:v>DE_FC</x:v>
      </x:c>
      <x:c r="F171" s="187" t="str">
        <x:v>LOGISTICS_LABOR</x:v>
      </x:c>
      <x:c r="G171" s="187" t="str">
        <x:v>EUR</x:v>
      </x:c>
      <x:c r="H171" s="235" t="n">
        <x:v>20124</x:v>
      </x:c>
      <x:c r="I171" s="235" t="n">
        <x:v>7.9</x:v>
      </x:c>
      <x:c r="J171" s="235" t="str">
        <x:v>158979.60000</x:v>
      </x:c>
      <x:c r="K171" s="235" t="n">
        <x:v>158979.6</x:v>
      </x:c>
      <x:c r="L171" s="238" t="n">
        <x:f>H171*I171</x:f>
        <x:v>158979.6</x:v>
      </x:c>
      <x:c r="M171" s="238" t="n">
        <x:f>L171-K171</x:f>
        <x:v>0</x:v>
      </x:c>
    </x:row>
    <x:row r="172">
      <x:c r="A172" s="187" t="str">
        <x:v>SCENARIO_COST_SAVING_2026_08</x:v>
      </x:c>
      <x:c r="B172" s="187" t="str">
        <x:v>SCENARIO</x:v>
      </x:c>
      <x:c r="C172" s="187" t="str">
        <x:v>COST_SAVING</x:v>
      </x:c>
      <x:c r="D172" s="217" t="n">
        <x:v>46296</x:v>
      </x:c>
      <x:c r="E172" s="187" t="str">
        <x:v>FR_FC</x:v>
      </x:c>
      <x:c r="F172" s="187" t="str">
        <x:v>WAREHOUSE_RENT</x:v>
      </x:c>
      <x:c r="G172" s="187" t="str">
        <x:v>EUR</x:v>
      </x:c>
      <x:c r="H172" s="235" t="n">
        <x:v>18324</x:v>
      </x:c>
      <x:c r="I172" s="235" t="n">
        <x:v>7.9</x:v>
      </x:c>
      <x:c r="J172" s="235" t="str">
        <x:v>144759.60000</x:v>
      </x:c>
      <x:c r="K172" s="235" t="n">
        <x:v>144759.6</x:v>
      </x:c>
      <x:c r="L172" s="238" t="n">
        <x:f>H172*I172</x:f>
        <x:v>144759.6</x:v>
      </x:c>
      <x:c r="M172" s="238" t="n">
        <x:f>L172-K172</x:f>
        <x:v>0</x:v>
      </x:c>
    </x:row>
    <x:row r="173">
      <x:c r="A173" s="187" t="str">
        <x:v>SCENARIO_COST_SAVING_2026_08</x:v>
      </x:c>
      <x:c r="B173" s="187" t="str">
        <x:v>SCENARIO</x:v>
      </x:c>
      <x:c r="C173" s="187" t="str">
        <x:v>COST_SAVING</x:v>
      </x:c>
      <x:c r="D173" s="217" t="n">
        <x:v>46296</x:v>
      </x:c>
      <x:c r="E173" s="187" t="str">
        <x:v>FR_FC</x:v>
      </x:c>
      <x:c r="F173" s="187" t="str">
        <x:v>LOGISTICS_LABOR</x:v>
      </x:c>
      <x:c r="G173" s="187" t="str">
        <x:v>EUR</x:v>
      </x:c>
      <x:c r="H173" s="235" t="n">
        <x:v>14252</x:v>
      </x:c>
      <x:c r="I173" s="235" t="n">
        <x:v>7.9</x:v>
      </x:c>
      <x:c r="J173" s="235" t="str">
        <x:v>112590.80000</x:v>
      </x:c>
      <x:c r="K173" s="235" t="n">
        <x:v>112590.8</x:v>
      </x:c>
      <x:c r="L173" s="238" t="n">
        <x:f>H173*I173</x:f>
        <x:v>112590.8</x:v>
      </x:c>
      <x:c r="M173" s="238" t="n">
        <x:f>L173-K173</x:f>
        <x:v>0</x:v>
      </x:c>
    </x:row>
    <x:row r="174">
      <x:c r="A174" s="187" t="str">
        <x:v>SCENARIO_COST_SAVING_2026_08</x:v>
      </x:c>
      <x:c r="B174" s="187" t="str">
        <x:v>SCENARIO</x:v>
      </x:c>
      <x:c r="C174" s="187" t="str">
        <x:v>COST_SAVING</x:v>
      </x:c>
      <x:c r="D174" s="217" t="n">
        <x:v>46296</x:v>
      </x:c>
      <x:c r="E174" s="187" t="str">
        <x:v>SHARED</x:v>
      </x:c>
      <x:c r="F174" s="187" t="str">
        <x:v>SYSTEM_COST</x:v>
      </x:c>
      <x:c r="G174" s="187" t="str">
        <x:v>CNY</x:v>
      </x:c>
      <x:c r="H174" s="235" t="n">
        <x:v>50900</x:v>
      </x:c>
      <x:c r="I174" s="235" t="n">
        <x:v>1</x:v>
      </x:c>
      <x:c r="J174" s="235" t="str">
        <x:v>50900.000</x:v>
      </x:c>
      <x:c r="K174" s="235" t="n">
        <x:v>50900</x:v>
      </x:c>
      <x:c r="L174" s="238" t="n">
        <x:f>H174*I174</x:f>
        <x:v>50900</x:v>
      </x:c>
      <x:c r="M174" s="238" t="n">
        <x:f>L174-K174</x:f>
        <x:v>0</x:v>
      </x:c>
    </x:row>
    <x:row r="175">
      <x:c r="A175" s="187" t="str">
        <x:v>SCENARIO_COST_SAVING_2026_08</x:v>
      </x:c>
      <x:c r="B175" s="187" t="str">
        <x:v>SCENARIO</x:v>
      </x:c>
      <x:c r="C175" s="187" t="str">
        <x:v>COST_SAVING</x:v>
      </x:c>
      <x:c r="D175" s="217" t="n">
        <x:v>46327</x:v>
      </x:c>
      <x:c r="E175" s="187" t="str">
        <x:v>DE_FC</x:v>
      </x:c>
      <x:c r="F175" s="187" t="str">
        <x:v>WAREHOUSE_RENT</x:v>
      </x:c>
      <x:c r="G175" s="187" t="str">
        <x:v>EUR</x:v>
      </x:c>
      <x:c r="H175" s="235" t="n">
        <x:v>25450</x:v>
      </x:c>
      <x:c r="I175" s="235" t="n">
        <x:v>7.88</x:v>
      </x:c>
      <x:c r="J175" s="235" t="str">
        <x:v>200546.00000</x:v>
      </x:c>
      <x:c r="K175" s="235" t="n">
        <x:v>200546</x:v>
      </x:c>
      <x:c r="L175" s="238" t="n">
        <x:f>H175*I175</x:f>
        <x:v>200546</x:v>
      </x:c>
      <x:c r="M175" s="238" t="n">
        <x:f>L175-K175</x:f>
        <x:v>0</x:v>
      </x:c>
    </x:row>
    <x:row r="176">
      <x:c r="A176" s="187" t="str">
        <x:v>SCENARIO_COST_SAVING_2026_08</x:v>
      </x:c>
      <x:c r="B176" s="187" t="str">
        <x:v>SCENARIO</x:v>
      </x:c>
      <x:c r="C176" s="187" t="str">
        <x:v>COST_SAVING</x:v>
      </x:c>
      <x:c r="D176" s="217" t="n">
        <x:v>46327</x:v>
      </x:c>
      <x:c r="E176" s="187" t="str">
        <x:v>DE_FC</x:v>
      </x:c>
      <x:c r="F176" s="187" t="str">
        <x:v>LOGISTICS_LABOR</x:v>
      </x:c>
      <x:c r="G176" s="187" t="str">
        <x:v>EUR</x:v>
      </x:c>
      <x:c r="H176" s="235" t="n">
        <x:v>19124</x:v>
      </x:c>
      <x:c r="I176" s="235" t="n">
        <x:v>7.88</x:v>
      </x:c>
      <x:c r="J176" s="235" t="str">
        <x:v>150697.12000</x:v>
      </x:c>
      <x:c r="K176" s="235" t="n">
        <x:v>150697.12</x:v>
      </x:c>
      <x:c r="L176" s="238" t="n">
        <x:f>H176*I176</x:f>
        <x:v>150697.12</x:v>
      </x:c>
      <x:c r="M176" s="238" t="n">
        <x:f>L176-K176</x:f>
        <x:v>0</x:v>
      </x:c>
    </x:row>
    <x:row r="177">
      <x:c r="A177" s="187" t="str">
        <x:v>SCENARIO_COST_SAVING_2026_08</x:v>
      </x:c>
      <x:c r="B177" s="187" t="str">
        <x:v>SCENARIO</x:v>
      </x:c>
      <x:c r="C177" s="187" t="str">
        <x:v>COST_SAVING</x:v>
      </x:c>
      <x:c r="D177" s="217" t="n">
        <x:v>46327</x:v>
      </x:c>
      <x:c r="E177" s="187" t="str">
        <x:v>FR_FC</x:v>
      </x:c>
      <x:c r="F177" s="187" t="str">
        <x:v>WAREHOUSE_RENT</x:v>
      </x:c>
      <x:c r="G177" s="187" t="str">
        <x:v>EUR</x:v>
      </x:c>
      <x:c r="H177" s="235" t="n">
        <x:v>18324</x:v>
      </x:c>
      <x:c r="I177" s="235" t="n">
        <x:v>7.88</x:v>
      </x:c>
      <x:c r="J177" s="235" t="str">
        <x:v>144393.12000</x:v>
      </x:c>
      <x:c r="K177" s="235" t="n">
        <x:v>144393.12</x:v>
      </x:c>
      <x:c r="L177" s="238" t="n">
        <x:f>H177*I177</x:f>
        <x:v>144393.12</x:v>
      </x:c>
      <x:c r="M177" s="238" t="n">
        <x:f>L177-K177</x:f>
        <x:v>0</x:v>
      </x:c>
    </x:row>
    <x:row r="178">
      <x:c r="A178" s="187" t="str">
        <x:v>SCENARIO_COST_SAVING_2026_08</x:v>
      </x:c>
      <x:c r="B178" s="187" t="str">
        <x:v>SCENARIO</x:v>
      </x:c>
      <x:c r="C178" s="187" t="str">
        <x:v>COST_SAVING</x:v>
      </x:c>
      <x:c r="D178" s="217" t="n">
        <x:v>46327</x:v>
      </x:c>
      <x:c r="E178" s="187" t="str">
        <x:v>FR_FC</x:v>
      </x:c>
      <x:c r="F178" s="187" t="str">
        <x:v>LOGISTICS_LABOR</x:v>
      </x:c>
      <x:c r="G178" s="187" t="str">
        <x:v>EUR</x:v>
      </x:c>
      <x:c r="H178" s="235" t="n">
        <x:v>14252</x:v>
      </x:c>
      <x:c r="I178" s="235" t="n">
        <x:v>7.88</x:v>
      </x:c>
      <x:c r="J178" s="235" t="str">
        <x:v>112305.76000</x:v>
      </x:c>
      <x:c r="K178" s="235" t="n">
        <x:v>112305.76</x:v>
      </x:c>
      <x:c r="L178" s="238" t="n">
        <x:f>H178*I178</x:f>
        <x:v>112305.76</x:v>
      </x:c>
      <x:c r="M178" s="238" t="n">
        <x:f>L178-K178</x:f>
        <x:v>0</x:v>
      </x:c>
    </x:row>
    <x:row r="179">
      <x:c r="A179" s="187" t="str">
        <x:v>SCENARIO_COST_SAVING_2026_08</x:v>
      </x:c>
      <x:c r="B179" s="187" t="str">
        <x:v>SCENARIO</x:v>
      </x:c>
      <x:c r="C179" s="187" t="str">
        <x:v>COST_SAVING</x:v>
      </x:c>
      <x:c r="D179" s="217" t="n">
        <x:v>46327</x:v>
      </x:c>
      <x:c r="E179" s="187" t="str">
        <x:v>SHARED</x:v>
      </x:c>
      <x:c r="F179" s="187" t="str">
        <x:v>SYSTEM_COST</x:v>
      </x:c>
      <x:c r="G179" s="187" t="str">
        <x:v>CNY</x:v>
      </x:c>
      <x:c r="H179" s="235" t="n">
        <x:v>50900</x:v>
      </x:c>
      <x:c r="I179" s="235" t="n">
        <x:v>1</x:v>
      </x:c>
      <x:c r="J179" s="235" t="str">
        <x:v>50900.000</x:v>
      </x:c>
      <x:c r="K179" s="235" t="n">
        <x:v>50900</x:v>
      </x:c>
      <x:c r="L179" s="238" t="n">
        <x:f>H179*I179</x:f>
        <x:v>50900</x:v>
      </x:c>
      <x:c r="M179" s="238" t="n">
        <x:f>L179-K179</x:f>
        <x:v>0</x:v>
      </x:c>
    </x:row>
    <x:row r="180">
      <x:c r="A180" s="187" t="str">
        <x:v>SCENARIO_COST_SAVING_2026_08</x:v>
      </x:c>
      <x:c r="B180" s="187" t="str">
        <x:v>SCENARIO</x:v>
      </x:c>
      <x:c r="C180" s="187" t="str">
        <x:v>COST_SAVING</x:v>
      </x:c>
      <x:c r="D180" s="217" t="n">
        <x:v>46357</x:v>
      </x:c>
      <x:c r="E180" s="187" t="str">
        <x:v>DE_FC</x:v>
      </x:c>
      <x:c r="F180" s="187" t="str">
        <x:v>WAREHOUSE_RENT</x:v>
      </x:c>
      <x:c r="G180" s="187" t="str">
        <x:v>EUR</x:v>
      </x:c>
      <x:c r="H180" s="235" t="n">
        <x:v>25450</x:v>
      </x:c>
      <x:c r="I180" s="235" t="n">
        <x:v>7.86</x:v>
      </x:c>
      <x:c r="J180" s="235" t="str">
        <x:v>200037.00000</x:v>
      </x:c>
      <x:c r="K180" s="235" t="n">
        <x:v>200037</x:v>
      </x:c>
      <x:c r="L180" s="238" t="n">
        <x:f>H180*I180</x:f>
        <x:v>200037</x:v>
      </x:c>
      <x:c r="M180" s="238" t="n">
        <x:f>L180-K180</x:f>
        <x:v>0</x:v>
      </x:c>
    </x:row>
    <x:row r="181">
      <x:c r="A181" s="187" t="str">
        <x:v>SCENARIO_COST_SAVING_2026_08</x:v>
      </x:c>
      <x:c r="B181" s="187" t="str">
        <x:v>SCENARIO</x:v>
      </x:c>
      <x:c r="C181" s="187" t="str">
        <x:v>COST_SAVING</x:v>
      </x:c>
      <x:c r="D181" s="217" t="n">
        <x:v>46357</x:v>
      </x:c>
      <x:c r="E181" s="187" t="str">
        <x:v>DE_FC</x:v>
      </x:c>
      <x:c r="F181" s="187" t="str">
        <x:v>LOGISTICS_LABOR</x:v>
      </x:c>
      <x:c r="G181" s="187" t="str">
        <x:v>EUR</x:v>
      </x:c>
      <x:c r="H181" s="235" t="n">
        <x:v>19124</x:v>
      </x:c>
      <x:c r="I181" s="235" t="n">
        <x:v>7.86</x:v>
      </x:c>
      <x:c r="J181" s="235" t="str">
        <x:v>150314.64000</x:v>
      </x:c>
      <x:c r="K181" s="235" t="n">
        <x:v>150314.64</x:v>
      </x:c>
      <x:c r="L181" s="238" t="n">
        <x:f>H181*I181</x:f>
        <x:v>150314.64</x:v>
      </x:c>
      <x:c r="M181" s="238" t="n">
        <x:f>L181-K181</x:f>
        <x:v>0</x:v>
      </x:c>
    </x:row>
    <x:row r="182">
      <x:c r="A182" s="187" t="str">
        <x:v>SCENARIO_COST_SAVING_2026_08</x:v>
      </x:c>
      <x:c r="B182" s="187" t="str">
        <x:v>SCENARIO</x:v>
      </x:c>
      <x:c r="C182" s="187" t="str">
        <x:v>COST_SAVING</x:v>
      </x:c>
      <x:c r="D182" s="217" t="n">
        <x:v>46357</x:v>
      </x:c>
      <x:c r="E182" s="187" t="str">
        <x:v>FR_FC</x:v>
      </x:c>
      <x:c r="F182" s="187" t="str">
        <x:v>WAREHOUSE_RENT</x:v>
      </x:c>
      <x:c r="G182" s="187" t="str">
        <x:v>EUR</x:v>
      </x:c>
      <x:c r="H182" s="235" t="n">
        <x:v>18324</x:v>
      </x:c>
      <x:c r="I182" s="235" t="n">
        <x:v>7.86</x:v>
      </x:c>
      <x:c r="J182" s="235" t="str">
        <x:v>144026.64000</x:v>
      </x:c>
      <x:c r="K182" s="235" t="n">
        <x:v>144026.64</x:v>
      </x:c>
      <x:c r="L182" s="238" t="n">
        <x:f>H182*I182</x:f>
        <x:v>144026.64</x:v>
      </x:c>
      <x:c r="M182" s="238" t="n">
        <x:f>L182-K182</x:f>
        <x:v>0</x:v>
      </x:c>
    </x:row>
    <x:row r="183">
      <x:c r="A183" s="187" t="str">
        <x:v>SCENARIO_COST_SAVING_2026_08</x:v>
      </x:c>
      <x:c r="B183" s="187" t="str">
        <x:v>SCENARIO</x:v>
      </x:c>
      <x:c r="C183" s="187" t="str">
        <x:v>COST_SAVING</x:v>
      </x:c>
      <x:c r="D183" s="217" t="n">
        <x:v>46357</x:v>
      </x:c>
      <x:c r="E183" s="187" t="str">
        <x:v>FR_FC</x:v>
      </x:c>
      <x:c r="F183" s="187" t="str">
        <x:v>LOGISTICS_LABOR</x:v>
      </x:c>
      <x:c r="G183" s="187" t="str">
        <x:v>EUR</x:v>
      </x:c>
      <x:c r="H183" s="235" t="n">
        <x:v>14252</x:v>
      </x:c>
      <x:c r="I183" s="235" t="n">
        <x:v>7.86</x:v>
      </x:c>
      <x:c r="J183" s="235" t="str">
        <x:v>112020.72000</x:v>
      </x:c>
      <x:c r="K183" s="235" t="n">
        <x:v>112020.72</x:v>
      </x:c>
      <x:c r="L183" s="238" t="n">
        <x:f>H183*I183</x:f>
        <x:v>112020.72</x:v>
      </x:c>
      <x:c r="M183" s="238" t="n">
        <x:f>L183-K183</x:f>
        <x:v>0</x:v>
      </x:c>
    </x:row>
    <x:row r="184">
      <x:c r="A184" s="188" t="str">
        <x:v>SCENARIO_COST_SAVING_2026_08</x:v>
      </x:c>
      <x:c r="B184" s="188" t="str">
        <x:v>SCENARIO</x:v>
      </x:c>
      <x:c r="C184" s="188" t="str">
        <x:v>COST_SAVING</x:v>
      </x:c>
      <x:c r="D184" s="218" t="n">
        <x:v>46357</x:v>
      </x:c>
      <x:c r="E184" s="188" t="str">
        <x:v>SHARED</x:v>
      </x:c>
      <x:c r="F184" s="188" t="str">
        <x:v>SYSTEM_COST</x:v>
      </x:c>
      <x:c r="G184" s="188" t="str">
        <x:v>CNY</x:v>
      </x:c>
      <x:c r="H184" s="236" t="n">
        <x:v>50900</x:v>
      </x:c>
      <x:c r="I184" s="236" t="n">
        <x:v>1</x:v>
      </x:c>
      <x:c r="J184" s="236" t="str">
        <x:v>50900.000</x:v>
      </x:c>
      <x:c r="K184" s="236" t="n">
        <x:v>50900</x:v>
      </x:c>
      <x:c r="L184" s="239" t="n">
        <x:f>H184*I184</x:f>
        <x:v>50900</x:v>
      </x:c>
      <x:c r="M184" s="239" t="n">
        <x:f>L184-K184</x:f>
        <x:v>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3bd3ef3e9ef423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6" hidden="0" customWidth="1"/>
    <x:col min="10" max="10" width="16" hidden="0" customWidth="1"/>
    <x:col min="11" max="11" width="16" hidden="0" customWidth="1"/>
    <x:col min="12" max="12" width="16" hidden="0" customWidth="1"/>
    <x:col min="13" max="13" width="24" hidden="0" customWidth="1"/>
    <x:col min="14" max="14" width="30" hidden="0" customWidth="1"/>
  </x:cols>
  <x:sheetData>
    <x:row r="1" ht="32" customHeight="1">
      <x:c r="A1" s="3" t="str">
        <x:v>履约 GMV 事实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GMV 粒度为月份 × 目的国 × 版本，不复制或分摊到线路。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179" t="str">
        <x:v>Version</x:v>
      </x:c>
      <x:c r="B4" s="180" t="str">
        <x:v>Type</x:v>
      </x:c>
      <x:c r="C4" s="180" t="str">
        <x:v>Scenario</x:v>
      </x:c>
      <x:c r="D4" s="180" t="str">
        <x:v>Month</x:v>
      </x:c>
      <x:c r="E4" s="180" t="str">
        <x:v>Destination</x:v>
      </x:c>
      <x:c r="F4" s="180" t="str">
        <x:v>Currency</x:v>
      </x:c>
      <x:c r="G4" s="180" t="str">
        <x:v>Original Amount</x:v>
      </x:c>
      <x:c r="H4" s="180" t="str">
        <x:v>FX</x:v>
      </x:c>
      <x:c r="I4" s="180" t="str">
        <x:v>High Precision CNY (text)</x:v>
      </x:c>
      <x:c r="J4" s="180" t="str">
        <x:v>Report CNY</x:v>
      </x:c>
      <x:c r="K4" s="180" t="str">
        <x:v>Recalc CNY</x:v>
      </x:c>
      <x:c r="L4" s="180" t="str">
        <x:v>Delta</x:v>
      </x:c>
      <x:c r="M4" s="180" t="str">
        <x:v>Source Class</x:v>
      </x:c>
      <x:c r="N4" s="181" t="str">
        <x:v>Note</x:v>
      </x:c>
    </x:row>
    <x:row r="5">
      <x:c r="A5" s="186" t="str">
        <x:v>BUDGET_2026_V1</x:v>
      </x:c>
      <x:c r="B5" s="186" t="str">
        <x:v>BUDGET</x:v>
      </x:c>
      <x:c r="C5" s="186"/>
      <x:c r="D5" s="216" t="n">
        <x:v>46023</x:v>
      </x:c>
      <x:c r="E5" s="186" t="str">
        <x:v>DE</x:v>
      </x:c>
      <x:c r="F5" s="186" t="str">
        <x:v>EUR</x:v>
      </x:c>
      <x:c r="G5" s="234" t="n">
        <x:v>482160</x:v>
      </x:c>
      <x:c r="H5" s="234" t="n">
        <x:v>7.8</x:v>
      </x:c>
      <x:c r="I5" s="234" t="str">
        <x:v>3760848.0000</x:v>
      </x:c>
      <x:c r="J5" s="234" t="n">
        <x:v>3760848</x:v>
      </x:c>
      <x:c r="K5" s="237" t="n">
        <x:f>G5*H5</x:f>
        <x:v>3760848</x:v>
      </x:c>
      <x:c r="L5" s="237" t="n">
        <x:f>K5-J5</x:f>
        <x:v>0</x:v>
      </x:c>
      <x:c r="M5" s="186" t="str">
        <x:v>SYNTHETIC_DEMO_DATA</x:v>
      </x:c>
      <x:c r="N5" s="186" t="str">
        <x:v>履约 GMV，不含取消订单</x:v>
      </x:c>
    </x:row>
    <x:row r="6">
      <x:c r="A6" s="187" t="str">
        <x:v>BUDGET_2026_V1</x:v>
      </x:c>
      <x:c r="B6" s="187" t="str">
        <x:v>BUDGET</x:v>
      </x:c>
      <x:c r="C6" s="187"/>
      <x:c r="D6" s="217" t="n">
        <x:v>46023</x:v>
      </x:c>
      <x:c r="E6" s="187" t="str">
        <x:v>FR</x:v>
      </x:c>
      <x:c r="F6" s="187" t="str">
        <x:v>EUR</x:v>
      </x:c>
      <x:c r="G6" s="235" t="n">
        <x:v>385280</x:v>
      </x:c>
      <x:c r="H6" s="235" t="n">
        <x:v>7.8</x:v>
      </x:c>
      <x:c r="I6" s="235" t="str">
        <x:v>3005184.0000</x:v>
      </x:c>
      <x:c r="J6" s="235" t="n">
        <x:v>3005184</x:v>
      </x:c>
      <x:c r="K6" s="238" t="n">
        <x:f>G6*H6</x:f>
        <x:v>3005184</x:v>
      </x:c>
      <x:c r="L6" s="238" t="n">
        <x:f>K6-J6</x:f>
        <x:v>0</x:v>
      </x:c>
      <x:c r="M6" s="187" t="str">
        <x:v>SYNTHETIC_DEMO_DATA</x:v>
      </x:c>
      <x:c r="N6" s="187" t="str">
        <x:v>履约 GMV，不含取消订单</x:v>
      </x:c>
    </x:row>
    <x:row r="7">
      <x:c r="A7" s="187" t="str">
        <x:v>BUDGET_2026_V1</x:v>
      </x:c>
      <x:c r="B7" s="187" t="str">
        <x:v>BUDGET</x:v>
      </x:c>
      <x:c r="C7" s="187"/>
      <x:c r="D7" s="217" t="n">
        <x:v>46023</x:v>
      </x:c>
      <x:c r="E7" s="187" t="str">
        <x:v>GB</x:v>
      </x:c>
      <x:c r="F7" s="187" t="str">
        <x:v>GBP</x:v>
      </x:c>
      <x:c r="G7" s="235" t="n">
        <x:v>283920</x:v>
      </x:c>
      <x:c r="H7" s="235" t="n">
        <x:v>9</x:v>
      </x:c>
      <x:c r="I7" s="235" t="str">
        <x:v>2555280.0000</x:v>
      </x:c>
      <x:c r="J7" s="235" t="n">
        <x:v>2555280</x:v>
      </x:c>
      <x:c r="K7" s="238" t="n">
        <x:f>G7*H7</x:f>
        <x:v>2555280</x:v>
      </x:c>
      <x:c r="L7" s="238" t="n">
        <x:f>K7-J7</x:f>
        <x:v>0</x:v>
      </x:c>
      <x:c r="M7" s="187" t="str">
        <x:v>SYNTHETIC_DEMO_DATA</x:v>
      </x:c>
      <x:c r="N7" s="187" t="str">
        <x:v>履约 GMV，不含取消订单</x:v>
      </x:c>
    </x:row>
    <x:row r="8">
      <x:c r="A8" s="187" t="str">
        <x:v>BUDGET_2026_V1</x:v>
      </x:c>
      <x:c r="B8" s="187" t="str">
        <x:v>BUDGET</x:v>
      </x:c>
      <x:c r="C8" s="187"/>
      <x:c r="D8" s="217" t="n">
        <x:v>46054</x:v>
      </x:c>
      <x:c r="E8" s="187" t="str">
        <x:v>DE</x:v>
      </x:c>
      <x:c r="F8" s="187" t="str">
        <x:v>EUR</x:v>
      </x:c>
      <x:c r="G8" s="235" t="n">
        <x:v>464940</x:v>
      </x:c>
      <x:c r="H8" s="235" t="n">
        <x:v>7.8</x:v>
      </x:c>
      <x:c r="I8" s="235" t="str">
        <x:v>3626532.0000</x:v>
      </x:c>
      <x:c r="J8" s="235" t="n">
        <x:v>3626532</x:v>
      </x:c>
      <x:c r="K8" s="238" t="n">
        <x:f>G8*H8</x:f>
        <x:v>3626532</x:v>
      </x:c>
      <x:c r="L8" s="238" t="n">
        <x:f>K8-J8</x:f>
        <x:v>0</x:v>
      </x:c>
      <x:c r="M8" s="187" t="str">
        <x:v>SYNTHETIC_DEMO_DATA</x:v>
      </x:c>
      <x:c r="N8" s="187" t="str">
        <x:v>履约 GMV，不含取消订单</x:v>
      </x:c>
    </x:row>
    <x:row r="9">
      <x:c r="A9" s="187" t="str">
        <x:v>BUDGET_2026_V1</x:v>
      </x:c>
      <x:c r="B9" s="187" t="str">
        <x:v>BUDGET</x:v>
      </x:c>
      <x:c r="C9" s="187"/>
      <x:c r="D9" s="217" t="n">
        <x:v>46054</x:v>
      </x:c>
      <x:c r="E9" s="187" t="str">
        <x:v>FR</x:v>
      </x:c>
      <x:c r="F9" s="187" t="str">
        <x:v>EUR</x:v>
      </x:c>
      <x:c r="G9" s="235" t="n">
        <x:v>371520</x:v>
      </x:c>
      <x:c r="H9" s="235" t="n">
        <x:v>7.8</x:v>
      </x:c>
      <x:c r="I9" s="235" t="str">
        <x:v>2897856.0000</x:v>
      </x:c>
      <x:c r="J9" s="235" t="n">
        <x:v>2897856</x:v>
      </x:c>
      <x:c r="K9" s="238" t="n">
        <x:f>G9*H9</x:f>
        <x:v>2897856</x:v>
      </x:c>
      <x:c r="L9" s="238" t="n">
        <x:f>K9-J9</x:f>
        <x:v>0</x:v>
      </x:c>
      <x:c r="M9" s="187" t="str">
        <x:v>SYNTHETIC_DEMO_DATA</x:v>
      </x:c>
      <x:c r="N9" s="187" t="str">
        <x:v>履约 GMV，不含取消订单</x:v>
      </x:c>
    </x:row>
    <x:row r="10">
      <x:c r="A10" s="187" t="str">
        <x:v>BUDGET_2026_V1</x:v>
      </x:c>
      <x:c r="B10" s="187" t="str">
        <x:v>BUDGET</x:v>
      </x:c>
      <x:c r="C10" s="187"/>
      <x:c r="D10" s="217" t="n">
        <x:v>46054</x:v>
      </x:c>
      <x:c r="E10" s="187" t="str">
        <x:v>GB</x:v>
      </x:c>
      <x:c r="F10" s="187" t="str">
        <x:v>GBP</x:v>
      </x:c>
      <x:c r="G10" s="235" t="n">
        <x:v>273780</x:v>
      </x:c>
      <x:c r="H10" s="235" t="n">
        <x:v>9</x:v>
      </x:c>
      <x:c r="I10" s="235" t="str">
        <x:v>2464020.0000</x:v>
      </x:c>
      <x:c r="J10" s="235" t="n">
        <x:v>2464020</x:v>
      </x:c>
      <x:c r="K10" s="238" t="n">
        <x:f>G10*H10</x:f>
        <x:v>2464020</x:v>
      </x:c>
      <x:c r="L10" s="238" t="n">
        <x:f>K10-J10</x:f>
        <x:v>0</x:v>
      </x:c>
      <x:c r="M10" s="187" t="str">
        <x:v>SYNTHETIC_DEMO_DATA</x:v>
      </x:c>
      <x:c r="N10" s="187" t="str">
        <x:v>履约 GMV，不含取消订单</x:v>
      </x:c>
    </x:row>
    <x:row r="11">
      <x:c r="A11" s="187" t="str">
        <x:v>BUDGET_2026_V1</x:v>
      </x:c>
      <x:c r="B11" s="187" t="str">
        <x:v>BUDGET</x:v>
      </x:c>
      <x:c r="C11" s="187"/>
      <x:c r="D11" s="217" t="n">
        <x:v>46082</x:v>
      </x:c>
      <x:c r="E11" s="187" t="str">
        <x:v>DE</x:v>
      </x:c>
      <x:c r="F11" s="187" t="str">
        <x:v>EUR</x:v>
      </x:c>
      <x:c r="G11" s="235" t="n">
        <x:v>492000</x:v>
      </x:c>
      <x:c r="H11" s="235" t="n">
        <x:v>7.8</x:v>
      </x:c>
      <x:c r="I11" s="235" t="str">
        <x:v>3837600.0000</x:v>
      </x:c>
      <x:c r="J11" s="235" t="n">
        <x:v>3837600</x:v>
      </x:c>
      <x:c r="K11" s="238" t="n">
        <x:f>G11*H11</x:f>
        <x:v>3837600</x:v>
      </x:c>
      <x:c r="L11" s="238" t="n">
        <x:f>K11-J11</x:f>
        <x:v>0</x:v>
      </x:c>
      <x:c r="M11" s="187" t="str">
        <x:v>SYNTHETIC_DEMO_DATA</x:v>
      </x:c>
      <x:c r="N11" s="187" t="str">
        <x:v>履约 GMV，不含取消订单</x:v>
      </x:c>
    </x:row>
    <x:row r="12">
      <x:c r="A12" s="187" t="str">
        <x:v>BUDGET_2026_V1</x:v>
      </x:c>
      <x:c r="B12" s="187" t="str">
        <x:v>BUDGET</x:v>
      </x:c>
      <x:c r="C12" s="187"/>
      <x:c r="D12" s="217" t="n">
        <x:v>46082</x:v>
      </x:c>
      <x:c r="E12" s="187" t="str">
        <x:v>FR</x:v>
      </x:c>
      <x:c r="F12" s="187" t="str">
        <x:v>EUR</x:v>
      </x:c>
      <x:c r="G12" s="235" t="n">
        <x:v>412800</x:v>
      </x:c>
      <x:c r="H12" s="235" t="n">
        <x:v>7.8</x:v>
      </x:c>
      <x:c r="I12" s="235" t="str">
        <x:v>3219840.0000</x:v>
      </x:c>
      <x:c r="J12" s="235" t="n">
        <x:v>3219840</x:v>
      </x:c>
      <x:c r="K12" s="238" t="n">
        <x:f>G12*H12</x:f>
        <x:v>3219840</x:v>
      </x:c>
      <x:c r="L12" s="238" t="n">
        <x:f>K12-J12</x:f>
        <x:v>0</x:v>
      </x:c>
      <x:c r="M12" s="187" t="str">
        <x:v>SYNTHETIC_DEMO_DATA</x:v>
      </x:c>
      <x:c r="N12" s="187" t="str">
        <x:v>履约 GMV，不含取消订单</x:v>
      </x:c>
    </x:row>
    <x:row r="13">
      <x:c r="A13" s="187" t="str">
        <x:v>BUDGET_2026_V1</x:v>
      </x:c>
      <x:c r="B13" s="187" t="str">
        <x:v>BUDGET</x:v>
      </x:c>
      <x:c r="C13" s="187"/>
      <x:c r="D13" s="217" t="n">
        <x:v>46082</x:v>
      </x:c>
      <x:c r="E13" s="187" t="str">
        <x:v>GB</x:v>
      </x:c>
      <x:c r="F13" s="187" t="str">
        <x:v>GBP</x:v>
      </x:c>
      <x:c r="G13" s="235" t="n">
        <x:v>327600</x:v>
      </x:c>
      <x:c r="H13" s="235" t="n">
        <x:v>9</x:v>
      </x:c>
      <x:c r="I13" s="235" t="str">
        <x:v>2948400.0000</x:v>
      </x:c>
      <x:c r="J13" s="235" t="n">
        <x:v>2948400</x:v>
      </x:c>
      <x:c r="K13" s="238" t="n">
        <x:f>G13*H13</x:f>
        <x:v>2948400</x:v>
      </x:c>
      <x:c r="L13" s="238" t="n">
        <x:f>K13-J13</x:f>
        <x:v>0</x:v>
      </x:c>
      <x:c r="M13" s="187" t="str">
        <x:v>SYNTHETIC_DEMO_DATA</x:v>
      </x:c>
      <x:c r="N13" s="187" t="str">
        <x:v>履约 GMV，不含取消订单</x:v>
      </x:c>
    </x:row>
    <x:row r="14">
      <x:c r="A14" s="187" t="str">
        <x:v>BUDGET_2026_V1</x:v>
      </x:c>
      <x:c r="B14" s="187" t="str">
        <x:v>BUDGET</x:v>
      </x:c>
      <x:c r="C14" s="187"/>
      <x:c r="D14" s="217" t="n">
        <x:v>46113</x:v>
      </x:c>
      <x:c r="E14" s="187" t="str">
        <x:v>DE</x:v>
      </x:c>
      <x:c r="F14" s="187" t="str">
        <x:v>EUR</x:v>
      </x:c>
      <x:c r="G14" s="235" t="n">
        <x:v>508400</x:v>
      </x:c>
      <x:c r="H14" s="235" t="n">
        <x:v>7.8</x:v>
      </x:c>
      <x:c r="I14" s="235" t="str">
        <x:v>3965520.0000</x:v>
      </x:c>
      <x:c r="J14" s="235" t="n">
        <x:v>3965520</x:v>
      </x:c>
      <x:c r="K14" s="238" t="n">
        <x:f>G14*H14</x:f>
        <x:v>3965520</x:v>
      </x:c>
      <x:c r="L14" s="238" t="n">
        <x:f>K14-J14</x:f>
        <x:v>0</x:v>
      </x:c>
      <x:c r="M14" s="187" t="str">
        <x:v>SYNTHETIC_DEMO_DATA</x:v>
      </x:c>
      <x:c r="N14" s="187" t="str">
        <x:v>履约 GMV，不含取消订单</x:v>
      </x:c>
    </x:row>
    <x:row r="15">
      <x:c r="A15" s="187" t="str">
        <x:v>BUDGET_2026_V1</x:v>
      </x:c>
      <x:c r="B15" s="187" t="str">
        <x:v>BUDGET</x:v>
      </x:c>
      <x:c r="C15" s="187"/>
      <x:c r="D15" s="217" t="n">
        <x:v>46113</x:v>
      </x:c>
      <x:c r="E15" s="187" t="str">
        <x:v>FR</x:v>
      </x:c>
      <x:c r="F15" s="187" t="str">
        <x:v>EUR</x:v>
      </x:c>
      <x:c r="G15" s="235" t="n">
        <x:v>426560</x:v>
      </x:c>
      <x:c r="H15" s="235" t="n">
        <x:v>7.8</x:v>
      </x:c>
      <x:c r="I15" s="235" t="str">
        <x:v>3327168.0000</x:v>
      </x:c>
      <x:c r="J15" s="235" t="n">
        <x:v>3327168</x:v>
      </x:c>
      <x:c r="K15" s="238" t="n">
        <x:f>G15*H15</x:f>
        <x:v>3327168</x:v>
      </x:c>
      <x:c r="L15" s="238" t="n">
        <x:f>K15-J15</x:f>
        <x:v>0</x:v>
      </x:c>
      <x:c r="M15" s="187" t="str">
        <x:v>SYNTHETIC_DEMO_DATA</x:v>
      </x:c>
      <x:c r="N15" s="187" t="str">
        <x:v>履约 GMV，不含取消订单</x:v>
      </x:c>
    </x:row>
    <x:row r="16">
      <x:c r="A16" s="187" t="str">
        <x:v>BUDGET_2026_V1</x:v>
      </x:c>
      <x:c r="B16" s="187" t="str">
        <x:v>BUDGET</x:v>
      </x:c>
      <x:c r="C16" s="187"/>
      <x:c r="D16" s="217" t="n">
        <x:v>46113</x:v>
      </x:c>
      <x:c r="E16" s="187" t="str">
        <x:v>GB</x:v>
      </x:c>
      <x:c r="F16" s="187" t="str">
        <x:v>GBP</x:v>
      </x:c>
      <x:c r="G16" s="235" t="n">
        <x:v>338520</x:v>
      </x:c>
      <x:c r="H16" s="235" t="n">
        <x:v>9</x:v>
      </x:c>
      <x:c r="I16" s="235" t="str">
        <x:v>3046680.0000</x:v>
      </x:c>
      <x:c r="J16" s="235" t="n">
        <x:v>3046680</x:v>
      </x:c>
      <x:c r="K16" s="238" t="n">
        <x:f>G16*H16</x:f>
        <x:v>3046680</x:v>
      </x:c>
      <x:c r="L16" s="238" t="n">
        <x:f>K16-J16</x:f>
        <x:v>0</x:v>
      </x:c>
      <x:c r="M16" s="187" t="str">
        <x:v>SYNTHETIC_DEMO_DATA</x:v>
      </x:c>
      <x:c r="N16" s="187" t="str">
        <x:v>履约 GMV，不含取消订单</x:v>
      </x:c>
    </x:row>
    <x:row r="17">
      <x:c r="A17" s="187" t="str">
        <x:v>BUDGET_2026_V1</x:v>
      </x:c>
      <x:c r="B17" s="187" t="str">
        <x:v>BUDGET</x:v>
      </x:c>
      <x:c r="C17" s="187"/>
      <x:c r="D17" s="217" t="n">
        <x:v>46143</x:v>
      </x:c>
      <x:c r="E17" s="187" t="str">
        <x:v>DE</x:v>
      </x:c>
      <x:c r="F17" s="187" t="str">
        <x:v>EUR</x:v>
      </x:c>
      <x:c r="G17" s="235" t="n">
        <x:v>511680</x:v>
      </x:c>
      <x:c r="H17" s="235" t="n">
        <x:v>7.8</x:v>
      </x:c>
      <x:c r="I17" s="235" t="str">
        <x:v>3991104.0000</x:v>
      </x:c>
      <x:c r="J17" s="235" t="n">
        <x:v>3991104</x:v>
      </x:c>
      <x:c r="K17" s="238" t="n">
        <x:f>G17*H17</x:f>
        <x:v>3991104</x:v>
      </x:c>
      <x:c r="L17" s="238" t="n">
        <x:f>K17-J17</x:f>
        <x:v>0</x:v>
      </x:c>
      <x:c r="M17" s="187" t="str">
        <x:v>SYNTHETIC_DEMO_DATA</x:v>
      </x:c>
      <x:c r="N17" s="187" t="str">
        <x:v>履约 GMV，不含取消订单</x:v>
      </x:c>
    </x:row>
    <x:row r="18">
      <x:c r="A18" s="187" t="str">
        <x:v>BUDGET_2026_V1</x:v>
      </x:c>
      <x:c r="B18" s="187" t="str">
        <x:v>BUDGET</x:v>
      </x:c>
      <x:c r="C18" s="187"/>
      <x:c r="D18" s="217" t="n">
        <x:v>46143</x:v>
      </x:c>
      <x:c r="E18" s="187" t="str">
        <x:v>FR</x:v>
      </x:c>
      <x:c r="F18" s="187" t="str">
        <x:v>EUR</x:v>
      </x:c>
      <x:c r="G18" s="235" t="n">
        <x:v>440320</x:v>
      </x:c>
      <x:c r="H18" s="235" t="n">
        <x:v>7.8</x:v>
      </x:c>
      <x:c r="I18" s="235" t="str">
        <x:v>3434496.0000</x:v>
      </x:c>
      <x:c r="J18" s="235" t="n">
        <x:v>3434496</x:v>
      </x:c>
      <x:c r="K18" s="238" t="n">
        <x:f>G18*H18</x:f>
        <x:v>3434496</x:v>
      </x:c>
      <x:c r="L18" s="238" t="n">
        <x:f>K18-J18</x:f>
        <x:v>0</x:v>
      </x:c>
      <x:c r="M18" s="187" t="str">
        <x:v>SYNTHETIC_DEMO_DATA</x:v>
      </x:c>
      <x:c r="N18" s="187" t="str">
        <x:v>履约 GMV，不含取消订单</x:v>
      </x:c>
    </x:row>
    <x:row r="19">
      <x:c r="A19" s="187" t="str">
        <x:v>BUDGET_2026_V1</x:v>
      </x:c>
      <x:c r="B19" s="187" t="str">
        <x:v>BUDGET</x:v>
      </x:c>
      <x:c r="C19" s="187"/>
      <x:c r="D19" s="217" t="n">
        <x:v>46143</x:v>
      </x:c>
      <x:c r="E19" s="187" t="str">
        <x:v>GB</x:v>
      </x:c>
      <x:c r="F19" s="187" t="str">
        <x:v>GBP</x:v>
      </x:c>
      <x:c r="G19" s="235" t="n">
        <x:v>361920</x:v>
      </x:c>
      <x:c r="H19" s="235" t="n">
        <x:v>9</x:v>
      </x:c>
      <x:c r="I19" s="235" t="str">
        <x:v>3257280.0000</x:v>
      </x:c>
      <x:c r="J19" s="235" t="n">
        <x:v>3257280</x:v>
      </x:c>
      <x:c r="K19" s="238" t="n">
        <x:f>G19*H19</x:f>
        <x:v>3257280</x:v>
      </x:c>
      <x:c r="L19" s="238" t="n">
        <x:f>K19-J19</x:f>
        <x:v>0</x:v>
      </x:c>
      <x:c r="M19" s="187" t="str">
        <x:v>SYNTHETIC_DEMO_DATA</x:v>
      </x:c>
      <x:c r="N19" s="187" t="str">
        <x:v>履约 GMV，不含取消订单</x:v>
      </x:c>
    </x:row>
    <x:row r="20">
      <x:c r="A20" s="187" t="str">
        <x:v>BUDGET_2026_V1</x:v>
      </x:c>
      <x:c r="B20" s="187" t="str">
        <x:v>BUDGET</x:v>
      </x:c>
      <x:c r="C20" s="187"/>
      <x:c r="D20" s="217" t="n">
        <x:v>46174</x:v>
      </x:c>
      <x:c r="E20" s="187" t="str">
        <x:v>DE</x:v>
      </x:c>
      <x:c r="F20" s="187" t="str">
        <x:v>EUR</x:v>
      </x:c>
      <x:c r="G20" s="235" t="n">
        <x:v>527670</x:v>
      </x:c>
      <x:c r="H20" s="235" t="n">
        <x:v>7.8</x:v>
      </x:c>
      <x:c r="I20" s="235" t="str">
        <x:v>4115826.0000</x:v>
      </x:c>
      <x:c r="J20" s="235" t="n">
        <x:v>4115826</x:v>
      </x:c>
      <x:c r="K20" s="238" t="n">
        <x:f>G20*H20</x:f>
        <x:v>4115826</x:v>
      </x:c>
      <x:c r="L20" s="238" t="n">
        <x:f>K20-J20</x:f>
        <x:v>0</x:v>
      </x:c>
      <x:c r="M20" s="187" t="str">
        <x:v>SYNTHETIC_DEMO_DATA</x:v>
      </x:c>
      <x:c r="N20" s="187" t="str">
        <x:v>履约 GMV，不含取消订单</x:v>
      </x:c>
    </x:row>
    <x:row r="21">
      <x:c r="A21" s="187" t="str">
        <x:v>BUDGET_2026_V1</x:v>
      </x:c>
      <x:c r="B21" s="187" t="str">
        <x:v>BUDGET</x:v>
      </x:c>
      <x:c r="C21" s="187"/>
      <x:c r="D21" s="217" t="n">
        <x:v>46174</x:v>
      </x:c>
      <x:c r="E21" s="187" t="str">
        <x:v>FR</x:v>
      </x:c>
      <x:c r="F21" s="187" t="str">
        <x:v>EUR</x:v>
      </x:c>
      <x:c r="G21" s="235" t="n">
        <x:v>454080</x:v>
      </x:c>
      <x:c r="H21" s="235" t="n">
        <x:v>7.8</x:v>
      </x:c>
      <x:c r="I21" s="235" t="str">
        <x:v>3541824.0000</x:v>
      </x:c>
      <x:c r="J21" s="235" t="n">
        <x:v>3541824</x:v>
      </x:c>
      <x:c r="K21" s="238" t="n">
        <x:f>G21*H21</x:f>
        <x:v>3541824</x:v>
      </x:c>
      <x:c r="L21" s="238" t="n">
        <x:f>K21-J21</x:f>
        <x:v>0</x:v>
      </x:c>
      <x:c r="M21" s="187" t="str">
        <x:v>SYNTHETIC_DEMO_DATA</x:v>
      </x:c>
      <x:c r="N21" s="187" t="str">
        <x:v>履约 GMV，不含取消订单</x:v>
      </x:c>
    </x:row>
    <x:row r="22">
      <x:c r="A22" s="187" t="str">
        <x:v>BUDGET_2026_V1</x:v>
      </x:c>
      <x:c r="B22" s="187" t="str">
        <x:v>BUDGET</x:v>
      </x:c>
      <x:c r="C22" s="187"/>
      <x:c r="D22" s="217" t="n">
        <x:v>46174</x:v>
      </x:c>
      <x:c r="E22" s="187" t="str">
        <x:v>GB</x:v>
      </x:c>
      <x:c r="F22" s="187" t="str">
        <x:v>GBP</x:v>
      </x:c>
      <x:c r="G22" s="235" t="n">
        <x:v>373230</x:v>
      </x:c>
      <x:c r="H22" s="235" t="n">
        <x:v>9</x:v>
      </x:c>
      <x:c r="I22" s="235" t="str">
        <x:v>3359070.0000</x:v>
      </x:c>
      <x:c r="J22" s="235" t="n">
        <x:v>3359070</x:v>
      </x:c>
      <x:c r="K22" s="238" t="n">
        <x:f>G22*H22</x:f>
        <x:v>3359070</x:v>
      </x:c>
      <x:c r="L22" s="238" t="n">
        <x:f>K22-J22</x:f>
        <x:v>0</x:v>
      </x:c>
      <x:c r="M22" s="187" t="str">
        <x:v>SYNTHETIC_DEMO_DATA</x:v>
      </x:c>
      <x:c r="N22" s="187" t="str">
        <x:v>履约 GMV，不含取消订单</x:v>
      </x:c>
    </x:row>
    <x:row r="23">
      <x:c r="A23" s="187" t="str">
        <x:v>BUDGET_2026_V1</x:v>
      </x:c>
      <x:c r="B23" s="187" t="str">
        <x:v>BUDGET</x:v>
      </x:c>
      <x:c r="C23" s="187"/>
      <x:c r="D23" s="217" t="n">
        <x:v>46204</x:v>
      </x:c>
      <x:c r="E23" s="187" t="str">
        <x:v>DE</x:v>
      </x:c>
      <x:c r="F23" s="187" t="str">
        <x:v>EUR</x:v>
      </x:c>
      <x:c r="G23" s="235" t="n">
        <x:v>529720</x:v>
      </x:c>
      <x:c r="H23" s="235" t="n">
        <x:v>7.8</x:v>
      </x:c>
      <x:c r="I23" s="235" t="str">
        <x:v>4131816.0000</x:v>
      </x:c>
      <x:c r="J23" s="235" t="n">
        <x:v>4131816</x:v>
      </x:c>
      <x:c r="K23" s="238" t="n">
        <x:f>G23*H23</x:f>
        <x:v>4131816</x:v>
      </x:c>
      <x:c r="L23" s="238" t="n">
        <x:f>K23-J23</x:f>
        <x:v>0</x:v>
      </x:c>
      <x:c r="M23" s="187" t="str">
        <x:v>SYNTHETIC_DEMO_DATA</x:v>
      </x:c>
      <x:c r="N23" s="187" t="str">
        <x:v>履约 GMV，不含取消订单</x:v>
      </x:c>
    </x:row>
    <x:row r="24">
      <x:c r="A24" s="187" t="str">
        <x:v>BUDGET_2026_V1</x:v>
      </x:c>
      <x:c r="B24" s="187" t="str">
        <x:v>BUDGET</x:v>
      </x:c>
      <x:c r="C24" s="187"/>
      <x:c r="D24" s="217" t="n">
        <x:v>46204</x:v>
      </x:c>
      <x:c r="E24" s="187" t="str">
        <x:v>FR</x:v>
      </x:c>
      <x:c r="F24" s="187" t="str">
        <x:v>EUR</x:v>
      </x:c>
      <x:c r="G24" s="235" t="n">
        <x:v>467840</x:v>
      </x:c>
      <x:c r="H24" s="235" t="n">
        <x:v>7.8</x:v>
      </x:c>
      <x:c r="I24" s="235" t="str">
        <x:v>3649152.0000</x:v>
      </x:c>
      <x:c r="J24" s="235" t="n">
        <x:v>3649152</x:v>
      </x:c>
      <x:c r="K24" s="238" t="n">
        <x:f>G24*H24</x:f>
        <x:v>3649152</x:v>
      </x:c>
      <x:c r="L24" s="238" t="n">
        <x:f>K24-J24</x:f>
        <x:v>0</x:v>
      </x:c>
      <x:c r="M24" s="187" t="str">
        <x:v>SYNTHETIC_DEMO_DATA</x:v>
      </x:c>
      <x:c r="N24" s="187" t="str">
        <x:v>履约 GMV，不含取消订单</x:v>
      </x:c>
    </x:row>
    <x:row r="25">
      <x:c r="A25" s="187" t="str">
        <x:v>BUDGET_2026_V1</x:v>
      </x:c>
      <x:c r="B25" s="187" t="str">
        <x:v>BUDGET</x:v>
      </x:c>
      <x:c r="C25" s="187"/>
      <x:c r="D25" s="217" t="n">
        <x:v>46204</x:v>
      </x:c>
      <x:c r="E25" s="187" t="str">
        <x:v>GB</x:v>
      </x:c>
      <x:c r="F25" s="187" t="str">
        <x:v>GBP</x:v>
      </x:c>
      <x:c r="G25" s="235" t="n">
        <x:v>397800</x:v>
      </x:c>
      <x:c r="H25" s="235" t="n">
        <x:v>9</x:v>
      </x:c>
      <x:c r="I25" s="235" t="str">
        <x:v>3580200.0000</x:v>
      </x:c>
      <x:c r="J25" s="235" t="n">
        <x:v>3580200</x:v>
      </x:c>
      <x:c r="K25" s="238" t="n">
        <x:f>G25*H25</x:f>
        <x:v>3580200</x:v>
      </x:c>
      <x:c r="L25" s="238" t="n">
        <x:f>K25-J25</x:f>
        <x:v>0</x:v>
      </x:c>
      <x:c r="M25" s="187" t="str">
        <x:v>SYNTHETIC_DEMO_DATA</x:v>
      </x:c>
      <x:c r="N25" s="187" t="str">
        <x:v>履约 GMV，不含取消订单</x:v>
      </x:c>
    </x:row>
    <x:row r="26">
      <x:c r="A26" s="187" t="str">
        <x:v>BUDGET_2026_V1</x:v>
      </x:c>
      <x:c r="B26" s="187" t="str">
        <x:v>BUDGET</x:v>
      </x:c>
      <x:c r="C26" s="187"/>
      <x:c r="D26" s="217" t="n">
        <x:v>46235</x:v>
      </x:c>
      <x:c r="E26" s="187" t="str">
        <x:v>DE</x:v>
      </x:c>
      <x:c r="F26" s="187" t="str">
        <x:v>EUR</x:v>
      </x:c>
      <x:c r="G26" s="235" t="n">
        <x:v>498560</x:v>
      </x:c>
      <x:c r="H26" s="235" t="n">
        <x:v>7.8</x:v>
      </x:c>
      <x:c r="I26" s="235" t="str">
        <x:v>3888768.0000</x:v>
      </x:c>
      <x:c r="J26" s="235" t="n">
        <x:v>3888768</x:v>
      </x:c>
      <x:c r="K26" s="238" t="n">
        <x:f>G26*H26</x:f>
        <x:v>3888768</x:v>
      </x:c>
      <x:c r="L26" s="238" t="n">
        <x:f>K26-J26</x:f>
        <x:v>0</x:v>
      </x:c>
      <x:c r="M26" s="187" t="str">
        <x:v>SYNTHETIC_DEMO_DATA</x:v>
      </x:c>
      <x:c r="N26" s="187" t="str">
        <x:v>履约 GMV，不含取消订单</x:v>
      </x:c>
    </x:row>
    <x:row r="27">
      <x:c r="A27" s="187" t="str">
        <x:v>BUDGET_2026_V1</x:v>
      </x:c>
      <x:c r="B27" s="187" t="str">
        <x:v>BUDGET</x:v>
      </x:c>
      <x:c r="C27" s="187"/>
      <x:c r="D27" s="217" t="n">
        <x:v>46235</x:v>
      </x:c>
      <x:c r="E27" s="187" t="str">
        <x:v>FR</x:v>
      </x:c>
      <x:c r="F27" s="187" t="str">
        <x:v>EUR</x:v>
      </x:c>
      <x:c r="G27" s="235" t="n">
        <x:v>440320</x:v>
      </x:c>
      <x:c r="H27" s="235" t="n">
        <x:v>7.8</x:v>
      </x:c>
      <x:c r="I27" s="235" t="str">
        <x:v>3434496.0000</x:v>
      </x:c>
      <x:c r="J27" s="235" t="n">
        <x:v>3434496</x:v>
      </x:c>
      <x:c r="K27" s="238" t="n">
        <x:f>G27*H27</x:f>
        <x:v>3434496</x:v>
      </x:c>
      <x:c r="L27" s="238" t="n">
        <x:f>K27-J27</x:f>
        <x:v>0</x:v>
      </x:c>
      <x:c r="M27" s="187" t="str">
        <x:v>SYNTHETIC_DEMO_DATA</x:v>
      </x:c>
      <x:c r="N27" s="187" t="str">
        <x:v>履约 GMV，不含取消订单</x:v>
      </x:c>
    </x:row>
    <x:row r="28">
      <x:c r="A28" s="187" t="str">
        <x:v>BUDGET_2026_V1</x:v>
      </x:c>
      <x:c r="B28" s="187" t="str">
        <x:v>BUDGET</x:v>
      </x:c>
      <x:c r="C28" s="187"/>
      <x:c r="D28" s="217" t="n">
        <x:v>46235</x:v>
      </x:c>
      <x:c r="E28" s="187" t="str">
        <x:v>GB</x:v>
      </x:c>
      <x:c r="F28" s="187" t="str">
        <x:v>GBP</x:v>
      </x:c>
      <x:c r="G28" s="235" t="n">
        <x:v>374400</x:v>
      </x:c>
      <x:c r="H28" s="235" t="n">
        <x:v>9</x:v>
      </x:c>
      <x:c r="I28" s="235" t="str">
        <x:v>3369600.0000</x:v>
      </x:c>
      <x:c r="J28" s="235" t="n">
        <x:v>3369600</x:v>
      </x:c>
      <x:c r="K28" s="238" t="n">
        <x:f>G28*H28</x:f>
        <x:v>3369600</x:v>
      </x:c>
      <x:c r="L28" s="238" t="n">
        <x:f>K28-J28</x:f>
        <x:v>0</x:v>
      </x:c>
      <x:c r="M28" s="187" t="str">
        <x:v>SYNTHETIC_DEMO_DATA</x:v>
      </x:c>
      <x:c r="N28" s="187" t="str">
        <x:v>履约 GMV，不含取消订单</x:v>
      </x:c>
    </x:row>
    <x:row r="29">
      <x:c r="A29" s="187" t="str">
        <x:v>BUDGET_2026_V1</x:v>
      </x:c>
      <x:c r="B29" s="187" t="str">
        <x:v>BUDGET</x:v>
      </x:c>
      <x:c r="C29" s="187"/>
      <x:c r="D29" s="217" t="n">
        <x:v>46266</x:v>
      </x:c>
      <x:c r="E29" s="187" t="str">
        <x:v>DE</x:v>
      </x:c>
      <x:c r="F29" s="187" t="str">
        <x:v>EUR</x:v>
      </x:c>
      <x:c r="G29" s="235" t="n">
        <x:v>498560</x:v>
      </x:c>
      <x:c r="H29" s="235" t="n">
        <x:v>7.8</x:v>
      </x:c>
      <x:c r="I29" s="235" t="str">
        <x:v>3888768.0000</x:v>
      </x:c>
      <x:c r="J29" s="235" t="n">
        <x:v>3888768</x:v>
      </x:c>
      <x:c r="K29" s="238" t="n">
        <x:f>G29*H29</x:f>
        <x:v>3888768</x:v>
      </x:c>
      <x:c r="L29" s="238" t="n">
        <x:f>K29-J29</x:f>
        <x:v>0</x:v>
      </x:c>
      <x:c r="M29" s="187" t="str">
        <x:v>SYNTHETIC_DEMO_DATA</x:v>
      </x:c>
      <x:c r="N29" s="187" t="str">
        <x:v>履约 GMV，不含取消订单</x:v>
      </x:c>
    </x:row>
    <x:row r="30">
      <x:c r="A30" s="187" t="str">
        <x:v>BUDGET_2026_V1</x:v>
      </x:c>
      <x:c r="B30" s="187" t="str">
        <x:v>BUDGET</x:v>
      </x:c>
      <x:c r="C30" s="187"/>
      <x:c r="D30" s="217" t="n">
        <x:v>46266</x:v>
      </x:c>
      <x:c r="E30" s="187" t="str">
        <x:v>FR</x:v>
      </x:c>
      <x:c r="F30" s="187" t="str">
        <x:v>EUR</x:v>
      </x:c>
      <x:c r="G30" s="235" t="n">
        <x:v>426560</x:v>
      </x:c>
      <x:c r="H30" s="235" t="n">
        <x:v>7.8</x:v>
      </x:c>
      <x:c r="I30" s="235" t="str">
        <x:v>3327168.0000</x:v>
      </x:c>
      <x:c r="J30" s="235" t="n">
        <x:v>3327168</x:v>
      </x:c>
      <x:c r="K30" s="238" t="n">
        <x:f>G30*H30</x:f>
        <x:v>3327168</x:v>
      </x:c>
      <x:c r="L30" s="238" t="n">
        <x:f>K30-J30</x:f>
        <x:v>0</x:v>
      </x:c>
      <x:c r="M30" s="187" t="str">
        <x:v>SYNTHETIC_DEMO_DATA</x:v>
      </x:c>
      <x:c r="N30" s="187" t="str">
        <x:v>履约 GMV，不含取消订单</x:v>
      </x:c>
    </x:row>
    <x:row r="31">
      <x:c r="A31" s="187" t="str">
        <x:v>BUDGET_2026_V1</x:v>
      </x:c>
      <x:c r="B31" s="187" t="str">
        <x:v>BUDGET</x:v>
      </x:c>
      <x:c r="C31" s="187"/>
      <x:c r="D31" s="217" t="n">
        <x:v>46266</x:v>
      </x:c>
      <x:c r="E31" s="187" t="str">
        <x:v>GB</x:v>
      </x:c>
      <x:c r="F31" s="187" t="str">
        <x:v>GBP</x:v>
      </x:c>
      <x:c r="G31" s="235" t="n">
        <x:v>386880</x:v>
      </x:c>
      <x:c r="H31" s="235" t="n">
        <x:v>9</x:v>
      </x:c>
      <x:c r="I31" s="235" t="str">
        <x:v>3481920.0000</x:v>
      </x:c>
      <x:c r="J31" s="235" t="n">
        <x:v>3481920</x:v>
      </x:c>
      <x:c r="K31" s="238" t="n">
        <x:f>G31*H31</x:f>
        <x:v>3481920</x:v>
      </x:c>
      <x:c r="L31" s="238" t="n">
        <x:f>K31-J31</x:f>
        <x:v>0</x:v>
      </x:c>
      <x:c r="M31" s="187" t="str">
        <x:v>SYNTHETIC_DEMO_DATA</x:v>
      </x:c>
      <x:c r="N31" s="187" t="str">
        <x:v>履约 GMV，不含取消订单</x:v>
      </x:c>
    </x:row>
    <x:row r="32">
      <x:c r="A32" s="187" t="str">
        <x:v>BUDGET_2026_V1</x:v>
      </x:c>
      <x:c r="B32" s="187" t="str">
        <x:v>BUDGET</x:v>
      </x:c>
      <x:c r="C32" s="187"/>
      <x:c r="D32" s="217" t="n">
        <x:v>46296</x:v>
      </x:c>
      <x:c r="E32" s="187" t="str">
        <x:v>DE</x:v>
      </x:c>
      <x:c r="F32" s="187" t="str">
        <x:v>EUR</x:v>
      </x:c>
      <x:c r="G32" s="235" t="n">
        <x:v>531360</x:v>
      </x:c>
      <x:c r="H32" s="235" t="n">
        <x:v>7.8</x:v>
      </x:c>
      <x:c r="I32" s="235" t="str">
        <x:v>4144608.0000</x:v>
      </x:c>
      <x:c r="J32" s="235" t="n">
        <x:v>4144608</x:v>
      </x:c>
      <x:c r="K32" s="238" t="n">
        <x:f>G32*H32</x:f>
        <x:v>4144608</x:v>
      </x:c>
      <x:c r="L32" s="238" t="n">
        <x:f>K32-J32</x:f>
        <x:v>0</x:v>
      </x:c>
      <x:c r="M32" s="187" t="str">
        <x:v>SYNTHETIC_DEMO_DATA</x:v>
      </x:c>
      <x:c r="N32" s="187" t="str">
        <x:v>履约 GMV，不含取消订单</x:v>
      </x:c>
    </x:row>
    <x:row r="33">
      <x:c r="A33" s="187" t="str">
        <x:v>BUDGET_2026_V1</x:v>
      </x:c>
      <x:c r="B33" s="187" t="str">
        <x:v>BUDGET</x:v>
      </x:c>
      <x:c r="C33" s="187"/>
      <x:c r="D33" s="217" t="n">
        <x:v>46296</x:v>
      </x:c>
      <x:c r="E33" s="187" t="str">
        <x:v>FR</x:v>
      </x:c>
      <x:c r="F33" s="187" t="str">
        <x:v>EUR</x:v>
      </x:c>
      <x:c r="G33" s="235" t="n">
        <x:v>479880</x:v>
      </x:c>
      <x:c r="H33" s="235" t="n">
        <x:v>7.8</x:v>
      </x:c>
      <x:c r="I33" s="235" t="str">
        <x:v>3743064.0000</x:v>
      </x:c>
      <x:c r="J33" s="235" t="n">
        <x:v>3743064</x:v>
      </x:c>
      <x:c r="K33" s="238" t="n">
        <x:f>G33*H33</x:f>
        <x:v>3743064</x:v>
      </x:c>
      <x:c r="L33" s="238" t="n">
        <x:f>K33-J33</x:f>
        <x:v>0</x:v>
      </x:c>
      <x:c r="M33" s="187" t="str">
        <x:v>SYNTHETIC_DEMO_DATA</x:v>
      </x:c>
      <x:c r="N33" s="187" t="str">
        <x:v>履约 GMV，不含取消订单</x:v>
      </x:c>
    </x:row>
    <x:row r="34">
      <x:c r="A34" s="187" t="str">
        <x:v>BUDGET_2026_V1</x:v>
      </x:c>
      <x:c r="B34" s="187" t="str">
        <x:v>BUDGET</x:v>
      </x:c>
      <x:c r="C34" s="187"/>
      <x:c r="D34" s="217" t="n">
        <x:v>46296</x:v>
      </x:c>
      <x:c r="E34" s="187" t="str">
        <x:v>GB</x:v>
      </x:c>
      <x:c r="F34" s="187" t="str">
        <x:v>GBP</x:v>
      </x:c>
      <x:c r="G34" s="235" t="n">
        <x:v>463320</x:v>
      </x:c>
      <x:c r="H34" s="235" t="n">
        <x:v>9</x:v>
      </x:c>
      <x:c r="I34" s="235" t="str">
        <x:v>4169880.0000</x:v>
      </x:c>
      <x:c r="J34" s="235" t="n">
        <x:v>4169880</x:v>
      </x:c>
      <x:c r="K34" s="238" t="n">
        <x:f>G34*H34</x:f>
        <x:v>4169880</x:v>
      </x:c>
      <x:c r="L34" s="238" t="n">
        <x:f>K34-J34</x:f>
        <x:v>0</x:v>
      </x:c>
      <x:c r="M34" s="187" t="str">
        <x:v>SYNTHETIC_DEMO_DATA</x:v>
      </x:c>
      <x:c r="N34" s="187" t="str">
        <x:v>履约 GMV，不含取消订单</x:v>
      </x:c>
    </x:row>
    <x:row r="35">
      <x:c r="A35" s="187" t="str">
        <x:v>BUDGET_2026_V1</x:v>
      </x:c>
      <x:c r="B35" s="187" t="str">
        <x:v>BUDGET</x:v>
      </x:c>
      <x:c r="C35" s="187"/>
      <x:c r="D35" s="217" t="n">
        <x:v>46327</x:v>
      </x:c>
      <x:c r="E35" s="187" t="str">
        <x:v>DE</x:v>
      </x:c>
      <x:c r="F35" s="187" t="str">
        <x:v>EUR</x:v>
      </x:c>
      <x:c r="G35" s="235" t="n">
        <x:v>631760.8</x:v>
      </x:c>
      <x:c r="H35" s="235" t="n">
        <x:v>7.8</x:v>
      </x:c>
      <x:c r="I35" s="235" t="str">
        <x:v>4927734.240000</x:v>
      </x:c>
      <x:c r="J35" s="235" t="n">
        <x:v>4927734.24</x:v>
      </x:c>
      <x:c r="K35" s="238" t="n">
        <x:f>G35*H35</x:f>
        <x:v>4927734.24</x:v>
      </x:c>
      <x:c r="L35" s="238" t="n">
        <x:f>K35-J35</x:f>
        <x:v>0</x:v>
      </x:c>
      <x:c r="M35" s="187" t="str">
        <x:v>SYNTHETIC_DEMO_DATA</x:v>
      </x:c>
      <x:c r="N35" s="187" t="str">
        <x:v>履约 GMV，不含取消订单</x:v>
      </x:c>
    </x:row>
    <x:row r="36">
      <x:c r="A36" s="187" t="str">
        <x:v>BUDGET_2026_V1</x:v>
      </x:c>
      <x:c r="B36" s="187" t="str">
        <x:v>BUDGET</x:v>
      </x:c>
      <x:c r="C36" s="187"/>
      <x:c r="D36" s="217" t="n">
        <x:v>46327</x:v>
      </x:c>
      <x:c r="E36" s="187" t="str">
        <x:v>FR</x:v>
      </x:c>
      <x:c r="F36" s="187" t="str">
        <x:v>EUR</x:v>
      </x:c>
      <x:c r="G36" s="235" t="n">
        <x:v>584628</x:v>
      </x:c>
      <x:c r="H36" s="235" t="n">
        <x:v>7.8</x:v>
      </x:c>
      <x:c r="I36" s="235" t="str">
        <x:v>4560098.400000</x:v>
      </x:c>
      <x:c r="J36" s="235" t="n">
        <x:v>4560098.4</x:v>
      </x:c>
      <x:c r="K36" s="238" t="n">
        <x:f>G36*H36</x:f>
        <x:v>4560098.399999999</x:v>
      </x:c>
      <x:c r="L36" s="238" t="n">
        <x:f>K36-J36</x:f>
        <x:v>-9.313225746154785e-10</x:v>
      </x:c>
      <x:c r="M36" s="187" t="str">
        <x:v>SYNTHETIC_DEMO_DATA</x:v>
      </x:c>
      <x:c r="N36" s="187" t="str">
        <x:v>履约 GMV，不含取消订单</x:v>
      </x:c>
    </x:row>
    <x:row r="37">
      <x:c r="A37" s="187" t="str">
        <x:v>BUDGET_2026_V1</x:v>
      </x:c>
      <x:c r="B37" s="187" t="str">
        <x:v>BUDGET</x:v>
      </x:c>
      <x:c r="C37" s="187"/>
      <x:c r="D37" s="217" t="n">
        <x:v>46327</x:v>
      </x:c>
      <x:c r="E37" s="187" t="str">
        <x:v>GB</x:v>
      </x:c>
      <x:c r="F37" s="187" t="str">
        <x:v>GBP</x:v>
      </x:c>
      <x:c r="G37" s="235" t="n">
        <x:v>636292.8</x:v>
      </x:c>
      <x:c r="H37" s="235" t="n">
        <x:v>9</x:v>
      </x:c>
      <x:c r="I37" s="235" t="str">
        <x:v>5726635.200000</x:v>
      </x:c>
      <x:c r="J37" s="235" t="n">
        <x:v>5726635.2</x:v>
      </x:c>
      <x:c r="K37" s="238" t="n">
        <x:f>G37*H37</x:f>
        <x:v>5726635.2</x:v>
      </x:c>
      <x:c r="L37" s="238" t="n">
        <x:f>K37-J37</x:f>
        <x:v>0</x:v>
      </x:c>
      <x:c r="M37" s="187" t="str">
        <x:v>SYNTHETIC_DEMO_DATA</x:v>
      </x:c>
      <x:c r="N37" s="187" t="str">
        <x:v>履约 GMV，不含取消订单</x:v>
      </x:c>
    </x:row>
    <x:row r="38">
      <x:c r="A38" s="187" t="str">
        <x:v>BUDGET_2026_V1</x:v>
      </x:c>
      <x:c r="B38" s="187" t="str">
        <x:v>BUDGET</x:v>
      </x:c>
      <x:c r="C38" s="187"/>
      <x:c r="D38" s="217" t="n">
        <x:v>46357</x:v>
      </x:c>
      <x:c r="E38" s="187" t="str">
        <x:v>DE</x:v>
      </x:c>
      <x:c r="F38" s="187" t="str">
        <x:v>EUR</x:v>
      </x:c>
      <x:c r="G38" s="235" t="n">
        <x:v>746626.4</x:v>
      </x:c>
      <x:c r="H38" s="235" t="n">
        <x:v>7.8</x:v>
      </x:c>
      <x:c r="I38" s="235" t="str">
        <x:v>5823685.920000</x:v>
      </x:c>
      <x:c r="J38" s="235" t="n">
        <x:v>5823685.92</x:v>
      </x:c>
      <x:c r="K38" s="238" t="n">
        <x:f>G38*H38</x:f>
        <x:v>5823685.92</x:v>
      </x:c>
      <x:c r="L38" s="238" t="n">
        <x:f>K38-J38</x:f>
        <x:v>0</x:v>
      </x:c>
      <x:c r="M38" s="187" t="str">
        <x:v>SYNTHETIC_DEMO_DATA</x:v>
      </x:c>
      <x:c r="N38" s="187" t="str">
        <x:v>履约 GMV，不含取消订单</x:v>
      </x:c>
    </x:row>
    <x:row r="39">
      <x:c r="A39" s="187" t="str">
        <x:v>BUDGET_2026_V1</x:v>
      </x:c>
      <x:c r="B39" s="187" t="str">
        <x:v>BUDGET</x:v>
      </x:c>
      <x:c r="C39" s="187"/>
      <x:c r="D39" s="217" t="n">
        <x:v>46357</x:v>
      </x:c>
      <x:c r="E39" s="187" t="str">
        <x:v>FR</x:v>
      </x:c>
      <x:c r="F39" s="187" t="str">
        <x:v>EUR</x:v>
      </x:c>
      <x:c r="G39" s="235" t="n">
        <x:v>667893.2</x:v>
      </x:c>
      <x:c r="H39" s="235" t="n">
        <x:v>7.8</x:v>
      </x:c>
      <x:c r="I39" s="235" t="str">
        <x:v>5209566.960000</x:v>
      </x:c>
      <x:c r="J39" s="235" t="n">
        <x:v>5209566.96</x:v>
      </x:c>
      <x:c r="K39" s="238" t="n">
        <x:f>G39*H39</x:f>
        <x:v>5209566.96</x:v>
      </x:c>
      <x:c r="L39" s="238" t="n">
        <x:f>K39-J39</x:f>
        <x:v>0</x:v>
      </x:c>
      <x:c r="M39" s="187" t="str">
        <x:v>SYNTHETIC_DEMO_DATA</x:v>
      </x:c>
      <x:c r="N39" s="187" t="str">
        <x:v>履约 GMV，不含取消订单</x:v>
      </x:c>
    </x:row>
    <x:row r="40">
      <x:c r="A40" s="187" t="str">
        <x:v>BUDGET_2026_V1</x:v>
      </x:c>
      <x:c r="B40" s="187" t="str">
        <x:v>BUDGET</x:v>
      </x:c>
      <x:c r="C40" s="187"/>
      <x:c r="D40" s="217" t="n">
        <x:v>46357</x:v>
      </x:c>
      <x:c r="E40" s="187" t="str">
        <x:v>GB</x:v>
      </x:c>
      <x:c r="F40" s="187" t="str">
        <x:v>GBP</x:v>
      </x:c>
      <x:c r="G40" s="235" t="n">
        <x:v>772870.8</x:v>
      </x:c>
      <x:c r="H40" s="235" t="n">
        <x:v>9</x:v>
      </x:c>
      <x:c r="I40" s="235" t="str">
        <x:v>6955837.200000</x:v>
      </x:c>
      <x:c r="J40" s="235" t="n">
        <x:v>6955837.2</x:v>
      </x:c>
      <x:c r="K40" s="238" t="n">
        <x:f>G40*H40</x:f>
        <x:v>6955837.2</x:v>
      </x:c>
      <x:c r="L40" s="238" t="n">
        <x:f>K40-J40</x:f>
        <x:v>0</x:v>
      </x:c>
      <x:c r="M40" s="187" t="str">
        <x:v>SYNTHETIC_DEMO_DATA</x:v>
      </x:c>
      <x:c r="N40" s="187" t="str">
        <x:v>履约 GMV，不含取消订单</x:v>
      </x:c>
    </x:row>
    <x:row r="41">
      <x:c r="A41" s="187" t="str">
        <x:v>ACTUAL_2026_08_CLOSE_V1</x:v>
      </x:c>
      <x:c r="B41" s="187" t="str">
        <x:v>ACTUAL</x:v>
      </x:c>
      <x:c r="C41" s="187"/>
      <x:c r="D41" s="217" t="n">
        <x:v>46023</x:v>
      </x:c>
      <x:c r="E41" s="187" t="str">
        <x:v>DE</x:v>
      </x:c>
      <x:c r="F41" s="187" t="str">
        <x:v>EUR</x:v>
      </x:c>
      <x:c r="G41" s="235" t="n">
        <x:v>483960.55</x:v>
      </x:c>
      <x:c r="H41" s="235" t="n">
        <x:v>7.78</x:v>
      </x:c>
      <x:c r="I41" s="235" t="str">
        <x:v>3765213.07900</x:v>
      </x:c>
      <x:c r="J41" s="235" t="n">
        <x:v>3765213.079</x:v>
      </x:c>
      <x:c r="K41" s="238" t="n">
        <x:f>G41*H41</x:f>
        <x:v>3765213.079</x:v>
      </x:c>
      <x:c r="L41" s="238" t="n">
        <x:f>K41-J41</x:f>
        <x:v>0</x:v>
      </x:c>
      <x:c r="M41" s="187" t="str">
        <x:v>SYNTHETIC_DEMO_DATA</x:v>
      </x:c>
      <x:c r="N41" s="187" t="str">
        <x:v>履约 GMV，不含取消订单</x:v>
      </x:c>
    </x:row>
    <x:row r="42">
      <x:c r="A42" s="187" t="str">
        <x:v>ACTUAL_2026_08_CLOSE_V1</x:v>
      </x:c>
      <x:c r="B42" s="187" t="str">
        <x:v>ACTUAL</x:v>
      </x:c>
      <x:c r="C42" s="187"/>
      <x:c r="D42" s="217" t="n">
        <x:v>46023</x:v>
      </x:c>
      <x:c r="E42" s="187" t="str">
        <x:v>FR</x:v>
      </x:c>
      <x:c r="F42" s="187" t="str">
        <x:v>EUR</x:v>
      </x:c>
      <x:c r="G42" s="235" t="n">
        <x:v>382169.975</x:v>
      </x:c>
      <x:c r="H42" s="235" t="n">
        <x:v>7.78</x:v>
      </x:c>
      <x:c r="I42" s="235" t="str">
        <x:v>2973282.405500</x:v>
      </x:c>
      <x:c r="J42" s="235" t="n">
        <x:v>2973282.4055</x:v>
      </x:c>
      <x:c r="K42" s="238" t="n">
        <x:f>G42*H42</x:f>
        <x:v>2973282.4055</x:v>
      </x:c>
      <x:c r="L42" s="238" t="n">
        <x:f>K42-J42</x:f>
        <x:v>0</x:v>
      </x:c>
      <x:c r="M42" s="187" t="str">
        <x:v>SYNTHETIC_DEMO_DATA</x:v>
      </x:c>
      <x:c r="N42" s="187" t="str">
        <x:v>履约 GMV，不含取消订单</x:v>
      </x:c>
    </x:row>
    <x:row r="43">
      <x:c r="A43" s="187" t="str">
        <x:v>ACTUAL_2026_08_CLOSE_V1</x:v>
      </x:c>
      <x:c r="B43" s="187" t="str">
        <x:v>ACTUAL</x:v>
      </x:c>
      <x:c r="C43" s="187"/>
      <x:c r="D43" s="217" t="n">
        <x:v>46023</x:v>
      </x:c>
      <x:c r="E43" s="187" t="str">
        <x:v>GB</x:v>
      </x:c>
      <x:c r="F43" s="187" t="str">
        <x:v>GBP</x:v>
      </x:c>
      <x:c r="G43" s="235" t="n">
        <x:v>277277</x:v>
      </x:c>
      <x:c r="H43" s="235" t="n">
        <x:v>9.05</x:v>
      </x:c>
      <x:c r="I43" s="235" t="str">
        <x:v>2509356.85000</x:v>
      </x:c>
      <x:c r="J43" s="235" t="n">
        <x:v>2509356.85</x:v>
      </x:c>
      <x:c r="K43" s="238" t="n">
        <x:f>G43*H43</x:f>
        <x:v>2509356.85</x:v>
      </x:c>
      <x:c r="L43" s="238" t="n">
        <x:f>K43-J43</x:f>
        <x:v>0</x:v>
      </x:c>
      <x:c r="M43" s="187" t="str">
        <x:v>SYNTHETIC_DEMO_DATA</x:v>
      </x:c>
      <x:c r="N43" s="187" t="str">
        <x:v>履约 GMV，不含取消订单</x:v>
      </x:c>
    </x:row>
    <x:row r="44">
      <x:c r="A44" s="187" t="str">
        <x:v>ACTUAL_2026_08_CLOSE_V1</x:v>
      </x:c>
      <x:c r="B44" s="187" t="str">
        <x:v>ACTUAL</x:v>
      </x:c>
      <x:c r="C44" s="187"/>
      <x:c r="D44" s="217" t="n">
        <x:v>46054</x:v>
      </x:c>
      <x:c r="E44" s="187" t="str">
        <x:v>DE</x:v>
      </x:c>
      <x:c r="F44" s="187" t="str">
        <x:v>EUR</x:v>
      </x:c>
      <x:c r="G44" s="235" t="n">
        <x:v>470072.16</x:v>
      </x:c>
      <x:c r="H44" s="235" t="n">
        <x:v>7.76</x:v>
      </x:c>
      <x:c r="I44" s="235" t="str">
        <x:v>3647759.96160</x:v>
      </x:c>
      <x:c r="J44" s="235" t="n">
        <x:v>3647759.9616</x:v>
      </x:c>
      <x:c r="K44" s="238" t="n">
        <x:f>G44*H44</x:f>
        <x:v>3647759.9615999996</x:v>
      </x:c>
      <x:c r="L44" s="238" t="n">
        <x:f>K44-J44</x:f>
        <x:v>-4.656612873077393e-10</x:v>
      </x:c>
      <x:c r="M44" s="187" t="str">
        <x:v>SYNTHETIC_DEMO_DATA</x:v>
      </x:c>
      <x:c r="N44" s="187" t="str">
        <x:v>履约 GMV，不含取消订单</x:v>
      </x:c>
    </x:row>
    <x:row r="45">
      <x:c r="A45" s="187" t="str">
        <x:v>ACTUAL_2026_08_CLOSE_V1</x:v>
      </x:c>
      <x:c r="B45" s="187" t="str">
        <x:v>ACTUAL</x:v>
      </x:c>
      <x:c r="C45" s="187"/>
      <x:c r="D45" s="217" t="n">
        <x:v>46054</x:v>
      </x:c>
      <x:c r="E45" s="187" t="str">
        <x:v>FR</x:v>
      </x:c>
      <x:c r="F45" s="187" t="str">
        <x:v>EUR</x:v>
      </x:c>
      <x:c r="G45" s="235" t="n">
        <x:v>382212.36</x:v>
      </x:c>
      <x:c r="H45" s="235" t="n">
        <x:v>7.76</x:v>
      </x:c>
      <x:c r="I45" s="235" t="str">
        <x:v>2965967.913600</x:v>
      </x:c>
      <x:c r="J45" s="235" t="n">
        <x:v>2965967.9136</x:v>
      </x:c>
      <x:c r="K45" s="238" t="n">
        <x:f>G45*H45</x:f>
        <x:v>2965967.9135999996</x:v>
      </x:c>
      <x:c r="L45" s="238" t="n">
        <x:f>K45-J45</x:f>
        <x:v>-4.656612873077393e-10</x:v>
      </x:c>
      <x:c r="M45" s="187" t="str">
        <x:v>SYNTHETIC_DEMO_DATA</x:v>
      </x:c>
      <x:c r="N45" s="187" t="str">
        <x:v>履约 GMV，不含取消订单</x:v>
      </x:c>
    </x:row>
    <x:row r="46">
      <x:c r="A46" s="187" t="str">
        <x:v>ACTUAL_2026_08_CLOSE_V1</x:v>
      </x:c>
      <x:c r="B46" s="187" t="str">
        <x:v>ACTUAL</x:v>
      </x:c>
      <x:c r="C46" s="187"/>
      <x:c r="D46" s="217" t="n">
        <x:v>46054</x:v>
      </x:c>
      <x:c r="E46" s="187" t="str">
        <x:v>GB</x:v>
      </x:c>
      <x:c r="F46" s="187" t="str">
        <x:v>GBP</x:v>
      </x:c>
      <x:c r="G46" s="235" t="n">
        <x:v>277033.68</x:v>
      </x:c>
      <x:c r="H46" s="235" t="n">
        <x:v>9.02</x:v>
      </x:c>
      <x:c r="I46" s="235" t="str">
        <x:v>2498843.79360</x:v>
      </x:c>
      <x:c r="J46" s="235" t="n">
        <x:v>2498843.7936</x:v>
      </x:c>
      <x:c r="K46" s="238" t="n">
        <x:f>G46*H46</x:f>
        <x:v>2498843.7936</x:v>
      </x:c>
      <x:c r="L46" s="238" t="n">
        <x:f>K46-J46</x:f>
        <x:v>0</x:v>
      </x:c>
      <x:c r="M46" s="187" t="str">
        <x:v>SYNTHETIC_DEMO_DATA</x:v>
      </x:c>
      <x:c r="N46" s="187" t="str">
        <x:v>履约 GMV，不含取消订单</x:v>
      </x:c>
    </x:row>
    <x:row r="47">
      <x:c r="A47" s="187" t="str">
        <x:v>ACTUAL_2026_08_CLOSE_V1</x:v>
      </x:c>
      <x:c r="B47" s="187" t="str">
        <x:v>ACTUAL</x:v>
      </x:c>
      <x:c r="C47" s="187"/>
      <x:c r="D47" s="217" t="n">
        <x:v>46082</x:v>
      </x:c>
      <x:c r="E47" s="187" t="str">
        <x:v>DE</x:v>
      </x:c>
      <x:c r="F47" s="187" t="str">
        <x:v>EUR</x:v>
      </x:c>
      <x:c r="G47" s="235" t="n">
        <x:v>504150.3</x:v>
      </x:c>
      <x:c r="H47" s="235" t="n">
        <x:v>7.82</x:v>
      </x:c>
      <x:c r="I47" s="235" t="str">
        <x:v>3942455.34600</x:v>
      </x:c>
      <x:c r="J47" s="235" t="n">
        <x:v>3942455.346</x:v>
      </x:c>
      <x:c r="K47" s="238" t="n">
        <x:f>G47*H47</x:f>
        <x:v>3942455.346</x:v>
      </x:c>
      <x:c r="L47" s="238" t="n">
        <x:f>K47-J47</x:f>
        <x:v>0</x:v>
      </x:c>
      <x:c r="M47" s="187" t="str">
        <x:v>SYNTHETIC_DEMO_DATA</x:v>
      </x:c>
      <x:c r="N47" s="187" t="str">
        <x:v>履约 GMV，不含取消订单</x:v>
      </x:c>
    </x:row>
    <x:row r="48">
      <x:c r="A48" s="187" t="str">
        <x:v>ACTUAL_2026_08_CLOSE_V1</x:v>
      </x:c>
      <x:c r="B48" s="187" t="str">
        <x:v>ACTUAL</x:v>
      </x:c>
      <x:c r="C48" s="187"/>
      <x:c r="D48" s="217" t="n">
        <x:v>46082</x:v>
      </x:c>
      <x:c r="E48" s="187" t="str">
        <x:v>FR</x:v>
      </x:c>
      <x:c r="F48" s="187" t="str">
        <x:v>EUR</x:v>
      </x:c>
      <x:c r="G48" s="235" t="n">
        <x:v>422180.55</x:v>
      </x:c>
      <x:c r="H48" s="235" t="n">
        <x:v>7.82</x:v>
      </x:c>
      <x:c r="I48" s="235" t="str">
        <x:v>3301451.901000</x:v>
      </x:c>
      <x:c r="J48" s="235" t="n">
        <x:v>3301451.901</x:v>
      </x:c>
      <x:c r="K48" s="238" t="n">
        <x:f>G48*H48</x:f>
        <x:v>3301451.901</x:v>
      </x:c>
      <x:c r="L48" s="238" t="n">
        <x:f>K48-J48</x:f>
        <x:v>0</x:v>
      </x:c>
      <x:c r="M48" s="187" t="str">
        <x:v>SYNTHETIC_DEMO_DATA</x:v>
      </x:c>
      <x:c r="N48" s="187" t="str">
        <x:v>履约 GMV，不含取消订单</x:v>
      </x:c>
    </x:row>
    <x:row r="49">
      <x:c r="A49" s="187" t="str">
        <x:v>ACTUAL_2026_08_CLOSE_V1</x:v>
      </x:c>
      <x:c r="B49" s="187" t="str">
        <x:v>ACTUAL</x:v>
      </x:c>
      <x:c r="C49" s="187"/>
      <x:c r="D49" s="217" t="n">
        <x:v>46082</x:v>
      </x:c>
      <x:c r="E49" s="187" t="str">
        <x:v>GB</x:v>
      </x:c>
      <x:c r="F49" s="187" t="str">
        <x:v>GBP</x:v>
      </x:c>
      <x:c r="G49" s="235" t="n">
        <x:v>334580.4</x:v>
      </x:c>
      <x:c r="H49" s="235" t="n">
        <x:v>9.08</x:v>
      </x:c>
      <x:c r="I49" s="235" t="str">
        <x:v>3037990.03200</x:v>
      </x:c>
      <x:c r="J49" s="235" t="n">
        <x:v>3037990.032</x:v>
      </x:c>
      <x:c r="K49" s="238" t="n">
        <x:f>G49*H49</x:f>
        <x:v>3037990.032</x:v>
      </x:c>
      <x:c r="L49" s="238" t="n">
        <x:f>K49-J49</x:f>
        <x:v>0</x:v>
      </x:c>
      <x:c r="M49" s="187" t="str">
        <x:v>SYNTHETIC_DEMO_DATA</x:v>
      </x:c>
      <x:c r="N49" s="187" t="str">
        <x:v>履约 GMV，不含取消订单</x:v>
      </x:c>
    </x:row>
    <x:row r="50">
      <x:c r="A50" s="187" t="str">
        <x:v>ACTUAL_2026_08_CLOSE_V1</x:v>
      </x:c>
      <x:c r="B50" s="187" t="str">
        <x:v>ACTUAL</x:v>
      </x:c>
      <x:c r="C50" s="187"/>
      <x:c r="D50" s="217" t="n">
        <x:v>46113</x:v>
      </x:c>
      <x:c r="E50" s="187" t="str">
        <x:v>DE</x:v>
      </x:c>
      <x:c r="F50" s="187" t="str">
        <x:v>EUR</x:v>
      </x:c>
      <x:c r="G50" s="235" t="n">
        <x:v>521937.2</x:v>
      </x:c>
      <x:c r="H50" s="235" t="n">
        <x:v>7.84</x:v>
      </x:c>
      <x:c r="I50" s="235" t="str">
        <x:v>4091987.64800</x:v>
      </x:c>
      <x:c r="J50" s="235" t="n">
        <x:v>4091987.648</x:v>
      </x:c>
      <x:c r="K50" s="238" t="n">
        <x:f>G50*H50</x:f>
        <x:v>4091987.648</x:v>
      </x:c>
      <x:c r="L50" s="238" t="n">
        <x:f>K50-J50</x:f>
        <x:v>0</x:v>
      </x:c>
      <x:c r="M50" s="187" t="str">
        <x:v>SYNTHETIC_DEMO_DATA</x:v>
      </x:c>
      <x:c r="N50" s="187" t="str">
        <x:v>履约 GMV，不含取消订单</x:v>
      </x:c>
    </x:row>
    <x:row r="51">
      <x:c r="A51" s="187" t="str">
        <x:v>ACTUAL_2026_08_CLOSE_V1</x:v>
      </x:c>
      <x:c r="B51" s="187" t="str">
        <x:v>ACTUAL</x:v>
      </x:c>
      <x:c r="C51" s="187"/>
      <x:c r="D51" s="217" t="n">
        <x:v>46113</x:v>
      </x:c>
      <x:c r="E51" s="187" t="str">
        <x:v>FR</x:v>
      </x:c>
      <x:c r="F51" s="187" t="str">
        <x:v>EUR</x:v>
      </x:c>
      <x:c r="G51" s="235" t="n">
        <x:v>438710.7</x:v>
      </x:c>
      <x:c r="H51" s="235" t="n">
        <x:v>7.84</x:v>
      </x:c>
      <x:c r="I51" s="235" t="str">
        <x:v>3439491.888000</x:v>
      </x:c>
      <x:c r="J51" s="235" t="n">
        <x:v>3439491.888</x:v>
      </x:c>
      <x:c r="K51" s="238" t="n">
        <x:f>G51*H51</x:f>
        <x:v>3439491.888</x:v>
      </x:c>
      <x:c r="L51" s="238" t="n">
        <x:f>K51-J51</x:f>
        <x:v>0</x:v>
      </x:c>
      <x:c r="M51" s="187" t="str">
        <x:v>SYNTHETIC_DEMO_DATA</x:v>
      </x:c>
      <x:c r="N51" s="187" t="str">
        <x:v>履约 GMV，不含取消订单</x:v>
      </x:c>
    </x:row>
    <x:row r="52">
      <x:c r="A52" s="187" t="str">
        <x:v>ACTUAL_2026_08_CLOSE_V1</x:v>
      </x:c>
      <x:c r="B52" s="187" t="str">
        <x:v>ACTUAL</x:v>
      </x:c>
      <x:c r="C52" s="187"/>
      <x:c r="D52" s="217" t="n">
        <x:v>46113</x:v>
      </x:c>
      <x:c r="E52" s="187" t="str">
        <x:v>GB</x:v>
      </x:c>
      <x:c r="F52" s="187" t="str">
        <x:v>GBP</x:v>
      </x:c>
      <x:c r="G52" s="235" t="n">
        <x:v>341864.6</x:v>
      </x:c>
      <x:c r="H52" s="235" t="n">
        <x:v>9.11</x:v>
      </x:c>
      <x:c r="I52" s="235" t="str">
        <x:v>3114386.50600</x:v>
      </x:c>
      <x:c r="J52" s="235" t="n">
        <x:v>3114386.506</x:v>
      </x:c>
      <x:c r="K52" s="238" t="n">
        <x:f>G52*H52</x:f>
        <x:v>3114386.5059999996</x:v>
      </x:c>
      <x:c r="L52" s="238" t="n">
        <x:f>K52-J52</x:f>
        <x:v>-4.656612873077393e-10</x:v>
      </x:c>
      <x:c r="M52" s="187" t="str">
        <x:v>SYNTHETIC_DEMO_DATA</x:v>
      </x:c>
      <x:c r="N52" s="187" t="str">
        <x:v>履约 GMV，不含取消订单</x:v>
      </x:c>
    </x:row>
    <x:row r="53">
      <x:c r="A53" s="187" t="str">
        <x:v>ACTUAL_2026_08_CLOSE_V1</x:v>
      </x:c>
      <x:c r="B53" s="187" t="str">
        <x:v>ACTUAL</x:v>
      </x:c>
      <x:c r="C53" s="187"/>
      <x:c r="D53" s="217" t="n">
        <x:v>46143</x:v>
      </x:c>
      <x:c r="E53" s="187" t="str">
        <x:v>DE</x:v>
      </x:c>
      <x:c r="F53" s="187" t="str">
        <x:v>EUR</x:v>
      </x:c>
      <x:c r="G53" s="235" t="n">
        <x:v>531830.8</x:v>
      </x:c>
      <x:c r="H53" s="235" t="n">
        <x:v>7.87</x:v>
      </x:c>
      <x:c r="I53" s="235" t="str">
        <x:v>4185508.39600</x:v>
      </x:c>
      <x:c r="J53" s="235" t="n">
        <x:v>4185508.396</x:v>
      </x:c>
      <x:c r="K53" s="238" t="n">
        <x:f>G53*H53</x:f>
        <x:v>4185508.3960000006</x:v>
      </x:c>
      <x:c r="L53" s="238" t="n">
        <x:f>K53-J53</x:f>
        <x:v>4.656612873077393e-10</x:v>
      </x:c>
      <x:c r="M53" s="187" t="str">
        <x:v>SYNTHETIC_DEMO_DATA</x:v>
      </x:c>
      <x:c r="N53" s="187" t="str">
        <x:v>履约 GMV，不含取消订单</x:v>
      </x:c>
    </x:row>
    <x:row r="54">
      <x:c r="A54" s="187" t="str">
        <x:v>ACTUAL_2026_08_CLOSE_V1</x:v>
      </x:c>
      <x:c r="B54" s="187" t="str">
        <x:v>ACTUAL</x:v>
      </x:c>
      <x:c r="C54" s="187"/>
      <x:c r="D54" s="217" t="n">
        <x:v>46143</x:v>
      </x:c>
      <x:c r="E54" s="187" t="str">
        <x:v>FR</x:v>
      </x:c>
      <x:c r="F54" s="187" t="str">
        <x:v>EUR</x:v>
      </x:c>
      <x:c r="G54" s="235" t="n">
        <x:v>458052.1</x:v>
      </x:c>
      <x:c r="H54" s="235" t="n">
        <x:v>7.87</x:v>
      </x:c>
      <x:c r="I54" s="235" t="str">
        <x:v>3604870.027000</x:v>
      </x:c>
      <x:c r="J54" s="235" t="n">
        <x:v>3604870.027</x:v>
      </x:c>
      <x:c r="K54" s="238" t="n">
        <x:f>G54*H54</x:f>
        <x:v>3604870.027</x:v>
      </x:c>
      <x:c r="L54" s="238" t="n">
        <x:f>K54-J54</x:f>
        <x:v>0</x:v>
      </x:c>
      <x:c r="M54" s="187" t="str">
        <x:v>SYNTHETIC_DEMO_DATA</x:v>
      </x:c>
      <x:c r="N54" s="187" t="str">
        <x:v>履约 GMV，不含取消订单</x:v>
      </x:c>
    </x:row>
    <x:row r="55">
      <x:c r="A55" s="187" t="str">
        <x:v>ACTUAL_2026_08_CLOSE_V1</x:v>
      </x:c>
      <x:c r="B55" s="187" t="str">
        <x:v>ACTUAL</x:v>
      </x:c>
      <x:c r="C55" s="187"/>
      <x:c r="D55" s="217" t="n">
        <x:v>46143</x:v>
      </x:c>
      <x:c r="E55" s="187" t="str">
        <x:v>GB</x:v>
      </x:c>
      <x:c r="F55" s="187" t="str">
        <x:v>GBP</x:v>
      </x:c>
      <x:c r="G55" s="235" t="n">
        <x:v>377069</x:v>
      </x:c>
      <x:c r="H55" s="235" t="n">
        <x:v>9.13</x:v>
      </x:c>
      <x:c r="I55" s="235" t="str">
        <x:v>3442639.97000</x:v>
      </x:c>
      <x:c r="J55" s="235" t="n">
        <x:v>3442639.97</x:v>
      </x:c>
      <x:c r="K55" s="238" t="n">
        <x:f>G55*H55</x:f>
        <x:v>3442639.97</x:v>
      </x:c>
      <x:c r="L55" s="238" t="n">
        <x:f>K55-J55</x:f>
        <x:v>0</x:v>
      </x:c>
      <x:c r="M55" s="187" t="str">
        <x:v>SYNTHETIC_DEMO_DATA</x:v>
      </x:c>
      <x:c r="N55" s="187" t="str">
        <x:v>履约 GMV，不含取消订单</x:v>
      </x:c>
    </x:row>
    <x:row r="56">
      <x:c r="A56" s="187" t="str">
        <x:v>ACTUAL_2026_08_CLOSE_V1</x:v>
      </x:c>
      <x:c r="B56" s="187" t="str">
        <x:v>ACTUAL</x:v>
      </x:c>
      <x:c r="C56" s="187"/>
      <x:c r="D56" s="217" t="n">
        <x:v>46174</x:v>
      </x:c>
      <x:c r="E56" s="187" t="str">
        <x:v>DE</x:v>
      </x:c>
      <x:c r="F56" s="187" t="str">
        <x:v>EUR</x:v>
      </x:c>
      <x:c r="G56" s="235" t="n">
        <x:v>545343.2</x:v>
      </x:c>
      <x:c r="H56" s="235" t="n">
        <x:v>7.89</x:v>
      </x:c>
      <x:c r="I56" s="235" t="str">
        <x:v>4302757.84800</x:v>
      </x:c>
      <x:c r="J56" s="235" t="n">
        <x:v>4302757.848</x:v>
      </x:c>
      <x:c r="K56" s="238" t="n">
        <x:f>G56*H56</x:f>
        <x:v>4302757.847999999</x:v>
      </x:c>
      <x:c r="L56" s="238" t="n">
        <x:f>K56-J56</x:f>
        <x:v>-9.313225746154785e-10</x:v>
      </x:c>
      <x:c r="M56" s="187" t="str">
        <x:v>SYNTHETIC_DEMO_DATA</x:v>
      </x:c>
      <x:c r="N56" s="187" t="str">
        <x:v>履约 GMV，不含取消订单</x:v>
      </x:c>
    </x:row>
    <x:row r="57">
      <x:c r="A57" s="187" t="str">
        <x:v>ACTUAL_2026_08_CLOSE_V1</x:v>
      </x:c>
      <x:c r="B57" s="187" t="str">
        <x:v>ACTUAL</x:v>
      </x:c>
      <x:c r="C57" s="187"/>
      <x:c r="D57" s="217" t="n">
        <x:v>46174</x:v>
      </x:c>
      <x:c r="E57" s="187" t="str">
        <x:v>FR</x:v>
      </x:c>
      <x:c r="F57" s="187" t="str">
        <x:v>EUR</x:v>
      </x:c>
      <x:c r="G57" s="235" t="n">
        <x:v>468657</x:v>
      </x:c>
      <x:c r="H57" s="235" t="n">
        <x:v>7.89</x:v>
      </x:c>
      <x:c r="I57" s="235" t="str">
        <x:v>3697703.730000</x:v>
      </x:c>
      <x:c r="J57" s="235" t="n">
        <x:v>3697703.73</x:v>
      </x:c>
      <x:c r="K57" s="238" t="n">
        <x:f>G57*H57</x:f>
        <x:v>3697703.73</x:v>
      </x:c>
      <x:c r="L57" s="238" t="n">
        <x:f>K57-J57</x:f>
        <x:v>0</x:v>
      </x:c>
      <x:c r="M57" s="187" t="str">
        <x:v>SYNTHETIC_DEMO_DATA</x:v>
      </x:c>
      <x:c r="N57" s="187" t="str">
        <x:v>履约 GMV，不含取消订单</x:v>
      </x:c>
    </x:row>
    <x:row r="58">
      <x:c r="A58" s="187" t="str">
        <x:v>ACTUAL_2026_08_CLOSE_V1</x:v>
      </x:c>
      <x:c r="B58" s="187" t="str">
        <x:v>ACTUAL</x:v>
      </x:c>
      <x:c r="C58" s="187"/>
      <x:c r="D58" s="217" t="n">
        <x:v>46174</x:v>
      </x:c>
      <x:c r="E58" s="187" t="str">
        <x:v>GB</x:v>
      </x:c>
      <x:c r="F58" s="187" t="str">
        <x:v>GBP</x:v>
      </x:c>
      <x:c r="G58" s="235" t="n">
        <x:v>401293.2</x:v>
      </x:c>
      <x:c r="H58" s="235" t="n">
        <x:v>9.16</x:v>
      </x:c>
      <x:c r="I58" s="235" t="str">
        <x:v>3675845.71200</x:v>
      </x:c>
      <x:c r="J58" s="235" t="n">
        <x:v>3675845.712</x:v>
      </x:c>
      <x:c r="K58" s="238" t="n">
        <x:f>G58*H58</x:f>
        <x:v>3675845.7120000003</x:v>
      </x:c>
      <x:c r="L58" s="238" t="n">
        <x:f>K58-J58</x:f>
        <x:v>4.656612873077393e-10</x:v>
      </x:c>
      <x:c r="M58" s="187" t="str">
        <x:v>SYNTHETIC_DEMO_DATA</x:v>
      </x:c>
      <x:c r="N58" s="187" t="str">
        <x:v>履约 GMV，不含取消订单</x:v>
      </x:c>
    </x:row>
    <x:row r="59">
      <x:c r="A59" s="187" t="str">
        <x:v>ACTUAL_2026_08_CLOSE_V1</x:v>
      </x:c>
      <x:c r="B59" s="187" t="str">
        <x:v>ACTUAL</x:v>
      </x:c>
      <x:c r="C59" s="187"/>
      <x:c r="D59" s="217" t="n">
        <x:v>46204</x:v>
      </x:c>
      <x:c r="E59" s="187" t="str">
        <x:v>DE</x:v>
      </x:c>
      <x:c r="F59" s="187" t="str">
        <x:v>EUR</x:v>
      </x:c>
      <x:c r="G59" s="235" t="n">
        <x:v>545310</x:v>
      </x:c>
      <x:c r="H59" s="235" t="n">
        <x:v>7.91</x:v>
      </x:c>
      <x:c r="I59" s="235" t="str">
        <x:v>4313402.10000</x:v>
      </x:c>
      <x:c r="J59" s="235" t="n">
        <x:v>4313402.1</x:v>
      </x:c>
      <x:c r="K59" s="238" t="n">
        <x:f>G59*H59</x:f>
        <x:v>4313402.1</x:v>
      </x:c>
      <x:c r="L59" s="238" t="n">
        <x:f>K59-J59</x:f>
        <x:v>0</x:v>
      </x:c>
      <x:c r="M59" s="187" t="str">
        <x:v>SYNTHETIC_DEMO_DATA</x:v>
      </x:c>
      <x:c r="N59" s="187" t="str">
        <x:v>履约 GMV，不含取消订单</x:v>
      </x:c>
    </x:row>
    <x:row r="60">
      <x:c r="A60" s="187" t="str">
        <x:v>ACTUAL_2026_08_CLOSE_V1</x:v>
      </x:c>
      <x:c r="B60" s="187" t="str">
        <x:v>ACTUAL</x:v>
      </x:c>
      <x:c r="C60" s="187"/>
      <x:c r="D60" s="217" t="n">
        <x:v>46204</x:v>
      </x:c>
      <x:c r="E60" s="187" t="str">
        <x:v>FR</x:v>
      </x:c>
      <x:c r="F60" s="187" t="str">
        <x:v>EUR</x:v>
      </x:c>
      <x:c r="G60" s="235" t="n">
        <x:v>474885</x:v>
      </x:c>
      <x:c r="H60" s="235" t="n">
        <x:v>7.91</x:v>
      </x:c>
      <x:c r="I60" s="235" t="str">
        <x:v>3756340.350000</x:v>
      </x:c>
      <x:c r="J60" s="235" t="n">
        <x:v>3756340.35</x:v>
      </x:c>
      <x:c r="K60" s="238" t="n">
        <x:f>G60*H60</x:f>
        <x:v>3756340.35</x:v>
      </x:c>
      <x:c r="L60" s="238" t="n">
        <x:f>K60-J60</x:f>
        <x:v>0</x:v>
      </x:c>
      <x:c r="M60" s="187" t="str">
        <x:v>SYNTHETIC_DEMO_DATA</x:v>
      </x:c>
      <x:c r="N60" s="187" t="str">
        <x:v>履约 GMV，不含取消订单</x:v>
      </x:c>
    </x:row>
    <x:row r="61">
      <x:c r="A61" s="187" t="str">
        <x:v>ACTUAL_2026_08_CLOSE_V1</x:v>
      </x:c>
      <x:c r="B61" s="187" t="str">
        <x:v>ACTUAL</x:v>
      </x:c>
      <x:c r="C61" s="187"/>
      <x:c r="D61" s="217" t="n">
        <x:v>46204</x:v>
      </x:c>
      <x:c r="E61" s="187" t="str">
        <x:v>GB</x:v>
      </x:c>
      <x:c r="F61" s="187" t="str">
        <x:v>GBP</x:v>
      </x:c>
      <x:c r="G61" s="235" t="n">
        <x:v>457380</x:v>
      </x:c>
      <x:c r="H61" s="235" t="n">
        <x:v>9.18</x:v>
      </x:c>
      <x:c r="I61" s="235" t="str">
        <x:v>4198748.40000</x:v>
      </x:c>
      <x:c r="J61" s="235" t="n">
        <x:v>4198748.4</x:v>
      </x:c>
      <x:c r="K61" s="238" t="n">
        <x:f>G61*H61</x:f>
        <x:v>4198748.399999999</x:v>
      </x:c>
      <x:c r="L61" s="238" t="n">
        <x:f>K61-J61</x:f>
        <x:v>-9.313225746154785e-10</x:v>
      </x:c>
      <x:c r="M61" s="187" t="str">
        <x:v>SYNTHETIC_DEMO_DATA</x:v>
      </x:c>
      <x:c r="N61" s="187" t="str">
        <x:v>履约 GMV，不含取消订单</x:v>
      </x:c>
    </x:row>
    <x:row r="62">
      <x:c r="A62" s="187" t="str">
        <x:v>ACTUAL_2026_08_CLOSE_V1</x:v>
      </x:c>
      <x:c r="B62" s="187" t="str">
        <x:v>ACTUAL</x:v>
      </x:c>
      <x:c r="C62" s="187"/>
      <x:c r="D62" s="217" t="n">
        <x:v>46235</x:v>
      </x:c>
      <x:c r="E62" s="187" t="str">
        <x:v>DE</x:v>
      </x:c>
      <x:c r="F62" s="187" t="str">
        <x:v>EUR</x:v>
      </x:c>
      <x:c r="G62" s="235" t="n">
        <x:v>522319</x:v>
      </x:c>
      <x:c r="H62" s="235" t="n">
        <x:v>7.95</x:v>
      </x:c>
      <x:c r="I62" s="235" t="str">
        <x:v>4152436.05000</x:v>
      </x:c>
      <x:c r="J62" s="235" t="n">
        <x:v>4152436.05</x:v>
      </x:c>
      <x:c r="K62" s="238" t="n">
        <x:f>G62*H62</x:f>
        <x:v>4152436.0500000003</x:v>
      </x:c>
      <x:c r="L62" s="238" t="n">
        <x:f>K62-J62</x:f>
        <x:v>4.656612873077393e-10</x:v>
      </x:c>
      <x:c r="M62" s="187" t="str">
        <x:v>SYNTHETIC_DEMO_DATA</x:v>
      </x:c>
      <x:c r="N62" s="187" t="str">
        <x:v>履约 GMV，不含取消订单</x:v>
      </x:c>
    </x:row>
    <x:row r="63">
      <x:c r="A63" s="187" t="str">
        <x:v>ACTUAL_2026_08_CLOSE_V1</x:v>
      </x:c>
      <x:c r="B63" s="187" t="str">
        <x:v>ACTUAL</x:v>
      </x:c>
      <x:c r="C63" s="187"/>
      <x:c r="D63" s="217" t="n">
        <x:v>46235</x:v>
      </x:c>
      <x:c r="E63" s="187" t="str">
        <x:v>FR</x:v>
      </x:c>
      <x:c r="F63" s="187" t="str">
        <x:v>EUR</x:v>
      </x:c>
      <x:c r="G63" s="235" t="n">
        <x:v>438987.5</x:v>
      </x:c>
      <x:c r="H63" s="235" t="n">
        <x:v>7.95</x:v>
      </x:c>
      <x:c r="I63" s="235" t="str">
        <x:v>3489950.625000</x:v>
      </x:c>
      <x:c r="J63" s="235" t="n">
        <x:v>3489950.625</x:v>
      </x:c>
      <x:c r="K63" s="238" t="n">
        <x:f>G63*H63</x:f>
        <x:v>3489950.625</x:v>
      </x:c>
      <x:c r="L63" s="238" t="n">
        <x:f>K63-J63</x:f>
        <x:v>0</x:v>
      </x:c>
      <x:c r="M63" s="187" t="str">
        <x:v>SYNTHETIC_DEMO_DATA</x:v>
      </x:c>
      <x:c r="N63" s="187" t="str">
        <x:v>履约 GMV，不含取消订单</x:v>
      </x:c>
    </x:row>
    <x:row r="64">
      <x:c r="A64" s="187" t="str">
        <x:v>ACTUAL_2026_08_CLOSE_V1</x:v>
      </x:c>
      <x:c r="B64" s="187" t="str">
        <x:v>ACTUAL</x:v>
      </x:c>
      <x:c r="C64" s="187"/>
      <x:c r="D64" s="217" t="n">
        <x:v>46235</x:v>
      </x:c>
      <x:c r="E64" s="187" t="str">
        <x:v>GB</x:v>
      </x:c>
      <x:c r="F64" s="187" t="str">
        <x:v>GBP</x:v>
      </x:c>
      <x:c r="G64" s="235" t="n">
        <x:v>643104</x:v>
      </x:c>
      <x:c r="H64" s="235" t="n">
        <x:v>9.22</x:v>
      </x:c>
      <x:c r="I64" s="235" t="str">
        <x:v>5929418.88000</x:v>
      </x:c>
      <x:c r="J64" s="235" t="n">
        <x:v>5929418.88</x:v>
      </x:c>
      <x:c r="K64" s="238" t="n">
        <x:f>G64*H64</x:f>
        <x:v>5929418.880000001</x:v>
      </x:c>
      <x:c r="L64" s="238" t="n">
        <x:f>K64-J64</x:f>
        <x:v>9.313225746154785e-10</x:v>
      </x:c>
      <x:c r="M64" s="187" t="str">
        <x:v>SYNTHETIC_DEMO_DATA</x:v>
      </x:c>
      <x:c r="N64" s="187" t="str">
        <x:v>履约 GMV，不含取消订单</x:v>
      </x:c>
    </x:row>
    <x:row r="65">
      <x:c r="A65" s="187" t="str">
        <x:v>FORECAST_2026_08_V1</x:v>
      </x:c>
      <x:c r="B65" s="187" t="str">
        <x:v>FORECAST</x:v>
      </x:c>
      <x:c r="C65" s="187"/>
      <x:c r="D65" s="217" t="n">
        <x:v>46266</x:v>
      </x:c>
      <x:c r="E65" s="187" t="str">
        <x:v>DE</x:v>
      </x:c>
      <x:c r="F65" s="187" t="str">
        <x:v>EUR</x:v>
      </x:c>
      <x:c r="G65" s="235" t="n">
        <x:v>513936</x:v>
      </x:c>
      <x:c r="H65" s="235" t="n">
        <x:v>7.92</x:v>
      </x:c>
      <x:c r="I65" s="235" t="str">
        <x:v>4070373.1200</x:v>
      </x:c>
      <x:c r="J65" s="235" t="n">
        <x:v>4070373.12</x:v>
      </x:c>
      <x:c r="K65" s="238" t="n">
        <x:f>G65*H65</x:f>
        <x:v>4070373.12</x:v>
      </x:c>
      <x:c r="L65" s="238" t="n">
        <x:f>K65-J65</x:f>
        <x:v>0</x:v>
      </x:c>
      <x:c r="M65" s="187" t="str">
        <x:v>SYNTHETIC_DEMO_DATA</x:v>
      </x:c>
      <x:c r="N65" s="187" t="str">
        <x:v>履约 GMV，不含取消订单</x:v>
      </x:c>
    </x:row>
    <x:row r="66">
      <x:c r="A66" s="187" t="str">
        <x:v>FORECAST_2026_08_V1</x:v>
      </x:c>
      <x:c r="B66" s="187" t="str">
        <x:v>FORECAST</x:v>
      </x:c>
      <x:c r="C66" s="187"/>
      <x:c r="D66" s="217" t="n">
        <x:v>46266</x:v>
      </x:c>
      <x:c r="E66" s="187" t="str">
        <x:v>FR</x:v>
      </x:c>
      <x:c r="F66" s="187" t="str">
        <x:v>EUR</x:v>
      </x:c>
      <x:c r="G66" s="235" t="n">
        <x:v>448920</x:v>
      </x:c>
      <x:c r="H66" s="235" t="n">
        <x:v>7.92</x:v>
      </x:c>
      <x:c r="I66" s="235" t="str">
        <x:v>3555446.4000</x:v>
      </x:c>
      <x:c r="J66" s="235" t="n">
        <x:v>3555446.4</x:v>
      </x:c>
      <x:c r="K66" s="238" t="n">
        <x:f>G66*H66</x:f>
        <x:v>3555446.4</x:v>
      </x:c>
      <x:c r="L66" s="238" t="n">
        <x:f>K66-J66</x:f>
        <x:v>0</x:v>
      </x:c>
      <x:c r="M66" s="187" t="str">
        <x:v>SYNTHETIC_DEMO_DATA</x:v>
      </x:c>
      <x:c r="N66" s="187" t="str">
        <x:v>履约 GMV，不含取消订单</x:v>
      </x:c>
    </x:row>
    <x:row r="67">
      <x:c r="A67" s="187" t="str">
        <x:v>FORECAST_2026_08_V1</x:v>
      </x:c>
      <x:c r="B67" s="187" t="str">
        <x:v>FORECAST</x:v>
      </x:c>
      <x:c r="C67" s="187"/>
      <x:c r="D67" s="217" t="n">
        <x:v>46266</x:v>
      </x:c>
      <x:c r="E67" s="187" t="str">
        <x:v>GB</x:v>
      </x:c>
      <x:c r="F67" s="187" t="str">
        <x:v>GBP</x:v>
      </x:c>
      <x:c r="G67" s="235" t="n">
        <x:v>444448</x:v>
      </x:c>
      <x:c r="H67" s="235" t="n">
        <x:v>9.15</x:v>
      </x:c>
      <x:c r="I67" s="235" t="str">
        <x:v>4066699.2000</x:v>
      </x:c>
      <x:c r="J67" s="235" t="n">
        <x:v>4066699.2</x:v>
      </x:c>
      <x:c r="K67" s="238" t="n">
        <x:f>G67*H67</x:f>
        <x:v>4066699.2</x:v>
      </x:c>
      <x:c r="L67" s="238" t="n">
        <x:f>K67-J67</x:f>
        <x:v>0</x:v>
      </x:c>
      <x:c r="M67" s="187" t="str">
        <x:v>SYNTHETIC_DEMO_DATA</x:v>
      </x:c>
      <x:c r="N67" s="187" t="str">
        <x:v>履约 GMV，不含取消订单</x:v>
      </x:c>
    </x:row>
    <x:row r="68">
      <x:c r="A68" s="187" t="str">
        <x:v>FORECAST_2026_08_V1</x:v>
      </x:c>
      <x:c r="B68" s="187" t="str">
        <x:v>FORECAST</x:v>
      </x:c>
      <x:c r="C68" s="187"/>
      <x:c r="D68" s="217" t="n">
        <x:v>46296</x:v>
      </x:c>
      <x:c r="E68" s="187" t="str">
        <x:v>DE</x:v>
      </x:c>
      <x:c r="F68" s="187" t="str">
        <x:v>EUR</x:v>
      </x:c>
      <x:c r="G68" s="235" t="n">
        <x:v>550290</x:v>
      </x:c>
      <x:c r="H68" s="235" t="n">
        <x:v>7.9</x:v>
      </x:c>
      <x:c r="I68" s="235" t="str">
        <x:v>4347291.0000</x:v>
      </x:c>
      <x:c r="J68" s="235" t="n">
        <x:v>4347291</x:v>
      </x:c>
      <x:c r="K68" s="238" t="n">
        <x:f>G68*H68</x:f>
        <x:v>4347291</x:v>
      </x:c>
      <x:c r="L68" s="238" t="n">
        <x:f>K68-J68</x:f>
        <x:v>0</x:v>
      </x:c>
      <x:c r="M68" s="187" t="str">
        <x:v>SYNTHETIC_DEMO_DATA</x:v>
      </x:c>
      <x:c r="N68" s="187" t="str">
        <x:v>履约 GMV，不含取消订单</x:v>
      </x:c>
    </x:row>
    <x:row r="69">
      <x:c r="A69" s="187" t="str">
        <x:v>FORECAST_2026_08_V1</x:v>
      </x:c>
      <x:c r="B69" s="187" t="str">
        <x:v>FORECAST</x:v>
      </x:c>
      <x:c r="C69" s="187"/>
      <x:c r="D69" s="217" t="n">
        <x:v>46296</x:v>
      </x:c>
      <x:c r="E69" s="187" t="str">
        <x:v>FR</x:v>
      </x:c>
      <x:c r="F69" s="187" t="str">
        <x:v>EUR</x:v>
      </x:c>
      <x:c r="G69" s="235" t="n">
        <x:v>508950</x:v>
      </x:c>
      <x:c r="H69" s="235" t="n">
        <x:v>7.9</x:v>
      </x:c>
      <x:c r="I69" s="235" t="str">
        <x:v>4020705.0000</x:v>
      </x:c>
      <x:c r="J69" s="235" t="n">
        <x:v>4020705</x:v>
      </x:c>
      <x:c r="K69" s="238" t="n">
        <x:f>G69*H69</x:f>
        <x:v>4020705</x:v>
      </x:c>
      <x:c r="L69" s="238" t="n">
        <x:f>K69-J69</x:f>
        <x:v>0</x:v>
      </x:c>
      <x:c r="M69" s="187" t="str">
        <x:v>SYNTHETIC_DEMO_DATA</x:v>
      </x:c>
      <x:c r="N69" s="187" t="str">
        <x:v>履约 GMV，不含取消订单</x:v>
      </x:c>
    </x:row>
    <x:row r="70">
      <x:c r="A70" s="187" t="str">
        <x:v>FORECAST_2026_08_V1</x:v>
      </x:c>
      <x:c r="B70" s="187" t="str">
        <x:v>FORECAST</x:v>
      </x:c>
      <x:c r="C70" s="187"/>
      <x:c r="D70" s="217" t="n">
        <x:v>46296</x:v>
      </x:c>
      <x:c r="E70" s="187" t="str">
        <x:v>GB</x:v>
      </x:c>
      <x:c r="F70" s="187" t="str">
        <x:v>GBP</x:v>
      </x:c>
      <x:c r="G70" s="235" t="n">
        <x:v>533520</x:v>
      </x:c>
      <x:c r="H70" s="235" t="n">
        <x:v>9.1</x:v>
      </x:c>
      <x:c r="I70" s="235" t="str">
        <x:v>4855032.0000</x:v>
      </x:c>
      <x:c r="J70" s="235" t="n">
        <x:v>4855032</x:v>
      </x:c>
      <x:c r="K70" s="238" t="n">
        <x:f>G70*H70</x:f>
        <x:v>4855032</x:v>
      </x:c>
      <x:c r="L70" s="238" t="n">
        <x:f>K70-J70</x:f>
        <x:v>0</x:v>
      </x:c>
      <x:c r="M70" s="187" t="str">
        <x:v>SYNTHETIC_DEMO_DATA</x:v>
      </x:c>
      <x:c r="N70" s="187" t="str">
        <x:v>履约 GMV，不含取消订单</x:v>
      </x:c>
    </x:row>
    <x:row r="71">
      <x:c r="A71" s="187" t="str">
        <x:v>FORECAST_2026_08_V1</x:v>
      </x:c>
      <x:c r="B71" s="187" t="str">
        <x:v>FORECAST</x:v>
      </x:c>
      <x:c r="C71" s="187"/>
      <x:c r="D71" s="217" t="n">
        <x:v>46327</x:v>
      </x:c>
      <x:c r="E71" s="187" t="str">
        <x:v>DE</x:v>
      </x:c>
      <x:c r="F71" s="187" t="str">
        <x:v>EUR</x:v>
      </x:c>
      <x:c r="G71" s="235" t="n">
        <x:v>658688</x:v>
      </x:c>
      <x:c r="H71" s="235" t="n">
        <x:v>7.88</x:v>
      </x:c>
      <x:c r="I71" s="235" t="str">
        <x:v>5190461.4400</x:v>
      </x:c>
      <x:c r="J71" s="235" t="n">
        <x:v>5190461.44</x:v>
      </x:c>
      <x:c r="K71" s="238" t="n">
        <x:f>G71*H71</x:f>
        <x:v>5190461.4399999995</x:v>
      </x:c>
      <x:c r="L71" s="238" t="n">
        <x:f>K71-J71</x:f>
        <x:v>-9.313225746154785e-10</x:v>
      </x:c>
      <x:c r="M71" s="187" t="str">
        <x:v>SYNTHETIC_DEMO_DATA</x:v>
      </x:c>
      <x:c r="N71" s="187" t="str">
        <x:v>履约 GMV，不含取消订单</x:v>
      </x:c>
    </x:row>
    <x:row r="72">
      <x:c r="A72" s="187" t="str">
        <x:v>FORECAST_2026_08_V1</x:v>
      </x:c>
      <x:c r="B72" s="187" t="str">
        <x:v>FORECAST</x:v>
      </x:c>
      <x:c r="C72" s="187"/>
      <x:c r="D72" s="217" t="n">
        <x:v>46327</x:v>
      </x:c>
      <x:c r="E72" s="187" t="str">
        <x:v>FR</x:v>
      </x:c>
      <x:c r="F72" s="187" t="str">
        <x:v>EUR</x:v>
      </x:c>
      <x:c r="G72" s="235" t="n">
        <x:v>625704</x:v>
      </x:c>
      <x:c r="H72" s="235" t="n">
        <x:v>7.88</x:v>
      </x:c>
      <x:c r="I72" s="235" t="str">
        <x:v>4930547.5200</x:v>
      </x:c>
      <x:c r="J72" s="235" t="n">
        <x:v>4930547.52</x:v>
      </x:c>
      <x:c r="K72" s="238" t="n">
        <x:f>G72*H72</x:f>
        <x:v>4930547.52</x:v>
      </x:c>
      <x:c r="L72" s="238" t="n">
        <x:f>K72-J72</x:f>
        <x:v>0</x:v>
      </x:c>
      <x:c r="M72" s="187" t="str">
        <x:v>SYNTHETIC_DEMO_DATA</x:v>
      </x:c>
      <x:c r="N72" s="187" t="str">
        <x:v>履约 GMV，不含取消订单</x:v>
      </x:c>
    </x:row>
    <x:row r="73">
      <x:c r="A73" s="187" t="str">
        <x:v>FORECAST_2026_08_V1</x:v>
      </x:c>
      <x:c r="B73" s="187" t="str">
        <x:v>FORECAST</x:v>
      </x:c>
      <x:c r="C73" s="187"/>
      <x:c r="D73" s="217" t="n">
        <x:v>46327</x:v>
      </x:c>
      <x:c r="E73" s="187" t="str">
        <x:v>GB</x:v>
      </x:c>
      <x:c r="F73" s="187" t="str">
        <x:v>GBP</x:v>
      </x:c>
      <x:c r="G73" s="235" t="n">
        <x:v>735072</x:v>
      </x:c>
      <x:c r="H73" s="235" t="n">
        <x:v>9.05</x:v>
      </x:c>
      <x:c r="I73" s="235" t="str">
        <x:v>6652401.6000</x:v>
      </x:c>
      <x:c r="J73" s="235" t="n">
        <x:v>6652401.6</x:v>
      </x:c>
      <x:c r="K73" s="238" t="n">
        <x:f>G73*H73</x:f>
        <x:v>6652401.600000001</x:v>
      </x:c>
      <x:c r="L73" s="238" t="n">
        <x:f>K73-J73</x:f>
        <x:v>9.313225746154785e-10</x:v>
      </x:c>
      <x:c r="M73" s="187" t="str">
        <x:v>SYNTHETIC_DEMO_DATA</x:v>
      </x:c>
      <x:c r="N73" s="187" t="str">
        <x:v>履约 GMV，不含取消订单</x:v>
      </x:c>
    </x:row>
    <x:row r="74">
      <x:c r="A74" s="187" t="str">
        <x:v>FORECAST_2026_08_V1</x:v>
      </x:c>
      <x:c r="B74" s="187" t="str">
        <x:v>FORECAST</x:v>
      </x:c>
      <x:c r="C74" s="187"/>
      <x:c r="D74" s="217" t="n">
        <x:v>46357</x:v>
      </x:c>
      <x:c r="E74" s="187" t="str">
        <x:v>DE</x:v>
      </x:c>
      <x:c r="F74" s="187" t="str">
        <x:v>EUR</x:v>
      </x:c>
      <x:c r="G74" s="235" t="n">
        <x:v>759616</x:v>
      </x:c>
      <x:c r="H74" s="235" t="n">
        <x:v>7.86</x:v>
      </x:c>
      <x:c r="I74" s="235" t="str">
        <x:v>5970581.7600</x:v>
      </x:c>
      <x:c r="J74" s="235" t="n">
        <x:v>5970581.76</x:v>
      </x:c>
      <x:c r="K74" s="238" t="n">
        <x:f>G74*H74</x:f>
        <x:v>5970581.760000001</x:v>
      </x:c>
      <x:c r="L74" s="238" t="n">
        <x:f>K74-J74</x:f>
        <x:v>9.313225746154785e-10</x:v>
      </x:c>
      <x:c r="M74" s="187" t="str">
        <x:v>SYNTHETIC_DEMO_DATA</x:v>
      </x:c>
      <x:c r="N74" s="187" t="str">
        <x:v>履约 GMV，不含取消订单</x:v>
      </x:c>
    </x:row>
    <x:row r="75">
      <x:c r="A75" s="187" t="str">
        <x:v>FORECAST_2026_08_V1</x:v>
      </x:c>
      <x:c r="B75" s="187" t="str">
        <x:v>FORECAST</x:v>
      </x:c>
      <x:c r="C75" s="187"/>
      <x:c r="D75" s="217" t="n">
        <x:v>46357</x:v>
      </x:c>
      <x:c r="E75" s="187" t="str">
        <x:v>FR</x:v>
      </x:c>
      <x:c r="F75" s="187" t="str">
        <x:v>EUR</x:v>
      </x:c>
      <x:c r="G75" s="235" t="n">
        <x:v>696696</x:v>
      </x:c>
      <x:c r="H75" s="235" t="n">
        <x:v>7.86</x:v>
      </x:c>
      <x:c r="I75" s="235" t="str">
        <x:v>5476030.5600</x:v>
      </x:c>
      <x:c r="J75" s="235" t="n">
        <x:v>5476030.56</x:v>
      </x:c>
      <x:c r="K75" s="238" t="n">
        <x:f>G75*H75</x:f>
        <x:v>5476030.5600000005</x:v>
      </x:c>
      <x:c r="L75" s="238" t="n">
        <x:f>K75-J75</x:f>
        <x:v>9.313225746154785e-10</x:v>
      </x:c>
      <x:c r="M75" s="187" t="str">
        <x:v>SYNTHETIC_DEMO_DATA</x:v>
      </x:c>
      <x:c r="N75" s="187" t="str">
        <x:v>履约 GMV，不含取消订单</x:v>
      </x:c>
    </x:row>
    <x:row r="76">
      <x:c r="A76" s="187" t="str">
        <x:v>FORECAST_2026_08_V1</x:v>
      </x:c>
      <x:c r="B76" s="187" t="str">
        <x:v>FORECAST</x:v>
      </x:c>
      <x:c r="C76" s="187"/>
      <x:c r="D76" s="217" t="n">
        <x:v>46357</x:v>
      </x:c>
      <x:c r="E76" s="187" t="str">
        <x:v>GB</x:v>
      </x:c>
      <x:c r="F76" s="187" t="str">
        <x:v>GBP</x:v>
      </x:c>
      <x:c r="G76" s="235" t="n">
        <x:v>869440</x:v>
      </x:c>
      <x:c r="H76" s="235" t="n">
        <x:v>9</x:v>
      </x:c>
      <x:c r="I76" s="235" t="str">
        <x:v>7824960.0000</x:v>
      </x:c>
      <x:c r="J76" s="235" t="n">
        <x:v>7824960</x:v>
      </x:c>
      <x:c r="K76" s="238" t="n">
        <x:f>G76*H76</x:f>
        <x:v>7824960</x:v>
      </x:c>
      <x:c r="L76" s="238" t="n">
        <x:f>K76-J76</x:f>
        <x:v>0</x:v>
      </x:c>
      <x:c r="M76" s="187" t="str">
        <x:v>SYNTHETIC_DEMO_DATA</x:v>
      </x:c>
      <x:c r="N76" s="187" t="str">
        <x:v>履约 GMV，不含取消订单</x:v>
      </x:c>
    </x:row>
    <x:row r="77">
      <x:c r="A77" s="187" t="str">
        <x:v>SCENARIO_BASE_2026_08</x:v>
      </x:c>
      <x:c r="B77" s="187" t="str">
        <x:v>SCENARIO</x:v>
      </x:c>
      <x:c r="C77" s="187" t="str">
        <x:v>BASE</x:v>
      </x:c>
      <x:c r="D77" s="217" t="n">
        <x:v>46266</x:v>
      </x:c>
      <x:c r="E77" s="187" t="str">
        <x:v>DE</x:v>
      </x:c>
      <x:c r="F77" s="187" t="str">
        <x:v>EUR</x:v>
      </x:c>
      <x:c r="G77" s="235" t="n">
        <x:v>513936</x:v>
      </x:c>
      <x:c r="H77" s="235" t="n">
        <x:v>7.92</x:v>
      </x:c>
      <x:c r="I77" s="235" t="str">
        <x:v>4070373.1200</x:v>
      </x:c>
      <x:c r="J77" s="235" t="n">
        <x:v>4070373.12</x:v>
      </x:c>
      <x:c r="K77" s="238" t="n">
        <x:f>G77*H77</x:f>
        <x:v>4070373.12</x:v>
      </x:c>
      <x:c r="L77" s="238" t="n">
        <x:f>K77-J77</x:f>
        <x:v>0</x:v>
      </x:c>
      <x:c r="M77" s="187" t="str">
        <x:v>SYNTHETIC_DEMO_DATA</x:v>
      </x:c>
      <x:c r="N77" s="187" t="str">
        <x:v>履约 GMV，不含取消订单</x:v>
      </x:c>
    </x:row>
    <x:row r="78">
      <x:c r="A78" s="187" t="str">
        <x:v>SCENARIO_BASE_2026_08</x:v>
      </x:c>
      <x:c r="B78" s="187" t="str">
        <x:v>SCENARIO</x:v>
      </x:c>
      <x:c r="C78" s="187" t="str">
        <x:v>BASE</x:v>
      </x:c>
      <x:c r="D78" s="217" t="n">
        <x:v>46266</x:v>
      </x:c>
      <x:c r="E78" s="187" t="str">
        <x:v>FR</x:v>
      </x:c>
      <x:c r="F78" s="187" t="str">
        <x:v>EUR</x:v>
      </x:c>
      <x:c r="G78" s="235" t="n">
        <x:v>448920</x:v>
      </x:c>
      <x:c r="H78" s="235" t="n">
        <x:v>7.92</x:v>
      </x:c>
      <x:c r="I78" s="235" t="str">
        <x:v>3555446.4000</x:v>
      </x:c>
      <x:c r="J78" s="235" t="n">
        <x:v>3555446.4</x:v>
      </x:c>
      <x:c r="K78" s="238" t="n">
        <x:f>G78*H78</x:f>
        <x:v>3555446.4</x:v>
      </x:c>
      <x:c r="L78" s="238" t="n">
        <x:f>K78-J78</x:f>
        <x:v>0</x:v>
      </x:c>
      <x:c r="M78" s="187" t="str">
        <x:v>SYNTHETIC_DEMO_DATA</x:v>
      </x:c>
      <x:c r="N78" s="187" t="str">
        <x:v>履约 GMV，不含取消订单</x:v>
      </x:c>
    </x:row>
    <x:row r="79">
      <x:c r="A79" s="187" t="str">
        <x:v>SCENARIO_BASE_2026_08</x:v>
      </x:c>
      <x:c r="B79" s="187" t="str">
        <x:v>SCENARIO</x:v>
      </x:c>
      <x:c r="C79" s="187" t="str">
        <x:v>BASE</x:v>
      </x:c>
      <x:c r="D79" s="217" t="n">
        <x:v>46266</x:v>
      </x:c>
      <x:c r="E79" s="187" t="str">
        <x:v>GB</x:v>
      </x:c>
      <x:c r="F79" s="187" t="str">
        <x:v>GBP</x:v>
      </x:c>
      <x:c r="G79" s="235" t="n">
        <x:v>444448</x:v>
      </x:c>
      <x:c r="H79" s="235" t="n">
        <x:v>9.15</x:v>
      </x:c>
      <x:c r="I79" s="235" t="str">
        <x:v>4066699.2000</x:v>
      </x:c>
      <x:c r="J79" s="235" t="n">
        <x:v>4066699.2</x:v>
      </x:c>
      <x:c r="K79" s="238" t="n">
        <x:f>G79*H79</x:f>
        <x:v>4066699.2</x:v>
      </x:c>
      <x:c r="L79" s="238" t="n">
        <x:f>K79-J79</x:f>
        <x:v>0</x:v>
      </x:c>
      <x:c r="M79" s="187" t="str">
        <x:v>SYNTHETIC_DEMO_DATA</x:v>
      </x:c>
      <x:c r="N79" s="187" t="str">
        <x:v>履约 GMV，不含取消订单</x:v>
      </x:c>
    </x:row>
    <x:row r="80">
      <x:c r="A80" s="187" t="str">
        <x:v>SCENARIO_BASE_2026_08</x:v>
      </x:c>
      <x:c r="B80" s="187" t="str">
        <x:v>SCENARIO</x:v>
      </x:c>
      <x:c r="C80" s="187" t="str">
        <x:v>BASE</x:v>
      </x:c>
      <x:c r="D80" s="217" t="n">
        <x:v>46296</x:v>
      </x:c>
      <x:c r="E80" s="187" t="str">
        <x:v>DE</x:v>
      </x:c>
      <x:c r="F80" s="187" t="str">
        <x:v>EUR</x:v>
      </x:c>
      <x:c r="G80" s="235" t="n">
        <x:v>550290</x:v>
      </x:c>
      <x:c r="H80" s="235" t="n">
        <x:v>7.9</x:v>
      </x:c>
      <x:c r="I80" s="235" t="str">
        <x:v>4347291.0000</x:v>
      </x:c>
      <x:c r="J80" s="235" t="n">
        <x:v>4347291</x:v>
      </x:c>
      <x:c r="K80" s="238" t="n">
        <x:f>G80*H80</x:f>
        <x:v>4347291</x:v>
      </x:c>
      <x:c r="L80" s="238" t="n">
        <x:f>K80-J80</x:f>
        <x:v>0</x:v>
      </x:c>
      <x:c r="M80" s="187" t="str">
        <x:v>SYNTHETIC_DEMO_DATA</x:v>
      </x:c>
      <x:c r="N80" s="187" t="str">
        <x:v>履约 GMV，不含取消订单</x:v>
      </x:c>
    </x:row>
    <x:row r="81">
      <x:c r="A81" s="187" t="str">
        <x:v>SCENARIO_BASE_2026_08</x:v>
      </x:c>
      <x:c r="B81" s="187" t="str">
        <x:v>SCENARIO</x:v>
      </x:c>
      <x:c r="C81" s="187" t="str">
        <x:v>BASE</x:v>
      </x:c>
      <x:c r="D81" s="217" t="n">
        <x:v>46296</x:v>
      </x:c>
      <x:c r="E81" s="187" t="str">
        <x:v>FR</x:v>
      </x:c>
      <x:c r="F81" s="187" t="str">
        <x:v>EUR</x:v>
      </x:c>
      <x:c r="G81" s="235" t="n">
        <x:v>508950</x:v>
      </x:c>
      <x:c r="H81" s="235" t="n">
        <x:v>7.9</x:v>
      </x:c>
      <x:c r="I81" s="235" t="str">
        <x:v>4020705.0000</x:v>
      </x:c>
      <x:c r="J81" s="235" t="n">
        <x:v>4020705</x:v>
      </x:c>
      <x:c r="K81" s="238" t="n">
        <x:f>G81*H81</x:f>
        <x:v>4020705</x:v>
      </x:c>
      <x:c r="L81" s="238" t="n">
        <x:f>K81-J81</x:f>
        <x:v>0</x:v>
      </x:c>
      <x:c r="M81" s="187" t="str">
        <x:v>SYNTHETIC_DEMO_DATA</x:v>
      </x:c>
      <x:c r="N81" s="187" t="str">
        <x:v>履约 GMV，不含取消订单</x:v>
      </x:c>
    </x:row>
    <x:row r="82">
      <x:c r="A82" s="187" t="str">
        <x:v>SCENARIO_BASE_2026_08</x:v>
      </x:c>
      <x:c r="B82" s="187" t="str">
        <x:v>SCENARIO</x:v>
      </x:c>
      <x:c r="C82" s="187" t="str">
        <x:v>BASE</x:v>
      </x:c>
      <x:c r="D82" s="217" t="n">
        <x:v>46296</x:v>
      </x:c>
      <x:c r="E82" s="187" t="str">
        <x:v>GB</x:v>
      </x:c>
      <x:c r="F82" s="187" t="str">
        <x:v>GBP</x:v>
      </x:c>
      <x:c r="G82" s="235" t="n">
        <x:v>533520</x:v>
      </x:c>
      <x:c r="H82" s="235" t="n">
        <x:v>9.1</x:v>
      </x:c>
      <x:c r="I82" s="235" t="str">
        <x:v>4855032.0000</x:v>
      </x:c>
      <x:c r="J82" s="235" t="n">
        <x:v>4855032</x:v>
      </x:c>
      <x:c r="K82" s="238" t="n">
        <x:f>G82*H82</x:f>
        <x:v>4855032</x:v>
      </x:c>
      <x:c r="L82" s="238" t="n">
        <x:f>K82-J82</x:f>
        <x:v>0</x:v>
      </x:c>
      <x:c r="M82" s="187" t="str">
        <x:v>SYNTHETIC_DEMO_DATA</x:v>
      </x:c>
      <x:c r="N82" s="187" t="str">
        <x:v>履约 GMV，不含取消订单</x:v>
      </x:c>
    </x:row>
    <x:row r="83">
      <x:c r="A83" s="187" t="str">
        <x:v>SCENARIO_BASE_2026_08</x:v>
      </x:c>
      <x:c r="B83" s="187" t="str">
        <x:v>SCENARIO</x:v>
      </x:c>
      <x:c r="C83" s="187" t="str">
        <x:v>BASE</x:v>
      </x:c>
      <x:c r="D83" s="217" t="n">
        <x:v>46327</x:v>
      </x:c>
      <x:c r="E83" s="187" t="str">
        <x:v>DE</x:v>
      </x:c>
      <x:c r="F83" s="187" t="str">
        <x:v>EUR</x:v>
      </x:c>
      <x:c r="G83" s="235" t="n">
        <x:v>658688</x:v>
      </x:c>
      <x:c r="H83" s="235" t="n">
        <x:v>7.88</x:v>
      </x:c>
      <x:c r="I83" s="235" t="str">
        <x:v>5190461.4400</x:v>
      </x:c>
      <x:c r="J83" s="235" t="n">
        <x:v>5190461.44</x:v>
      </x:c>
      <x:c r="K83" s="238" t="n">
        <x:f>G83*H83</x:f>
        <x:v>5190461.4399999995</x:v>
      </x:c>
      <x:c r="L83" s="238" t="n">
        <x:f>K83-J83</x:f>
        <x:v>-9.313225746154785e-10</x:v>
      </x:c>
      <x:c r="M83" s="187" t="str">
        <x:v>SYNTHETIC_DEMO_DATA</x:v>
      </x:c>
      <x:c r="N83" s="187" t="str">
        <x:v>履约 GMV，不含取消订单</x:v>
      </x:c>
    </x:row>
    <x:row r="84">
      <x:c r="A84" s="187" t="str">
        <x:v>SCENARIO_BASE_2026_08</x:v>
      </x:c>
      <x:c r="B84" s="187" t="str">
        <x:v>SCENARIO</x:v>
      </x:c>
      <x:c r="C84" s="187" t="str">
        <x:v>BASE</x:v>
      </x:c>
      <x:c r="D84" s="217" t="n">
        <x:v>46327</x:v>
      </x:c>
      <x:c r="E84" s="187" t="str">
        <x:v>FR</x:v>
      </x:c>
      <x:c r="F84" s="187" t="str">
        <x:v>EUR</x:v>
      </x:c>
      <x:c r="G84" s="235" t="n">
        <x:v>625704</x:v>
      </x:c>
      <x:c r="H84" s="235" t="n">
        <x:v>7.88</x:v>
      </x:c>
      <x:c r="I84" s="235" t="str">
        <x:v>4930547.5200</x:v>
      </x:c>
      <x:c r="J84" s="235" t="n">
        <x:v>4930547.52</x:v>
      </x:c>
      <x:c r="K84" s="238" t="n">
        <x:f>G84*H84</x:f>
        <x:v>4930547.52</x:v>
      </x:c>
      <x:c r="L84" s="238" t="n">
        <x:f>K84-J84</x:f>
        <x:v>0</x:v>
      </x:c>
      <x:c r="M84" s="187" t="str">
        <x:v>SYNTHETIC_DEMO_DATA</x:v>
      </x:c>
      <x:c r="N84" s="187" t="str">
        <x:v>履约 GMV，不含取消订单</x:v>
      </x:c>
    </x:row>
    <x:row r="85">
      <x:c r="A85" s="187" t="str">
        <x:v>SCENARIO_BASE_2026_08</x:v>
      </x:c>
      <x:c r="B85" s="187" t="str">
        <x:v>SCENARIO</x:v>
      </x:c>
      <x:c r="C85" s="187" t="str">
        <x:v>BASE</x:v>
      </x:c>
      <x:c r="D85" s="217" t="n">
        <x:v>46327</x:v>
      </x:c>
      <x:c r="E85" s="187" t="str">
        <x:v>GB</x:v>
      </x:c>
      <x:c r="F85" s="187" t="str">
        <x:v>GBP</x:v>
      </x:c>
      <x:c r="G85" s="235" t="n">
        <x:v>735072</x:v>
      </x:c>
      <x:c r="H85" s="235" t="n">
        <x:v>9.05</x:v>
      </x:c>
      <x:c r="I85" s="235" t="str">
        <x:v>6652401.6000</x:v>
      </x:c>
      <x:c r="J85" s="235" t="n">
        <x:v>6652401.6</x:v>
      </x:c>
      <x:c r="K85" s="238" t="n">
        <x:f>G85*H85</x:f>
        <x:v>6652401.600000001</x:v>
      </x:c>
      <x:c r="L85" s="238" t="n">
        <x:f>K85-J85</x:f>
        <x:v>9.313225746154785e-10</x:v>
      </x:c>
      <x:c r="M85" s="187" t="str">
        <x:v>SYNTHETIC_DEMO_DATA</x:v>
      </x:c>
      <x:c r="N85" s="187" t="str">
        <x:v>履约 GMV，不含取消订单</x:v>
      </x:c>
    </x:row>
    <x:row r="86">
      <x:c r="A86" s="187" t="str">
        <x:v>SCENARIO_BASE_2026_08</x:v>
      </x:c>
      <x:c r="B86" s="187" t="str">
        <x:v>SCENARIO</x:v>
      </x:c>
      <x:c r="C86" s="187" t="str">
        <x:v>BASE</x:v>
      </x:c>
      <x:c r="D86" s="217" t="n">
        <x:v>46357</x:v>
      </x:c>
      <x:c r="E86" s="187" t="str">
        <x:v>DE</x:v>
      </x:c>
      <x:c r="F86" s="187" t="str">
        <x:v>EUR</x:v>
      </x:c>
      <x:c r="G86" s="235" t="n">
        <x:v>759616</x:v>
      </x:c>
      <x:c r="H86" s="235" t="n">
        <x:v>7.86</x:v>
      </x:c>
      <x:c r="I86" s="235" t="str">
        <x:v>5970581.7600</x:v>
      </x:c>
      <x:c r="J86" s="235" t="n">
        <x:v>5970581.76</x:v>
      </x:c>
      <x:c r="K86" s="238" t="n">
        <x:f>G86*H86</x:f>
        <x:v>5970581.760000001</x:v>
      </x:c>
      <x:c r="L86" s="238" t="n">
        <x:f>K86-J86</x:f>
        <x:v>9.313225746154785e-10</x:v>
      </x:c>
      <x:c r="M86" s="187" t="str">
        <x:v>SYNTHETIC_DEMO_DATA</x:v>
      </x:c>
      <x:c r="N86" s="187" t="str">
        <x:v>履约 GMV，不含取消订单</x:v>
      </x:c>
    </x:row>
    <x:row r="87">
      <x:c r="A87" s="187" t="str">
        <x:v>SCENARIO_BASE_2026_08</x:v>
      </x:c>
      <x:c r="B87" s="187" t="str">
        <x:v>SCENARIO</x:v>
      </x:c>
      <x:c r="C87" s="187" t="str">
        <x:v>BASE</x:v>
      </x:c>
      <x:c r="D87" s="217" t="n">
        <x:v>46357</x:v>
      </x:c>
      <x:c r="E87" s="187" t="str">
        <x:v>FR</x:v>
      </x:c>
      <x:c r="F87" s="187" t="str">
        <x:v>EUR</x:v>
      </x:c>
      <x:c r="G87" s="235" t="n">
        <x:v>696696</x:v>
      </x:c>
      <x:c r="H87" s="235" t="n">
        <x:v>7.86</x:v>
      </x:c>
      <x:c r="I87" s="235" t="str">
        <x:v>5476030.5600</x:v>
      </x:c>
      <x:c r="J87" s="235" t="n">
        <x:v>5476030.56</x:v>
      </x:c>
      <x:c r="K87" s="238" t="n">
        <x:f>G87*H87</x:f>
        <x:v>5476030.5600000005</x:v>
      </x:c>
      <x:c r="L87" s="238" t="n">
        <x:f>K87-J87</x:f>
        <x:v>9.313225746154785e-10</x:v>
      </x:c>
      <x:c r="M87" s="187" t="str">
        <x:v>SYNTHETIC_DEMO_DATA</x:v>
      </x:c>
      <x:c r="N87" s="187" t="str">
        <x:v>履约 GMV，不含取消订单</x:v>
      </x:c>
    </x:row>
    <x:row r="88">
      <x:c r="A88" s="187" t="str">
        <x:v>SCENARIO_BASE_2026_08</x:v>
      </x:c>
      <x:c r="B88" s="187" t="str">
        <x:v>SCENARIO</x:v>
      </x:c>
      <x:c r="C88" s="187" t="str">
        <x:v>BASE</x:v>
      </x:c>
      <x:c r="D88" s="217" t="n">
        <x:v>46357</x:v>
      </x:c>
      <x:c r="E88" s="187" t="str">
        <x:v>GB</x:v>
      </x:c>
      <x:c r="F88" s="187" t="str">
        <x:v>GBP</x:v>
      </x:c>
      <x:c r="G88" s="235" t="n">
        <x:v>869440</x:v>
      </x:c>
      <x:c r="H88" s="235" t="n">
        <x:v>9</x:v>
      </x:c>
      <x:c r="I88" s="235" t="str">
        <x:v>7824960.0000</x:v>
      </x:c>
      <x:c r="J88" s="235" t="n">
        <x:v>7824960</x:v>
      </x:c>
      <x:c r="K88" s="238" t="n">
        <x:f>G88*H88</x:f>
        <x:v>7824960</x:v>
      </x:c>
      <x:c r="L88" s="238" t="n">
        <x:f>K88-J88</x:f>
        <x:v>0</x:v>
      </x:c>
      <x:c r="M88" s="187" t="str">
        <x:v>SYNTHETIC_DEMO_DATA</x:v>
      </x:c>
      <x:c r="N88" s="187" t="str">
        <x:v>履约 GMV，不含取消订单</x:v>
      </x:c>
    </x:row>
    <x:row r="89">
      <x:c r="A89" s="187" t="str">
        <x:v>SCENARIO_GROWTH_2026_08</x:v>
      </x:c>
      <x:c r="B89" s="187" t="str">
        <x:v>SCENARIO</x:v>
      </x:c>
      <x:c r="C89" s="187" t="str">
        <x:v>GROWTH</x:v>
      </x:c>
      <x:c r="D89" s="217" t="n">
        <x:v>46266</x:v>
      </x:c>
      <x:c r="E89" s="187" t="str">
        <x:v>DE</x:v>
      </x:c>
      <x:c r="F89" s="187" t="str">
        <x:v>EUR</x:v>
      </x:c>
      <x:c r="G89" s="235" t="n">
        <x:v>513936</x:v>
      </x:c>
      <x:c r="H89" s="235" t="n">
        <x:v>7.92</x:v>
      </x:c>
      <x:c r="I89" s="235" t="str">
        <x:v>4070373.1200</x:v>
      </x:c>
      <x:c r="J89" s="235" t="n">
        <x:v>4070373.12</x:v>
      </x:c>
      <x:c r="K89" s="238" t="n">
        <x:f>G89*H89</x:f>
        <x:v>4070373.12</x:v>
      </x:c>
      <x:c r="L89" s="238" t="n">
        <x:f>K89-J89</x:f>
        <x:v>0</x:v>
      </x:c>
      <x:c r="M89" s="187" t="str">
        <x:v>SYNTHETIC_DEMO_DATA</x:v>
      </x:c>
      <x:c r="N89" s="187" t="str">
        <x:v>履约 GMV，不含取消订单</x:v>
      </x:c>
    </x:row>
    <x:row r="90">
      <x:c r="A90" s="187" t="str">
        <x:v>SCENARIO_GROWTH_2026_08</x:v>
      </x:c>
      <x:c r="B90" s="187" t="str">
        <x:v>SCENARIO</x:v>
      </x:c>
      <x:c r="C90" s="187" t="str">
        <x:v>GROWTH</x:v>
      </x:c>
      <x:c r="D90" s="217" t="n">
        <x:v>46266</x:v>
      </x:c>
      <x:c r="E90" s="187" t="str">
        <x:v>FR</x:v>
      </x:c>
      <x:c r="F90" s="187" t="str">
        <x:v>EUR</x:v>
      </x:c>
      <x:c r="G90" s="235" t="n">
        <x:v>448920</x:v>
      </x:c>
      <x:c r="H90" s="235" t="n">
        <x:v>7.92</x:v>
      </x:c>
      <x:c r="I90" s="235" t="str">
        <x:v>3555446.4000</x:v>
      </x:c>
      <x:c r="J90" s="235" t="n">
        <x:v>3555446.4</x:v>
      </x:c>
      <x:c r="K90" s="238" t="n">
        <x:f>G90*H90</x:f>
        <x:v>3555446.4</x:v>
      </x:c>
      <x:c r="L90" s="238" t="n">
        <x:f>K90-J90</x:f>
        <x:v>0</x:v>
      </x:c>
      <x:c r="M90" s="187" t="str">
        <x:v>SYNTHETIC_DEMO_DATA</x:v>
      </x:c>
      <x:c r="N90" s="187" t="str">
        <x:v>履约 GMV，不含取消订单</x:v>
      </x:c>
    </x:row>
    <x:row r="91">
      <x:c r="A91" s="187" t="str">
        <x:v>SCENARIO_GROWTH_2026_08</x:v>
      </x:c>
      <x:c r="B91" s="187" t="str">
        <x:v>SCENARIO</x:v>
      </x:c>
      <x:c r="C91" s="187" t="str">
        <x:v>GROWTH</x:v>
      </x:c>
      <x:c r="D91" s="217" t="n">
        <x:v>46266</x:v>
      </x:c>
      <x:c r="E91" s="187" t="str">
        <x:v>GB</x:v>
      </x:c>
      <x:c r="F91" s="187" t="str">
        <x:v>GBP</x:v>
      </x:c>
      <x:c r="G91" s="235" t="n">
        <x:v>488892.8</x:v>
      </x:c>
      <x:c r="H91" s="235" t="n">
        <x:v>9.15</x:v>
      </x:c>
      <x:c r="I91" s="235" t="str">
        <x:v>4473369.120000</x:v>
      </x:c>
      <x:c r="J91" s="235" t="n">
        <x:v>4473369.12</x:v>
      </x:c>
      <x:c r="K91" s="238" t="n">
        <x:f>G91*H91</x:f>
        <x:v>4473369.12</x:v>
      </x:c>
      <x:c r="L91" s="238" t="n">
        <x:f>K91-J91</x:f>
        <x:v>0</x:v>
      </x:c>
      <x:c r="M91" s="187" t="str">
        <x:v>SYNTHETIC_DEMO_DATA</x:v>
      </x:c>
      <x:c r="N91" s="187" t="str">
        <x:v>履约 GMV，不含取消订单</x:v>
      </x:c>
    </x:row>
    <x:row r="92">
      <x:c r="A92" s="187" t="str">
        <x:v>SCENARIO_GROWTH_2026_08</x:v>
      </x:c>
      <x:c r="B92" s="187" t="str">
        <x:v>SCENARIO</x:v>
      </x:c>
      <x:c r="C92" s="187" t="str">
        <x:v>GROWTH</x:v>
      </x:c>
      <x:c r="D92" s="217" t="n">
        <x:v>46296</x:v>
      </x:c>
      <x:c r="E92" s="187" t="str">
        <x:v>DE</x:v>
      </x:c>
      <x:c r="F92" s="187" t="str">
        <x:v>EUR</x:v>
      </x:c>
      <x:c r="G92" s="235" t="n">
        <x:v>550290</x:v>
      </x:c>
      <x:c r="H92" s="235" t="n">
        <x:v>7.9</x:v>
      </x:c>
      <x:c r="I92" s="235" t="str">
        <x:v>4347291.0000</x:v>
      </x:c>
      <x:c r="J92" s="235" t="n">
        <x:v>4347291</x:v>
      </x:c>
      <x:c r="K92" s="238" t="n">
        <x:f>G92*H92</x:f>
        <x:v>4347291</x:v>
      </x:c>
      <x:c r="L92" s="238" t="n">
        <x:f>K92-J92</x:f>
        <x:v>0</x:v>
      </x:c>
      <x:c r="M92" s="187" t="str">
        <x:v>SYNTHETIC_DEMO_DATA</x:v>
      </x:c>
      <x:c r="N92" s="187" t="str">
        <x:v>履约 GMV，不含取消订单</x:v>
      </x:c>
    </x:row>
    <x:row r="93">
      <x:c r="A93" s="187" t="str">
        <x:v>SCENARIO_GROWTH_2026_08</x:v>
      </x:c>
      <x:c r="B93" s="187" t="str">
        <x:v>SCENARIO</x:v>
      </x:c>
      <x:c r="C93" s="187" t="str">
        <x:v>GROWTH</x:v>
      </x:c>
      <x:c r="D93" s="217" t="n">
        <x:v>46296</x:v>
      </x:c>
      <x:c r="E93" s="187" t="str">
        <x:v>FR</x:v>
      </x:c>
      <x:c r="F93" s="187" t="str">
        <x:v>EUR</x:v>
      </x:c>
      <x:c r="G93" s="235" t="n">
        <x:v>508950</x:v>
      </x:c>
      <x:c r="H93" s="235" t="n">
        <x:v>7.9</x:v>
      </x:c>
      <x:c r="I93" s="235" t="str">
        <x:v>4020705.0000</x:v>
      </x:c>
      <x:c r="J93" s="235" t="n">
        <x:v>4020705</x:v>
      </x:c>
      <x:c r="K93" s="238" t="n">
        <x:f>G93*H93</x:f>
        <x:v>4020705</x:v>
      </x:c>
      <x:c r="L93" s="238" t="n">
        <x:f>K93-J93</x:f>
        <x:v>0</x:v>
      </x:c>
      <x:c r="M93" s="187" t="str">
        <x:v>SYNTHETIC_DEMO_DATA</x:v>
      </x:c>
      <x:c r="N93" s="187" t="str">
        <x:v>履约 GMV，不含取消订单</x:v>
      </x:c>
    </x:row>
    <x:row r="94">
      <x:c r="A94" s="187" t="str">
        <x:v>SCENARIO_GROWTH_2026_08</x:v>
      </x:c>
      <x:c r="B94" s="187" t="str">
        <x:v>SCENARIO</x:v>
      </x:c>
      <x:c r="C94" s="187" t="str">
        <x:v>GROWTH</x:v>
      </x:c>
      <x:c r="D94" s="217" t="n">
        <x:v>46296</x:v>
      </x:c>
      <x:c r="E94" s="187" t="str">
        <x:v>GB</x:v>
      </x:c>
      <x:c r="F94" s="187" t="str">
        <x:v>GBP</x:v>
      </x:c>
      <x:c r="G94" s="235" t="n">
        <x:v>586872</x:v>
      </x:c>
      <x:c r="H94" s="235" t="n">
        <x:v>9.1</x:v>
      </x:c>
      <x:c r="I94" s="235" t="str">
        <x:v>5340535.200000</x:v>
      </x:c>
      <x:c r="J94" s="235" t="n">
        <x:v>5340535.2</x:v>
      </x:c>
      <x:c r="K94" s="238" t="n">
        <x:f>G94*H94</x:f>
        <x:v>5340535.2</x:v>
      </x:c>
      <x:c r="L94" s="238" t="n">
        <x:f>K94-J94</x:f>
        <x:v>0</x:v>
      </x:c>
      <x:c r="M94" s="187" t="str">
        <x:v>SYNTHETIC_DEMO_DATA</x:v>
      </x:c>
      <x:c r="N94" s="187" t="str">
        <x:v>履约 GMV，不含取消订单</x:v>
      </x:c>
    </x:row>
    <x:row r="95">
      <x:c r="A95" s="187" t="str">
        <x:v>SCENARIO_GROWTH_2026_08</x:v>
      </x:c>
      <x:c r="B95" s="187" t="str">
        <x:v>SCENARIO</x:v>
      </x:c>
      <x:c r="C95" s="187" t="str">
        <x:v>GROWTH</x:v>
      </x:c>
      <x:c r="D95" s="217" t="n">
        <x:v>46327</x:v>
      </x:c>
      <x:c r="E95" s="187" t="str">
        <x:v>DE</x:v>
      </x:c>
      <x:c r="F95" s="187" t="str">
        <x:v>EUR</x:v>
      </x:c>
      <x:c r="G95" s="235" t="n">
        <x:v>658688</x:v>
      </x:c>
      <x:c r="H95" s="235" t="n">
        <x:v>7.88</x:v>
      </x:c>
      <x:c r="I95" s="235" t="str">
        <x:v>5190461.4400</x:v>
      </x:c>
      <x:c r="J95" s="235" t="n">
        <x:v>5190461.44</x:v>
      </x:c>
      <x:c r="K95" s="238" t="n">
        <x:f>G95*H95</x:f>
        <x:v>5190461.4399999995</x:v>
      </x:c>
      <x:c r="L95" s="238" t="n">
        <x:f>K95-J95</x:f>
        <x:v>-9.313225746154785e-10</x:v>
      </x:c>
      <x:c r="M95" s="187" t="str">
        <x:v>SYNTHETIC_DEMO_DATA</x:v>
      </x:c>
      <x:c r="N95" s="187" t="str">
        <x:v>履约 GMV，不含取消订单</x:v>
      </x:c>
    </x:row>
    <x:row r="96">
      <x:c r="A96" s="187" t="str">
        <x:v>SCENARIO_GROWTH_2026_08</x:v>
      </x:c>
      <x:c r="B96" s="187" t="str">
        <x:v>SCENARIO</x:v>
      </x:c>
      <x:c r="C96" s="187" t="str">
        <x:v>GROWTH</x:v>
      </x:c>
      <x:c r="D96" s="217" t="n">
        <x:v>46327</x:v>
      </x:c>
      <x:c r="E96" s="187" t="str">
        <x:v>FR</x:v>
      </x:c>
      <x:c r="F96" s="187" t="str">
        <x:v>EUR</x:v>
      </x:c>
      <x:c r="G96" s="235" t="n">
        <x:v>625704</x:v>
      </x:c>
      <x:c r="H96" s="235" t="n">
        <x:v>7.88</x:v>
      </x:c>
      <x:c r="I96" s="235" t="str">
        <x:v>4930547.5200</x:v>
      </x:c>
      <x:c r="J96" s="235" t="n">
        <x:v>4930547.52</x:v>
      </x:c>
      <x:c r="K96" s="238" t="n">
        <x:f>G96*H96</x:f>
        <x:v>4930547.52</x:v>
      </x:c>
      <x:c r="L96" s="238" t="n">
        <x:f>K96-J96</x:f>
        <x:v>0</x:v>
      </x:c>
      <x:c r="M96" s="187" t="str">
        <x:v>SYNTHETIC_DEMO_DATA</x:v>
      </x:c>
      <x:c r="N96" s="187" t="str">
        <x:v>履约 GMV，不含取消订单</x:v>
      </x:c>
    </x:row>
    <x:row r="97">
      <x:c r="A97" s="187" t="str">
        <x:v>SCENARIO_GROWTH_2026_08</x:v>
      </x:c>
      <x:c r="B97" s="187" t="str">
        <x:v>SCENARIO</x:v>
      </x:c>
      <x:c r="C97" s="187" t="str">
        <x:v>GROWTH</x:v>
      </x:c>
      <x:c r="D97" s="217" t="n">
        <x:v>46327</x:v>
      </x:c>
      <x:c r="E97" s="187" t="str">
        <x:v>GB</x:v>
      </x:c>
      <x:c r="F97" s="187" t="str">
        <x:v>GBP</x:v>
      </x:c>
      <x:c r="G97" s="235" t="n">
        <x:v>808579.2</x:v>
      </x:c>
      <x:c r="H97" s="235" t="n">
        <x:v>9.05</x:v>
      </x:c>
      <x:c r="I97" s="235" t="str">
        <x:v>7317641.760000</x:v>
      </x:c>
      <x:c r="J97" s="235" t="n">
        <x:v>7317641.76</x:v>
      </x:c>
      <x:c r="K97" s="238" t="n">
        <x:f>G97*H97</x:f>
        <x:v>7317641.76</x:v>
      </x:c>
      <x:c r="L97" s="238" t="n">
        <x:f>K97-J97</x:f>
        <x:v>0</x:v>
      </x:c>
      <x:c r="M97" s="187" t="str">
        <x:v>SYNTHETIC_DEMO_DATA</x:v>
      </x:c>
      <x:c r="N97" s="187" t="str">
        <x:v>履约 GMV，不含取消订单</x:v>
      </x:c>
    </x:row>
    <x:row r="98">
      <x:c r="A98" s="187" t="str">
        <x:v>SCENARIO_GROWTH_2026_08</x:v>
      </x:c>
      <x:c r="B98" s="187" t="str">
        <x:v>SCENARIO</x:v>
      </x:c>
      <x:c r="C98" s="187" t="str">
        <x:v>GROWTH</x:v>
      </x:c>
      <x:c r="D98" s="217" t="n">
        <x:v>46357</x:v>
      </x:c>
      <x:c r="E98" s="187" t="str">
        <x:v>DE</x:v>
      </x:c>
      <x:c r="F98" s="187" t="str">
        <x:v>EUR</x:v>
      </x:c>
      <x:c r="G98" s="235" t="n">
        <x:v>759616</x:v>
      </x:c>
      <x:c r="H98" s="235" t="n">
        <x:v>7.86</x:v>
      </x:c>
      <x:c r="I98" s="235" t="str">
        <x:v>5970581.7600</x:v>
      </x:c>
      <x:c r="J98" s="235" t="n">
        <x:v>5970581.76</x:v>
      </x:c>
      <x:c r="K98" s="238" t="n">
        <x:f>G98*H98</x:f>
        <x:v>5970581.760000001</x:v>
      </x:c>
      <x:c r="L98" s="238" t="n">
        <x:f>K98-J98</x:f>
        <x:v>9.313225746154785e-10</x:v>
      </x:c>
      <x:c r="M98" s="187" t="str">
        <x:v>SYNTHETIC_DEMO_DATA</x:v>
      </x:c>
      <x:c r="N98" s="187" t="str">
        <x:v>履约 GMV，不含取消订单</x:v>
      </x:c>
    </x:row>
    <x:row r="99">
      <x:c r="A99" s="187" t="str">
        <x:v>SCENARIO_GROWTH_2026_08</x:v>
      </x:c>
      <x:c r="B99" s="187" t="str">
        <x:v>SCENARIO</x:v>
      </x:c>
      <x:c r="C99" s="187" t="str">
        <x:v>GROWTH</x:v>
      </x:c>
      <x:c r="D99" s="217" t="n">
        <x:v>46357</x:v>
      </x:c>
      <x:c r="E99" s="187" t="str">
        <x:v>FR</x:v>
      </x:c>
      <x:c r="F99" s="187" t="str">
        <x:v>EUR</x:v>
      </x:c>
      <x:c r="G99" s="235" t="n">
        <x:v>696696</x:v>
      </x:c>
      <x:c r="H99" s="235" t="n">
        <x:v>7.86</x:v>
      </x:c>
      <x:c r="I99" s="235" t="str">
        <x:v>5476030.5600</x:v>
      </x:c>
      <x:c r="J99" s="235" t="n">
        <x:v>5476030.56</x:v>
      </x:c>
      <x:c r="K99" s="238" t="n">
        <x:f>G99*H99</x:f>
        <x:v>5476030.5600000005</x:v>
      </x:c>
      <x:c r="L99" s="238" t="n">
        <x:f>K99-J99</x:f>
        <x:v>9.313225746154785e-10</x:v>
      </x:c>
      <x:c r="M99" s="187" t="str">
        <x:v>SYNTHETIC_DEMO_DATA</x:v>
      </x:c>
      <x:c r="N99" s="187" t="str">
        <x:v>履约 GMV，不含取消订单</x:v>
      </x:c>
    </x:row>
    <x:row r="100">
      <x:c r="A100" s="187" t="str">
        <x:v>SCENARIO_GROWTH_2026_08</x:v>
      </x:c>
      <x:c r="B100" s="187" t="str">
        <x:v>SCENARIO</x:v>
      </x:c>
      <x:c r="C100" s="187" t="str">
        <x:v>GROWTH</x:v>
      </x:c>
      <x:c r="D100" s="217" t="n">
        <x:v>46357</x:v>
      </x:c>
      <x:c r="E100" s="187" t="str">
        <x:v>GB</x:v>
      </x:c>
      <x:c r="F100" s="187" t="str">
        <x:v>GBP</x:v>
      </x:c>
      <x:c r="G100" s="235" t="n">
        <x:v>956384</x:v>
      </x:c>
      <x:c r="H100" s="235" t="n">
        <x:v>9</x:v>
      </x:c>
      <x:c r="I100" s="235" t="str">
        <x:v>8607456.000000</x:v>
      </x:c>
      <x:c r="J100" s="235" t="n">
        <x:v>8607456</x:v>
      </x:c>
      <x:c r="K100" s="238" t="n">
        <x:f>G100*H100</x:f>
        <x:v>8607456</x:v>
      </x:c>
      <x:c r="L100" s="238" t="n">
        <x:f>K100-J100</x:f>
        <x:v>0</x:v>
      </x:c>
      <x:c r="M100" s="187" t="str">
        <x:v>SYNTHETIC_DEMO_DATA</x:v>
      </x:c>
      <x:c r="N100" s="187" t="str">
        <x:v>履约 GMV，不含取消订单</x:v>
      </x:c>
    </x:row>
    <x:row r="101">
      <x:c r="A101" s="187" t="str">
        <x:v>SCENARIO_COST_SAVING_2026_08</x:v>
      </x:c>
      <x:c r="B101" s="187" t="str">
        <x:v>SCENARIO</x:v>
      </x:c>
      <x:c r="C101" s="187" t="str">
        <x:v>COST_SAVING</x:v>
      </x:c>
      <x:c r="D101" s="217" t="n">
        <x:v>46266</x:v>
      </x:c>
      <x:c r="E101" s="187" t="str">
        <x:v>DE</x:v>
      </x:c>
      <x:c r="F101" s="187" t="str">
        <x:v>EUR</x:v>
      </x:c>
      <x:c r="G101" s="235" t="n">
        <x:v>513936</x:v>
      </x:c>
      <x:c r="H101" s="235" t="n">
        <x:v>7.92</x:v>
      </x:c>
      <x:c r="I101" s="235" t="str">
        <x:v>4070373.1200</x:v>
      </x:c>
      <x:c r="J101" s="235" t="n">
        <x:v>4070373.12</x:v>
      </x:c>
      <x:c r="K101" s="238" t="n">
        <x:f>G101*H101</x:f>
        <x:v>4070373.12</x:v>
      </x:c>
      <x:c r="L101" s="238" t="n">
        <x:f>K101-J101</x:f>
        <x:v>0</x:v>
      </x:c>
      <x:c r="M101" s="187" t="str">
        <x:v>SYNTHETIC_DEMO_DATA</x:v>
      </x:c>
      <x:c r="N101" s="187" t="str">
        <x:v>履约 GMV，不含取消订单</x:v>
      </x:c>
    </x:row>
    <x:row r="102">
      <x:c r="A102" s="187" t="str">
        <x:v>SCENARIO_COST_SAVING_2026_08</x:v>
      </x:c>
      <x:c r="B102" s="187" t="str">
        <x:v>SCENARIO</x:v>
      </x:c>
      <x:c r="C102" s="187" t="str">
        <x:v>COST_SAVING</x:v>
      </x:c>
      <x:c r="D102" s="217" t="n">
        <x:v>46266</x:v>
      </x:c>
      <x:c r="E102" s="187" t="str">
        <x:v>FR</x:v>
      </x:c>
      <x:c r="F102" s="187" t="str">
        <x:v>EUR</x:v>
      </x:c>
      <x:c r="G102" s="235" t="n">
        <x:v>448920</x:v>
      </x:c>
      <x:c r="H102" s="235" t="n">
        <x:v>7.92</x:v>
      </x:c>
      <x:c r="I102" s="235" t="str">
        <x:v>3555446.4000</x:v>
      </x:c>
      <x:c r="J102" s="235" t="n">
        <x:v>3555446.4</x:v>
      </x:c>
      <x:c r="K102" s="238" t="n">
        <x:f>G102*H102</x:f>
        <x:v>3555446.4</x:v>
      </x:c>
      <x:c r="L102" s="238" t="n">
        <x:f>K102-J102</x:f>
        <x:v>0</x:v>
      </x:c>
      <x:c r="M102" s="187" t="str">
        <x:v>SYNTHETIC_DEMO_DATA</x:v>
      </x:c>
      <x:c r="N102" s="187" t="str">
        <x:v>履约 GMV，不含取消订单</x:v>
      </x:c>
    </x:row>
    <x:row r="103">
      <x:c r="A103" s="187" t="str">
        <x:v>SCENARIO_COST_SAVING_2026_08</x:v>
      </x:c>
      <x:c r="B103" s="187" t="str">
        <x:v>SCENARIO</x:v>
      </x:c>
      <x:c r="C103" s="187" t="str">
        <x:v>COST_SAVING</x:v>
      </x:c>
      <x:c r="D103" s="217" t="n">
        <x:v>46266</x:v>
      </x:c>
      <x:c r="E103" s="187" t="str">
        <x:v>GB</x:v>
      </x:c>
      <x:c r="F103" s="187" t="str">
        <x:v>GBP</x:v>
      </x:c>
      <x:c r="G103" s="235" t="n">
        <x:v>444448</x:v>
      </x:c>
      <x:c r="H103" s="235" t="n">
        <x:v>9.15</x:v>
      </x:c>
      <x:c r="I103" s="235" t="str">
        <x:v>4066699.2000</x:v>
      </x:c>
      <x:c r="J103" s="235" t="n">
        <x:v>4066699.2</x:v>
      </x:c>
      <x:c r="K103" s="238" t="n">
        <x:f>G103*H103</x:f>
        <x:v>4066699.2</x:v>
      </x:c>
      <x:c r="L103" s="238" t="n">
        <x:f>K103-J103</x:f>
        <x:v>0</x:v>
      </x:c>
      <x:c r="M103" s="187" t="str">
        <x:v>SYNTHETIC_DEMO_DATA</x:v>
      </x:c>
      <x:c r="N103" s="187" t="str">
        <x:v>履约 GMV，不含取消订单</x:v>
      </x:c>
    </x:row>
    <x:row r="104">
      <x:c r="A104" s="187" t="str">
        <x:v>SCENARIO_COST_SAVING_2026_08</x:v>
      </x:c>
      <x:c r="B104" s="187" t="str">
        <x:v>SCENARIO</x:v>
      </x:c>
      <x:c r="C104" s="187" t="str">
        <x:v>COST_SAVING</x:v>
      </x:c>
      <x:c r="D104" s="217" t="n">
        <x:v>46296</x:v>
      </x:c>
      <x:c r="E104" s="187" t="str">
        <x:v>DE</x:v>
      </x:c>
      <x:c r="F104" s="187" t="str">
        <x:v>EUR</x:v>
      </x:c>
      <x:c r="G104" s="235" t="n">
        <x:v>550290</x:v>
      </x:c>
      <x:c r="H104" s="235" t="n">
        <x:v>7.9</x:v>
      </x:c>
      <x:c r="I104" s="235" t="str">
        <x:v>4347291.0000</x:v>
      </x:c>
      <x:c r="J104" s="235" t="n">
        <x:v>4347291</x:v>
      </x:c>
      <x:c r="K104" s="238" t="n">
        <x:f>G104*H104</x:f>
        <x:v>4347291</x:v>
      </x:c>
      <x:c r="L104" s="238" t="n">
        <x:f>K104-J104</x:f>
        <x:v>0</x:v>
      </x:c>
      <x:c r="M104" s="187" t="str">
        <x:v>SYNTHETIC_DEMO_DATA</x:v>
      </x:c>
      <x:c r="N104" s="187" t="str">
        <x:v>履约 GMV，不含取消订单</x:v>
      </x:c>
    </x:row>
    <x:row r="105">
      <x:c r="A105" s="187" t="str">
        <x:v>SCENARIO_COST_SAVING_2026_08</x:v>
      </x:c>
      <x:c r="B105" s="187" t="str">
        <x:v>SCENARIO</x:v>
      </x:c>
      <x:c r="C105" s="187" t="str">
        <x:v>COST_SAVING</x:v>
      </x:c>
      <x:c r="D105" s="217" t="n">
        <x:v>46296</x:v>
      </x:c>
      <x:c r="E105" s="187" t="str">
        <x:v>FR</x:v>
      </x:c>
      <x:c r="F105" s="187" t="str">
        <x:v>EUR</x:v>
      </x:c>
      <x:c r="G105" s="235" t="n">
        <x:v>508950</x:v>
      </x:c>
      <x:c r="H105" s="235" t="n">
        <x:v>7.9</x:v>
      </x:c>
      <x:c r="I105" s="235" t="str">
        <x:v>4020705.0000</x:v>
      </x:c>
      <x:c r="J105" s="235" t="n">
        <x:v>4020705</x:v>
      </x:c>
      <x:c r="K105" s="238" t="n">
        <x:f>G105*H105</x:f>
        <x:v>4020705</x:v>
      </x:c>
      <x:c r="L105" s="238" t="n">
        <x:f>K105-J105</x:f>
        <x:v>0</x:v>
      </x:c>
      <x:c r="M105" s="187" t="str">
        <x:v>SYNTHETIC_DEMO_DATA</x:v>
      </x:c>
      <x:c r="N105" s="187" t="str">
        <x:v>履约 GMV，不含取消订单</x:v>
      </x:c>
    </x:row>
    <x:row r="106">
      <x:c r="A106" s="187" t="str">
        <x:v>SCENARIO_COST_SAVING_2026_08</x:v>
      </x:c>
      <x:c r="B106" s="187" t="str">
        <x:v>SCENARIO</x:v>
      </x:c>
      <x:c r="C106" s="187" t="str">
        <x:v>COST_SAVING</x:v>
      </x:c>
      <x:c r="D106" s="217" t="n">
        <x:v>46296</x:v>
      </x:c>
      <x:c r="E106" s="187" t="str">
        <x:v>GB</x:v>
      </x:c>
      <x:c r="F106" s="187" t="str">
        <x:v>GBP</x:v>
      </x:c>
      <x:c r="G106" s="235" t="n">
        <x:v>533520</x:v>
      </x:c>
      <x:c r="H106" s="235" t="n">
        <x:v>9.1</x:v>
      </x:c>
      <x:c r="I106" s="235" t="str">
        <x:v>4855032.0000</x:v>
      </x:c>
      <x:c r="J106" s="235" t="n">
        <x:v>4855032</x:v>
      </x:c>
      <x:c r="K106" s="238" t="n">
        <x:f>G106*H106</x:f>
        <x:v>4855032</x:v>
      </x:c>
      <x:c r="L106" s="238" t="n">
        <x:f>K106-J106</x:f>
        <x:v>0</x:v>
      </x:c>
      <x:c r="M106" s="187" t="str">
        <x:v>SYNTHETIC_DEMO_DATA</x:v>
      </x:c>
      <x:c r="N106" s="187" t="str">
        <x:v>履约 GMV，不含取消订单</x:v>
      </x:c>
    </x:row>
    <x:row r="107">
      <x:c r="A107" s="187" t="str">
        <x:v>SCENARIO_COST_SAVING_2026_08</x:v>
      </x:c>
      <x:c r="B107" s="187" t="str">
        <x:v>SCENARIO</x:v>
      </x:c>
      <x:c r="C107" s="187" t="str">
        <x:v>COST_SAVING</x:v>
      </x:c>
      <x:c r="D107" s="217" t="n">
        <x:v>46327</x:v>
      </x:c>
      <x:c r="E107" s="187" t="str">
        <x:v>DE</x:v>
      </x:c>
      <x:c r="F107" s="187" t="str">
        <x:v>EUR</x:v>
      </x:c>
      <x:c r="G107" s="235" t="n">
        <x:v>658688</x:v>
      </x:c>
      <x:c r="H107" s="235" t="n">
        <x:v>7.88</x:v>
      </x:c>
      <x:c r="I107" s="235" t="str">
        <x:v>5190461.4400</x:v>
      </x:c>
      <x:c r="J107" s="235" t="n">
        <x:v>5190461.44</x:v>
      </x:c>
      <x:c r="K107" s="238" t="n">
        <x:f>G107*H107</x:f>
        <x:v>5190461.4399999995</x:v>
      </x:c>
      <x:c r="L107" s="238" t="n">
        <x:f>K107-J107</x:f>
        <x:v>-9.313225746154785e-10</x:v>
      </x:c>
      <x:c r="M107" s="187" t="str">
        <x:v>SYNTHETIC_DEMO_DATA</x:v>
      </x:c>
      <x:c r="N107" s="187" t="str">
        <x:v>履约 GMV，不含取消订单</x:v>
      </x:c>
    </x:row>
    <x:row r="108">
      <x:c r="A108" s="187" t="str">
        <x:v>SCENARIO_COST_SAVING_2026_08</x:v>
      </x:c>
      <x:c r="B108" s="187" t="str">
        <x:v>SCENARIO</x:v>
      </x:c>
      <x:c r="C108" s="187" t="str">
        <x:v>COST_SAVING</x:v>
      </x:c>
      <x:c r="D108" s="217" t="n">
        <x:v>46327</x:v>
      </x:c>
      <x:c r="E108" s="187" t="str">
        <x:v>FR</x:v>
      </x:c>
      <x:c r="F108" s="187" t="str">
        <x:v>EUR</x:v>
      </x:c>
      <x:c r="G108" s="235" t="n">
        <x:v>625704</x:v>
      </x:c>
      <x:c r="H108" s="235" t="n">
        <x:v>7.88</x:v>
      </x:c>
      <x:c r="I108" s="235" t="str">
        <x:v>4930547.5200</x:v>
      </x:c>
      <x:c r="J108" s="235" t="n">
        <x:v>4930547.52</x:v>
      </x:c>
      <x:c r="K108" s="238" t="n">
        <x:f>G108*H108</x:f>
        <x:v>4930547.52</x:v>
      </x:c>
      <x:c r="L108" s="238" t="n">
        <x:f>K108-J108</x:f>
        <x:v>0</x:v>
      </x:c>
      <x:c r="M108" s="187" t="str">
        <x:v>SYNTHETIC_DEMO_DATA</x:v>
      </x:c>
      <x:c r="N108" s="187" t="str">
        <x:v>履约 GMV，不含取消订单</x:v>
      </x:c>
    </x:row>
    <x:row r="109">
      <x:c r="A109" s="187" t="str">
        <x:v>SCENARIO_COST_SAVING_2026_08</x:v>
      </x:c>
      <x:c r="B109" s="187" t="str">
        <x:v>SCENARIO</x:v>
      </x:c>
      <x:c r="C109" s="187" t="str">
        <x:v>COST_SAVING</x:v>
      </x:c>
      <x:c r="D109" s="217" t="n">
        <x:v>46327</x:v>
      </x:c>
      <x:c r="E109" s="187" t="str">
        <x:v>GB</x:v>
      </x:c>
      <x:c r="F109" s="187" t="str">
        <x:v>GBP</x:v>
      </x:c>
      <x:c r="G109" s="235" t="n">
        <x:v>735072</x:v>
      </x:c>
      <x:c r="H109" s="235" t="n">
        <x:v>9.05</x:v>
      </x:c>
      <x:c r="I109" s="235" t="str">
        <x:v>6652401.6000</x:v>
      </x:c>
      <x:c r="J109" s="235" t="n">
        <x:v>6652401.6</x:v>
      </x:c>
      <x:c r="K109" s="238" t="n">
        <x:f>G109*H109</x:f>
        <x:v>6652401.600000001</x:v>
      </x:c>
      <x:c r="L109" s="238" t="n">
        <x:f>K109-J109</x:f>
        <x:v>9.313225746154785e-10</x:v>
      </x:c>
      <x:c r="M109" s="187" t="str">
        <x:v>SYNTHETIC_DEMO_DATA</x:v>
      </x:c>
      <x:c r="N109" s="187" t="str">
        <x:v>履约 GMV，不含取消订单</x:v>
      </x:c>
    </x:row>
    <x:row r="110">
      <x:c r="A110" s="187" t="str">
        <x:v>SCENARIO_COST_SAVING_2026_08</x:v>
      </x:c>
      <x:c r="B110" s="187" t="str">
        <x:v>SCENARIO</x:v>
      </x:c>
      <x:c r="C110" s="187" t="str">
        <x:v>COST_SAVING</x:v>
      </x:c>
      <x:c r="D110" s="217" t="n">
        <x:v>46357</x:v>
      </x:c>
      <x:c r="E110" s="187" t="str">
        <x:v>DE</x:v>
      </x:c>
      <x:c r="F110" s="187" t="str">
        <x:v>EUR</x:v>
      </x:c>
      <x:c r="G110" s="235" t="n">
        <x:v>759616</x:v>
      </x:c>
      <x:c r="H110" s="235" t="n">
        <x:v>7.86</x:v>
      </x:c>
      <x:c r="I110" s="235" t="str">
        <x:v>5970581.7600</x:v>
      </x:c>
      <x:c r="J110" s="235" t="n">
        <x:v>5970581.76</x:v>
      </x:c>
      <x:c r="K110" s="238" t="n">
        <x:f>G110*H110</x:f>
        <x:v>5970581.760000001</x:v>
      </x:c>
      <x:c r="L110" s="238" t="n">
        <x:f>K110-J110</x:f>
        <x:v>9.313225746154785e-10</x:v>
      </x:c>
      <x:c r="M110" s="187" t="str">
        <x:v>SYNTHETIC_DEMO_DATA</x:v>
      </x:c>
      <x:c r="N110" s="187" t="str">
        <x:v>履约 GMV，不含取消订单</x:v>
      </x:c>
    </x:row>
    <x:row r="111">
      <x:c r="A111" s="187" t="str">
        <x:v>SCENARIO_COST_SAVING_2026_08</x:v>
      </x:c>
      <x:c r="B111" s="187" t="str">
        <x:v>SCENARIO</x:v>
      </x:c>
      <x:c r="C111" s="187" t="str">
        <x:v>COST_SAVING</x:v>
      </x:c>
      <x:c r="D111" s="217" t="n">
        <x:v>46357</x:v>
      </x:c>
      <x:c r="E111" s="187" t="str">
        <x:v>FR</x:v>
      </x:c>
      <x:c r="F111" s="187" t="str">
        <x:v>EUR</x:v>
      </x:c>
      <x:c r="G111" s="235" t="n">
        <x:v>696696</x:v>
      </x:c>
      <x:c r="H111" s="235" t="n">
        <x:v>7.86</x:v>
      </x:c>
      <x:c r="I111" s="235" t="str">
        <x:v>5476030.5600</x:v>
      </x:c>
      <x:c r="J111" s="235" t="n">
        <x:v>5476030.56</x:v>
      </x:c>
      <x:c r="K111" s="238" t="n">
        <x:f>G111*H111</x:f>
        <x:v>5476030.5600000005</x:v>
      </x:c>
      <x:c r="L111" s="238" t="n">
        <x:f>K111-J111</x:f>
        <x:v>9.313225746154785e-10</x:v>
      </x:c>
      <x:c r="M111" s="187" t="str">
        <x:v>SYNTHETIC_DEMO_DATA</x:v>
      </x:c>
      <x:c r="N111" s="187" t="str">
        <x:v>履约 GMV，不含取消订单</x:v>
      </x:c>
    </x:row>
    <x:row r="112">
      <x:c r="A112" s="188" t="str">
        <x:v>SCENARIO_COST_SAVING_2026_08</x:v>
      </x:c>
      <x:c r="B112" s="188" t="str">
        <x:v>SCENARIO</x:v>
      </x:c>
      <x:c r="C112" s="188" t="str">
        <x:v>COST_SAVING</x:v>
      </x:c>
      <x:c r="D112" s="218" t="n">
        <x:v>46357</x:v>
      </x:c>
      <x:c r="E112" s="188" t="str">
        <x:v>GB</x:v>
      </x:c>
      <x:c r="F112" s="188" t="str">
        <x:v>GBP</x:v>
      </x:c>
      <x:c r="G112" s="236" t="n">
        <x:v>869440</x:v>
      </x:c>
      <x:c r="H112" s="236" t="n">
        <x:v>9</x:v>
      </x:c>
      <x:c r="I112" s="236" t="str">
        <x:v>7824960.0000</x:v>
      </x:c>
      <x:c r="J112" s="236" t="n">
        <x:v>7824960</x:v>
      </x:c>
      <x:c r="K112" s="239" t="n">
        <x:f>G112*H112</x:f>
        <x:v>7824960</x:v>
      </x:c>
      <x:c r="L112" s="239" t="n">
        <x:f>K112-J112</x:f>
        <x:v>0</x:v>
      </x:c>
      <x:c r="M112" s="188" t="str">
        <x:v>SYNTHETIC_DEMO_DATA</x:v>
      </x:c>
      <x:c r="N112" s="188" t="str">
        <x:v>履约 GMV，不含取消订单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8c2c3e0face9459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2" customHeight="1">
      <x:c r="A1" s="3" t="str">
        <x:v>服务事实与成熟度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Actual 准时率 = 按时妥投包裹 ÷ 已到承诺截止日期包裹；Forecast/情景使用版本化线路预计准时率。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0" customHeight="1">
      <x:c r="A4" s="179" t="str">
        <x:v>Version</x:v>
      </x:c>
      <x:c r="B4" s="180" t="str">
        <x:v>Type</x:v>
      </x:c>
      <x:c r="C4" s="180" t="str">
        <x:v>Scenario</x:v>
      </x:c>
      <x:c r="D4" s="180" t="str">
        <x:v>Month</x:v>
      </x:c>
      <x:c r="E4" s="180" t="str">
        <x:v>Route</x:v>
      </x:c>
      <x:c r="F4" s="180" t="str">
        <x:v>Destination</x:v>
      </x:c>
      <x:c r="G4" s="180" t="str">
        <x:v>FC</x:v>
      </x:c>
      <x:c r="H4" s="180" t="str">
        <x:v>Carrier</x:v>
      </x:c>
      <x:c r="I4" s="180" t="str">
        <x:v>Mode</x:v>
      </x:c>
      <x:c r="J4" s="180" t="str">
        <x:v>Cohort Packages</x:v>
      </x:c>
      <x:c r="K4" s="180" t="str">
        <x:v>Due Packages</x:v>
      </x:c>
      <x:c r="L4" s="180" t="str">
        <x:v>On-time Packages</x:v>
      </x:c>
      <x:c r="M4" s="180" t="str">
        <x:v>On-time Rate</x:v>
      </x:c>
      <x:c r="N4" s="180" t="str">
        <x:v>Maturity Rate</x:v>
      </x:c>
      <x:c r="O4" s="180" t="str">
        <x:v>Recalc Rate</x:v>
      </x:c>
      <x:c r="P4" s="181" t="str">
        <x:v>Delta</x:v>
      </x:c>
    </x:row>
    <x:row r="5">
      <x:c r="A5" s="186" t="str">
        <x:v>BUDGET_2026_V1</x:v>
      </x:c>
      <x:c r="B5" s="186" t="str">
        <x:v>BUDGET</x:v>
      </x:c>
      <x:c r="C5" s="186"/>
      <x:c r="D5" s="216" t="n">
        <x:v>46023</x:v>
      </x:c>
      <x:c r="E5" s="186" t="str">
        <x:v>R_DE_DE_A_ROAD</x:v>
      </x:c>
      <x:c r="F5" s="186" t="str">
        <x:v>DE</x:v>
      </x:c>
      <x:c r="G5" s="186" t="str">
        <x:v>DE_FC</x:v>
      </x:c>
      <x:c r="H5" s="186" t="str">
        <x:v>CARRIER_A</x:v>
      </x:c>
      <x:c r="I5" s="186" t="str">
        <x:v>ROAD</x:v>
      </x:c>
      <x:c r="J5" s="231" t="n">
        <x:v>3593.268</x:v>
      </x:c>
      <x:c r="K5" s="231" t="n">
        <x:v>3593.268</x:v>
      </x:c>
      <x:c r="L5" s="231" t="n">
        <x:v>3467.50362</x:v>
      </x:c>
      <x:c r="M5" s="240" t="n">
        <x:v>0.965</x:v>
      </x:c>
      <x:c r="N5" s="240" t="n">
        <x:v>1</x:v>
      </x:c>
      <x:c r="O5" s="243" t="n">
        <x:f>IF(K5="",M5,L5/K5)</x:f>
        <x:v>0.965</x:v>
      </x:c>
      <x:c r="P5" s="243" t="n">
        <x:f>O5-M5</x:f>
        <x:v>0</x:v>
      </x:c>
    </x:row>
    <x:row r="6">
      <x:c r="A6" s="187" t="str">
        <x:v>BUDGET_2026_V1</x:v>
      </x:c>
      <x:c r="B6" s="187" t="str">
        <x:v>BUDGET</x:v>
      </x:c>
      <x:c r="C6" s="187"/>
      <x:c r="D6" s="217" t="n">
        <x:v>46023</x:v>
      </x:c>
      <x:c r="E6" s="187" t="str">
        <x:v>R_DE_DE_B_ROAD</x:v>
      </x:c>
      <x:c r="F6" s="187" t="str">
        <x:v>DE</x:v>
      </x:c>
      <x:c r="G6" s="187" t="str">
        <x:v>DE_FC</x:v>
      </x:c>
      <x:c r="H6" s="187" t="str">
        <x:v>CARRIER_B</x:v>
      </x:c>
      <x:c r="I6" s="187" t="str">
        <x:v>ROAD</x:v>
      </x:c>
      <x:c r="J6" s="232" t="n">
        <x:v>2395.512</x:v>
      </x:c>
      <x:c r="K6" s="232" t="n">
        <x:v>2395.512</x:v>
      </x:c>
      <x:c r="L6" s="232" t="n">
        <x:v>2338.019712</x:v>
      </x:c>
      <x:c r="M6" s="241" t="n">
        <x:v>0.976</x:v>
      </x:c>
      <x:c r="N6" s="241" t="n">
        <x:v>1</x:v>
      </x:c>
      <x:c r="O6" s="244" t="n">
        <x:f>IF(K6="",M6,L6/K6)</x:f>
        <x:v>0.9759999999999999</x:v>
      </x:c>
      <x:c r="P6" s="244" t="n">
        <x:f>O6-M6</x:f>
        <x:v>-1.1102230246251565e-16</x:v>
      </x:c>
    </x:row>
    <x:row r="7">
      <x:c r="A7" s="187" t="str">
        <x:v>BUDGET_2026_V1</x:v>
      </x:c>
      <x:c r="B7" s="187" t="str">
        <x:v>BUDGET</x:v>
      </x:c>
      <x:c r="C7" s="187"/>
      <x:c r="D7" s="217" t="n">
        <x:v>46023</x:v>
      </x:c>
      <x:c r="E7" s="187" t="str">
        <x:v>R_DE_FR_B_ROAD</x:v>
      </x:c>
      <x:c r="F7" s="187" t="str">
        <x:v>DE</x:v>
      </x:c>
      <x:c r="G7" s="187" t="str">
        <x:v>FR_FC</x:v>
      </x:c>
      <x:c r="H7" s="187" t="str">
        <x:v>CARRIER_B</x:v>
      </x:c>
      <x:c r="I7" s="187" t="str">
        <x:v>ROAD</x:v>
      </x:c>
      <x:c r="J7" s="232" t="n">
        <x:v>190.512</x:v>
      </x:c>
      <x:c r="K7" s="232" t="n">
        <x:v>190.512</x:v>
      </x:c>
      <x:c r="L7" s="232" t="n">
        <x:v>184.415616</x:v>
      </x:c>
      <x:c r="M7" s="241" t="n">
        <x:v>0.968</x:v>
      </x:c>
      <x:c r="N7" s="241" t="n">
        <x:v>1</x:v>
      </x:c>
      <x:c r="O7" s="244" t="n">
        <x:f>IF(K7="",M7,L7/K7)</x:f>
        <x:v>0.968</x:v>
      </x:c>
      <x:c r="P7" s="244" t="n">
        <x:f>O7-M7</x:f>
        <x:v>0</x:v>
      </x:c>
    </x:row>
    <x:row r="8">
      <x:c r="A8" s="187" t="str">
        <x:v>BUDGET_2026_V1</x:v>
      </x:c>
      <x:c r="B8" s="187" t="str">
        <x:v>BUDGET</x:v>
      </x:c>
      <x:c r="C8" s="187"/>
      <x:c r="D8" s="217" t="n">
        <x:v>46023</x:v>
      </x:c>
      <x:c r="E8" s="187" t="str">
        <x:v>R_FR_FR_A_ROAD</x:v>
      </x:c>
      <x:c r="F8" s="187" t="str">
        <x:v>FR</x:v>
      </x:c>
      <x:c r="G8" s="187" t="str">
        <x:v>FR_FC</x:v>
      </x:c>
      <x:c r="H8" s="187" t="str">
        <x:v>CARRIER_A</x:v>
      </x:c>
      <x:c r="I8" s="187" t="str">
        <x:v>ROAD</x:v>
      </x:c>
      <x:c r="J8" s="232" t="n">
        <x:v>1662.08</x:v>
      </x:c>
      <x:c r="K8" s="232" t="n">
        <x:v>1662.08</x:v>
      </x:c>
      <x:c r="L8" s="232" t="n">
        <x:v>1597.25888</x:v>
      </x:c>
      <x:c r="M8" s="241" t="n">
        <x:v>0.961</x:v>
      </x:c>
      <x:c r="N8" s="241" t="n">
        <x:v>1</x:v>
      </x:c>
      <x:c r="O8" s="244" t="n">
        <x:f>IF(K8="",M8,L8/K8)</x:f>
        <x:v>0.9610000000000001</x:v>
      </x:c>
      <x:c r="P8" s="244" t="n">
        <x:f>O8-M8</x:f>
        <x:v>1.1102230246251565e-16</x:v>
      </x:c>
    </x:row>
    <x:row r="9">
      <x:c r="A9" s="187" t="str">
        <x:v>BUDGET_2026_V1</x:v>
      </x:c>
      <x:c r="B9" s="187" t="str">
        <x:v>BUDGET</x:v>
      </x:c>
      <x:c r="C9" s="187"/>
      <x:c r="D9" s="217" t="n">
        <x:v>46023</x:v>
      </x:c>
      <x:c r="E9" s="187" t="str">
        <x:v>R_FR_FR_B_ROAD</x:v>
      </x:c>
      <x:c r="F9" s="187" t="str">
        <x:v>FR</x:v>
      </x:c>
      <x:c r="G9" s="187" t="str">
        <x:v>FR_FC</x:v>
      </x:c>
      <x:c r="H9" s="187" t="str">
        <x:v>CARRIER_B</x:v>
      </x:c>
      <x:c r="I9" s="187" t="str">
        <x:v>ROAD</x:v>
      </x:c>
      <x:c r="J9" s="232" t="n">
        <x:v>3086.72</x:v>
      </x:c>
      <x:c r="K9" s="232" t="n">
        <x:v>3086.72</x:v>
      </x:c>
      <x:c r="L9" s="232" t="n">
        <x:v>3003.37856</x:v>
      </x:c>
      <x:c r="M9" s="241" t="n">
        <x:v>0.973</x:v>
      </x:c>
      <x:c r="N9" s="241" t="n">
        <x:v>1</x:v>
      </x:c>
      <x:c r="O9" s="244" t="n">
        <x:f>IF(K9="",M9,L9/K9)</x:f>
        <x:v>0.9730000000000001</x:v>
      </x:c>
      <x:c r="P9" s="244" t="n">
        <x:f>O9-M9</x:f>
        <x:v>1.1102230246251565e-16</x:v>
      </x:c>
    </x:row>
    <x:row r="10">
      <x:c r="A10" s="187" t="str">
        <x:v>BUDGET_2026_V1</x:v>
      </x:c>
      <x:c r="B10" s="187" t="str">
        <x:v>BUDGET</x:v>
      </x:c>
      <x:c r="C10" s="187"/>
      <x:c r="D10" s="217" t="n">
        <x:v>46023</x:v>
      </x:c>
      <x:c r="E10" s="187" t="str">
        <x:v>R_GB_DE_A_ROAD</x:v>
      </x:c>
      <x:c r="F10" s="187" t="str">
        <x:v>GB</x:v>
      </x:c>
      <x:c r="G10" s="187" t="str">
        <x:v>DE_FC</x:v>
      </x:c>
      <x:c r="H10" s="187" t="str">
        <x:v>CARRIER_A</x:v>
      </x:c>
      <x:c r="I10" s="187" t="str">
        <x:v>ROAD</x:v>
      </x:c>
      <x:c r="J10" s="232" t="n">
        <x:v>2543.9232</x:v>
      </x:c>
      <x:c r="K10" s="232" t="n">
        <x:v>2543.9232</x:v>
      </x:c>
      <x:c r="L10" s="232" t="n">
        <x:v>2365.848576</x:v>
      </x:c>
      <x:c r="M10" s="241" t="n">
        <x:v>0.93</x:v>
      </x:c>
      <x:c r="N10" s="241" t="n">
        <x:v>1</x:v>
      </x:c>
      <x:c r="O10" s="244" t="n">
        <x:f>IF(K10="",M10,L10/K10)</x:f>
        <x:v>0.9299999999999998</x:v>
      </x:c>
      <x:c r="P10" s="244" t="n">
        <x:f>O10-M10</x:f>
        <x:v>-2.220446049250313e-16</x:v>
      </x:c>
    </x:row>
    <x:row r="11">
      <x:c r="A11" s="187" t="str">
        <x:v>BUDGET_2026_V1</x:v>
      </x:c>
      <x:c r="B11" s="187" t="str">
        <x:v>BUDGET</x:v>
      </x:c>
      <x:c r="C11" s="187"/>
      <x:c r="D11" s="217" t="n">
        <x:v>46023</x:v>
      </x:c>
      <x:c r="E11" s="187" t="str">
        <x:v>R_GB_DE_B_ROAD</x:v>
      </x:c>
      <x:c r="F11" s="187" t="str">
        <x:v>GB</x:v>
      </x:c>
      <x:c r="G11" s="187" t="str">
        <x:v>DE_FC</x:v>
      </x:c>
      <x:c r="H11" s="187" t="str">
        <x:v>CARRIER_B</x:v>
      </x:c>
      <x:c r="I11" s="187" t="str">
        <x:v>ROAD</x:v>
      </x:c>
      <x:c r="J11" s="232" t="n">
        <x:v>978.432</x:v>
      </x:c>
      <x:c r="K11" s="232" t="n">
        <x:v>978.432</x:v>
      </x:c>
      <x:c r="L11" s="232" t="n">
        <x:v>929.5104</x:v>
      </x:c>
      <x:c r="M11" s="241" t="n">
        <x:v>0.95</x:v>
      </x:c>
      <x:c r="N11" s="241" t="n">
        <x:v>1</x:v>
      </x:c>
      <x:c r="O11" s="244" t="n">
        <x:f>IF(K11="",M11,L11/K11)</x:f>
        <x:v>0.95</x:v>
      </x:c>
      <x:c r="P11" s="244" t="n">
        <x:f>O11-M11</x:f>
        <x:v>0</x:v>
      </x:c>
    </x:row>
    <x:row r="12">
      <x:c r="A12" s="187" t="str">
        <x:v>BUDGET_2026_V1</x:v>
      </x:c>
      <x:c r="B12" s="187" t="str">
        <x:v>BUDGET</x:v>
      </x:c>
      <x:c r="C12" s="187"/>
      <x:c r="D12" s="217" t="n">
        <x:v>46023</x:v>
      </x:c>
      <x:c r="E12" s="187" t="str">
        <x:v>R_GB_DE_B_AIR</x:v>
      </x:c>
      <x:c r="F12" s="187" t="str">
        <x:v>GB</x:v>
      </x:c>
      <x:c r="G12" s="187" t="str">
        <x:v>DE_FC</x:v>
      </x:c>
      <x:c r="H12" s="187" t="str">
        <x:v>CARRIER_B</x:v>
      </x:c>
      <x:c r="I12" s="187" t="str">
        <x:v>AIR</x:v>
      </x:c>
      <x:c r="J12" s="232" t="n">
        <x:v>273.96096</x:v>
      </x:c>
      <x:c r="K12" s="232" t="n">
        <x:v>273.96096</x:v>
      </x:c>
      <x:c r="L12" s="232" t="n">
        <x:v>266.83797504</x:v>
      </x:c>
      <x:c r="M12" s="241" t="n">
        <x:v>0.974</x:v>
      </x:c>
      <x:c r="N12" s="241" t="n">
        <x:v>1</x:v>
      </x:c>
      <x:c r="O12" s="244" t="n">
        <x:f>IF(K12="",M12,L12/K12)</x:f>
        <x:v>0.974</x:v>
      </x:c>
      <x:c r="P12" s="244" t="n">
        <x:f>O12-M12</x:f>
        <x:v>0</x:v>
      </x:c>
    </x:row>
    <x:row r="13">
      <x:c r="A13" s="187" t="str">
        <x:v>BUDGET_2026_V1</x:v>
      </x:c>
      <x:c r="B13" s="187" t="str">
        <x:v>BUDGET</x:v>
      </x:c>
      <x:c r="C13" s="187"/>
      <x:c r="D13" s="217" t="n">
        <x:v>46023</x:v>
      </x:c>
      <x:c r="E13" s="187" t="str">
        <x:v>R_GB_DE_C_AIR</x:v>
      </x:c>
      <x:c r="F13" s="187" t="str">
        <x:v>GB</x:v>
      </x:c>
      <x:c r="G13" s="187" t="str">
        <x:v>DE_FC</x:v>
      </x:c>
      <x:c r="H13" s="187" t="str">
        <x:v>CARRIER_C</x:v>
      </x:c>
      <x:c r="I13" s="187" t="str">
        <x:v>AIR</x:v>
      </x:c>
      <x:c r="J13" s="232" t="n">
        <x:v>117.41184</x:v>
      </x:c>
      <x:c r="K13" s="232" t="n">
        <x:v>117.41184</x:v>
      </x:c>
      <x:c r="L13" s="232" t="n">
        <x:v>116.00289792</x:v>
      </x:c>
      <x:c r="M13" s="241" t="n">
        <x:v>0.988</x:v>
      </x:c>
      <x:c r="N13" s="241" t="n">
        <x:v>1</x:v>
      </x:c>
      <x:c r="O13" s="244" t="n">
        <x:f>IF(K13="",M13,L13/K13)</x:f>
        <x:v>0.988</x:v>
      </x:c>
      <x:c r="P13" s="244" t="n">
        <x:f>O13-M13</x:f>
        <x:v>0</x:v>
      </x:c>
    </x:row>
    <x:row r="14">
      <x:c r="A14" s="187" t="str">
        <x:v>BUDGET_2026_V1</x:v>
      </x:c>
      <x:c r="B14" s="187" t="str">
        <x:v>BUDGET</x:v>
      </x:c>
      <x:c r="C14" s="187"/>
      <x:c r="D14" s="217" t="n">
        <x:v>46023</x:v>
      </x:c>
      <x:c r="E14" s="187" t="str">
        <x:v>R_GB_FR_B_AIR</x:v>
      </x:c>
      <x:c r="F14" s="187" t="str">
        <x:v>GB</x:v>
      </x:c>
      <x:c r="G14" s="187" t="str">
        <x:v>FR_FC</x:v>
      </x:c>
      <x:c r="H14" s="187" t="str">
        <x:v>CARRIER_B</x:v>
      </x:c>
      <x:c r="I14" s="187" t="str">
        <x:v>AIR</x:v>
      </x:c>
      <x:c r="J14" s="232" t="n">
        <x:v>167.44</x:v>
      </x:c>
      <x:c r="K14" s="232" t="n">
        <x:v>167.44</x:v>
      </x:c>
      <x:c r="L14" s="232" t="n">
        <x:v>162.58424</x:v>
      </x:c>
      <x:c r="M14" s="241" t="n">
        <x:v>0.971</x:v>
      </x:c>
      <x:c r="N14" s="241" t="n">
        <x:v>1</x:v>
      </x:c>
      <x:c r="O14" s="244" t="n">
        <x:f>IF(K14="",M14,L14/K14)</x:f>
        <x:v>0.971</x:v>
      </x:c>
      <x:c r="P14" s="244" t="n">
        <x:f>O14-M14</x:f>
        <x:v>0</x:v>
      </x:c>
    </x:row>
    <x:row r="15">
      <x:c r="A15" s="187" t="str">
        <x:v>BUDGET_2026_V1</x:v>
      </x:c>
      <x:c r="B15" s="187" t="str">
        <x:v>BUDGET</x:v>
      </x:c>
      <x:c r="C15" s="187"/>
      <x:c r="D15" s="217" t="n">
        <x:v>46054</x:v>
      </x:c>
      <x:c r="E15" s="187" t="str">
        <x:v>R_DE_DE_A_ROAD</x:v>
      </x:c>
      <x:c r="F15" s="187" t="str">
        <x:v>DE</x:v>
      </x:c>
      <x:c r="G15" s="187" t="str">
        <x:v>DE_FC</x:v>
      </x:c>
      <x:c r="H15" s="187" t="str">
        <x:v>CARRIER_A</x:v>
      </x:c>
      <x:c r="I15" s="187" t="str">
        <x:v>ROAD</x:v>
      </x:c>
      <x:c r="J15" s="232" t="n">
        <x:v>3464.937</x:v>
      </x:c>
      <x:c r="K15" s="232" t="n">
        <x:v>3464.937</x:v>
      </x:c>
      <x:c r="L15" s="232" t="n">
        <x:v>3343.664205</x:v>
      </x:c>
      <x:c r="M15" s="241" t="n">
        <x:v>0.965</x:v>
      </x:c>
      <x:c r="N15" s="241" t="n">
        <x:v>1</x:v>
      </x:c>
      <x:c r="O15" s="244" t="n">
        <x:f>IF(K15="",M15,L15/K15)</x:f>
        <x:v>0.9650000000000001</x:v>
      </x:c>
      <x:c r="P15" s="244" t="n">
        <x:f>O15-M15</x:f>
        <x:v>1.1102230246251565e-16</x:v>
      </x:c>
    </x:row>
    <x:row r="16">
      <x:c r="A16" s="187" t="str">
        <x:v>BUDGET_2026_V1</x:v>
      </x:c>
      <x:c r="B16" s="187" t="str">
        <x:v>BUDGET</x:v>
      </x:c>
      <x:c r="C16" s="187"/>
      <x:c r="D16" s="217" t="n">
        <x:v>46054</x:v>
      </x:c>
      <x:c r="E16" s="187" t="str">
        <x:v>R_DE_DE_B_ROAD</x:v>
      </x:c>
      <x:c r="F16" s="187" t="str">
        <x:v>DE</x:v>
      </x:c>
      <x:c r="G16" s="187" t="str">
        <x:v>DE_FC</x:v>
      </x:c>
      <x:c r="H16" s="187" t="str">
        <x:v>CARRIER_B</x:v>
      </x:c>
      <x:c r="I16" s="187" t="str">
        <x:v>ROAD</x:v>
      </x:c>
      <x:c r="J16" s="232" t="n">
        <x:v>2309.958</x:v>
      </x:c>
      <x:c r="K16" s="232" t="n">
        <x:v>2309.958</x:v>
      </x:c>
      <x:c r="L16" s="232" t="n">
        <x:v>2254.519008</x:v>
      </x:c>
      <x:c r="M16" s="241" t="n">
        <x:v>0.976</x:v>
      </x:c>
      <x:c r="N16" s="241" t="n">
        <x:v>1</x:v>
      </x:c>
      <x:c r="O16" s="244" t="n">
        <x:f>IF(K16="",M16,L16/K16)</x:f>
        <x:v>0.9760000000000001</x:v>
      </x:c>
      <x:c r="P16" s="244" t="n">
        <x:f>O16-M16</x:f>
        <x:v>1.1102230246251565e-16</x:v>
      </x:c>
    </x:row>
    <x:row r="17">
      <x:c r="A17" s="187" t="str">
        <x:v>BUDGET_2026_V1</x:v>
      </x:c>
      <x:c r="B17" s="187" t="str">
        <x:v>BUDGET</x:v>
      </x:c>
      <x:c r="C17" s="187"/>
      <x:c r="D17" s="217" t="n">
        <x:v>46054</x:v>
      </x:c>
      <x:c r="E17" s="187" t="str">
        <x:v>R_DE_FR_B_ROAD</x:v>
      </x:c>
      <x:c r="F17" s="187" t="str">
        <x:v>DE</x:v>
      </x:c>
      <x:c r="G17" s="187" t="str">
        <x:v>FR_FC</x:v>
      </x:c>
      <x:c r="H17" s="187" t="str">
        <x:v>CARRIER_B</x:v>
      </x:c>
      <x:c r="I17" s="187" t="str">
        <x:v>ROAD</x:v>
      </x:c>
      <x:c r="J17" s="232" t="n">
        <x:v>183.708</x:v>
      </x:c>
      <x:c r="K17" s="232" t="n">
        <x:v>183.708</x:v>
      </x:c>
      <x:c r="L17" s="232" t="n">
        <x:v>177.829344</x:v>
      </x:c>
      <x:c r="M17" s="241" t="n">
        <x:v>0.968</x:v>
      </x:c>
      <x:c r="N17" s="241" t="n">
        <x:v>1</x:v>
      </x:c>
      <x:c r="O17" s="244" t="n">
        <x:f>IF(K17="",M17,L17/K17)</x:f>
        <x:v>0.968</x:v>
      </x:c>
      <x:c r="P17" s="244" t="n">
        <x:f>O17-M17</x:f>
        <x:v>0</x:v>
      </x:c>
    </x:row>
    <x:row r="18">
      <x:c r="A18" s="187" t="str">
        <x:v>BUDGET_2026_V1</x:v>
      </x:c>
      <x:c r="B18" s="187" t="str">
        <x:v>BUDGET</x:v>
      </x:c>
      <x:c r="C18" s="187"/>
      <x:c r="D18" s="217" t="n">
        <x:v>46054</x:v>
      </x:c>
      <x:c r="E18" s="187" t="str">
        <x:v>R_FR_FR_A_ROAD</x:v>
      </x:c>
      <x:c r="F18" s="187" t="str">
        <x:v>FR</x:v>
      </x:c>
      <x:c r="G18" s="187" t="str">
        <x:v>FR_FC</x:v>
      </x:c>
      <x:c r="H18" s="187" t="str">
        <x:v>CARRIER_A</x:v>
      </x:c>
      <x:c r="I18" s="187" t="str">
        <x:v>ROAD</x:v>
      </x:c>
      <x:c r="J18" s="232" t="n">
        <x:v>1602.72</x:v>
      </x:c>
      <x:c r="K18" s="232" t="n">
        <x:v>1602.72</x:v>
      </x:c>
      <x:c r="L18" s="232" t="n">
        <x:v>1540.21392</x:v>
      </x:c>
      <x:c r="M18" s="241" t="n">
        <x:v>0.961</x:v>
      </x:c>
      <x:c r="N18" s="241" t="n">
        <x:v>1</x:v>
      </x:c>
      <x:c r="O18" s="244" t="n">
        <x:f>IF(K18="",M18,L18/K18)</x:f>
        <x:v>0.961</x:v>
      </x:c>
      <x:c r="P18" s="244" t="n">
        <x:f>O18-M18</x:f>
        <x:v>0</x:v>
      </x:c>
    </x:row>
    <x:row r="19">
      <x:c r="A19" s="187" t="str">
        <x:v>BUDGET_2026_V1</x:v>
      </x:c>
      <x:c r="B19" s="187" t="str">
        <x:v>BUDGET</x:v>
      </x:c>
      <x:c r="C19" s="187"/>
      <x:c r="D19" s="217" t="n">
        <x:v>46054</x:v>
      </x:c>
      <x:c r="E19" s="187" t="str">
        <x:v>R_FR_FR_B_ROAD</x:v>
      </x:c>
      <x:c r="F19" s="187" t="str">
        <x:v>FR</x:v>
      </x:c>
      <x:c r="G19" s="187" t="str">
        <x:v>FR_FC</x:v>
      </x:c>
      <x:c r="H19" s="187" t="str">
        <x:v>CARRIER_B</x:v>
      </x:c>
      <x:c r="I19" s="187" t="str">
        <x:v>ROAD</x:v>
      </x:c>
      <x:c r="J19" s="232" t="n">
        <x:v>2976.48</x:v>
      </x:c>
      <x:c r="K19" s="232" t="n">
        <x:v>2976.48</x:v>
      </x:c>
      <x:c r="L19" s="232" t="n">
        <x:v>2896.11504</x:v>
      </x:c>
      <x:c r="M19" s="241" t="n">
        <x:v>0.973</x:v>
      </x:c>
      <x:c r="N19" s="241" t="n">
        <x:v>1</x:v>
      </x:c>
      <x:c r="O19" s="244" t="n">
        <x:f>IF(K19="",M19,L19/K19)</x:f>
        <x:v>0.9730000000000001</x:v>
      </x:c>
      <x:c r="P19" s="244" t="n">
        <x:f>O19-M19</x:f>
        <x:v>1.1102230246251565e-16</x:v>
      </x:c>
    </x:row>
    <x:row r="20">
      <x:c r="A20" s="187" t="str">
        <x:v>BUDGET_2026_V1</x:v>
      </x:c>
      <x:c r="B20" s="187" t="str">
        <x:v>BUDGET</x:v>
      </x:c>
      <x:c r="C20" s="187"/>
      <x:c r="D20" s="217" t="n">
        <x:v>46054</x:v>
      </x:c>
      <x:c r="E20" s="187" t="str">
        <x:v>R_GB_DE_A_ROAD</x:v>
      </x:c>
      <x:c r="F20" s="187" t="str">
        <x:v>GB</x:v>
      </x:c>
      <x:c r="G20" s="187" t="str">
        <x:v>DE_FC</x:v>
      </x:c>
      <x:c r="H20" s="187" t="str">
        <x:v>CARRIER_A</x:v>
      </x:c>
      <x:c r="I20" s="187" t="str">
        <x:v>ROAD</x:v>
      </x:c>
      <x:c r="J20" s="232" t="n">
        <x:v>2453.0688</x:v>
      </x:c>
      <x:c r="K20" s="232" t="n">
        <x:v>2453.0688</x:v>
      </x:c>
      <x:c r="L20" s="232" t="n">
        <x:v>2281.353984</x:v>
      </x:c>
      <x:c r="M20" s="241" t="n">
        <x:v>0.93</x:v>
      </x:c>
      <x:c r="N20" s="241" t="n">
        <x:v>1</x:v>
      </x:c>
      <x:c r="O20" s="244" t="n">
        <x:f>IF(K20="",M20,L20/K20)</x:f>
        <x:v>0.9299999999999999</x:v>
      </x:c>
      <x:c r="P20" s="244" t="n">
        <x:f>O20-M20</x:f>
        <x:v>-1.1102230246251565e-16</x:v>
      </x:c>
    </x:row>
    <x:row r="21">
      <x:c r="A21" s="187" t="str">
        <x:v>BUDGET_2026_V1</x:v>
      </x:c>
      <x:c r="B21" s="187" t="str">
        <x:v>BUDGET</x:v>
      </x:c>
      <x:c r="C21" s="187"/>
      <x:c r="D21" s="217" t="n">
        <x:v>46054</x:v>
      </x:c>
      <x:c r="E21" s="187" t="str">
        <x:v>R_GB_DE_B_ROAD</x:v>
      </x:c>
      <x:c r="F21" s="187" t="str">
        <x:v>GB</x:v>
      </x:c>
      <x:c r="G21" s="187" t="str">
        <x:v>DE_FC</x:v>
      </x:c>
      <x:c r="H21" s="187" t="str">
        <x:v>CARRIER_B</x:v>
      </x:c>
      <x:c r="I21" s="187" t="str">
        <x:v>ROAD</x:v>
      </x:c>
      <x:c r="J21" s="232" t="n">
        <x:v>943.488</x:v>
      </x:c>
      <x:c r="K21" s="232" t="n">
        <x:v>943.488</x:v>
      </x:c>
      <x:c r="L21" s="232" t="n">
        <x:v>896.3136</x:v>
      </x:c>
      <x:c r="M21" s="241" t="n">
        <x:v>0.95</x:v>
      </x:c>
      <x:c r="N21" s="241" t="n">
        <x:v>1</x:v>
      </x:c>
      <x:c r="O21" s="244" t="n">
        <x:f>IF(K21="",M21,L21/K21)</x:f>
        <x:v>0.9499999999999998</x:v>
      </x:c>
      <x:c r="P21" s="244" t="n">
        <x:f>O21-M21</x:f>
        <x:v>-1.1102230246251565e-16</x:v>
      </x:c>
    </x:row>
    <x:row r="22">
      <x:c r="A22" s="187" t="str">
        <x:v>BUDGET_2026_V1</x:v>
      </x:c>
      <x:c r="B22" s="187" t="str">
        <x:v>BUDGET</x:v>
      </x:c>
      <x:c r="C22" s="187"/>
      <x:c r="D22" s="217" t="n">
        <x:v>46054</x:v>
      </x:c>
      <x:c r="E22" s="187" t="str">
        <x:v>R_GB_DE_B_AIR</x:v>
      </x:c>
      <x:c r="F22" s="187" t="str">
        <x:v>GB</x:v>
      </x:c>
      <x:c r="G22" s="187" t="str">
        <x:v>DE_FC</x:v>
      </x:c>
      <x:c r="H22" s="187" t="str">
        <x:v>CARRIER_B</x:v>
      </x:c>
      <x:c r="I22" s="187" t="str">
        <x:v>AIR</x:v>
      </x:c>
      <x:c r="J22" s="232" t="n">
        <x:v>264.17664</x:v>
      </x:c>
      <x:c r="K22" s="232" t="n">
        <x:v>264.17664</x:v>
      </x:c>
      <x:c r="L22" s="232" t="n">
        <x:v>257.30804736</x:v>
      </x:c>
      <x:c r="M22" s="241" t="n">
        <x:v>0.974</x:v>
      </x:c>
      <x:c r="N22" s="241" t="n">
        <x:v>1</x:v>
      </x:c>
      <x:c r="O22" s="244" t="n">
        <x:f>IF(K22="",M22,L22/K22)</x:f>
        <x:v>0.9739999999999999</x:v>
      </x:c>
      <x:c r="P22" s="244" t="n">
        <x:f>O22-M22</x:f>
        <x:v>-1.1102230246251565e-16</x:v>
      </x:c>
    </x:row>
    <x:row r="23">
      <x:c r="A23" s="187" t="str">
        <x:v>BUDGET_2026_V1</x:v>
      </x:c>
      <x:c r="B23" s="187" t="str">
        <x:v>BUDGET</x:v>
      </x:c>
      <x:c r="C23" s="187"/>
      <x:c r="D23" s="217" t="n">
        <x:v>46054</x:v>
      </x:c>
      <x:c r="E23" s="187" t="str">
        <x:v>R_GB_DE_C_AIR</x:v>
      </x:c>
      <x:c r="F23" s="187" t="str">
        <x:v>GB</x:v>
      </x:c>
      <x:c r="G23" s="187" t="str">
        <x:v>DE_FC</x:v>
      </x:c>
      <x:c r="H23" s="187" t="str">
        <x:v>CARRIER_C</x:v>
      </x:c>
      <x:c r="I23" s="187" t="str">
        <x:v>AIR</x:v>
      </x:c>
      <x:c r="J23" s="232" t="n">
        <x:v>113.21856</x:v>
      </x:c>
      <x:c r="K23" s="232" t="n">
        <x:v>113.21856</x:v>
      </x:c>
      <x:c r="L23" s="232" t="n">
        <x:v>111.85993728</x:v>
      </x:c>
      <x:c r="M23" s="241" t="n">
        <x:v>0.988</x:v>
      </x:c>
      <x:c r="N23" s="241" t="n">
        <x:v>1</x:v>
      </x:c>
      <x:c r="O23" s="244" t="n">
        <x:f>IF(K23="",M23,L23/K23)</x:f>
        <x:v>0.988</x:v>
      </x:c>
      <x:c r="P23" s="244" t="n">
        <x:f>O23-M23</x:f>
        <x:v>0</x:v>
      </x:c>
    </x:row>
    <x:row r="24">
      <x:c r="A24" s="187" t="str">
        <x:v>BUDGET_2026_V1</x:v>
      </x:c>
      <x:c r="B24" s="187" t="str">
        <x:v>BUDGET</x:v>
      </x:c>
      <x:c r="C24" s="187"/>
      <x:c r="D24" s="217" t="n">
        <x:v>46054</x:v>
      </x:c>
      <x:c r="E24" s="187" t="str">
        <x:v>R_GB_FR_B_AIR</x:v>
      </x:c>
      <x:c r="F24" s="187" t="str">
        <x:v>GB</x:v>
      </x:c>
      <x:c r="G24" s="187" t="str">
        <x:v>FR_FC</x:v>
      </x:c>
      <x:c r="H24" s="187" t="str">
        <x:v>CARRIER_B</x:v>
      </x:c>
      <x:c r="I24" s="187" t="str">
        <x:v>AIR</x:v>
      </x:c>
      <x:c r="J24" s="232" t="n">
        <x:v>161.46</x:v>
      </x:c>
      <x:c r="K24" s="232" t="n">
        <x:v>161.46</x:v>
      </x:c>
      <x:c r="L24" s="232" t="n">
        <x:v>156.77766</x:v>
      </x:c>
      <x:c r="M24" s="241" t="n">
        <x:v>0.971</x:v>
      </x:c>
      <x:c r="N24" s="241" t="n">
        <x:v>1</x:v>
      </x:c>
      <x:c r="O24" s="244" t="n">
        <x:f>IF(K24="",M24,L24/K24)</x:f>
        <x:v>0.971</x:v>
      </x:c>
      <x:c r="P24" s="244" t="n">
        <x:f>O24-M24</x:f>
        <x:v>0</x:v>
      </x:c>
    </x:row>
    <x:row r="25">
      <x:c r="A25" s="187" t="str">
        <x:v>BUDGET_2026_V1</x:v>
      </x:c>
      <x:c r="B25" s="187" t="str">
        <x:v>BUDGET</x:v>
      </x:c>
      <x:c r="C25" s="187"/>
      <x:c r="D25" s="217" t="n">
        <x:v>46082</x:v>
      </x:c>
      <x:c r="E25" s="187" t="str">
        <x:v>R_DE_DE_A_ROAD</x:v>
      </x:c>
      <x:c r="F25" s="187" t="str">
        <x:v>DE</x:v>
      </x:c>
      <x:c r="G25" s="187" t="str">
        <x:v>DE_FC</x:v>
      </x:c>
      <x:c r="H25" s="187" t="str">
        <x:v>CARRIER_A</x:v>
      </x:c>
      <x:c r="I25" s="187" t="str">
        <x:v>ROAD</x:v>
      </x:c>
      <x:c r="J25" s="232" t="n">
        <x:v>3666.6</x:v>
      </x:c>
      <x:c r="K25" s="232" t="n">
        <x:v>3666.6</x:v>
      </x:c>
      <x:c r="L25" s="232" t="n">
        <x:v>3538.269</x:v>
      </x:c>
      <x:c r="M25" s="241" t="n">
        <x:v>0.965</x:v>
      </x:c>
      <x:c r="N25" s="241" t="n">
        <x:v>1</x:v>
      </x:c>
      <x:c r="O25" s="244" t="n">
        <x:f>IF(K25="",M25,L25/K25)</x:f>
        <x:v>0.965</x:v>
      </x:c>
      <x:c r="P25" s="244" t="n">
        <x:f>O25-M25</x:f>
        <x:v>0</x:v>
      </x:c>
    </x:row>
    <x:row r="26">
      <x:c r="A26" s="187" t="str">
        <x:v>BUDGET_2026_V1</x:v>
      </x:c>
      <x:c r="B26" s="187" t="str">
        <x:v>BUDGET</x:v>
      </x:c>
      <x:c r="C26" s="187"/>
      <x:c r="D26" s="217" t="n">
        <x:v>46082</x:v>
      </x:c>
      <x:c r="E26" s="187" t="str">
        <x:v>R_DE_DE_B_ROAD</x:v>
      </x:c>
      <x:c r="F26" s="187" t="str">
        <x:v>DE</x:v>
      </x:c>
      <x:c r="G26" s="187" t="str">
        <x:v>DE_FC</x:v>
      </x:c>
      <x:c r="H26" s="187" t="str">
        <x:v>CARRIER_B</x:v>
      </x:c>
      <x:c r="I26" s="187" t="str">
        <x:v>ROAD</x:v>
      </x:c>
      <x:c r="J26" s="232" t="n">
        <x:v>2444.4</x:v>
      </x:c>
      <x:c r="K26" s="232" t="n">
        <x:v>2444.4</x:v>
      </x:c>
      <x:c r="L26" s="232" t="n">
        <x:v>2385.7344</x:v>
      </x:c>
      <x:c r="M26" s="241" t="n">
        <x:v>0.976</x:v>
      </x:c>
      <x:c r="N26" s="241" t="n">
        <x:v>1</x:v>
      </x:c>
      <x:c r="O26" s="244" t="n">
        <x:f>IF(K26="",M26,L26/K26)</x:f>
        <x:v>0.9759999999999999</x:v>
      </x:c>
      <x:c r="P26" s="244" t="n">
        <x:f>O26-M26</x:f>
        <x:v>-1.1102230246251565e-16</x:v>
      </x:c>
    </x:row>
    <x:row r="27">
      <x:c r="A27" s="187" t="str">
        <x:v>BUDGET_2026_V1</x:v>
      </x:c>
      <x:c r="B27" s="187" t="str">
        <x:v>BUDGET</x:v>
      </x:c>
      <x:c r="C27" s="187"/>
      <x:c r="D27" s="217" t="n">
        <x:v>46082</x:v>
      </x:c>
      <x:c r="E27" s="187" t="str">
        <x:v>R_DE_FR_B_ROAD</x:v>
      </x:c>
      <x:c r="F27" s="187" t="str">
        <x:v>DE</x:v>
      </x:c>
      <x:c r="G27" s="187" t="str">
        <x:v>FR_FC</x:v>
      </x:c>
      <x:c r="H27" s="187" t="str">
        <x:v>CARRIER_B</x:v>
      </x:c>
      <x:c r="I27" s="187" t="str">
        <x:v>ROAD</x:v>
      </x:c>
      <x:c r="J27" s="232" t="n">
        <x:v>194.4</x:v>
      </x:c>
      <x:c r="K27" s="232" t="n">
        <x:v>194.4</x:v>
      </x:c>
      <x:c r="L27" s="232" t="n">
        <x:v>188.1792</x:v>
      </x:c>
      <x:c r="M27" s="241" t="n">
        <x:v>0.968</x:v>
      </x:c>
      <x:c r="N27" s="241" t="n">
        <x:v>1</x:v>
      </x:c>
      <x:c r="O27" s="244" t="n">
        <x:f>IF(K27="",M27,L27/K27)</x:f>
        <x:v>0.968</x:v>
      </x:c>
      <x:c r="P27" s="244" t="n">
        <x:f>O27-M27</x:f>
        <x:v>0</x:v>
      </x:c>
    </x:row>
    <x:row r="28">
      <x:c r="A28" s="187" t="str">
        <x:v>BUDGET_2026_V1</x:v>
      </x:c>
      <x:c r="B28" s="187" t="str">
        <x:v>BUDGET</x:v>
      </x:c>
      <x:c r="C28" s="187"/>
      <x:c r="D28" s="217" t="n">
        <x:v>46082</x:v>
      </x:c>
      <x:c r="E28" s="187" t="str">
        <x:v>R_FR_FR_A_ROAD</x:v>
      </x:c>
      <x:c r="F28" s="187" t="str">
        <x:v>FR</x:v>
      </x:c>
      <x:c r="G28" s="187" t="str">
        <x:v>FR_FC</x:v>
      </x:c>
      <x:c r="H28" s="187" t="str">
        <x:v>CARRIER_A</x:v>
      </x:c>
      <x:c r="I28" s="187" t="str">
        <x:v>ROAD</x:v>
      </x:c>
      <x:c r="J28" s="232" t="n">
        <x:v>1780.8</x:v>
      </x:c>
      <x:c r="K28" s="232" t="n">
        <x:v>1780.8</x:v>
      </x:c>
      <x:c r="L28" s="232" t="n">
        <x:v>1711.3488</x:v>
      </x:c>
      <x:c r="M28" s="241" t="n">
        <x:v>0.961</x:v>
      </x:c>
      <x:c r="N28" s="241" t="n">
        <x:v>1</x:v>
      </x:c>
      <x:c r="O28" s="244" t="n">
        <x:f>IF(K28="",M28,L28/K28)</x:f>
        <x:v>0.961</x:v>
      </x:c>
      <x:c r="P28" s="244" t="n">
        <x:f>O28-M28</x:f>
        <x:v>0</x:v>
      </x:c>
    </x:row>
    <x:row r="29">
      <x:c r="A29" s="187" t="str">
        <x:v>BUDGET_2026_V1</x:v>
      </x:c>
      <x:c r="B29" s="187" t="str">
        <x:v>BUDGET</x:v>
      </x:c>
      <x:c r="C29" s="187"/>
      <x:c r="D29" s="217" t="n">
        <x:v>46082</x:v>
      </x:c>
      <x:c r="E29" s="187" t="str">
        <x:v>R_FR_FR_B_ROAD</x:v>
      </x:c>
      <x:c r="F29" s="187" t="str">
        <x:v>FR</x:v>
      </x:c>
      <x:c r="G29" s="187" t="str">
        <x:v>FR_FC</x:v>
      </x:c>
      <x:c r="H29" s="187" t="str">
        <x:v>CARRIER_B</x:v>
      </x:c>
      <x:c r="I29" s="187" t="str">
        <x:v>ROAD</x:v>
      </x:c>
      <x:c r="J29" s="232" t="n">
        <x:v>3307.2</x:v>
      </x:c>
      <x:c r="K29" s="232" t="n">
        <x:v>3307.2</x:v>
      </x:c>
      <x:c r="L29" s="232" t="n">
        <x:v>3217.9056</x:v>
      </x:c>
      <x:c r="M29" s="241" t="n">
        <x:v>0.973</x:v>
      </x:c>
      <x:c r="N29" s="241" t="n">
        <x:v>1</x:v>
      </x:c>
      <x:c r="O29" s="244" t="n">
        <x:f>IF(K29="",M29,L29/K29)</x:f>
        <x:v>0.9730000000000001</x:v>
      </x:c>
      <x:c r="P29" s="244" t="n">
        <x:f>O29-M29</x:f>
        <x:v>1.1102230246251565e-16</x:v>
      </x:c>
    </x:row>
    <x:row r="30">
      <x:c r="A30" s="187" t="str">
        <x:v>BUDGET_2026_V1</x:v>
      </x:c>
      <x:c r="B30" s="187" t="str">
        <x:v>BUDGET</x:v>
      </x:c>
      <x:c r="C30" s="187"/>
      <x:c r="D30" s="217" t="n">
        <x:v>46082</x:v>
      </x:c>
      <x:c r="E30" s="187" t="str">
        <x:v>R_GB_DE_A_ROAD</x:v>
      </x:c>
      <x:c r="F30" s="187" t="str">
        <x:v>GB</x:v>
      </x:c>
      <x:c r="G30" s="187" t="str">
        <x:v>DE_FC</x:v>
      </x:c>
      <x:c r="H30" s="187" t="str">
        <x:v>CARRIER_A</x:v>
      </x:c>
      <x:c r="I30" s="187" t="str">
        <x:v>ROAD</x:v>
      </x:c>
      <x:c r="J30" s="232" t="n">
        <x:v>2935.296</x:v>
      </x:c>
      <x:c r="K30" s="232" t="n">
        <x:v>2935.296</x:v>
      </x:c>
      <x:c r="L30" s="232" t="n">
        <x:v>2729.82528</x:v>
      </x:c>
      <x:c r="M30" s="241" t="n">
        <x:v>0.93</x:v>
      </x:c>
      <x:c r="N30" s="241" t="n">
        <x:v>1</x:v>
      </x:c>
      <x:c r="O30" s="244" t="n">
        <x:f>IF(K30="",M30,L30/K30)</x:f>
        <x:v>0.93</x:v>
      </x:c>
      <x:c r="P30" s="244" t="n">
        <x:f>O30-M30</x:f>
        <x:v>0</x:v>
      </x:c>
    </x:row>
    <x:row r="31">
      <x:c r="A31" s="187" t="str">
        <x:v>BUDGET_2026_V1</x:v>
      </x:c>
      <x:c r="B31" s="187" t="str">
        <x:v>BUDGET</x:v>
      </x:c>
      <x:c r="C31" s="187"/>
      <x:c r="D31" s="217" t="n">
        <x:v>46082</x:v>
      </x:c>
      <x:c r="E31" s="187" t="str">
        <x:v>R_GB_DE_B_ROAD</x:v>
      </x:c>
      <x:c r="F31" s="187" t="str">
        <x:v>GB</x:v>
      </x:c>
      <x:c r="G31" s="187" t="str">
        <x:v>DE_FC</x:v>
      </x:c>
      <x:c r="H31" s="187" t="str">
        <x:v>CARRIER_B</x:v>
      </x:c>
      <x:c r="I31" s="187" t="str">
        <x:v>ROAD</x:v>
      </x:c>
      <x:c r="J31" s="232" t="n">
        <x:v>1128.96</x:v>
      </x:c>
      <x:c r="K31" s="232" t="n">
        <x:v>1128.96</x:v>
      </x:c>
      <x:c r="L31" s="232" t="n">
        <x:v>1072.512</x:v>
      </x:c>
      <x:c r="M31" s="241" t="n">
        <x:v>0.95</x:v>
      </x:c>
      <x:c r="N31" s="241" t="n">
        <x:v>1</x:v>
      </x:c>
      <x:c r="O31" s="244" t="n">
        <x:f>IF(K31="",M31,L31/K31)</x:f>
        <x:v>0.95</x:v>
      </x:c>
      <x:c r="P31" s="244" t="n">
        <x:f>O31-M31</x:f>
        <x:v>0</x:v>
      </x:c>
    </x:row>
    <x:row r="32">
      <x:c r="A32" s="187" t="str">
        <x:v>BUDGET_2026_V1</x:v>
      </x:c>
      <x:c r="B32" s="187" t="str">
        <x:v>BUDGET</x:v>
      </x:c>
      <x:c r="C32" s="187"/>
      <x:c r="D32" s="217" t="n">
        <x:v>46082</x:v>
      </x:c>
      <x:c r="E32" s="187" t="str">
        <x:v>R_GB_DE_B_AIR</x:v>
      </x:c>
      <x:c r="F32" s="187" t="str">
        <x:v>GB</x:v>
      </x:c>
      <x:c r="G32" s="187" t="str">
        <x:v>DE_FC</x:v>
      </x:c>
      <x:c r="H32" s="187" t="str">
        <x:v>CARRIER_B</x:v>
      </x:c>
      <x:c r="I32" s="187" t="str">
        <x:v>AIR</x:v>
      </x:c>
      <x:c r="J32" s="232" t="n">
        <x:v>316.1088</x:v>
      </x:c>
      <x:c r="K32" s="232" t="n">
        <x:v>316.1088</x:v>
      </x:c>
      <x:c r="L32" s="232" t="n">
        <x:v>307.8899712</x:v>
      </x:c>
      <x:c r="M32" s="241" t="n">
        <x:v>0.974</x:v>
      </x:c>
      <x:c r="N32" s="241" t="n">
        <x:v>1</x:v>
      </x:c>
      <x:c r="O32" s="244" t="n">
        <x:f>IF(K32="",M32,L32/K32)</x:f>
        <x:v>0.9740000000000001</x:v>
      </x:c>
      <x:c r="P32" s="244" t="n">
        <x:f>O32-M32</x:f>
        <x:v>1.1102230246251565e-16</x:v>
      </x:c>
    </x:row>
    <x:row r="33">
      <x:c r="A33" s="187" t="str">
        <x:v>BUDGET_2026_V1</x:v>
      </x:c>
      <x:c r="B33" s="187" t="str">
        <x:v>BUDGET</x:v>
      </x:c>
      <x:c r="C33" s="187"/>
      <x:c r="D33" s="217" t="n">
        <x:v>46082</x:v>
      </x:c>
      <x:c r="E33" s="187" t="str">
        <x:v>R_GB_DE_C_AIR</x:v>
      </x:c>
      <x:c r="F33" s="187" t="str">
        <x:v>GB</x:v>
      </x:c>
      <x:c r="G33" s="187" t="str">
        <x:v>DE_FC</x:v>
      </x:c>
      <x:c r="H33" s="187" t="str">
        <x:v>CARRIER_C</x:v>
      </x:c>
      <x:c r="I33" s="187" t="str">
        <x:v>AIR</x:v>
      </x:c>
      <x:c r="J33" s="232" t="n">
        <x:v>135.4752</x:v>
      </x:c>
      <x:c r="K33" s="232" t="n">
        <x:v>135.4752</x:v>
      </x:c>
      <x:c r="L33" s="232" t="n">
        <x:v>133.8494976</x:v>
      </x:c>
      <x:c r="M33" s="241" t="n">
        <x:v>0.988</x:v>
      </x:c>
      <x:c r="N33" s="241" t="n">
        <x:v>1</x:v>
      </x:c>
      <x:c r="O33" s="244" t="n">
        <x:f>IF(K33="",M33,L33/K33)</x:f>
        <x:v>0.988</x:v>
      </x:c>
      <x:c r="P33" s="244" t="n">
        <x:f>O33-M33</x:f>
        <x:v>0</x:v>
      </x:c>
    </x:row>
    <x:row r="34">
      <x:c r="A34" s="187" t="str">
        <x:v>BUDGET_2026_V1</x:v>
      </x:c>
      <x:c r="B34" s="187" t="str">
        <x:v>BUDGET</x:v>
      </x:c>
      <x:c r="C34" s="187"/>
      <x:c r="D34" s="217" t="n">
        <x:v>46082</x:v>
      </x:c>
      <x:c r="E34" s="187" t="str">
        <x:v>R_GB_FR_B_AIR</x:v>
      </x:c>
      <x:c r="F34" s="187" t="str">
        <x:v>GB</x:v>
      </x:c>
      <x:c r="G34" s="187" t="str">
        <x:v>FR_FC</x:v>
      </x:c>
      <x:c r="H34" s="187" t="str">
        <x:v>CARRIER_B</x:v>
      </x:c>
      <x:c r="I34" s="187" t="str">
        <x:v>AIR</x:v>
      </x:c>
      <x:c r="J34" s="232" t="n">
        <x:v>193.2</x:v>
      </x:c>
      <x:c r="K34" s="232" t="n">
        <x:v>193.2</x:v>
      </x:c>
      <x:c r="L34" s="232" t="n">
        <x:v>187.5972</x:v>
      </x:c>
      <x:c r="M34" s="241" t="n">
        <x:v>0.971</x:v>
      </x:c>
      <x:c r="N34" s="241" t="n">
        <x:v>1</x:v>
      </x:c>
      <x:c r="O34" s="244" t="n">
        <x:f>IF(K34="",M34,L34/K34)</x:f>
        <x:v>0.971</x:v>
      </x:c>
      <x:c r="P34" s="244" t="n">
        <x:f>O34-M34</x:f>
        <x:v>0</x:v>
      </x:c>
    </x:row>
    <x:row r="35">
      <x:c r="A35" s="187" t="str">
        <x:v>BUDGET_2026_V1</x:v>
      </x:c>
      <x:c r="B35" s="187" t="str">
        <x:v>BUDGET</x:v>
      </x:c>
      <x:c r="C35" s="187"/>
      <x:c r="D35" s="217" t="n">
        <x:v>46113</x:v>
      </x:c>
      <x:c r="E35" s="187" t="str">
        <x:v>R_DE_DE_A_ROAD</x:v>
      </x:c>
      <x:c r="F35" s="187" t="str">
        <x:v>DE</x:v>
      </x:c>
      <x:c r="G35" s="187" t="str">
        <x:v>DE_FC</x:v>
      </x:c>
      <x:c r="H35" s="187" t="str">
        <x:v>CARRIER_A</x:v>
      </x:c>
      <x:c r="I35" s="187" t="str">
        <x:v>ROAD</x:v>
      </x:c>
      <x:c r="J35" s="232" t="n">
        <x:v>3788.82</x:v>
      </x:c>
      <x:c r="K35" s="232" t="n">
        <x:v>3788.82</x:v>
      </x:c>
      <x:c r="L35" s="232" t="n">
        <x:v>3656.2113</x:v>
      </x:c>
      <x:c r="M35" s="241" t="n">
        <x:v>0.965</x:v>
      </x:c>
      <x:c r="N35" s="241" t="n">
        <x:v>1</x:v>
      </x:c>
      <x:c r="O35" s="244" t="n">
        <x:f>IF(K35="",M35,L35/K35)</x:f>
        <x:v>0.965</x:v>
      </x:c>
      <x:c r="P35" s="244" t="n">
        <x:f>O35-M35</x:f>
        <x:v>0</x:v>
      </x:c>
    </x:row>
    <x:row r="36">
      <x:c r="A36" s="187" t="str">
        <x:v>BUDGET_2026_V1</x:v>
      </x:c>
      <x:c r="B36" s="187" t="str">
        <x:v>BUDGET</x:v>
      </x:c>
      <x:c r="C36" s="187"/>
      <x:c r="D36" s="217" t="n">
        <x:v>46113</x:v>
      </x:c>
      <x:c r="E36" s="187" t="str">
        <x:v>R_DE_DE_B_ROAD</x:v>
      </x:c>
      <x:c r="F36" s="187" t="str">
        <x:v>DE</x:v>
      </x:c>
      <x:c r="G36" s="187" t="str">
        <x:v>DE_FC</x:v>
      </x:c>
      <x:c r="H36" s="187" t="str">
        <x:v>CARRIER_B</x:v>
      </x:c>
      <x:c r="I36" s="187" t="str">
        <x:v>ROAD</x:v>
      </x:c>
      <x:c r="J36" s="232" t="n">
        <x:v>2525.88</x:v>
      </x:c>
      <x:c r="K36" s="232" t="n">
        <x:v>2525.88</x:v>
      </x:c>
      <x:c r="L36" s="232" t="n">
        <x:v>2465.25888</x:v>
      </x:c>
      <x:c r="M36" s="241" t="n">
        <x:v>0.976</x:v>
      </x:c>
      <x:c r="N36" s="241" t="n">
        <x:v>1</x:v>
      </x:c>
      <x:c r="O36" s="244" t="n">
        <x:f>IF(K36="",M36,L36/K36)</x:f>
        <x:v>0.9759999999999999</x:v>
      </x:c>
      <x:c r="P36" s="244" t="n">
        <x:f>O36-M36</x:f>
        <x:v>-1.1102230246251565e-16</x:v>
      </x:c>
    </x:row>
    <x:row r="37">
      <x:c r="A37" s="187" t="str">
        <x:v>BUDGET_2026_V1</x:v>
      </x:c>
      <x:c r="B37" s="187" t="str">
        <x:v>BUDGET</x:v>
      </x:c>
      <x:c r="C37" s="187"/>
      <x:c r="D37" s="217" t="n">
        <x:v>46113</x:v>
      </x:c>
      <x:c r="E37" s="187" t="str">
        <x:v>R_DE_FR_B_ROAD</x:v>
      </x:c>
      <x:c r="F37" s="187" t="str">
        <x:v>DE</x:v>
      </x:c>
      <x:c r="G37" s="187" t="str">
        <x:v>FR_FC</x:v>
      </x:c>
      <x:c r="H37" s="187" t="str">
        <x:v>CARRIER_B</x:v>
      </x:c>
      <x:c r="I37" s="187" t="str">
        <x:v>ROAD</x:v>
      </x:c>
      <x:c r="J37" s="232" t="n">
        <x:v>200.88</x:v>
      </x:c>
      <x:c r="K37" s="232" t="n">
        <x:v>200.88</x:v>
      </x:c>
      <x:c r="L37" s="232" t="n">
        <x:v>194.45184</x:v>
      </x:c>
      <x:c r="M37" s="241" t="n">
        <x:v>0.968</x:v>
      </x:c>
      <x:c r="N37" s="241" t="n">
        <x:v>1</x:v>
      </x:c>
      <x:c r="O37" s="244" t="n">
        <x:f>IF(K37="",M37,L37/K37)</x:f>
        <x:v>0.9680000000000001</x:v>
      </x:c>
      <x:c r="P37" s="244" t="n">
        <x:f>O37-M37</x:f>
        <x:v>1.1102230246251565e-16</x:v>
      </x:c>
    </x:row>
    <x:row r="38">
      <x:c r="A38" s="187" t="str">
        <x:v>BUDGET_2026_V1</x:v>
      </x:c>
      <x:c r="B38" s="187" t="str">
        <x:v>BUDGET</x:v>
      </x:c>
      <x:c r="C38" s="187"/>
      <x:c r="D38" s="217" t="n">
        <x:v>46113</x:v>
      </x:c>
      <x:c r="E38" s="187" t="str">
        <x:v>R_FR_FR_A_ROAD</x:v>
      </x:c>
      <x:c r="F38" s="187" t="str">
        <x:v>FR</x:v>
      </x:c>
      <x:c r="G38" s="187" t="str">
        <x:v>FR_FC</x:v>
      </x:c>
      <x:c r="H38" s="187" t="str">
        <x:v>CARRIER_A</x:v>
      </x:c>
      <x:c r="I38" s="187" t="str">
        <x:v>ROAD</x:v>
      </x:c>
      <x:c r="J38" s="232" t="n">
        <x:v>1840.16</x:v>
      </x:c>
      <x:c r="K38" s="232" t="n">
        <x:v>1840.16</x:v>
      </x:c>
      <x:c r="L38" s="232" t="n">
        <x:v>1768.39376</x:v>
      </x:c>
      <x:c r="M38" s="241" t="n">
        <x:v>0.961</x:v>
      </x:c>
      <x:c r="N38" s="241" t="n">
        <x:v>1</x:v>
      </x:c>
      <x:c r="O38" s="244" t="n">
        <x:f>IF(K38="",M38,L38/K38)</x:f>
        <x:v>0.961</x:v>
      </x:c>
      <x:c r="P38" s="244" t="n">
        <x:f>O38-M38</x:f>
        <x:v>0</x:v>
      </x:c>
    </x:row>
    <x:row r="39">
      <x:c r="A39" s="187" t="str">
        <x:v>BUDGET_2026_V1</x:v>
      </x:c>
      <x:c r="B39" s="187" t="str">
        <x:v>BUDGET</x:v>
      </x:c>
      <x:c r="C39" s="187"/>
      <x:c r="D39" s="217" t="n">
        <x:v>46113</x:v>
      </x:c>
      <x:c r="E39" s="187" t="str">
        <x:v>R_FR_FR_B_ROAD</x:v>
      </x:c>
      <x:c r="F39" s="187" t="str">
        <x:v>FR</x:v>
      </x:c>
      <x:c r="G39" s="187" t="str">
        <x:v>FR_FC</x:v>
      </x:c>
      <x:c r="H39" s="187" t="str">
        <x:v>CARRIER_B</x:v>
      </x:c>
      <x:c r="I39" s="187" t="str">
        <x:v>ROAD</x:v>
      </x:c>
      <x:c r="J39" s="232" t="n">
        <x:v>3417.44</x:v>
      </x:c>
      <x:c r="K39" s="232" t="n">
        <x:v>3417.44</x:v>
      </x:c>
      <x:c r="L39" s="232" t="n">
        <x:v>3325.16912</x:v>
      </x:c>
      <x:c r="M39" s="241" t="n">
        <x:v>0.973</x:v>
      </x:c>
      <x:c r="N39" s="241" t="n">
        <x:v>1</x:v>
      </x:c>
      <x:c r="O39" s="244" t="n">
        <x:f>IF(K39="",M39,L39/K39)</x:f>
        <x:v>0.973</x:v>
      </x:c>
      <x:c r="P39" s="244" t="n">
        <x:f>O39-M39</x:f>
        <x:v>0</x:v>
      </x:c>
    </x:row>
    <x:row r="40">
      <x:c r="A40" s="187" t="str">
        <x:v>BUDGET_2026_V1</x:v>
      </x:c>
      <x:c r="B40" s="187" t="str">
        <x:v>BUDGET</x:v>
      </x:c>
      <x:c r="C40" s="187"/>
      <x:c r="D40" s="217" t="n">
        <x:v>46113</x:v>
      </x:c>
      <x:c r="E40" s="187" t="str">
        <x:v>R_GB_DE_A_ROAD</x:v>
      </x:c>
      <x:c r="F40" s="187" t="str">
        <x:v>GB</x:v>
      </x:c>
      <x:c r="G40" s="187" t="str">
        <x:v>DE_FC</x:v>
      </x:c>
      <x:c r="H40" s="187" t="str">
        <x:v>CARRIER_A</x:v>
      </x:c>
      <x:c r="I40" s="187" t="str">
        <x:v>ROAD</x:v>
      </x:c>
      <x:c r="J40" s="232" t="n">
        <x:v>3033.1392</x:v>
      </x:c>
      <x:c r="K40" s="232" t="n">
        <x:v>3033.1392</x:v>
      </x:c>
      <x:c r="L40" s="232" t="n">
        <x:v>2820.819456</x:v>
      </x:c>
      <x:c r="M40" s="241" t="n">
        <x:v>0.93</x:v>
      </x:c>
      <x:c r="N40" s="241" t="n">
        <x:v>1</x:v>
      </x:c>
      <x:c r="O40" s="244" t="n">
        <x:f>IF(K40="",M40,L40/K40)</x:f>
        <x:v>0.93</x:v>
      </x:c>
      <x:c r="P40" s="244" t="n">
        <x:f>O40-M40</x:f>
        <x:v>0</x:v>
      </x:c>
    </x:row>
    <x:row r="41">
      <x:c r="A41" s="187" t="str">
        <x:v>BUDGET_2026_V1</x:v>
      </x:c>
      <x:c r="B41" s="187" t="str">
        <x:v>BUDGET</x:v>
      </x:c>
      <x:c r="C41" s="187"/>
      <x:c r="D41" s="217" t="n">
        <x:v>46113</x:v>
      </x:c>
      <x:c r="E41" s="187" t="str">
        <x:v>R_GB_DE_B_ROAD</x:v>
      </x:c>
      <x:c r="F41" s="187" t="str">
        <x:v>GB</x:v>
      </x:c>
      <x:c r="G41" s="187" t="str">
        <x:v>DE_FC</x:v>
      </x:c>
      <x:c r="H41" s="187" t="str">
        <x:v>CARRIER_B</x:v>
      </x:c>
      <x:c r="I41" s="187" t="str">
        <x:v>ROAD</x:v>
      </x:c>
      <x:c r="J41" s="232" t="n">
        <x:v>1166.592</x:v>
      </x:c>
      <x:c r="K41" s="232" t="n">
        <x:v>1166.592</x:v>
      </x:c>
      <x:c r="L41" s="232" t="n">
        <x:v>1108.2624</x:v>
      </x:c>
      <x:c r="M41" s="241" t="n">
        <x:v>0.95</x:v>
      </x:c>
      <x:c r="N41" s="241" t="n">
        <x:v>1</x:v>
      </x:c>
      <x:c r="O41" s="244" t="n">
        <x:f>IF(K41="",M41,L41/K41)</x:f>
        <x:v>0.95</x:v>
      </x:c>
      <x:c r="P41" s="244" t="n">
        <x:f>O41-M41</x:f>
        <x:v>0</x:v>
      </x:c>
    </x:row>
    <x:row r="42">
      <x:c r="A42" s="187" t="str">
        <x:v>BUDGET_2026_V1</x:v>
      </x:c>
      <x:c r="B42" s="187" t="str">
        <x:v>BUDGET</x:v>
      </x:c>
      <x:c r="C42" s="187"/>
      <x:c r="D42" s="217" t="n">
        <x:v>46113</x:v>
      </x:c>
      <x:c r="E42" s="187" t="str">
        <x:v>R_GB_DE_B_AIR</x:v>
      </x:c>
      <x:c r="F42" s="187" t="str">
        <x:v>GB</x:v>
      </x:c>
      <x:c r="G42" s="187" t="str">
        <x:v>DE_FC</x:v>
      </x:c>
      <x:c r="H42" s="187" t="str">
        <x:v>CARRIER_B</x:v>
      </x:c>
      <x:c r="I42" s="187" t="str">
        <x:v>AIR</x:v>
      </x:c>
      <x:c r="J42" s="232" t="n">
        <x:v>326.64576</x:v>
      </x:c>
      <x:c r="K42" s="232" t="n">
        <x:v>326.64576</x:v>
      </x:c>
      <x:c r="L42" s="232" t="n">
        <x:v>318.15297024</x:v>
      </x:c>
      <x:c r="M42" s="241" t="n">
        <x:v>0.974</x:v>
      </x:c>
      <x:c r="N42" s="241" t="n">
        <x:v>1</x:v>
      </x:c>
      <x:c r="O42" s="244" t="n">
        <x:f>IF(K42="",M42,L42/K42)</x:f>
        <x:v>0.974</x:v>
      </x:c>
      <x:c r="P42" s="244" t="n">
        <x:f>O42-M42</x:f>
        <x:v>0</x:v>
      </x:c>
    </x:row>
    <x:row r="43">
      <x:c r="A43" s="187" t="str">
        <x:v>BUDGET_2026_V1</x:v>
      </x:c>
      <x:c r="B43" s="187" t="str">
        <x:v>BUDGET</x:v>
      </x:c>
      <x:c r="C43" s="187"/>
      <x:c r="D43" s="217" t="n">
        <x:v>46113</x:v>
      </x:c>
      <x:c r="E43" s="187" t="str">
        <x:v>R_GB_DE_C_AIR</x:v>
      </x:c>
      <x:c r="F43" s="187" t="str">
        <x:v>GB</x:v>
      </x:c>
      <x:c r="G43" s="187" t="str">
        <x:v>DE_FC</x:v>
      </x:c>
      <x:c r="H43" s="187" t="str">
        <x:v>CARRIER_C</x:v>
      </x:c>
      <x:c r="I43" s="187" t="str">
        <x:v>AIR</x:v>
      </x:c>
      <x:c r="J43" s="232" t="n">
        <x:v>139.99104</x:v>
      </x:c>
      <x:c r="K43" s="232" t="n">
        <x:v>139.99104</x:v>
      </x:c>
      <x:c r="L43" s="232" t="n">
        <x:v>138.31114752</x:v>
      </x:c>
      <x:c r="M43" s="241" t="n">
        <x:v>0.988</x:v>
      </x:c>
      <x:c r="N43" s="241" t="n">
        <x:v>1</x:v>
      </x:c>
      <x:c r="O43" s="244" t="n">
        <x:f>IF(K43="",M43,L43/K43)</x:f>
        <x:v>0.988</x:v>
      </x:c>
      <x:c r="P43" s="244" t="n">
        <x:f>O43-M43</x:f>
        <x:v>0</x:v>
      </x:c>
    </x:row>
    <x:row r="44">
      <x:c r="A44" s="187" t="str">
        <x:v>BUDGET_2026_V1</x:v>
      </x:c>
      <x:c r="B44" s="187" t="str">
        <x:v>BUDGET</x:v>
      </x:c>
      <x:c r="C44" s="187"/>
      <x:c r="D44" s="217" t="n">
        <x:v>46113</x:v>
      </x:c>
      <x:c r="E44" s="187" t="str">
        <x:v>R_GB_FR_B_AIR</x:v>
      </x:c>
      <x:c r="F44" s="187" t="str">
        <x:v>GB</x:v>
      </x:c>
      <x:c r="G44" s="187" t="str">
        <x:v>FR_FC</x:v>
      </x:c>
      <x:c r="H44" s="187" t="str">
        <x:v>CARRIER_B</x:v>
      </x:c>
      <x:c r="I44" s="187" t="str">
        <x:v>AIR</x:v>
      </x:c>
      <x:c r="J44" s="232" t="n">
        <x:v>199.64</x:v>
      </x:c>
      <x:c r="K44" s="232" t="n">
        <x:v>199.64</x:v>
      </x:c>
      <x:c r="L44" s="232" t="n">
        <x:v>193.85044</x:v>
      </x:c>
      <x:c r="M44" s="241" t="n">
        <x:v>0.971</x:v>
      </x:c>
      <x:c r="N44" s="241" t="n">
        <x:v>1</x:v>
      </x:c>
      <x:c r="O44" s="244" t="n">
        <x:f>IF(K44="",M44,L44/K44)</x:f>
        <x:v>0.971</x:v>
      </x:c>
      <x:c r="P44" s="244" t="n">
        <x:f>O44-M44</x:f>
        <x:v>0</x:v>
      </x:c>
    </x:row>
    <x:row r="45">
      <x:c r="A45" s="187" t="str">
        <x:v>BUDGET_2026_V1</x:v>
      </x:c>
      <x:c r="B45" s="187" t="str">
        <x:v>BUDGET</x:v>
      </x:c>
      <x:c r="C45" s="187"/>
      <x:c r="D45" s="217" t="n">
        <x:v>46143</x:v>
      </x:c>
      <x:c r="E45" s="187" t="str">
        <x:v>R_DE_DE_A_ROAD</x:v>
      </x:c>
      <x:c r="F45" s="187" t="str">
        <x:v>DE</x:v>
      </x:c>
      <x:c r="G45" s="187" t="str">
        <x:v>DE_FC</x:v>
      </x:c>
      <x:c r="H45" s="187" t="str">
        <x:v>CARRIER_A</x:v>
      </x:c>
      <x:c r="I45" s="187" t="str">
        <x:v>ROAD</x:v>
      </x:c>
      <x:c r="J45" s="232" t="n">
        <x:v>3813.264</x:v>
      </x:c>
      <x:c r="K45" s="232" t="n">
        <x:v>3813.264</x:v>
      </x:c>
      <x:c r="L45" s="232" t="n">
        <x:v>3679.79976</x:v>
      </x:c>
      <x:c r="M45" s="241" t="n">
        <x:v>0.965</x:v>
      </x:c>
      <x:c r="N45" s="241" t="n">
        <x:v>1</x:v>
      </x:c>
      <x:c r="O45" s="244" t="n">
        <x:f>IF(K45="",M45,L45/K45)</x:f>
        <x:v>0.965</x:v>
      </x:c>
      <x:c r="P45" s="244" t="n">
        <x:f>O45-M45</x:f>
        <x:v>0</x:v>
      </x:c>
    </x:row>
    <x:row r="46">
      <x:c r="A46" s="187" t="str">
        <x:v>BUDGET_2026_V1</x:v>
      </x:c>
      <x:c r="B46" s="187" t="str">
        <x:v>BUDGET</x:v>
      </x:c>
      <x:c r="C46" s="187"/>
      <x:c r="D46" s="217" t="n">
        <x:v>46143</x:v>
      </x:c>
      <x:c r="E46" s="187" t="str">
        <x:v>R_DE_DE_B_ROAD</x:v>
      </x:c>
      <x:c r="F46" s="187" t="str">
        <x:v>DE</x:v>
      </x:c>
      <x:c r="G46" s="187" t="str">
        <x:v>DE_FC</x:v>
      </x:c>
      <x:c r="H46" s="187" t="str">
        <x:v>CARRIER_B</x:v>
      </x:c>
      <x:c r="I46" s="187" t="str">
        <x:v>ROAD</x:v>
      </x:c>
      <x:c r="J46" s="232" t="n">
        <x:v>2542.176</x:v>
      </x:c>
      <x:c r="K46" s="232" t="n">
        <x:v>2542.176</x:v>
      </x:c>
      <x:c r="L46" s="232" t="n">
        <x:v>2481.163776</x:v>
      </x:c>
      <x:c r="M46" s="241" t="n">
        <x:v>0.976</x:v>
      </x:c>
      <x:c r="N46" s="241" t="n">
        <x:v>1</x:v>
      </x:c>
      <x:c r="O46" s="244" t="n">
        <x:f>IF(K46="",M46,L46/K46)</x:f>
        <x:v>0.976</x:v>
      </x:c>
      <x:c r="P46" s="244" t="n">
        <x:f>O46-M46</x:f>
        <x:v>0</x:v>
      </x:c>
    </x:row>
    <x:row r="47">
      <x:c r="A47" s="187" t="str">
        <x:v>BUDGET_2026_V1</x:v>
      </x:c>
      <x:c r="B47" s="187" t="str">
        <x:v>BUDGET</x:v>
      </x:c>
      <x:c r="C47" s="187"/>
      <x:c r="D47" s="217" t="n">
        <x:v>46143</x:v>
      </x:c>
      <x:c r="E47" s="187" t="str">
        <x:v>R_DE_FR_B_ROAD</x:v>
      </x:c>
      <x:c r="F47" s="187" t="str">
        <x:v>DE</x:v>
      </x:c>
      <x:c r="G47" s="187" t="str">
        <x:v>FR_FC</x:v>
      </x:c>
      <x:c r="H47" s="187" t="str">
        <x:v>CARRIER_B</x:v>
      </x:c>
      <x:c r="I47" s="187" t="str">
        <x:v>ROAD</x:v>
      </x:c>
      <x:c r="J47" s="232" t="n">
        <x:v>202.176</x:v>
      </x:c>
      <x:c r="K47" s="232" t="n">
        <x:v>202.176</x:v>
      </x:c>
      <x:c r="L47" s="232" t="n">
        <x:v>195.706368</x:v>
      </x:c>
      <x:c r="M47" s="241" t="n">
        <x:v>0.968</x:v>
      </x:c>
      <x:c r="N47" s="241" t="n">
        <x:v>1</x:v>
      </x:c>
      <x:c r="O47" s="244" t="n">
        <x:f>IF(K47="",M47,L47/K47)</x:f>
        <x:v>0.9680000000000001</x:v>
      </x:c>
      <x:c r="P47" s="244" t="n">
        <x:f>O47-M47</x:f>
        <x:v>1.1102230246251565e-16</x:v>
      </x:c>
    </x:row>
    <x:row r="48">
      <x:c r="A48" s="187" t="str">
        <x:v>BUDGET_2026_V1</x:v>
      </x:c>
      <x:c r="B48" s="187" t="str">
        <x:v>BUDGET</x:v>
      </x:c>
      <x:c r="C48" s="187"/>
      <x:c r="D48" s="217" t="n">
        <x:v>46143</x:v>
      </x:c>
      <x:c r="E48" s="187" t="str">
        <x:v>R_FR_FR_A_ROAD</x:v>
      </x:c>
      <x:c r="F48" s="187" t="str">
        <x:v>FR</x:v>
      </x:c>
      <x:c r="G48" s="187" t="str">
        <x:v>FR_FC</x:v>
      </x:c>
      <x:c r="H48" s="187" t="str">
        <x:v>CARRIER_A</x:v>
      </x:c>
      <x:c r="I48" s="187" t="str">
        <x:v>ROAD</x:v>
      </x:c>
      <x:c r="J48" s="232" t="n">
        <x:v>1899.52</x:v>
      </x:c>
      <x:c r="K48" s="232" t="n">
        <x:v>1899.52</x:v>
      </x:c>
      <x:c r="L48" s="232" t="n">
        <x:v>1825.43872</x:v>
      </x:c>
      <x:c r="M48" s="241" t="n">
        <x:v>0.961</x:v>
      </x:c>
      <x:c r="N48" s="241" t="n">
        <x:v>1</x:v>
      </x:c>
      <x:c r="O48" s="244" t="n">
        <x:f>IF(K48="",M48,L48/K48)</x:f>
        <x:v>0.9610000000000001</x:v>
      </x:c>
      <x:c r="P48" s="244" t="n">
        <x:f>O48-M48</x:f>
        <x:v>1.1102230246251565e-16</x:v>
      </x:c>
    </x:row>
    <x:row r="49">
      <x:c r="A49" s="187" t="str">
        <x:v>BUDGET_2026_V1</x:v>
      </x:c>
      <x:c r="B49" s="187" t="str">
        <x:v>BUDGET</x:v>
      </x:c>
      <x:c r="C49" s="187"/>
      <x:c r="D49" s="217" t="n">
        <x:v>46143</x:v>
      </x:c>
      <x:c r="E49" s="187" t="str">
        <x:v>R_FR_FR_B_ROAD</x:v>
      </x:c>
      <x:c r="F49" s="187" t="str">
        <x:v>FR</x:v>
      </x:c>
      <x:c r="G49" s="187" t="str">
        <x:v>FR_FC</x:v>
      </x:c>
      <x:c r="H49" s="187" t="str">
        <x:v>CARRIER_B</x:v>
      </x:c>
      <x:c r="I49" s="187" t="str">
        <x:v>ROAD</x:v>
      </x:c>
      <x:c r="J49" s="232" t="n">
        <x:v>3527.68</x:v>
      </x:c>
      <x:c r="K49" s="232" t="n">
        <x:v>3527.68</x:v>
      </x:c>
      <x:c r="L49" s="232" t="n">
        <x:v>3432.43264</x:v>
      </x:c>
      <x:c r="M49" s="241" t="n">
        <x:v>0.973</x:v>
      </x:c>
      <x:c r="N49" s="241" t="n">
        <x:v>1</x:v>
      </x:c>
      <x:c r="O49" s="244" t="n">
        <x:f>IF(K49="",M49,L49/K49)</x:f>
        <x:v>0.9730000000000001</x:v>
      </x:c>
      <x:c r="P49" s="244" t="n">
        <x:f>O49-M49</x:f>
        <x:v>1.1102230246251565e-16</x:v>
      </x:c>
    </x:row>
    <x:row r="50">
      <x:c r="A50" s="187" t="str">
        <x:v>BUDGET_2026_V1</x:v>
      </x:c>
      <x:c r="B50" s="187" t="str">
        <x:v>BUDGET</x:v>
      </x:c>
      <x:c r="C50" s="187"/>
      <x:c r="D50" s="217" t="n">
        <x:v>46143</x:v>
      </x:c>
      <x:c r="E50" s="187" t="str">
        <x:v>R_GB_DE_A_ROAD</x:v>
      </x:c>
      <x:c r="F50" s="187" t="str">
        <x:v>GB</x:v>
      </x:c>
      <x:c r="G50" s="187" t="str">
        <x:v>DE_FC</x:v>
      </x:c>
      <x:c r="H50" s="187" t="str">
        <x:v>CARRIER_A</x:v>
      </x:c>
      <x:c r="I50" s="187" t="str">
        <x:v>ROAD</x:v>
      </x:c>
      <x:c r="J50" s="232" t="n">
        <x:v>3242.8032</x:v>
      </x:c>
      <x:c r="K50" s="232" t="n">
        <x:v>3242.8032</x:v>
      </x:c>
      <x:c r="L50" s="232" t="n">
        <x:v>3015.806976</x:v>
      </x:c>
      <x:c r="M50" s="241" t="n">
        <x:v>0.93</x:v>
      </x:c>
      <x:c r="N50" s="241" t="n">
        <x:v>1</x:v>
      </x:c>
      <x:c r="O50" s="244" t="n">
        <x:f>IF(K50="",M50,L50/K50)</x:f>
        <x:v>0.93</x:v>
      </x:c>
      <x:c r="P50" s="244" t="n">
        <x:f>O50-M50</x:f>
        <x:v>0</x:v>
      </x:c>
    </x:row>
    <x:row r="51">
      <x:c r="A51" s="187" t="str">
        <x:v>BUDGET_2026_V1</x:v>
      </x:c>
      <x:c r="B51" s="187" t="str">
        <x:v>BUDGET</x:v>
      </x:c>
      <x:c r="C51" s="187"/>
      <x:c r="D51" s="217" t="n">
        <x:v>46143</x:v>
      </x:c>
      <x:c r="E51" s="187" t="str">
        <x:v>R_GB_DE_B_ROAD</x:v>
      </x:c>
      <x:c r="F51" s="187" t="str">
        <x:v>GB</x:v>
      </x:c>
      <x:c r="G51" s="187" t="str">
        <x:v>DE_FC</x:v>
      </x:c>
      <x:c r="H51" s="187" t="str">
        <x:v>CARRIER_B</x:v>
      </x:c>
      <x:c r="I51" s="187" t="str">
        <x:v>ROAD</x:v>
      </x:c>
      <x:c r="J51" s="232" t="n">
        <x:v>1247.232</x:v>
      </x:c>
      <x:c r="K51" s="232" t="n">
        <x:v>1247.232</x:v>
      </x:c>
      <x:c r="L51" s="232" t="n">
        <x:v>1184.8704</x:v>
      </x:c>
      <x:c r="M51" s="241" t="n">
        <x:v>0.95</x:v>
      </x:c>
      <x:c r="N51" s="241" t="n">
        <x:v>1</x:v>
      </x:c>
      <x:c r="O51" s="244" t="n">
        <x:f>IF(K51="",M51,L51/K51)</x:f>
        <x:v>0.9500000000000001</x:v>
      </x:c>
      <x:c r="P51" s="244" t="n">
        <x:f>O51-M51</x:f>
        <x:v>1.1102230246251565e-16</x:v>
      </x:c>
    </x:row>
    <x:row r="52">
      <x:c r="A52" s="187" t="str">
        <x:v>BUDGET_2026_V1</x:v>
      </x:c>
      <x:c r="B52" s="187" t="str">
        <x:v>BUDGET</x:v>
      </x:c>
      <x:c r="C52" s="187"/>
      <x:c r="D52" s="217" t="n">
        <x:v>46143</x:v>
      </x:c>
      <x:c r="E52" s="187" t="str">
        <x:v>R_GB_DE_B_AIR</x:v>
      </x:c>
      <x:c r="F52" s="187" t="str">
        <x:v>GB</x:v>
      </x:c>
      <x:c r="G52" s="187" t="str">
        <x:v>DE_FC</x:v>
      </x:c>
      <x:c r="H52" s="187" t="str">
        <x:v>CARRIER_B</x:v>
      </x:c>
      <x:c r="I52" s="187" t="str">
        <x:v>AIR</x:v>
      </x:c>
      <x:c r="J52" s="232" t="n">
        <x:v>349.22496</x:v>
      </x:c>
      <x:c r="K52" s="232" t="n">
        <x:v>349.22496</x:v>
      </x:c>
      <x:c r="L52" s="232" t="n">
        <x:v>340.14511104</x:v>
      </x:c>
      <x:c r="M52" s="241" t="n">
        <x:v>0.974</x:v>
      </x:c>
      <x:c r="N52" s="241" t="n">
        <x:v>1</x:v>
      </x:c>
      <x:c r="O52" s="244" t="n">
        <x:f>IF(K52="",M52,L52/K52)</x:f>
        <x:v>0.974</x:v>
      </x:c>
      <x:c r="P52" s="244" t="n">
        <x:f>O52-M52</x:f>
        <x:v>0</x:v>
      </x:c>
    </x:row>
    <x:row r="53">
      <x:c r="A53" s="187" t="str">
        <x:v>BUDGET_2026_V1</x:v>
      </x:c>
      <x:c r="B53" s="187" t="str">
        <x:v>BUDGET</x:v>
      </x:c>
      <x:c r="C53" s="187"/>
      <x:c r="D53" s="217" t="n">
        <x:v>46143</x:v>
      </x:c>
      <x:c r="E53" s="187" t="str">
        <x:v>R_GB_DE_C_AIR</x:v>
      </x:c>
      <x:c r="F53" s="187" t="str">
        <x:v>GB</x:v>
      </x:c>
      <x:c r="G53" s="187" t="str">
        <x:v>DE_FC</x:v>
      </x:c>
      <x:c r="H53" s="187" t="str">
        <x:v>CARRIER_C</x:v>
      </x:c>
      <x:c r="I53" s="187" t="str">
        <x:v>AIR</x:v>
      </x:c>
      <x:c r="J53" s="232" t="n">
        <x:v>149.66784</x:v>
      </x:c>
      <x:c r="K53" s="232" t="n">
        <x:v>149.66784</x:v>
      </x:c>
      <x:c r="L53" s="232" t="n">
        <x:v>147.87182592</x:v>
      </x:c>
      <x:c r="M53" s="241" t="n">
        <x:v>0.988</x:v>
      </x:c>
      <x:c r="N53" s="241" t="n">
        <x:v>1</x:v>
      </x:c>
      <x:c r="O53" s="244" t="n">
        <x:f>IF(K53="",M53,L53/K53)</x:f>
        <x:v>0.9879999999999999</x:v>
      </x:c>
      <x:c r="P53" s="244" t="n">
        <x:f>O53-M53</x:f>
        <x:v>-1.1102230246251565e-16</x:v>
      </x:c>
    </x:row>
    <x:row r="54">
      <x:c r="A54" s="187" t="str">
        <x:v>BUDGET_2026_V1</x:v>
      </x:c>
      <x:c r="B54" s="187" t="str">
        <x:v>BUDGET</x:v>
      </x:c>
      <x:c r="C54" s="187"/>
      <x:c r="D54" s="217" t="n">
        <x:v>46143</x:v>
      </x:c>
      <x:c r="E54" s="187" t="str">
        <x:v>R_GB_FR_B_AIR</x:v>
      </x:c>
      <x:c r="F54" s="187" t="str">
        <x:v>GB</x:v>
      </x:c>
      <x:c r="G54" s="187" t="str">
        <x:v>FR_FC</x:v>
      </x:c>
      <x:c r="H54" s="187" t="str">
        <x:v>CARRIER_B</x:v>
      </x:c>
      <x:c r="I54" s="187" t="str">
        <x:v>AIR</x:v>
      </x:c>
      <x:c r="J54" s="232" t="n">
        <x:v>213.44</x:v>
      </x:c>
      <x:c r="K54" s="232" t="n">
        <x:v>213.44</x:v>
      </x:c>
      <x:c r="L54" s="232" t="n">
        <x:v>207.25024</x:v>
      </x:c>
      <x:c r="M54" s="241" t="n">
        <x:v>0.971</x:v>
      </x:c>
      <x:c r="N54" s="241" t="n">
        <x:v>1</x:v>
      </x:c>
      <x:c r="O54" s="244" t="n">
        <x:f>IF(K54="",M54,L54/K54)</x:f>
        <x:v>0.971</x:v>
      </x:c>
      <x:c r="P54" s="244" t="n">
        <x:f>O54-M54</x:f>
        <x:v>0</x:v>
      </x:c>
    </x:row>
    <x:row r="55">
      <x:c r="A55" s="187" t="str">
        <x:v>BUDGET_2026_V1</x:v>
      </x:c>
      <x:c r="B55" s="187" t="str">
        <x:v>BUDGET</x:v>
      </x:c>
      <x:c r="C55" s="187"/>
      <x:c r="D55" s="217" t="n">
        <x:v>46174</x:v>
      </x:c>
      <x:c r="E55" s="187" t="str">
        <x:v>R_DE_DE_A_ROAD</x:v>
      </x:c>
      <x:c r="F55" s="187" t="str">
        <x:v>DE</x:v>
      </x:c>
      <x:c r="G55" s="187" t="str">
        <x:v>DE_FC</x:v>
      </x:c>
      <x:c r="H55" s="187" t="str">
        <x:v>CARRIER_A</x:v>
      </x:c>
      <x:c r="I55" s="187" t="str">
        <x:v>ROAD</x:v>
      </x:c>
      <x:c r="J55" s="232" t="n">
        <x:v>3932.4285</x:v>
      </x:c>
      <x:c r="K55" s="232" t="n">
        <x:v>3932.4285</x:v>
      </x:c>
      <x:c r="L55" s="232" t="n">
        <x:v>3794.7935025</x:v>
      </x:c>
      <x:c r="M55" s="241" t="n">
        <x:v>0.965</x:v>
      </x:c>
      <x:c r="N55" s="241" t="n">
        <x:v>1</x:v>
      </x:c>
      <x:c r="O55" s="244" t="n">
        <x:f>IF(K55="",M55,L55/K55)</x:f>
        <x:v>0.9650000000000001</x:v>
      </x:c>
      <x:c r="P55" s="244" t="n">
        <x:f>O55-M55</x:f>
        <x:v>1.1102230246251565e-16</x:v>
      </x:c>
    </x:row>
    <x:row r="56">
      <x:c r="A56" s="187" t="str">
        <x:v>BUDGET_2026_V1</x:v>
      </x:c>
      <x:c r="B56" s="187" t="str">
        <x:v>BUDGET</x:v>
      </x:c>
      <x:c r="C56" s="187"/>
      <x:c r="D56" s="217" t="n">
        <x:v>46174</x:v>
      </x:c>
      <x:c r="E56" s="187" t="str">
        <x:v>R_DE_DE_B_ROAD</x:v>
      </x:c>
      <x:c r="F56" s="187" t="str">
        <x:v>DE</x:v>
      </x:c>
      <x:c r="G56" s="187" t="str">
        <x:v>DE_FC</x:v>
      </x:c>
      <x:c r="H56" s="187" t="str">
        <x:v>CARRIER_B</x:v>
      </x:c>
      <x:c r="I56" s="187" t="str">
        <x:v>ROAD</x:v>
      </x:c>
      <x:c r="J56" s="232" t="n">
        <x:v>2621.619</x:v>
      </x:c>
      <x:c r="K56" s="232" t="n">
        <x:v>2621.619</x:v>
      </x:c>
      <x:c r="L56" s="232" t="n">
        <x:v>2558.700144</x:v>
      </x:c>
      <x:c r="M56" s="241" t="n">
        <x:v>0.976</x:v>
      </x:c>
      <x:c r="N56" s="241" t="n">
        <x:v>1</x:v>
      </x:c>
      <x:c r="O56" s="244" t="n">
        <x:f>IF(K56="",M56,L56/K56)</x:f>
        <x:v>0.9759999999999999</x:v>
      </x:c>
      <x:c r="P56" s="244" t="n">
        <x:f>O56-M56</x:f>
        <x:v>-1.1102230246251565e-16</x:v>
      </x:c>
    </x:row>
    <x:row r="57">
      <x:c r="A57" s="187" t="str">
        <x:v>BUDGET_2026_V1</x:v>
      </x:c>
      <x:c r="B57" s="187" t="str">
        <x:v>BUDGET</x:v>
      </x:c>
      <x:c r="C57" s="187"/>
      <x:c r="D57" s="217" t="n">
        <x:v>46174</x:v>
      </x:c>
      <x:c r="E57" s="187" t="str">
        <x:v>R_DE_FR_B_ROAD</x:v>
      </x:c>
      <x:c r="F57" s="187" t="str">
        <x:v>DE</x:v>
      </x:c>
      <x:c r="G57" s="187" t="str">
        <x:v>FR_FC</x:v>
      </x:c>
      <x:c r="H57" s="187" t="str">
        <x:v>CARRIER_B</x:v>
      </x:c>
      <x:c r="I57" s="187" t="str">
        <x:v>ROAD</x:v>
      </x:c>
      <x:c r="J57" s="232" t="n">
        <x:v>208.494</x:v>
      </x:c>
      <x:c r="K57" s="232" t="n">
        <x:v>208.494</x:v>
      </x:c>
      <x:c r="L57" s="232" t="n">
        <x:v>201.822192</x:v>
      </x:c>
      <x:c r="M57" s="241" t="n">
        <x:v>0.968</x:v>
      </x:c>
      <x:c r="N57" s="241" t="n">
        <x:v>1</x:v>
      </x:c>
      <x:c r="O57" s="244" t="n">
        <x:f>IF(K57="",M57,L57/K57)</x:f>
        <x:v>0.968</x:v>
      </x:c>
      <x:c r="P57" s="244" t="n">
        <x:f>O57-M57</x:f>
        <x:v>0</x:v>
      </x:c>
    </x:row>
    <x:row r="58">
      <x:c r="A58" s="187" t="str">
        <x:v>BUDGET_2026_V1</x:v>
      </x:c>
      <x:c r="B58" s="187" t="str">
        <x:v>BUDGET</x:v>
      </x:c>
      <x:c r="C58" s="187"/>
      <x:c r="D58" s="217" t="n">
        <x:v>46174</x:v>
      </x:c>
      <x:c r="E58" s="187" t="str">
        <x:v>R_FR_FR_A_ROAD</x:v>
      </x:c>
      <x:c r="F58" s="187" t="str">
        <x:v>FR</x:v>
      </x:c>
      <x:c r="G58" s="187" t="str">
        <x:v>FR_FC</x:v>
      </x:c>
      <x:c r="H58" s="187" t="str">
        <x:v>CARRIER_A</x:v>
      </x:c>
      <x:c r="I58" s="187" t="str">
        <x:v>ROAD</x:v>
      </x:c>
      <x:c r="J58" s="232" t="n">
        <x:v>1958.88</x:v>
      </x:c>
      <x:c r="K58" s="232" t="n">
        <x:v>1958.88</x:v>
      </x:c>
      <x:c r="L58" s="232" t="n">
        <x:v>1882.48368</x:v>
      </x:c>
      <x:c r="M58" s="241" t="n">
        <x:v>0.961</x:v>
      </x:c>
      <x:c r="N58" s="241" t="n">
        <x:v>1</x:v>
      </x:c>
      <x:c r="O58" s="244" t="n">
        <x:f>IF(K58="",M58,L58/K58)</x:f>
        <x:v>0.961</x:v>
      </x:c>
      <x:c r="P58" s="244" t="n">
        <x:f>O58-M58</x:f>
        <x:v>0</x:v>
      </x:c>
    </x:row>
    <x:row r="59">
      <x:c r="A59" s="187" t="str">
        <x:v>BUDGET_2026_V1</x:v>
      </x:c>
      <x:c r="B59" s="187" t="str">
        <x:v>BUDGET</x:v>
      </x:c>
      <x:c r="C59" s="187"/>
      <x:c r="D59" s="217" t="n">
        <x:v>46174</x:v>
      </x:c>
      <x:c r="E59" s="187" t="str">
        <x:v>R_FR_FR_B_ROAD</x:v>
      </x:c>
      <x:c r="F59" s="187" t="str">
        <x:v>FR</x:v>
      </x:c>
      <x:c r="G59" s="187" t="str">
        <x:v>FR_FC</x:v>
      </x:c>
      <x:c r="H59" s="187" t="str">
        <x:v>CARRIER_B</x:v>
      </x:c>
      <x:c r="I59" s="187" t="str">
        <x:v>ROAD</x:v>
      </x:c>
      <x:c r="J59" s="232" t="n">
        <x:v>3637.92</x:v>
      </x:c>
      <x:c r="K59" s="232" t="n">
        <x:v>3637.92</x:v>
      </x:c>
      <x:c r="L59" s="232" t="n">
        <x:v>3539.69616</x:v>
      </x:c>
      <x:c r="M59" s="241" t="n">
        <x:v>0.973</x:v>
      </x:c>
      <x:c r="N59" s="241" t="n">
        <x:v>1</x:v>
      </x:c>
      <x:c r="O59" s="244" t="n">
        <x:f>IF(K59="",M59,L59/K59)</x:f>
        <x:v>0.973</x:v>
      </x:c>
      <x:c r="P59" s="244" t="n">
        <x:f>O59-M59</x:f>
        <x:v>0</x:v>
      </x:c>
    </x:row>
    <x:row r="60">
      <x:c r="A60" s="187" t="str">
        <x:v>BUDGET_2026_V1</x:v>
      </x:c>
      <x:c r="B60" s="187" t="str">
        <x:v>BUDGET</x:v>
      </x:c>
      <x:c r="C60" s="187"/>
      <x:c r="D60" s="217" t="n">
        <x:v>46174</x:v>
      </x:c>
      <x:c r="E60" s="187" t="str">
        <x:v>R_GB_DE_A_ROAD</x:v>
      </x:c>
      <x:c r="F60" s="187" t="str">
        <x:v>GB</x:v>
      </x:c>
      <x:c r="G60" s="187" t="str">
        <x:v>DE_FC</x:v>
      </x:c>
      <x:c r="H60" s="187" t="str">
        <x:v>CARRIER_A</x:v>
      </x:c>
      <x:c r="I60" s="187" t="str">
        <x:v>ROAD</x:v>
      </x:c>
      <x:c r="J60" s="232" t="n">
        <x:v>3344.1408</x:v>
      </x:c>
      <x:c r="K60" s="232" t="n">
        <x:v>3344.1408</x:v>
      </x:c>
      <x:c r="L60" s="232" t="n">
        <x:v>3110.050944</x:v>
      </x:c>
      <x:c r="M60" s="241" t="n">
        <x:v>0.93</x:v>
      </x:c>
      <x:c r="N60" s="241" t="n">
        <x:v>1</x:v>
      </x:c>
      <x:c r="O60" s="244" t="n">
        <x:f>IF(K60="",M60,L60/K60)</x:f>
        <x:v>0.9299999999999999</x:v>
      </x:c>
      <x:c r="P60" s="244" t="n">
        <x:f>O60-M60</x:f>
        <x:v>-1.1102230246251565e-16</x:v>
      </x:c>
    </x:row>
    <x:row r="61">
      <x:c r="A61" s="187" t="str">
        <x:v>BUDGET_2026_V1</x:v>
      </x:c>
      <x:c r="B61" s="187" t="str">
        <x:v>BUDGET</x:v>
      </x:c>
      <x:c r="C61" s="187"/>
      <x:c r="D61" s="217" t="n">
        <x:v>46174</x:v>
      </x:c>
      <x:c r="E61" s="187" t="str">
        <x:v>R_GB_DE_B_ROAD</x:v>
      </x:c>
      <x:c r="F61" s="187" t="str">
        <x:v>GB</x:v>
      </x:c>
      <x:c r="G61" s="187" t="str">
        <x:v>DE_FC</x:v>
      </x:c>
      <x:c r="H61" s="187" t="str">
        <x:v>CARRIER_B</x:v>
      </x:c>
      <x:c r="I61" s="187" t="str">
        <x:v>ROAD</x:v>
      </x:c>
      <x:c r="J61" s="232" t="n">
        <x:v>1286.208</x:v>
      </x:c>
      <x:c r="K61" s="232" t="n">
        <x:v>1286.208</x:v>
      </x:c>
      <x:c r="L61" s="232" t="n">
        <x:v>1221.8976</x:v>
      </x:c>
      <x:c r="M61" s="241" t="n">
        <x:v>0.95</x:v>
      </x:c>
      <x:c r="N61" s="241" t="n">
        <x:v>1</x:v>
      </x:c>
      <x:c r="O61" s="244" t="n">
        <x:f>IF(K61="",M61,L61/K61)</x:f>
        <x:v>0.95</x:v>
      </x:c>
      <x:c r="P61" s="244" t="n">
        <x:f>O61-M61</x:f>
        <x:v>0</x:v>
      </x:c>
    </x:row>
    <x:row r="62">
      <x:c r="A62" s="187" t="str">
        <x:v>BUDGET_2026_V1</x:v>
      </x:c>
      <x:c r="B62" s="187" t="str">
        <x:v>BUDGET</x:v>
      </x:c>
      <x:c r="C62" s="187"/>
      <x:c r="D62" s="217" t="n">
        <x:v>46174</x:v>
      </x:c>
      <x:c r="E62" s="187" t="str">
        <x:v>R_GB_DE_B_AIR</x:v>
      </x:c>
      <x:c r="F62" s="187" t="str">
        <x:v>GB</x:v>
      </x:c>
      <x:c r="G62" s="187" t="str">
        <x:v>DE_FC</x:v>
      </x:c>
      <x:c r="H62" s="187" t="str">
        <x:v>CARRIER_B</x:v>
      </x:c>
      <x:c r="I62" s="187" t="str">
        <x:v>AIR</x:v>
      </x:c>
      <x:c r="J62" s="232" t="n">
        <x:v>360.13824</x:v>
      </x:c>
      <x:c r="K62" s="232" t="n">
        <x:v>360.13824</x:v>
      </x:c>
      <x:c r="L62" s="232" t="n">
        <x:v>350.77464576</x:v>
      </x:c>
      <x:c r="M62" s="241" t="n">
        <x:v>0.974</x:v>
      </x:c>
      <x:c r="N62" s="241" t="n">
        <x:v>1</x:v>
      </x:c>
      <x:c r="O62" s="244" t="n">
        <x:f>IF(K62="",M62,L62/K62)</x:f>
        <x:v>0.974</x:v>
      </x:c>
      <x:c r="P62" s="244" t="n">
        <x:f>O62-M62</x:f>
        <x:v>0</x:v>
      </x:c>
    </x:row>
    <x:row r="63">
      <x:c r="A63" s="187" t="str">
        <x:v>BUDGET_2026_V1</x:v>
      </x:c>
      <x:c r="B63" s="187" t="str">
        <x:v>BUDGET</x:v>
      </x:c>
      <x:c r="C63" s="187"/>
      <x:c r="D63" s="217" t="n">
        <x:v>46174</x:v>
      </x:c>
      <x:c r="E63" s="187" t="str">
        <x:v>R_GB_DE_C_AIR</x:v>
      </x:c>
      <x:c r="F63" s="187" t="str">
        <x:v>GB</x:v>
      </x:c>
      <x:c r="G63" s="187" t="str">
        <x:v>DE_FC</x:v>
      </x:c>
      <x:c r="H63" s="187" t="str">
        <x:v>CARRIER_C</x:v>
      </x:c>
      <x:c r="I63" s="187" t="str">
        <x:v>AIR</x:v>
      </x:c>
      <x:c r="J63" s="232" t="n">
        <x:v>154.34496</x:v>
      </x:c>
      <x:c r="K63" s="232" t="n">
        <x:v>154.34496</x:v>
      </x:c>
      <x:c r="L63" s="232" t="n">
        <x:v>152.49282048</x:v>
      </x:c>
      <x:c r="M63" s="241" t="n">
        <x:v>0.988</x:v>
      </x:c>
      <x:c r="N63" s="241" t="n">
        <x:v>1</x:v>
      </x:c>
      <x:c r="O63" s="244" t="n">
        <x:f>IF(K63="",M63,L63/K63)</x:f>
        <x:v>0.9880000000000001</x:v>
      </x:c>
      <x:c r="P63" s="244" t="n">
        <x:f>O63-M63</x:f>
        <x:v>1.1102230246251565e-16</x:v>
      </x:c>
    </x:row>
    <x:row r="64">
      <x:c r="A64" s="187" t="str">
        <x:v>BUDGET_2026_V1</x:v>
      </x:c>
      <x:c r="B64" s="187" t="str">
        <x:v>BUDGET</x:v>
      </x:c>
      <x:c r="C64" s="187"/>
      <x:c r="D64" s="217" t="n">
        <x:v>46174</x:v>
      </x:c>
      <x:c r="E64" s="187" t="str">
        <x:v>R_GB_FR_B_AIR</x:v>
      </x:c>
      <x:c r="F64" s="187" t="str">
        <x:v>GB</x:v>
      </x:c>
      <x:c r="G64" s="187" t="str">
        <x:v>FR_FC</x:v>
      </x:c>
      <x:c r="H64" s="187" t="str">
        <x:v>CARRIER_B</x:v>
      </x:c>
      <x:c r="I64" s="187" t="str">
        <x:v>AIR</x:v>
      </x:c>
      <x:c r="J64" s="232" t="n">
        <x:v>220.11</x:v>
      </x:c>
      <x:c r="K64" s="232" t="n">
        <x:v>220.11</x:v>
      </x:c>
      <x:c r="L64" s="232" t="n">
        <x:v>213.72681</x:v>
      </x:c>
      <x:c r="M64" s="241" t="n">
        <x:v>0.971</x:v>
      </x:c>
      <x:c r="N64" s="241" t="n">
        <x:v>1</x:v>
      </x:c>
      <x:c r="O64" s="244" t="n">
        <x:f>IF(K64="",M64,L64/K64)</x:f>
        <x:v>0.971</x:v>
      </x:c>
      <x:c r="P64" s="244" t="n">
        <x:f>O64-M64</x:f>
        <x:v>0</x:v>
      </x:c>
    </x:row>
    <x:row r="65">
      <x:c r="A65" s="187" t="str">
        <x:v>BUDGET_2026_V1</x:v>
      </x:c>
      <x:c r="B65" s="187" t="str">
        <x:v>BUDGET</x:v>
      </x:c>
      <x:c r="C65" s="187"/>
      <x:c r="D65" s="217" t="n">
        <x:v>46204</x:v>
      </x:c>
      <x:c r="E65" s="187" t="str">
        <x:v>R_DE_DE_A_ROAD</x:v>
      </x:c>
      <x:c r="F65" s="187" t="str">
        <x:v>DE</x:v>
      </x:c>
      <x:c r="G65" s="187" t="str">
        <x:v>DE_FC</x:v>
      </x:c>
      <x:c r="H65" s="187" t="str">
        <x:v>CARRIER_A</x:v>
      </x:c>
      <x:c r="I65" s="187" t="str">
        <x:v>ROAD</x:v>
      </x:c>
      <x:c r="J65" s="232" t="n">
        <x:v>3947.706</x:v>
      </x:c>
      <x:c r="K65" s="232" t="n">
        <x:v>3947.706</x:v>
      </x:c>
      <x:c r="L65" s="232" t="n">
        <x:v>3809.53629</x:v>
      </x:c>
      <x:c r="M65" s="241" t="n">
        <x:v>0.965</x:v>
      </x:c>
      <x:c r="N65" s="241" t="n">
        <x:v>1</x:v>
      </x:c>
      <x:c r="O65" s="244" t="n">
        <x:f>IF(K65="",M65,L65/K65)</x:f>
        <x:v>0.965</x:v>
      </x:c>
      <x:c r="P65" s="244" t="n">
        <x:f>O65-M65</x:f>
        <x:v>0</x:v>
      </x:c>
    </x:row>
    <x:row r="66">
      <x:c r="A66" s="187" t="str">
        <x:v>BUDGET_2026_V1</x:v>
      </x:c>
      <x:c r="B66" s="187" t="str">
        <x:v>BUDGET</x:v>
      </x:c>
      <x:c r="C66" s="187"/>
      <x:c r="D66" s="217" t="n">
        <x:v>46204</x:v>
      </x:c>
      <x:c r="E66" s="187" t="str">
        <x:v>R_DE_DE_B_ROAD</x:v>
      </x:c>
      <x:c r="F66" s="187" t="str">
        <x:v>DE</x:v>
      </x:c>
      <x:c r="G66" s="187" t="str">
        <x:v>DE_FC</x:v>
      </x:c>
      <x:c r="H66" s="187" t="str">
        <x:v>CARRIER_B</x:v>
      </x:c>
      <x:c r="I66" s="187" t="str">
        <x:v>ROAD</x:v>
      </x:c>
      <x:c r="J66" s="232" t="n">
        <x:v>2631.804</x:v>
      </x:c>
      <x:c r="K66" s="232" t="n">
        <x:v>2631.804</x:v>
      </x:c>
      <x:c r="L66" s="232" t="n">
        <x:v>2568.640704</x:v>
      </x:c>
      <x:c r="M66" s="241" t="n">
        <x:v>0.976</x:v>
      </x:c>
      <x:c r="N66" s="241" t="n">
        <x:v>1</x:v>
      </x:c>
      <x:c r="O66" s="244" t="n">
        <x:f>IF(K66="",M66,L66/K66)</x:f>
        <x:v>0.976</x:v>
      </x:c>
      <x:c r="P66" s="244" t="n">
        <x:f>O66-M66</x:f>
        <x:v>0</x:v>
      </x:c>
    </x:row>
    <x:row r="67">
      <x:c r="A67" s="187" t="str">
        <x:v>BUDGET_2026_V1</x:v>
      </x:c>
      <x:c r="B67" s="187" t="str">
        <x:v>BUDGET</x:v>
      </x:c>
      <x:c r="C67" s="187"/>
      <x:c r="D67" s="217" t="n">
        <x:v>46204</x:v>
      </x:c>
      <x:c r="E67" s="187" t="str">
        <x:v>R_DE_FR_B_ROAD</x:v>
      </x:c>
      <x:c r="F67" s="187" t="str">
        <x:v>DE</x:v>
      </x:c>
      <x:c r="G67" s="187" t="str">
        <x:v>FR_FC</x:v>
      </x:c>
      <x:c r="H67" s="187" t="str">
        <x:v>CARRIER_B</x:v>
      </x:c>
      <x:c r="I67" s="187" t="str">
        <x:v>ROAD</x:v>
      </x:c>
      <x:c r="J67" s="232" t="n">
        <x:v>209.304</x:v>
      </x:c>
      <x:c r="K67" s="232" t="n">
        <x:v>209.304</x:v>
      </x:c>
      <x:c r="L67" s="232" t="n">
        <x:v>202.606272</x:v>
      </x:c>
      <x:c r="M67" s="241" t="n">
        <x:v>0.968</x:v>
      </x:c>
      <x:c r="N67" s="241" t="n">
        <x:v>1</x:v>
      </x:c>
      <x:c r="O67" s="244" t="n">
        <x:f>IF(K67="",M67,L67/K67)</x:f>
        <x:v>0.968</x:v>
      </x:c>
      <x:c r="P67" s="244" t="n">
        <x:f>O67-M67</x:f>
        <x:v>0</x:v>
      </x:c>
    </x:row>
    <x:row r="68">
      <x:c r="A68" s="187" t="str">
        <x:v>BUDGET_2026_V1</x:v>
      </x:c>
      <x:c r="B68" s="187" t="str">
        <x:v>BUDGET</x:v>
      </x:c>
      <x:c r="C68" s="187"/>
      <x:c r="D68" s="217" t="n">
        <x:v>46204</x:v>
      </x:c>
      <x:c r="E68" s="187" t="str">
        <x:v>R_FR_FR_A_ROAD</x:v>
      </x:c>
      <x:c r="F68" s="187" t="str">
        <x:v>FR</x:v>
      </x:c>
      <x:c r="G68" s="187" t="str">
        <x:v>FR_FC</x:v>
      </x:c>
      <x:c r="H68" s="187" t="str">
        <x:v>CARRIER_A</x:v>
      </x:c>
      <x:c r="I68" s="187" t="str">
        <x:v>ROAD</x:v>
      </x:c>
      <x:c r="J68" s="232" t="n">
        <x:v>2018.24</x:v>
      </x:c>
      <x:c r="K68" s="232" t="n">
        <x:v>2018.24</x:v>
      </x:c>
      <x:c r="L68" s="232" t="n">
        <x:v>1939.52864</x:v>
      </x:c>
      <x:c r="M68" s="241" t="n">
        <x:v>0.961</x:v>
      </x:c>
      <x:c r="N68" s="241" t="n">
        <x:v>1</x:v>
      </x:c>
      <x:c r="O68" s="244" t="n">
        <x:f>IF(K68="",M68,L68/K68)</x:f>
        <x:v>0.961</x:v>
      </x:c>
      <x:c r="P68" s="244" t="n">
        <x:f>O68-M68</x:f>
        <x:v>0</x:v>
      </x:c>
    </x:row>
    <x:row r="69">
      <x:c r="A69" s="187" t="str">
        <x:v>BUDGET_2026_V1</x:v>
      </x:c>
      <x:c r="B69" s="187" t="str">
        <x:v>BUDGET</x:v>
      </x:c>
      <x:c r="C69" s="187"/>
      <x:c r="D69" s="217" t="n">
        <x:v>46204</x:v>
      </x:c>
      <x:c r="E69" s="187" t="str">
        <x:v>R_FR_FR_B_ROAD</x:v>
      </x:c>
      <x:c r="F69" s="187" t="str">
        <x:v>FR</x:v>
      </x:c>
      <x:c r="G69" s="187" t="str">
        <x:v>FR_FC</x:v>
      </x:c>
      <x:c r="H69" s="187" t="str">
        <x:v>CARRIER_B</x:v>
      </x:c>
      <x:c r="I69" s="187" t="str">
        <x:v>ROAD</x:v>
      </x:c>
      <x:c r="J69" s="232" t="n">
        <x:v>3748.16</x:v>
      </x:c>
      <x:c r="K69" s="232" t="n">
        <x:v>3748.16</x:v>
      </x:c>
      <x:c r="L69" s="232" t="n">
        <x:v>3646.95968</x:v>
      </x:c>
      <x:c r="M69" s="241" t="n">
        <x:v>0.973</x:v>
      </x:c>
      <x:c r="N69" s="241" t="n">
        <x:v>1</x:v>
      </x:c>
      <x:c r="O69" s="244" t="n">
        <x:f>IF(K69="",M69,L69/K69)</x:f>
        <x:v>0.973</x:v>
      </x:c>
      <x:c r="P69" s="244" t="n">
        <x:f>O69-M69</x:f>
        <x:v>0</x:v>
      </x:c>
    </x:row>
    <x:row r="70">
      <x:c r="A70" s="187" t="str">
        <x:v>BUDGET_2026_V1</x:v>
      </x:c>
      <x:c r="B70" s="187" t="str">
        <x:v>BUDGET</x:v>
      </x:c>
      <x:c r="C70" s="187"/>
      <x:c r="D70" s="217" t="n">
        <x:v>46204</x:v>
      </x:c>
      <x:c r="E70" s="187" t="str">
        <x:v>R_GB_DE_A_ROAD</x:v>
      </x:c>
      <x:c r="F70" s="187" t="str">
        <x:v>GB</x:v>
      </x:c>
      <x:c r="G70" s="187" t="str">
        <x:v>DE_FC</x:v>
      </x:c>
      <x:c r="H70" s="187" t="str">
        <x:v>CARRIER_A</x:v>
      </x:c>
      <x:c r="I70" s="187" t="str">
        <x:v>ROAD</x:v>
      </x:c>
      <x:c r="J70" s="232" t="n">
        <x:v>3564.288</x:v>
      </x:c>
      <x:c r="K70" s="232" t="n">
        <x:v>3564.288</x:v>
      </x:c>
      <x:c r="L70" s="232" t="n">
        <x:v>3314.78784</x:v>
      </x:c>
      <x:c r="M70" s="241" t="n">
        <x:v>0.93</x:v>
      </x:c>
      <x:c r="N70" s="241" t="n">
        <x:v>1</x:v>
      </x:c>
      <x:c r="O70" s="244" t="n">
        <x:f>IF(K70="",M70,L70/K70)</x:f>
        <x:v>0.9299999999999999</x:v>
      </x:c>
      <x:c r="P70" s="244" t="n">
        <x:f>O70-M70</x:f>
        <x:v>-1.1102230246251565e-16</x:v>
      </x:c>
    </x:row>
    <x:row r="71">
      <x:c r="A71" s="187" t="str">
        <x:v>BUDGET_2026_V1</x:v>
      </x:c>
      <x:c r="B71" s="187" t="str">
        <x:v>BUDGET</x:v>
      </x:c>
      <x:c r="C71" s="187"/>
      <x:c r="D71" s="217" t="n">
        <x:v>46204</x:v>
      </x:c>
      <x:c r="E71" s="187" t="str">
        <x:v>R_GB_DE_B_ROAD</x:v>
      </x:c>
      <x:c r="F71" s="187" t="str">
        <x:v>GB</x:v>
      </x:c>
      <x:c r="G71" s="187" t="str">
        <x:v>DE_FC</x:v>
      </x:c>
      <x:c r="H71" s="187" t="str">
        <x:v>CARRIER_B</x:v>
      </x:c>
      <x:c r="I71" s="187" t="str">
        <x:v>ROAD</x:v>
      </x:c>
      <x:c r="J71" s="232" t="n">
        <x:v>1370.88</x:v>
      </x:c>
      <x:c r="K71" s="232" t="n">
        <x:v>1370.88</x:v>
      </x:c>
      <x:c r="L71" s="232" t="n">
        <x:v>1302.336</x:v>
      </x:c>
      <x:c r="M71" s="241" t="n">
        <x:v>0.95</x:v>
      </x:c>
      <x:c r="N71" s="241" t="n">
        <x:v>1</x:v>
      </x:c>
      <x:c r="O71" s="244" t="n">
        <x:f>IF(K71="",M71,L71/K71)</x:f>
        <x:v>0.95</x:v>
      </x:c>
      <x:c r="P71" s="244" t="n">
        <x:f>O71-M71</x:f>
        <x:v>0</x:v>
      </x:c>
    </x:row>
    <x:row r="72">
      <x:c r="A72" s="187" t="str">
        <x:v>BUDGET_2026_V1</x:v>
      </x:c>
      <x:c r="B72" s="187" t="str">
        <x:v>BUDGET</x:v>
      </x:c>
      <x:c r="C72" s="187"/>
      <x:c r="D72" s="217" t="n">
        <x:v>46204</x:v>
      </x:c>
      <x:c r="E72" s="187" t="str">
        <x:v>R_GB_DE_B_AIR</x:v>
      </x:c>
      <x:c r="F72" s="187" t="str">
        <x:v>GB</x:v>
      </x:c>
      <x:c r="G72" s="187" t="str">
        <x:v>DE_FC</x:v>
      </x:c>
      <x:c r="H72" s="187" t="str">
        <x:v>CARRIER_B</x:v>
      </x:c>
      <x:c r="I72" s="187" t="str">
        <x:v>AIR</x:v>
      </x:c>
      <x:c r="J72" s="232" t="n">
        <x:v>383.8464</x:v>
      </x:c>
      <x:c r="K72" s="232" t="n">
        <x:v>383.8464</x:v>
      </x:c>
      <x:c r="L72" s="232" t="n">
        <x:v>373.8663936</x:v>
      </x:c>
      <x:c r="M72" s="241" t="n">
        <x:v>0.974</x:v>
      </x:c>
      <x:c r="N72" s="241" t="n">
        <x:v>1</x:v>
      </x:c>
      <x:c r="O72" s="244" t="n">
        <x:f>IF(K72="",M72,L72/K72)</x:f>
        <x:v>0.9739999999999999</x:v>
      </x:c>
      <x:c r="P72" s="244" t="n">
        <x:f>O72-M72</x:f>
        <x:v>-1.1102230246251565e-16</x:v>
      </x:c>
    </x:row>
    <x:row r="73">
      <x:c r="A73" s="187" t="str">
        <x:v>BUDGET_2026_V1</x:v>
      </x:c>
      <x:c r="B73" s="187" t="str">
        <x:v>BUDGET</x:v>
      </x:c>
      <x:c r="C73" s="187"/>
      <x:c r="D73" s="217" t="n">
        <x:v>46204</x:v>
      </x:c>
      <x:c r="E73" s="187" t="str">
        <x:v>R_GB_DE_C_AIR</x:v>
      </x:c>
      <x:c r="F73" s="187" t="str">
        <x:v>GB</x:v>
      </x:c>
      <x:c r="G73" s="187" t="str">
        <x:v>DE_FC</x:v>
      </x:c>
      <x:c r="H73" s="187" t="str">
        <x:v>CARRIER_C</x:v>
      </x:c>
      <x:c r="I73" s="187" t="str">
        <x:v>AIR</x:v>
      </x:c>
      <x:c r="J73" s="232" t="n">
        <x:v>164.5056</x:v>
      </x:c>
      <x:c r="K73" s="232" t="n">
        <x:v>164.5056</x:v>
      </x:c>
      <x:c r="L73" s="232" t="n">
        <x:v>162.5315328</x:v>
      </x:c>
      <x:c r="M73" s="241" t="n">
        <x:v>0.988</x:v>
      </x:c>
      <x:c r="N73" s="241" t="n">
        <x:v>1</x:v>
      </x:c>
      <x:c r="O73" s="244" t="n">
        <x:f>IF(K73="",M73,L73/K73)</x:f>
        <x:v>0.9880000000000001</x:v>
      </x:c>
      <x:c r="P73" s="244" t="n">
        <x:f>O73-M73</x:f>
        <x:v>1.1102230246251565e-16</x:v>
      </x:c>
    </x:row>
    <x:row r="74">
      <x:c r="A74" s="187" t="str">
        <x:v>BUDGET_2026_V1</x:v>
      </x:c>
      <x:c r="B74" s="187" t="str">
        <x:v>BUDGET</x:v>
      </x:c>
      <x:c r="C74" s="187"/>
      <x:c r="D74" s="217" t="n">
        <x:v>46204</x:v>
      </x:c>
      <x:c r="E74" s="187" t="str">
        <x:v>R_GB_FR_B_AIR</x:v>
      </x:c>
      <x:c r="F74" s="187" t="str">
        <x:v>GB</x:v>
      </x:c>
      <x:c r="G74" s="187" t="str">
        <x:v>FR_FC</x:v>
      </x:c>
      <x:c r="H74" s="187" t="str">
        <x:v>CARRIER_B</x:v>
      </x:c>
      <x:c r="I74" s="187" t="str">
        <x:v>AIR</x:v>
      </x:c>
      <x:c r="J74" s="232" t="n">
        <x:v>234.6</x:v>
      </x:c>
      <x:c r="K74" s="232" t="n">
        <x:v>234.6</x:v>
      </x:c>
      <x:c r="L74" s="232" t="n">
        <x:v>227.7966</x:v>
      </x:c>
      <x:c r="M74" s="241" t="n">
        <x:v>0.971</x:v>
      </x:c>
      <x:c r="N74" s="241" t="n">
        <x:v>1</x:v>
      </x:c>
      <x:c r="O74" s="244" t="n">
        <x:f>IF(K74="",M74,L74/K74)</x:f>
        <x:v>0.9710000000000001</x:v>
      </x:c>
      <x:c r="P74" s="244" t="n">
        <x:f>O74-M74</x:f>
        <x:v>1.1102230246251565e-16</x:v>
      </x:c>
    </x:row>
    <x:row r="75">
      <x:c r="A75" s="187" t="str">
        <x:v>BUDGET_2026_V1</x:v>
      </x:c>
      <x:c r="B75" s="187" t="str">
        <x:v>BUDGET</x:v>
      </x:c>
      <x:c r="C75" s="187"/>
      <x:c r="D75" s="217" t="n">
        <x:v>46235</x:v>
      </x:c>
      <x:c r="E75" s="187" t="str">
        <x:v>R_DE_DE_A_ROAD</x:v>
      </x:c>
      <x:c r="F75" s="187" t="str">
        <x:v>DE</x:v>
      </x:c>
      <x:c r="G75" s="187" t="str">
        <x:v>DE_FC</x:v>
      </x:c>
      <x:c r="H75" s="187" t="str">
        <x:v>CARRIER_A</x:v>
      </x:c>
      <x:c r="I75" s="187" t="str">
        <x:v>ROAD</x:v>
      </x:c>
      <x:c r="J75" s="232" t="n">
        <x:v>3715.488</x:v>
      </x:c>
      <x:c r="K75" s="232" t="n">
        <x:v>3715.488</x:v>
      </x:c>
      <x:c r="L75" s="232" t="n">
        <x:v>3585.44592</x:v>
      </x:c>
      <x:c r="M75" s="241" t="n">
        <x:v>0.965</x:v>
      </x:c>
      <x:c r="N75" s="241" t="n">
        <x:v>1</x:v>
      </x:c>
      <x:c r="O75" s="244" t="n">
        <x:f>IF(K75="",M75,L75/K75)</x:f>
        <x:v>0.9650000000000001</x:v>
      </x:c>
      <x:c r="P75" s="244" t="n">
        <x:f>O75-M75</x:f>
        <x:v>1.1102230246251565e-16</x:v>
      </x:c>
    </x:row>
    <x:row r="76">
      <x:c r="A76" s="187" t="str">
        <x:v>BUDGET_2026_V1</x:v>
      </x:c>
      <x:c r="B76" s="187" t="str">
        <x:v>BUDGET</x:v>
      </x:c>
      <x:c r="C76" s="187"/>
      <x:c r="D76" s="217" t="n">
        <x:v>46235</x:v>
      </x:c>
      <x:c r="E76" s="187" t="str">
        <x:v>R_DE_DE_B_ROAD</x:v>
      </x:c>
      <x:c r="F76" s="187" t="str">
        <x:v>DE</x:v>
      </x:c>
      <x:c r="G76" s="187" t="str">
        <x:v>DE_FC</x:v>
      </x:c>
      <x:c r="H76" s="187" t="str">
        <x:v>CARRIER_B</x:v>
      </x:c>
      <x:c r="I76" s="187" t="str">
        <x:v>ROAD</x:v>
      </x:c>
      <x:c r="J76" s="232" t="n">
        <x:v>2476.992</x:v>
      </x:c>
      <x:c r="K76" s="232" t="n">
        <x:v>2476.992</x:v>
      </x:c>
      <x:c r="L76" s="232" t="n">
        <x:v>2417.544192</x:v>
      </x:c>
      <x:c r="M76" s="241" t="n">
        <x:v>0.976</x:v>
      </x:c>
      <x:c r="N76" s="241" t="n">
        <x:v>1</x:v>
      </x:c>
      <x:c r="O76" s="244" t="n">
        <x:f>IF(K76="",M76,L76/K76)</x:f>
        <x:v>0.9759999999999999</x:v>
      </x:c>
      <x:c r="P76" s="244" t="n">
        <x:f>O76-M76</x:f>
        <x:v>-1.1102230246251565e-16</x:v>
      </x:c>
    </x:row>
    <x:row r="77">
      <x:c r="A77" s="187" t="str">
        <x:v>BUDGET_2026_V1</x:v>
      </x:c>
      <x:c r="B77" s="187" t="str">
        <x:v>BUDGET</x:v>
      </x:c>
      <x:c r="C77" s="187"/>
      <x:c r="D77" s="217" t="n">
        <x:v>46235</x:v>
      </x:c>
      <x:c r="E77" s="187" t="str">
        <x:v>R_DE_FR_B_ROAD</x:v>
      </x:c>
      <x:c r="F77" s="187" t="str">
        <x:v>DE</x:v>
      </x:c>
      <x:c r="G77" s="187" t="str">
        <x:v>FR_FC</x:v>
      </x:c>
      <x:c r="H77" s="187" t="str">
        <x:v>CARRIER_B</x:v>
      </x:c>
      <x:c r="I77" s="187" t="str">
        <x:v>ROAD</x:v>
      </x:c>
      <x:c r="J77" s="232" t="n">
        <x:v>196.992</x:v>
      </x:c>
      <x:c r="K77" s="232" t="n">
        <x:v>196.992</x:v>
      </x:c>
      <x:c r="L77" s="232" t="n">
        <x:v>190.688256</x:v>
      </x:c>
      <x:c r="M77" s="241" t="n">
        <x:v>0.968</x:v>
      </x:c>
      <x:c r="N77" s="241" t="n">
        <x:v>1</x:v>
      </x:c>
      <x:c r="O77" s="244" t="n">
        <x:f>IF(K77="",M77,L77/K77)</x:f>
        <x:v>0.968</x:v>
      </x:c>
      <x:c r="P77" s="244" t="n">
        <x:f>O77-M77</x:f>
        <x:v>0</x:v>
      </x:c>
    </x:row>
    <x:row r="78">
      <x:c r="A78" s="187" t="str">
        <x:v>BUDGET_2026_V1</x:v>
      </x:c>
      <x:c r="B78" s="187" t="str">
        <x:v>BUDGET</x:v>
      </x:c>
      <x:c r="C78" s="187"/>
      <x:c r="D78" s="217" t="n">
        <x:v>46235</x:v>
      </x:c>
      <x:c r="E78" s="187" t="str">
        <x:v>R_FR_FR_A_ROAD</x:v>
      </x:c>
      <x:c r="F78" s="187" t="str">
        <x:v>FR</x:v>
      </x:c>
      <x:c r="G78" s="187" t="str">
        <x:v>FR_FC</x:v>
      </x:c>
      <x:c r="H78" s="187" t="str">
        <x:v>CARRIER_A</x:v>
      </x:c>
      <x:c r="I78" s="187" t="str">
        <x:v>ROAD</x:v>
      </x:c>
      <x:c r="J78" s="232" t="n">
        <x:v>1899.52</x:v>
      </x:c>
      <x:c r="K78" s="232" t="n">
        <x:v>1899.52</x:v>
      </x:c>
      <x:c r="L78" s="232" t="n">
        <x:v>1825.43872</x:v>
      </x:c>
      <x:c r="M78" s="241" t="n">
        <x:v>0.961</x:v>
      </x:c>
      <x:c r="N78" s="241" t="n">
        <x:v>1</x:v>
      </x:c>
      <x:c r="O78" s="244" t="n">
        <x:f>IF(K78="",M78,L78/K78)</x:f>
        <x:v>0.9610000000000001</x:v>
      </x:c>
      <x:c r="P78" s="244" t="n">
        <x:f>O78-M78</x:f>
        <x:v>1.1102230246251565e-16</x:v>
      </x:c>
    </x:row>
    <x:row r="79">
      <x:c r="A79" s="187" t="str">
        <x:v>BUDGET_2026_V1</x:v>
      </x:c>
      <x:c r="B79" s="187" t="str">
        <x:v>BUDGET</x:v>
      </x:c>
      <x:c r="C79" s="187"/>
      <x:c r="D79" s="217" t="n">
        <x:v>46235</x:v>
      </x:c>
      <x:c r="E79" s="187" t="str">
        <x:v>R_FR_FR_B_ROAD</x:v>
      </x:c>
      <x:c r="F79" s="187" t="str">
        <x:v>FR</x:v>
      </x:c>
      <x:c r="G79" s="187" t="str">
        <x:v>FR_FC</x:v>
      </x:c>
      <x:c r="H79" s="187" t="str">
        <x:v>CARRIER_B</x:v>
      </x:c>
      <x:c r="I79" s="187" t="str">
        <x:v>ROAD</x:v>
      </x:c>
      <x:c r="J79" s="232" t="n">
        <x:v>3527.68</x:v>
      </x:c>
      <x:c r="K79" s="232" t="n">
        <x:v>3527.68</x:v>
      </x:c>
      <x:c r="L79" s="232" t="n">
        <x:v>3432.43264</x:v>
      </x:c>
      <x:c r="M79" s="241" t="n">
        <x:v>0.973</x:v>
      </x:c>
      <x:c r="N79" s="241" t="n">
        <x:v>1</x:v>
      </x:c>
      <x:c r="O79" s="244" t="n">
        <x:f>IF(K79="",M79,L79/K79)</x:f>
        <x:v>0.9730000000000001</x:v>
      </x:c>
      <x:c r="P79" s="244" t="n">
        <x:f>O79-M79</x:f>
        <x:v>1.1102230246251565e-16</x:v>
      </x:c>
    </x:row>
    <x:row r="80">
      <x:c r="A80" s="187" t="str">
        <x:v>BUDGET_2026_V1</x:v>
      </x:c>
      <x:c r="B80" s="187" t="str">
        <x:v>BUDGET</x:v>
      </x:c>
      <x:c r="C80" s="187"/>
      <x:c r="D80" s="217" t="n">
        <x:v>46235</x:v>
      </x:c>
      <x:c r="E80" s="187" t="str">
        <x:v>R_GB_DE_A_ROAD</x:v>
      </x:c>
      <x:c r="F80" s="187" t="str">
        <x:v>GB</x:v>
      </x:c>
      <x:c r="G80" s="187" t="str">
        <x:v>DE_FC</x:v>
      </x:c>
      <x:c r="H80" s="187" t="str">
        <x:v>CARRIER_A</x:v>
      </x:c>
      <x:c r="I80" s="187" t="str">
        <x:v>ROAD</x:v>
      </x:c>
      <x:c r="J80" s="232" t="n">
        <x:v>3354.624</x:v>
      </x:c>
      <x:c r="K80" s="232" t="n">
        <x:v>3354.624</x:v>
      </x:c>
      <x:c r="L80" s="232" t="n">
        <x:v>3119.80032</x:v>
      </x:c>
      <x:c r="M80" s="241" t="n">
        <x:v>0.93</x:v>
      </x:c>
      <x:c r="N80" s="241" t="n">
        <x:v>1</x:v>
      </x:c>
      <x:c r="O80" s="244" t="n">
        <x:f>IF(K80="",M80,L80/K80)</x:f>
        <x:v>0.93</x:v>
      </x:c>
      <x:c r="P80" s="244" t="n">
        <x:f>O80-M80</x:f>
        <x:v>0</x:v>
      </x:c>
    </x:row>
    <x:row r="81">
      <x:c r="A81" s="187" t="str">
        <x:v>BUDGET_2026_V1</x:v>
      </x:c>
      <x:c r="B81" s="187" t="str">
        <x:v>BUDGET</x:v>
      </x:c>
      <x:c r="C81" s="187"/>
      <x:c r="D81" s="217" t="n">
        <x:v>46235</x:v>
      </x:c>
      <x:c r="E81" s="187" t="str">
        <x:v>R_GB_DE_B_ROAD</x:v>
      </x:c>
      <x:c r="F81" s="187" t="str">
        <x:v>GB</x:v>
      </x:c>
      <x:c r="G81" s="187" t="str">
        <x:v>DE_FC</x:v>
      </x:c>
      <x:c r="H81" s="187" t="str">
        <x:v>CARRIER_B</x:v>
      </x:c>
      <x:c r="I81" s="187" t="str">
        <x:v>ROAD</x:v>
      </x:c>
      <x:c r="J81" s="232" t="n">
        <x:v>1290.24</x:v>
      </x:c>
      <x:c r="K81" s="232" t="n">
        <x:v>1290.24</x:v>
      </x:c>
      <x:c r="L81" s="232" t="n">
        <x:v>1225.728</x:v>
      </x:c>
      <x:c r="M81" s="241" t="n">
        <x:v>0.95</x:v>
      </x:c>
      <x:c r="N81" s="241" t="n">
        <x:v>1</x:v>
      </x:c>
      <x:c r="O81" s="244" t="n">
        <x:f>IF(K81="",M81,L81/K81)</x:f>
        <x:v>0.9500000000000001</x:v>
      </x:c>
      <x:c r="P81" s="244" t="n">
        <x:f>O81-M81</x:f>
        <x:v>1.1102230246251565e-16</x:v>
      </x:c>
    </x:row>
    <x:row r="82">
      <x:c r="A82" s="187" t="str">
        <x:v>BUDGET_2026_V1</x:v>
      </x:c>
      <x:c r="B82" s="187" t="str">
        <x:v>BUDGET</x:v>
      </x:c>
      <x:c r="C82" s="187"/>
      <x:c r="D82" s="217" t="n">
        <x:v>46235</x:v>
      </x:c>
      <x:c r="E82" s="187" t="str">
        <x:v>R_GB_DE_B_AIR</x:v>
      </x:c>
      <x:c r="F82" s="187" t="str">
        <x:v>GB</x:v>
      </x:c>
      <x:c r="G82" s="187" t="str">
        <x:v>DE_FC</x:v>
      </x:c>
      <x:c r="H82" s="187" t="str">
        <x:v>CARRIER_B</x:v>
      </x:c>
      <x:c r="I82" s="187" t="str">
        <x:v>AIR</x:v>
      </x:c>
      <x:c r="J82" s="232" t="n">
        <x:v>361.2672</x:v>
      </x:c>
      <x:c r="K82" s="232" t="n">
        <x:v>361.2672</x:v>
      </x:c>
      <x:c r="L82" s="232" t="n">
        <x:v>351.8742528</x:v>
      </x:c>
      <x:c r="M82" s="241" t="n">
        <x:v>0.974</x:v>
      </x:c>
      <x:c r="N82" s="241" t="n">
        <x:v>1</x:v>
      </x:c>
      <x:c r="O82" s="244" t="n">
        <x:f>IF(K82="",M82,L82/K82)</x:f>
        <x:v>0.9740000000000001</x:v>
      </x:c>
      <x:c r="P82" s="244" t="n">
        <x:f>O82-M82</x:f>
        <x:v>1.1102230246251565e-16</x:v>
      </x:c>
    </x:row>
    <x:row r="83">
      <x:c r="A83" s="187" t="str">
        <x:v>BUDGET_2026_V1</x:v>
      </x:c>
      <x:c r="B83" s="187" t="str">
        <x:v>BUDGET</x:v>
      </x:c>
      <x:c r="C83" s="187"/>
      <x:c r="D83" s="217" t="n">
        <x:v>46235</x:v>
      </x:c>
      <x:c r="E83" s="187" t="str">
        <x:v>R_GB_DE_C_AIR</x:v>
      </x:c>
      <x:c r="F83" s="187" t="str">
        <x:v>GB</x:v>
      </x:c>
      <x:c r="G83" s="187" t="str">
        <x:v>DE_FC</x:v>
      </x:c>
      <x:c r="H83" s="187" t="str">
        <x:v>CARRIER_C</x:v>
      </x:c>
      <x:c r="I83" s="187" t="str">
        <x:v>AIR</x:v>
      </x:c>
      <x:c r="J83" s="232" t="n">
        <x:v>154.8288</x:v>
      </x:c>
      <x:c r="K83" s="232" t="n">
        <x:v>154.8288</x:v>
      </x:c>
      <x:c r="L83" s="232" t="n">
        <x:v>152.9708544</x:v>
      </x:c>
      <x:c r="M83" s="241" t="n">
        <x:v>0.988</x:v>
      </x:c>
      <x:c r="N83" s="241" t="n">
        <x:v>1</x:v>
      </x:c>
      <x:c r="O83" s="244" t="n">
        <x:f>IF(K83="",M83,L83/K83)</x:f>
        <x:v>0.988</x:v>
      </x:c>
      <x:c r="P83" s="244" t="n">
        <x:f>O83-M83</x:f>
        <x:v>0</x:v>
      </x:c>
    </x:row>
    <x:row r="84">
      <x:c r="A84" s="187" t="str">
        <x:v>BUDGET_2026_V1</x:v>
      </x:c>
      <x:c r="B84" s="187" t="str">
        <x:v>BUDGET</x:v>
      </x:c>
      <x:c r="C84" s="187"/>
      <x:c r="D84" s="217" t="n">
        <x:v>46235</x:v>
      </x:c>
      <x:c r="E84" s="187" t="str">
        <x:v>R_GB_FR_B_AIR</x:v>
      </x:c>
      <x:c r="F84" s="187" t="str">
        <x:v>GB</x:v>
      </x:c>
      <x:c r="G84" s="187" t="str">
        <x:v>FR_FC</x:v>
      </x:c>
      <x:c r="H84" s="187" t="str">
        <x:v>CARRIER_B</x:v>
      </x:c>
      <x:c r="I84" s="187" t="str">
        <x:v>AIR</x:v>
      </x:c>
      <x:c r="J84" s="232" t="n">
        <x:v>220.8</x:v>
      </x:c>
      <x:c r="K84" s="232" t="n">
        <x:v>220.8</x:v>
      </x:c>
      <x:c r="L84" s="232" t="n">
        <x:v>214.3968</x:v>
      </x:c>
      <x:c r="M84" s="241" t="n">
        <x:v>0.971</x:v>
      </x:c>
      <x:c r="N84" s="241" t="n">
        <x:v>1</x:v>
      </x:c>
      <x:c r="O84" s="244" t="n">
        <x:f>IF(K84="",M84,L84/K84)</x:f>
        <x:v>0.971</x:v>
      </x:c>
      <x:c r="P84" s="244" t="n">
        <x:f>O84-M84</x:f>
        <x:v>0</x:v>
      </x:c>
    </x:row>
    <x:row r="85">
      <x:c r="A85" s="187" t="str">
        <x:v>BUDGET_2026_V1</x:v>
      </x:c>
      <x:c r="B85" s="187" t="str">
        <x:v>BUDGET</x:v>
      </x:c>
      <x:c r="C85" s="187"/>
      <x:c r="D85" s="217" t="n">
        <x:v>46266</x:v>
      </x:c>
      <x:c r="E85" s="187" t="str">
        <x:v>R_DE_DE_A_ROAD</x:v>
      </x:c>
      <x:c r="F85" s="187" t="str">
        <x:v>DE</x:v>
      </x:c>
      <x:c r="G85" s="187" t="str">
        <x:v>DE_FC</x:v>
      </x:c>
      <x:c r="H85" s="187" t="str">
        <x:v>CARRIER_A</x:v>
      </x:c>
      <x:c r="I85" s="187" t="str">
        <x:v>ROAD</x:v>
      </x:c>
      <x:c r="J85" s="232" t="n">
        <x:v>3715.488</x:v>
      </x:c>
      <x:c r="K85" s="232" t="n">
        <x:v>3715.488</x:v>
      </x:c>
      <x:c r="L85" s="232" t="n">
        <x:v>3585.44592</x:v>
      </x:c>
      <x:c r="M85" s="241" t="n">
        <x:v>0.965</x:v>
      </x:c>
      <x:c r="N85" s="241" t="n">
        <x:v>1</x:v>
      </x:c>
      <x:c r="O85" s="244" t="n">
        <x:f>IF(K85="",M85,L85/K85)</x:f>
        <x:v>0.9650000000000001</x:v>
      </x:c>
      <x:c r="P85" s="244" t="n">
        <x:f>O85-M85</x:f>
        <x:v>1.1102230246251565e-16</x:v>
      </x:c>
    </x:row>
    <x:row r="86">
      <x:c r="A86" s="187" t="str">
        <x:v>BUDGET_2026_V1</x:v>
      </x:c>
      <x:c r="B86" s="187" t="str">
        <x:v>BUDGET</x:v>
      </x:c>
      <x:c r="C86" s="187"/>
      <x:c r="D86" s="217" t="n">
        <x:v>46266</x:v>
      </x:c>
      <x:c r="E86" s="187" t="str">
        <x:v>R_DE_DE_B_ROAD</x:v>
      </x:c>
      <x:c r="F86" s="187" t="str">
        <x:v>DE</x:v>
      </x:c>
      <x:c r="G86" s="187" t="str">
        <x:v>DE_FC</x:v>
      </x:c>
      <x:c r="H86" s="187" t="str">
        <x:v>CARRIER_B</x:v>
      </x:c>
      <x:c r="I86" s="187" t="str">
        <x:v>ROAD</x:v>
      </x:c>
      <x:c r="J86" s="232" t="n">
        <x:v>2476.992</x:v>
      </x:c>
      <x:c r="K86" s="232" t="n">
        <x:v>2476.992</x:v>
      </x:c>
      <x:c r="L86" s="232" t="n">
        <x:v>2417.544192</x:v>
      </x:c>
      <x:c r="M86" s="241" t="n">
        <x:v>0.976</x:v>
      </x:c>
      <x:c r="N86" s="241" t="n">
        <x:v>1</x:v>
      </x:c>
      <x:c r="O86" s="244" t="n">
        <x:f>IF(K86="",M86,L86/K86)</x:f>
        <x:v>0.9759999999999999</x:v>
      </x:c>
      <x:c r="P86" s="244" t="n">
        <x:f>O86-M86</x:f>
        <x:v>-1.1102230246251565e-16</x:v>
      </x:c>
    </x:row>
    <x:row r="87">
      <x:c r="A87" s="187" t="str">
        <x:v>BUDGET_2026_V1</x:v>
      </x:c>
      <x:c r="B87" s="187" t="str">
        <x:v>BUDGET</x:v>
      </x:c>
      <x:c r="C87" s="187"/>
      <x:c r="D87" s="217" t="n">
        <x:v>46266</x:v>
      </x:c>
      <x:c r="E87" s="187" t="str">
        <x:v>R_DE_FR_B_ROAD</x:v>
      </x:c>
      <x:c r="F87" s="187" t="str">
        <x:v>DE</x:v>
      </x:c>
      <x:c r="G87" s="187" t="str">
        <x:v>FR_FC</x:v>
      </x:c>
      <x:c r="H87" s="187" t="str">
        <x:v>CARRIER_B</x:v>
      </x:c>
      <x:c r="I87" s="187" t="str">
        <x:v>ROAD</x:v>
      </x:c>
      <x:c r="J87" s="232" t="n">
        <x:v>196.992</x:v>
      </x:c>
      <x:c r="K87" s="232" t="n">
        <x:v>196.992</x:v>
      </x:c>
      <x:c r="L87" s="232" t="n">
        <x:v>190.688256</x:v>
      </x:c>
      <x:c r="M87" s="241" t="n">
        <x:v>0.968</x:v>
      </x:c>
      <x:c r="N87" s="241" t="n">
        <x:v>1</x:v>
      </x:c>
      <x:c r="O87" s="244" t="n">
        <x:f>IF(K87="",M87,L87/K87)</x:f>
        <x:v>0.968</x:v>
      </x:c>
      <x:c r="P87" s="244" t="n">
        <x:f>O87-M87</x:f>
        <x:v>0</x:v>
      </x:c>
    </x:row>
    <x:row r="88">
      <x:c r="A88" s="187" t="str">
        <x:v>BUDGET_2026_V1</x:v>
      </x:c>
      <x:c r="B88" s="187" t="str">
        <x:v>BUDGET</x:v>
      </x:c>
      <x:c r="C88" s="187"/>
      <x:c r="D88" s="217" t="n">
        <x:v>46266</x:v>
      </x:c>
      <x:c r="E88" s="187" t="str">
        <x:v>R_FR_FR_A_ROAD</x:v>
      </x:c>
      <x:c r="F88" s="187" t="str">
        <x:v>FR</x:v>
      </x:c>
      <x:c r="G88" s="187" t="str">
        <x:v>FR_FC</x:v>
      </x:c>
      <x:c r="H88" s="187" t="str">
        <x:v>CARRIER_A</x:v>
      </x:c>
      <x:c r="I88" s="187" t="str">
        <x:v>ROAD</x:v>
      </x:c>
      <x:c r="J88" s="232" t="n">
        <x:v>1840.16</x:v>
      </x:c>
      <x:c r="K88" s="232" t="n">
        <x:v>1840.16</x:v>
      </x:c>
      <x:c r="L88" s="232" t="n">
        <x:v>1768.39376</x:v>
      </x:c>
      <x:c r="M88" s="241" t="n">
        <x:v>0.961</x:v>
      </x:c>
      <x:c r="N88" s="241" t="n">
        <x:v>1</x:v>
      </x:c>
      <x:c r="O88" s="244" t="n">
        <x:f>IF(K88="",M88,L88/K88)</x:f>
        <x:v>0.961</x:v>
      </x:c>
      <x:c r="P88" s="244" t="n">
        <x:f>O88-M88</x:f>
        <x:v>0</x:v>
      </x:c>
    </x:row>
    <x:row r="89">
      <x:c r="A89" s="187" t="str">
        <x:v>BUDGET_2026_V1</x:v>
      </x:c>
      <x:c r="B89" s="187" t="str">
        <x:v>BUDGET</x:v>
      </x:c>
      <x:c r="C89" s="187"/>
      <x:c r="D89" s="217" t="n">
        <x:v>46266</x:v>
      </x:c>
      <x:c r="E89" s="187" t="str">
        <x:v>R_FR_FR_B_ROAD</x:v>
      </x:c>
      <x:c r="F89" s="187" t="str">
        <x:v>FR</x:v>
      </x:c>
      <x:c r="G89" s="187" t="str">
        <x:v>FR_FC</x:v>
      </x:c>
      <x:c r="H89" s="187" t="str">
        <x:v>CARRIER_B</x:v>
      </x:c>
      <x:c r="I89" s="187" t="str">
        <x:v>ROAD</x:v>
      </x:c>
      <x:c r="J89" s="232" t="n">
        <x:v>3417.44</x:v>
      </x:c>
      <x:c r="K89" s="232" t="n">
        <x:v>3417.44</x:v>
      </x:c>
      <x:c r="L89" s="232" t="n">
        <x:v>3325.16912</x:v>
      </x:c>
      <x:c r="M89" s="241" t="n">
        <x:v>0.973</x:v>
      </x:c>
      <x:c r="N89" s="241" t="n">
        <x:v>1</x:v>
      </x:c>
      <x:c r="O89" s="244" t="n">
        <x:f>IF(K89="",M89,L89/K89)</x:f>
        <x:v>0.973</x:v>
      </x:c>
      <x:c r="P89" s="244" t="n">
        <x:f>O89-M89</x:f>
        <x:v>0</x:v>
      </x:c>
    </x:row>
    <x:row r="90">
      <x:c r="A90" s="187" t="str">
        <x:v>BUDGET_2026_V1</x:v>
      </x:c>
      <x:c r="B90" s="187" t="str">
        <x:v>BUDGET</x:v>
      </x:c>
      <x:c r="C90" s="187"/>
      <x:c r="D90" s="217" t="n">
        <x:v>46266</x:v>
      </x:c>
      <x:c r="E90" s="187" t="str">
        <x:v>R_GB_DE_A_ROAD</x:v>
      </x:c>
      <x:c r="F90" s="187" t="str">
        <x:v>GB</x:v>
      </x:c>
      <x:c r="G90" s="187" t="str">
        <x:v>DE_FC</x:v>
      </x:c>
      <x:c r="H90" s="187" t="str">
        <x:v>CARRIER_A</x:v>
      </x:c>
      <x:c r="I90" s="187" t="str">
        <x:v>ROAD</x:v>
      </x:c>
      <x:c r="J90" s="232" t="n">
        <x:v>3466.4448</x:v>
      </x:c>
      <x:c r="K90" s="232" t="n">
        <x:v>3466.4448</x:v>
      </x:c>
      <x:c r="L90" s="232" t="n">
        <x:v>3223.793664</x:v>
      </x:c>
      <x:c r="M90" s="241" t="n">
        <x:v>0.93</x:v>
      </x:c>
      <x:c r="N90" s="241" t="n">
        <x:v>1</x:v>
      </x:c>
      <x:c r="O90" s="244" t="n">
        <x:f>IF(K90="",M90,L90/K90)</x:f>
        <x:v>0.9299999999999999</x:v>
      </x:c>
      <x:c r="P90" s="244" t="n">
        <x:f>O90-M90</x:f>
        <x:v>-1.1102230246251565e-16</x:v>
      </x:c>
    </x:row>
    <x:row r="91">
      <x:c r="A91" s="187" t="str">
        <x:v>BUDGET_2026_V1</x:v>
      </x:c>
      <x:c r="B91" s="187" t="str">
        <x:v>BUDGET</x:v>
      </x:c>
      <x:c r="C91" s="187"/>
      <x:c r="D91" s="217" t="n">
        <x:v>46266</x:v>
      </x:c>
      <x:c r="E91" s="187" t="str">
        <x:v>R_GB_DE_B_ROAD</x:v>
      </x:c>
      <x:c r="F91" s="187" t="str">
        <x:v>GB</x:v>
      </x:c>
      <x:c r="G91" s="187" t="str">
        <x:v>DE_FC</x:v>
      </x:c>
      <x:c r="H91" s="187" t="str">
        <x:v>CARRIER_B</x:v>
      </x:c>
      <x:c r="I91" s="187" t="str">
        <x:v>ROAD</x:v>
      </x:c>
      <x:c r="J91" s="232" t="n">
        <x:v>1333.248</x:v>
      </x:c>
      <x:c r="K91" s="232" t="n">
        <x:v>1333.248</x:v>
      </x:c>
      <x:c r="L91" s="232" t="n">
        <x:v>1266.5856</x:v>
      </x:c>
      <x:c r="M91" s="241" t="n">
        <x:v>0.95</x:v>
      </x:c>
      <x:c r="N91" s="241" t="n">
        <x:v>1</x:v>
      </x:c>
      <x:c r="O91" s="244" t="n">
        <x:f>IF(K91="",M91,L91/K91)</x:f>
        <x:v>0.9500000000000001</x:v>
      </x:c>
      <x:c r="P91" s="244" t="n">
        <x:f>O91-M91</x:f>
        <x:v>1.1102230246251565e-16</x:v>
      </x:c>
    </x:row>
    <x:row r="92">
      <x:c r="A92" s="187" t="str">
        <x:v>BUDGET_2026_V1</x:v>
      </x:c>
      <x:c r="B92" s="187" t="str">
        <x:v>BUDGET</x:v>
      </x:c>
      <x:c r="C92" s="187"/>
      <x:c r="D92" s="217" t="n">
        <x:v>46266</x:v>
      </x:c>
      <x:c r="E92" s="187" t="str">
        <x:v>R_GB_DE_B_AIR</x:v>
      </x:c>
      <x:c r="F92" s="187" t="str">
        <x:v>GB</x:v>
      </x:c>
      <x:c r="G92" s="187" t="str">
        <x:v>DE_FC</x:v>
      </x:c>
      <x:c r="H92" s="187" t="str">
        <x:v>CARRIER_B</x:v>
      </x:c>
      <x:c r="I92" s="187" t="str">
        <x:v>AIR</x:v>
      </x:c>
      <x:c r="J92" s="232" t="n">
        <x:v>373.30944</x:v>
      </x:c>
      <x:c r="K92" s="232" t="n">
        <x:v>373.30944</x:v>
      </x:c>
      <x:c r="L92" s="232" t="n">
        <x:v>363.60339456</x:v>
      </x:c>
      <x:c r="M92" s="241" t="n">
        <x:v>0.974</x:v>
      </x:c>
      <x:c r="N92" s="241" t="n">
        <x:v>1</x:v>
      </x:c>
      <x:c r="O92" s="244" t="n">
        <x:f>IF(K92="",M92,L92/K92)</x:f>
        <x:v>0.9740000000000001</x:v>
      </x:c>
      <x:c r="P92" s="244" t="n">
        <x:f>O92-M92</x:f>
        <x:v>1.1102230246251565e-16</x:v>
      </x:c>
    </x:row>
    <x:row r="93">
      <x:c r="A93" s="187" t="str">
        <x:v>BUDGET_2026_V1</x:v>
      </x:c>
      <x:c r="B93" s="187" t="str">
        <x:v>BUDGET</x:v>
      </x:c>
      <x:c r="C93" s="187"/>
      <x:c r="D93" s="217" t="n">
        <x:v>46266</x:v>
      </x:c>
      <x:c r="E93" s="187" t="str">
        <x:v>R_GB_DE_C_AIR</x:v>
      </x:c>
      <x:c r="F93" s="187" t="str">
        <x:v>GB</x:v>
      </x:c>
      <x:c r="G93" s="187" t="str">
        <x:v>DE_FC</x:v>
      </x:c>
      <x:c r="H93" s="187" t="str">
        <x:v>CARRIER_C</x:v>
      </x:c>
      <x:c r="I93" s="187" t="str">
        <x:v>AIR</x:v>
      </x:c>
      <x:c r="J93" s="232" t="n">
        <x:v>159.98976</x:v>
      </x:c>
      <x:c r="K93" s="232" t="n">
        <x:v>159.98976</x:v>
      </x:c>
      <x:c r="L93" s="232" t="n">
        <x:v>158.06988288</x:v>
      </x:c>
      <x:c r="M93" s="241" t="n">
        <x:v>0.988</x:v>
      </x:c>
      <x:c r="N93" s="241" t="n">
        <x:v>1</x:v>
      </x:c>
      <x:c r="O93" s="244" t="n">
        <x:f>IF(K93="",M93,L93/K93)</x:f>
        <x:v>0.988</x:v>
      </x:c>
      <x:c r="P93" s="244" t="n">
        <x:f>O93-M93</x:f>
        <x:v>0</x:v>
      </x:c>
    </x:row>
    <x:row r="94">
      <x:c r="A94" s="187" t="str">
        <x:v>BUDGET_2026_V1</x:v>
      </x:c>
      <x:c r="B94" s="187" t="str">
        <x:v>BUDGET</x:v>
      </x:c>
      <x:c r="C94" s="187"/>
      <x:c r="D94" s="217" t="n">
        <x:v>46266</x:v>
      </x:c>
      <x:c r="E94" s="187" t="str">
        <x:v>R_GB_FR_B_AIR</x:v>
      </x:c>
      <x:c r="F94" s="187" t="str">
        <x:v>GB</x:v>
      </x:c>
      <x:c r="G94" s="187" t="str">
        <x:v>FR_FC</x:v>
      </x:c>
      <x:c r="H94" s="187" t="str">
        <x:v>CARRIER_B</x:v>
      </x:c>
      <x:c r="I94" s="187" t="str">
        <x:v>AIR</x:v>
      </x:c>
      <x:c r="J94" s="232" t="n">
        <x:v>228.16</x:v>
      </x:c>
      <x:c r="K94" s="232" t="n">
        <x:v>228.16</x:v>
      </x:c>
      <x:c r="L94" s="232" t="n">
        <x:v>221.54336</x:v>
      </x:c>
      <x:c r="M94" s="241" t="n">
        <x:v>0.971</x:v>
      </x:c>
      <x:c r="N94" s="241" t="n">
        <x:v>1</x:v>
      </x:c>
      <x:c r="O94" s="244" t="n">
        <x:f>IF(K94="",M94,L94/K94)</x:f>
        <x:v>0.9710000000000001</x:v>
      </x:c>
      <x:c r="P94" s="244" t="n">
        <x:f>O94-M94</x:f>
        <x:v>1.1102230246251565e-16</x:v>
      </x:c>
    </x:row>
    <x:row r="95">
      <x:c r="A95" s="187" t="str">
        <x:v>BUDGET_2026_V1</x:v>
      </x:c>
      <x:c r="B95" s="187" t="str">
        <x:v>BUDGET</x:v>
      </x:c>
      <x:c r="C95" s="187"/>
      <x:c r="D95" s="217" t="n">
        <x:v>46296</x:v>
      </x:c>
      <x:c r="E95" s="187" t="str">
        <x:v>R_DE_DE_A_ROAD</x:v>
      </x:c>
      <x:c r="F95" s="187" t="str">
        <x:v>DE</x:v>
      </x:c>
      <x:c r="G95" s="187" t="str">
        <x:v>DE_FC</x:v>
      </x:c>
      <x:c r="H95" s="187" t="str">
        <x:v>CARRIER_A</x:v>
      </x:c>
      <x:c r="I95" s="187" t="str">
        <x:v>ROAD</x:v>
      </x:c>
      <x:c r="J95" s="232" t="n">
        <x:v>3959.928</x:v>
      </x:c>
      <x:c r="K95" s="232" t="n">
        <x:v>3959.928</x:v>
      </x:c>
      <x:c r="L95" s="232" t="n">
        <x:v>3821.33052</x:v>
      </x:c>
      <x:c r="M95" s="241" t="n">
        <x:v>0.965</x:v>
      </x:c>
      <x:c r="N95" s="241" t="n">
        <x:v>1</x:v>
      </x:c>
      <x:c r="O95" s="244" t="n">
        <x:f>IF(K95="",M95,L95/K95)</x:f>
        <x:v>0.965</x:v>
      </x:c>
      <x:c r="P95" s="244" t="n">
        <x:f>O95-M95</x:f>
        <x:v>0</x:v>
      </x:c>
    </x:row>
    <x:row r="96">
      <x:c r="A96" s="187" t="str">
        <x:v>BUDGET_2026_V1</x:v>
      </x:c>
      <x:c r="B96" s="187" t="str">
        <x:v>BUDGET</x:v>
      </x:c>
      <x:c r="C96" s="187"/>
      <x:c r="D96" s="217" t="n">
        <x:v>46296</x:v>
      </x:c>
      <x:c r="E96" s="187" t="str">
        <x:v>R_DE_DE_B_ROAD</x:v>
      </x:c>
      <x:c r="F96" s="187" t="str">
        <x:v>DE</x:v>
      </x:c>
      <x:c r="G96" s="187" t="str">
        <x:v>DE_FC</x:v>
      </x:c>
      <x:c r="H96" s="187" t="str">
        <x:v>CARRIER_B</x:v>
      </x:c>
      <x:c r="I96" s="187" t="str">
        <x:v>ROAD</x:v>
      </x:c>
      <x:c r="J96" s="232" t="n">
        <x:v>2639.952</x:v>
      </x:c>
      <x:c r="K96" s="232" t="n">
        <x:v>2639.952</x:v>
      </x:c>
      <x:c r="L96" s="232" t="n">
        <x:v>2576.593152</x:v>
      </x:c>
      <x:c r="M96" s="241" t="n">
        <x:v>0.976</x:v>
      </x:c>
      <x:c r="N96" s="241" t="n">
        <x:v>1</x:v>
      </x:c>
      <x:c r="O96" s="244" t="n">
        <x:f>IF(K96="",M96,L96/K96)</x:f>
        <x:v>0.9759999999999999</x:v>
      </x:c>
      <x:c r="P96" s="244" t="n">
        <x:f>O96-M96</x:f>
        <x:v>-1.1102230246251565e-16</x:v>
      </x:c>
    </x:row>
    <x:row r="97">
      <x:c r="A97" s="187" t="str">
        <x:v>BUDGET_2026_V1</x:v>
      </x:c>
      <x:c r="B97" s="187" t="str">
        <x:v>BUDGET</x:v>
      </x:c>
      <x:c r="C97" s="187"/>
      <x:c r="D97" s="217" t="n">
        <x:v>46296</x:v>
      </x:c>
      <x:c r="E97" s="187" t="str">
        <x:v>R_DE_FR_B_ROAD</x:v>
      </x:c>
      <x:c r="F97" s="187" t="str">
        <x:v>DE</x:v>
      </x:c>
      <x:c r="G97" s="187" t="str">
        <x:v>FR_FC</x:v>
      </x:c>
      <x:c r="H97" s="187" t="str">
        <x:v>CARRIER_B</x:v>
      </x:c>
      <x:c r="I97" s="187" t="str">
        <x:v>ROAD</x:v>
      </x:c>
      <x:c r="J97" s="232" t="n">
        <x:v>209.952</x:v>
      </x:c>
      <x:c r="K97" s="232" t="n">
        <x:v>209.952</x:v>
      </x:c>
      <x:c r="L97" s="232" t="n">
        <x:v>203.233536</x:v>
      </x:c>
      <x:c r="M97" s="241" t="n">
        <x:v>0.968</x:v>
      </x:c>
      <x:c r="N97" s="241" t="n">
        <x:v>1</x:v>
      </x:c>
      <x:c r="O97" s="244" t="n">
        <x:f>IF(K97="",M97,L97/K97)</x:f>
        <x:v>0.968</x:v>
      </x:c>
      <x:c r="P97" s="244" t="n">
        <x:f>O97-M97</x:f>
        <x:v>0</x:v>
      </x:c>
    </x:row>
    <x:row r="98">
      <x:c r="A98" s="187" t="str">
        <x:v>BUDGET_2026_V1</x:v>
      </x:c>
      <x:c r="B98" s="187" t="str">
        <x:v>BUDGET</x:v>
      </x:c>
      <x:c r="C98" s="187"/>
      <x:c r="D98" s="217" t="n">
        <x:v>46296</x:v>
      </x:c>
      <x:c r="E98" s="187" t="str">
        <x:v>R_FR_FR_A_ROAD</x:v>
      </x:c>
      <x:c r="F98" s="187" t="str">
        <x:v>FR</x:v>
      </x:c>
      <x:c r="G98" s="187" t="str">
        <x:v>FR_FC</x:v>
      </x:c>
      <x:c r="H98" s="187" t="str">
        <x:v>CARRIER_A</x:v>
      </x:c>
      <x:c r="I98" s="187" t="str">
        <x:v>ROAD</x:v>
      </x:c>
      <x:c r="J98" s="232" t="n">
        <x:v>2070.18</x:v>
      </x:c>
      <x:c r="K98" s="232" t="n">
        <x:v>2070.18</x:v>
      </x:c>
      <x:c r="L98" s="232" t="n">
        <x:v>1989.44298</x:v>
      </x:c>
      <x:c r="M98" s="241" t="n">
        <x:v>0.961</x:v>
      </x:c>
      <x:c r="N98" s="241" t="n">
        <x:v>1</x:v>
      </x:c>
      <x:c r="O98" s="244" t="n">
        <x:f>IF(K98="",M98,L98/K98)</x:f>
        <x:v>0.9610000000000001</x:v>
      </x:c>
      <x:c r="P98" s="244" t="n">
        <x:f>O98-M98</x:f>
        <x:v>1.1102230246251565e-16</x:v>
      </x:c>
    </x:row>
    <x:row r="99">
      <x:c r="A99" s="187" t="str">
        <x:v>BUDGET_2026_V1</x:v>
      </x:c>
      <x:c r="B99" s="187" t="str">
        <x:v>BUDGET</x:v>
      </x:c>
      <x:c r="C99" s="187"/>
      <x:c r="D99" s="217" t="n">
        <x:v>46296</x:v>
      </x:c>
      <x:c r="E99" s="187" t="str">
        <x:v>R_FR_FR_B_ROAD</x:v>
      </x:c>
      <x:c r="F99" s="187" t="str">
        <x:v>FR</x:v>
      </x:c>
      <x:c r="G99" s="187" t="str">
        <x:v>FR_FC</x:v>
      </x:c>
      <x:c r="H99" s="187" t="str">
        <x:v>CARRIER_B</x:v>
      </x:c>
      <x:c r="I99" s="187" t="str">
        <x:v>ROAD</x:v>
      </x:c>
      <x:c r="J99" s="232" t="n">
        <x:v>3844.62</x:v>
      </x:c>
      <x:c r="K99" s="232" t="n">
        <x:v>3844.62</x:v>
      </x:c>
      <x:c r="L99" s="232" t="n">
        <x:v>3740.81526</x:v>
      </x:c>
      <x:c r="M99" s="241" t="n">
        <x:v>0.973</x:v>
      </x:c>
      <x:c r="N99" s="241" t="n">
        <x:v>1</x:v>
      </x:c>
      <x:c r="O99" s="244" t="n">
        <x:f>IF(K99="",M99,L99/K99)</x:f>
        <x:v>0.973</x:v>
      </x:c>
      <x:c r="P99" s="244" t="n">
        <x:f>O99-M99</x:f>
        <x:v>0</x:v>
      </x:c>
    </x:row>
    <x:row r="100">
      <x:c r="A100" s="187" t="str">
        <x:v>BUDGET_2026_V1</x:v>
      </x:c>
      <x:c r="B100" s="187" t="str">
        <x:v>BUDGET</x:v>
      </x:c>
      <x:c r="C100" s="187"/>
      <x:c r="D100" s="217" t="n">
        <x:v>46296</x:v>
      </x:c>
      <x:c r="E100" s="187" t="str">
        <x:v>R_GB_DE_A_ROAD</x:v>
      </x:c>
      <x:c r="F100" s="187" t="str">
        <x:v>GB</x:v>
      </x:c>
      <x:c r="G100" s="187" t="str">
        <x:v>DE_FC</x:v>
      </x:c>
      <x:c r="H100" s="187" t="str">
        <x:v>CARRIER_A</x:v>
      </x:c>
      <x:c r="I100" s="187" t="str">
        <x:v>ROAD</x:v>
      </x:c>
      <x:c r="J100" s="232" t="n">
        <x:v>4151.3472</x:v>
      </x:c>
      <x:c r="K100" s="232" t="n">
        <x:v>4151.3472</x:v>
      </x:c>
      <x:c r="L100" s="232" t="n">
        <x:v>3860.752896</x:v>
      </x:c>
      <x:c r="M100" s="241" t="n">
        <x:v>0.93</x:v>
      </x:c>
      <x:c r="N100" s="241" t="n">
        <x:v>1</x:v>
      </x:c>
      <x:c r="O100" s="244" t="n">
        <x:f>IF(K100="",M100,L100/K100)</x:f>
        <x:v>0.9299999999999999</x:v>
      </x:c>
      <x:c r="P100" s="244" t="n">
        <x:f>O100-M100</x:f>
        <x:v>-1.1102230246251565e-16</x:v>
      </x:c>
    </x:row>
    <x:row r="101">
      <x:c r="A101" s="187" t="str">
        <x:v>BUDGET_2026_V1</x:v>
      </x:c>
      <x:c r="B101" s="187" t="str">
        <x:v>BUDGET</x:v>
      </x:c>
      <x:c r="C101" s="187"/>
      <x:c r="D101" s="217" t="n">
        <x:v>46296</x:v>
      </x:c>
      <x:c r="E101" s="187" t="str">
        <x:v>R_GB_DE_B_ROAD</x:v>
      </x:c>
      <x:c r="F101" s="187" t="str">
        <x:v>GB</x:v>
      </x:c>
      <x:c r="G101" s="187" t="str">
        <x:v>DE_FC</x:v>
      </x:c>
      <x:c r="H101" s="187" t="str">
        <x:v>CARRIER_B</x:v>
      </x:c>
      <x:c r="I101" s="187" t="str">
        <x:v>ROAD</x:v>
      </x:c>
      <x:c r="J101" s="232" t="n">
        <x:v>1596.672</x:v>
      </x:c>
      <x:c r="K101" s="232" t="n">
        <x:v>1596.672</x:v>
      </x:c>
      <x:c r="L101" s="232" t="n">
        <x:v>1516.8384</x:v>
      </x:c>
      <x:c r="M101" s="241" t="n">
        <x:v>0.95</x:v>
      </x:c>
      <x:c r="N101" s="241" t="n">
        <x:v>1</x:v>
      </x:c>
      <x:c r="O101" s="244" t="n">
        <x:f>IF(K101="",M101,L101/K101)</x:f>
        <x:v>0.9500000000000001</x:v>
      </x:c>
      <x:c r="P101" s="244" t="n">
        <x:f>O101-M101</x:f>
        <x:v>1.1102230246251565e-16</x:v>
      </x:c>
    </x:row>
    <x:row r="102">
      <x:c r="A102" s="187" t="str">
        <x:v>BUDGET_2026_V1</x:v>
      </x:c>
      <x:c r="B102" s="187" t="str">
        <x:v>BUDGET</x:v>
      </x:c>
      <x:c r="C102" s="187"/>
      <x:c r="D102" s="217" t="n">
        <x:v>46296</x:v>
      </x:c>
      <x:c r="E102" s="187" t="str">
        <x:v>R_GB_DE_B_AIR</x:v>
      </x:c>
      <x:c r="F102" s="187" t="str">
        <x:v>GB</x:v>
      </x:c>
      <x:c r="G102" s="187" t="str">
        <x:v>DE_FC</x:v>
      </x:c>
      <x:c r="H102" s="187" t="str">
        <x:v>CARRIER_B</x:v>
      </x:c>
      <x:c r="I102" s="187" t="str">
        <x:v>AIR</x:v>
      </x:c>
      <x:c r="J102" s="232" t="n">
        <x:v>447.06816</x:v>
      </x:c>
      <x:c r="K102" s="232" t="n">
        <x:v>447.06816</x:v>
      </x:c>
      <x:c r="L102" s="232" t="n">
        <x:v>435.44438784</x:v>
      </x:c>
      <x:c r="M102" s="241" t="n">
        <x:v>0.974</x:v>
      </x:c>
      <x:c r="N102" s="241" t="n">
        <x:v>1</x:v>
      </x:c>
      <x:c r="O102" s="244" t="n">
        <x:f>IF(K102="",M102,L102/K102)</x:f>
        <x:v>0.974</x:v>
      </x:c>
      <x:c r="P102" s="244" t="n">
        <x:f>O102-M102</x:f>
        <x:v>0</x:v>
      </x:c>
    </x:row>
    <x:row r="103">
      <x:c r="A103" s="187" t="str">
        <x:v>BUDGET_2026_V1</x:v>
      </x:c>
      <x:c r="B103" s="187" t="str">
        <x:v>BUDGET</x:v>
      </x:c>
      <x:c r="C103" s="187"/>
      <x:c r="D103" s="217" t="n">
        <x:v>46296</x:v>
      </x:c>
      <x:c r="E103" s="187" t="str">
        <x:v>R_GB_DE_C_AIR</x:v>
      </x:c>
      <x:c r="F103" s="187" t="str">
        <x:v>GB</x:v>
      </x:c>
      <x:c r="G103" s="187" t="str">
        <x:v>DE_FC</x:v>
      </x:c>
      <x:c r="H103" s="187" t="str">
        <x:v>CARRIER_C</x:v>
      </x:c>
      <x:c r="I103" s="187" t="str">
        <x:v>AIR</x:v>
      </x:c>
      <x:c r="J103" s="232" t="n">
        <x:v>191.60064</x:v>
      </x:c>
      <x:c r="K103" s="232" t="n">
        <x:v>191.60064</x:v>
      </x:c>
      <x:c r="L103" s="232" t="n">
        <x:v>189.30143232</x:v>
      </x:c>
      <x:c r="M103" s="241" t="n">
        <x:v>0.988</x:v>
      </x:c>
      <x:c r="N103" s="241" t="n">
        <x:v>1</x:v>
      </x:c>
      <x:c r="O103" s="244" t="n">
        <x:f>IF(K103="",M103,L103/K103)</x:f>
        <x:v>0.988</x:v>
      </x:c>
      <x:c r="P103" s="244" t="n">
        <x:f>O103-M103</x:f>
        <x:v>0</x:v>
      </x:c>
    </x:row>
    <x:row r="104">
      <x:c r="A104" s="187" t="str">
        <x:v>BUDGET_2026_V1</x:v>
      </x:c>
      <x:c r="B104" s="187" t="str">
        <x:v>BUDGET</x:v>
      </x:c>
      <x:c r="C104" s="187"/>
      <x:c r="D104" s="217" t="n">
        <x:v>46296</x:v>
      </x:c>
      <x:c r="E104" s="187" t="str">
        <x:v>R_GB_FR_B_AIR</x:v>
      </x:c>
      <x:c r="F104" s="187" t="str">
        <x:v>GB</x:v>
      </x:c>
      <x:c r="G104" s="187" t="str">
        <x:v>FR_FC</x:v>
      </x:c>
      <x:c r="H104" s="187" t="str">
        <x:v>CARRIER_B</x:v>
      </x:c>
      <x:c r="I104" s="187" t="str">
        <x:v>AIR</x:v>
      </x:c>
      <x:c r="J104" s="232" t="n">
        <x:v>273.24</x:v>
      </x:c>
      <x:c r="K104" s="232" t="n">
        <x:v>273.24</x:v>
      </x:c>
      <x:c r="L104" s="232" t="n">
        <x:v>265.31604</x:v>
      </x:c>
      <x:c r="M104" s="241" t="n">
        <x:v>0.971</x:v>
      </x:c>
      <x:c r="N104" s="241" t="n">
        <x:v>1</x:v>
      </x:c>
      <x:c r="O104" s="244" t="n">
        <x:f>IF(K104="",M104,L104/K104)</x:f>
        <x:v>0.971</x:v>
      </x:c>
      <x:c r="P104" s="244" t="n">
        <x:f>O104-M104</x:f>
        <x:v>0</x:v>
      </x:c>
    </x:row>
    <x:row r="105">
      <x:c r="A105" s="187" t="str">
        <x:v>BUDGET_2026_V1</x:v>
      </x:c>
      <x:c r="B105" s="187" t="str">
        <x:v>BUDGET</x:v>
      </x:c>
      <x:c r="C105" s="187"/>
      <x:c r="D105" s="217" t="n">
        <x:v>46327</x:v>
      </x:c>
      <x:c r="E105" s="187" t="str">
        <x:v>R_DE_DE_A_ROAD</x:v>
      </x:c>
      <x:c r="F105" s="187" t="str">
        <x:v>DE</x:v>
      </x:c>
      <x:c r="G105" s="187" t="str">
        <x:v>DE_FC</x:v>
      </x:c>
      <x:c r="H105" s="187" t="str">
        <x:v>CARRIER_A</x:v>
      </x:c>
      <x:c r="I105" s="187" t="str">
        <x:v>ROAD</x:v>
      </x:c>
      <x:c r="J105" s="232" t="n">
        <x:v>4571.028</x:v>
      </x:c>
      <x:c r="K105" s="232" t="n">
        <x:v>4571.028</x:v>
      </x:c>
      <x:c r="L105" s="232" t="n">
        <x:v>4411.04202</x:v>
      </x:c>
      <x:c r="M105" s="241" t="n">
        <x:v>0.965</x:v>
      </x:c>
      <x:c r="N105" s="241" t="n">
        <x:v>1</x:v>
      </x:c>
      <x:c r="O105" s="244" t="n">
        <x:f>IF(K105="",M105,L105/K105)</x:f>
        <x:v>0.965</x:v>
      </x:c>
      <x:c r="P105" s="244" t="n">
        <x:f>O105-M105</x:f>
        <x:v>0</x:v>
      </x:c>
    </x:row>
    <x:row r="106">
      <x:c r="A106" s="187" t="str">
        <x:v>BUDGET_2026_V1</x:v>
      </x:c>
      <x:c r="B106" s="187" t="str">
        <x:v>BUDGET</x:v>
      </x:c>
      <x:c r="C106" s="187"/>
      <x:c r="D106" s="217" t="n">
        <x:v>46327</x:v>
      </x:c>
      <x:c r="E106" s="187" t="str">
        <x:v>R_DE_DE_B_ROAD</x:v>
      </x:c>
      <x:c r="F106" s="187" t="str">
        <x:v>DE</x:v>
      </x:c>
      <x:c r="G106" s="187" t="str">
        <x:v>DE_FC</x:v>
      </x:c>
      <x:c r="H106" s="187" t="str">
        <x:v>CARRIER_B</x:v>
      </x:c>
      <x:c r="I106" s="187" t="str">
        <x:v>ROAD</x:v>
      </x:c>
      <x:c r="J106" s="232" t="n">
        <x:v>3047.352</x:v>
      </x:c>
      <x:c r="K106" s="232" t="n">
        <x:v>3047.352</x:v>
      </x:c>
      <x:c r="L106" s="232" t="n">
        <x:v>2974.215552</x:v>
      </x:c>
      <x:c r="M106" s="241" t="n">
        <x:v>0.976</x:v>
      </x:c>
      <x:c r="N106" s="241" t="n">
        <x:v>1</x:v>
      </x:c>
      <x:c r="O106" s="244" t="n">
        <x:f>IF(K106="",M106,L106/K106)</x:f>
        <x:v>0.9760000000000001</x:v>
      </x:c>
      <x:c r="P106" s="244" t="n">
        <x:f>O106-M106</x:f>
        <x:v>1.1102230246251565e-16</x:v>
      </x:c>
    </x:row>
    <x:row r="107">
      <x:c r="A107" s="187" t="str">
        <x:v>BUDGET_2026_V1</x:v>
      </x:c>
      <x:c r="B107" s="187" t="str">
        <x:v>BUDGET</x:v>
      </x:c>
      <x:c r="C107" s="187"/>
      <x:c r="D107" s="217" t="n">
        <x:v>46327</x:v>
      </x:c>
      <x:c r="E107" s="187" t="str">
        <x:v>R_DE_FR_B_ROAD</x:v>
      </x:c>
      <x:c r="F107" s="187" t="str">
        <x:v>DE</x:v>
      </x:c>
      <x:c r="G107" s="187" t="str">
        <x:v>FR_FC</x:v>
      </x:c>
      <x:c r="H107" s="187" t="str">
        <x:v>CARRIER_B</x:v>
      </x:c>
      <x:c r="I107" s="187" t="str">
        <x:v>ROAD</x:v>
      </x:c>
      <x:c r="J107" s="232" t="n">
        <x:v>242.352</x:v>
      </x:c>
      <x:c r="K107" s="232" t="n">
        <x:v>242.352</x:v>
      </x:c>
      <x:c r="L107" s="232" t="n">
        <x:v>234.596736</x:v>
      </x:c>
      <x:c r="M107" s="241" t="n">
        <x:v>0.968</x:v>
      </x:c>
      <x:c r="N107" s="241" t="n">
        <x:v>1</x:v>
      </x:c>
      <x:c r="O107" s="244" t="n">
        <x:f>IF(K107="",M107,L107/K107)</x:f>
        <x:v>0.968</x:v>
      </x:c>
      <x:c r="P107" s="244" t="n">
        <x:f>O107-M107</x:f>
        <x:v>0</x:v>
      </x:c>
    </x:row>
    <x:row r="108">
      <x:c r="A108" s="187" t="str">
        <x:v>BUDGET_2026_V1</x:v>
      </x:c>
      <x:c r="B108" s="187" t="str">
        <x:v>BUDGET</x:v>
      </x:c>
      <x:c r="C108" s="187"/>
      <x:c r="D108" s="217" t="n">
        <x:v>46327</x:v>
      </x:c>
      <x:c r="E108" s="187" t="str">
        <x:v>R_FR_FR_A_ROAD</x:v>
      </x:c>
      <x:c r="F108" s="187" t="str">
        <x:v>FR</x:v>
      </x:c>
      <x:c r="G108" s="187" t="str">
        <x:v>FR_FC</x:v>
      </x:c>
      <x:c r="H108" s="187" t="str">
        <x:v>CARRIER_A</x:v>
      </x:c>
      <x:c r="I108" s="187" t="str">
        <x:v>ROAD</x:v>
      </x:c>
      <x:c r="J108" s="232" t="n">
        <x:v>2448.6</x:v>
      </x:c>
      <x:c r="K108" s="232" t="n">
        <x:v>2448.6</x:v>
      </x:c>
      <x:c r="L108" s="232" t="n">
        <x:v>2353.1046</x:v>
      </x:c>
      <x:c r="M108" s="241" t="n">
        <x:v>0.961</x:v>
      </x:c>
      <x:c r="N108" s="241" t="n">
        <x:v>1</x:v>
      </x:c>
      <x:c r="O108" s="244" t="n">
        <x:f>IF(K108="",M108,L108/K108)</x:f>
        <x:v>0.9610000000000001</x:v>
      </x:c>
      <x:c r="P108" s="244" t="n">
        <x:f>O108-M108</x:f>
        <x:v>1.1102230246251565e-16</x:v>
      </x:c>
    </x:row>
    <x:row r="109">
      <x:c r="A109" s="187" t="str">
        <x:v>BUDGET_2026_V1</x:v>
      </x:c>
      <x:c r="B109" s="187" t="str">
        <x:v>BUDGET</x:v>
      </x:c>
      <x:c r="C109" s="187"/>
      <x:c r="D109" s="217" t="n">
        <x:v>46327</x:v>
      </x:c>
      <x:c r="E109" s="187" t="str">
        <x:v>R_FR_FR_B_ROAD</x:v>
      </x:c>
      <x:c r="F109" s="187" t="str">
        <x:v>FR</x:v>
      </x:c>
      <x:c r="G109" s="187" t="str">
        <x:v>FR_FC</x:v>
      </x:c>
      <x:c r="H109" s="187" t="str">
        <x:v>CARRIER_B</x:v>
      </x:c>
      <x:c r="I109" s="187" t="str">
        <x:v>ROAD</x:v>
      </x:c>
      <x:c r="J109" s="232" t="n">
        <x:v>4547.4</x:v>
      </x:c>
      <x:c r="K109" s="232" t="n">
        <x:v>4547.4</x:v>
      </x:c>
      <x:c r="L109" s="232" t="n">
        <x:v>4424.6202</x:v>
      </x:c>
      <x:c r="M109" s="241" t="n">
        <x:v>0.973</x:v>
      </x:c>
      <x:c r="N109" s="241" t="n">
        <x:v>1</x:v>
      </x:c>
      <x:c r="O109" s="244" t="n">
        <x:f>IF(K109="",M109,L109/K109)</x:f>
        <x:v>0.9730000000000002</x:v>
      </x:c>
      <x:c r="P109" s="244" t="n">
        <x:f>O109-M109</x:f>
        <x:v>2.220446049250313e-16</x:v>
      </x:c>
    </x:row>
    <x:row r="110">
      <x:c r="A110" s="187" t="str">
        <x:v>BUDGET_2026_V1</x:v>
      </x:c>
      <x:c r="B110" s="187" t="str">
        <x:v>BUDGET</x:v>
      </x:c>
      <x:c r="C110" s="187"/>
      <x:c r="D110" s="217" t="n">
        <x:v>46327</x:v>
      </x:c>
      <x:c r="E110" s="187" t="str">
        <x:v>R_GB_DE_A_ROAD</x:v>
      </x:c>
      <x:c r="F110" s="187" t="str">
        <x:v>GB</x:v>
      </x:c>
      <x:c r="G110" s="187" t="str">
        <x:v>DE_FC</x:v>
      </x:c>
      <x:c r="H110" s="187" t="str">
        <x:v>CARRIER_A</x:v>
      </x:c>
      <x:c r="I110" s="187" t="str">
        <x:v>ROAD</x:v>
      </x:c>
      <x:c r="J110" s="232" t="n">
        <x:v>5535.1296</x:v>
      </x:c>
      <x:c r="K110" s="232" t="n">
        <x:v>5535.1296</x:v>
      </x:c>
      <x:c r="L110" s="232" t="n">
        <x:v>5147.670528</x:v>
      </x:c>
      <x:c r="M110" s="241" t="n">
        <x:v>0.93</x:v>
      </x:c>
      <x:c r="N110" s="241" t="n">
        <x:v>1</x:v>
      </x:c>
      <x:c r="O110" s="244" t="n">
        <x:f>IF(K110="",M110,L110/K110)</x:f>
        <x:v>0.9299999999999999</x:v>
      </x:c>
      <x:c r="P110" s="244" t="n">
        <x:f>O110-M110</x:f>
        <x:v>-1.1102230246251565e-16</x:v>
      </x:c>
    </x:row>
    <x:row r="111">
      <x:c r="A111" s="187" t="str">
        <x:v>BUDGET_2026_V1</x:v>
      </x:c>
      <x:c r="B111" s="187" t="str">
        <x:v>BUDGET</x:v>
      </x:c>
      <x:c r="C111" s="187"/>
      <x:c r="D111" s="217" t="n">
        <x:v>46327</x:v>
      </x:c>
      <x:c r="E111" s="187" t="str">
        <x:v>R_GB_DE_B_ROAD</x:v>
      </x:c>
      <x:c r="F111" s="187" t="str">
        <x:v>GB</x:v>
      </x:c>
      <x:c r="G111" s="187" t="str">
        <x:v>DE_FC</x:v>
      </x:c>
      <x:c r="H111" s="187" t="str">
        <x:v>CARRIER_B</x:v>
      </x:c>
      <x:c r="I111" s="187" t="str">
        <x:v>ROAD</x:v>
      </x:c>
      <x:c r="J111" s="232" t="n">
        <x:v>2128.896</x:v>
      </x:c>
      <x:c r="K111" s="232" t="n">
        <x:v>2128.896</x:v>
      </x:c>
      <x:c r="L111" s="232" t="n">
        <x:v>2022.4512</x:v>
      </x:c>
      <x:c r="M111" s="241" t="n">
        <x:v>0.95</x:v>
      </x:c>
      <x:c r="N111" s="241" t="n">
        <x:v>1</x:v>
      </x:c>
      <x:c r="O111" s="244" t="n">
        <x:f>IF(K111="",M111,L111/K111)</x:f>
        <x:v>0.95</x:v>
      </x:c>
      <x:c r="P111" s="244" t="n">
        <x:f>O111-M111</x:f>
        <x:v>0</x:v>
      </x:c>
    </x:row>
    <x:row r="112">
      <x:c r="A112" s="187" t="str">
        <x:v>BUDGET_2026_V1</x:v>
      </x:c>
      <x:c r="B112" s="187" t="str">
        <x:v>BUDGET</x:v>
      </x:c>
      <x:c r="C112" s="187"/>
      <x:c r="D112" s="217" t="n">
        <x:v>46327</x:v>
      </x:c>
      <x:c r="E112" s="187" t="str">
        <x:v>R_GB_DE_B_AIR</x:v>
      </x:c>
      <x:c r="F112" s="187" t="str">
        <x:v>GB</x:v>
      </x:c>
      <x:c r="G112" s="187" t="str">
        <x:v>DE_FC</x:v>
      </x:c>
      <x:c r="H112" s="187" t="str">
        <x:v>CARRIER_B</x:v>
      </x:c>
      <x:c r="I112" s="187" t="str">
        <x:v>AIR</x:v>
      </x:c>
      <x:c r="J112" s="232" t="n">
        <x:v>596.09088</x:v>
      </x:c>
      <x:c r="K112" s="232" t="n">
        <x:v>596.09088</x:v>
      </x:c>
      <x:c r="L112" s="232" t="n">
        <x:v>580.59251712</x:v>
      </x:c>
      <x:c r="M112" s="241" t="n">
        <x:v>0.974</x:v>
      </x:c>
      <x:c r="N112" s="241" t="n">
        <x:v>1</x:v>
      </x:c>
      <x:c r="O112" s="244" t="n">
        <x:f>IF(K112="",M112,L112/K112)</x:f>
        <x:v>0.9740000000000001</x:v>
      </x:c>
      <x:c r="P112" s="244" t="n">
        <x:f>O112-M112</x:f>
        <x:v>1.1102230246251565e-16</x:v>
      </x:c>
    </x:row>
    <x:row r="113">
      <x:c r="A113" s="187" t="str">
        <x:v>BUDGET_2026_V1</x:v>
      </x:c>
      <x:c r="B113" s="187" t="str">
        <x:v>BUDGET</x:v>
      </x:c>
      <x:c r="C113" s="187"/>
      <x:c r="D113" s="217" t="n">
        <x:v>46327</x:v>
      </x:c>
      <x:c r="E113" s="187" t="str">
        <x:v>R_GB_DE_C_AIR</x:v>
      </x:c>
      <x:c r="F113" s="187" t="str">
        <x:v>GB</x:v>
      </x:c>
      <x:c r="G113" s="187" t="str">
        <x:v>DE_FC</x:v>
      </x:c>
      <x:c r="H113" s="187" t="str">
        <x:v>CARRIER_C</x:v>
      </x:c>
      <x:c r="I113" s="187" t="str">
        <x:v>AIR</x:v>
      </x:c>
      <x:c r="J113" s="232" t="n">
        <x:v>255.46752</x:v>
      </x:c>
      <x:c r="K113" s="232" t="n">
        <x:v>255.46752</x:v>
      </x:c>
      <x:c r="L113" s="232" t="n">
        <x:v>252.40190976</x:v>
      </x:c>
      <x:c r="M113" s="241" t="n">
        <x:v>0.988</x:v>
      </x:c>
      <x:c r="N113" s="241" t="n">
        <x:v>1</x:v>
      </x:c>
      <x:c r="O113" s="244" t="n">
        <x:f>IF(K113="",M113,L113/K113)</x:f>
        <x:v>0.988</x:v>
      </x:c>
      <x:c r="P113" s="244" t="n">
        <x:f>O113-M113</x:f>
        <x:v>0</x:v>
      </x:c>
    </x:row>
    <x:row r="114">
      <x:c r="A114" s="187" t="str">
        <x:v>BUDGET_2026_V1</x:v>
      </x:c>
      <x:c r="B114" s="187" t="str">
        <x:v>BUDGET</x:v>
      </x:c>
      <x:c r="C114" s="187"/>
      <x:c r="D114" s="217" t="n">
        <x:v>46327</x:v>
      </x:c>
      <x:c r="E114" s="187" t="str">
        <x:v>R_GB_FR_B_AIR</x:v>
      </x:c>
      <x:c r="F114" s="187" t="str">
        <x:v>GB</x:v>
      </x:c>
      <x:c r="G114" s="187" t="str">
        <x:v>FR_FC</x:v>
      </x:c>
      <x:c r="H114" s="187" t="str">
        <x:v>CARRIER_B</x:v>
      </x:c>
      <x:c r="I114" s="187" t="str">
        <x:v>AIR</x:v>
      </x:c>
      <x:c r="J114" s="232" t="n">
        <x:v>364.32</x:v>
      </x:c>
      <x:c r="K114" s="232" t="n">
        <x:v>364.32</x:v>
      </x:c>
      <x:c r="L114" s="232" t="n">
        <x:v>353.75472</x:v>
      </x:c>
      <x:c r="M114" s="241" t="n">
        <x:v>0.971</x:v>
      </x:c>
      <x:c r="N114" s="241" t="n">
        <x:v>1</x:v>
      </x:c>
      <x:c r="O114" s="244" t="n">
        <x:f>IF(K114="",M114,L114/K114)</x:f>
        <x:v>0.9710000000000001</x:v>
      </x:c>
      <x:c r="P114" s="244" t="n">
        <x:f>O114-M114</x:f>
        <x:v>1.1102230246251565e-16</x:v>
      </x:c>
    </x:row>
    <x:row r="115">
      <x:c r="A115" s="187" t="str">
        <x:v>BUDGET_2026_V1</x:v>
      </x:c>
      <x:c r="B115" s="187" t="str">
        <x:v>BUDGET</x:v>
      </x:c>
      <x:c r="C115" s="187"/>
      <x:c r="D115" s="217" t="n">
        <x:v>46357</x:v>
      </x:c>
      <x:c r="E115" s="187" t="str">
        <x:v>R_DE_DE_A_ROAD</x:v>
      </x:c>
      <x:c r="F115" s="187" t="str">
        <x:v>DE</x:v>
      </x:c>
      <x:c r="G115" s="187" t="str">
        <x:v>DE_FC</x:v>
      </x:c>
      <x:c r="H115" s="187" t="str">
        <x:v>CARRIER_A</x:v>
      </x:c>
      <x:c r="I115" s="187" t="str">
        <x:v>ROAD</x:v>
      </x:c>
      <x:c r="J115" s="232" t="n">
        <x:v>5402.124</x:v>
      </x:c>
      <x:c r="K115" s="232" t="n">
        <x:v>5402.124</x:v>
      </x:c>
      <x:c r="L115" s="232" t="n">
        <x:v>5213.04966</x:v>
      </x:c>
      <x:c r="M115" s="241" t="n">
        <x:v>0.965</x:v>
      </x:c>
      <x:c r="N115" s="241" t="n">
        <x:v>1</x:v>
      </x:c>
      <x:c r="O115" s="244" t="n">
        <x:f>IF(K115="",M115,L115/K115)</x:f>
        <x:v>0.965</x:v>
      </x:c>
      <x:c r="P115" s="244" t="n">
        <x:f>O115-M115</x:f>
        <x:v>0</x:v>
      </x:c>
    </x:row>
    <x:row r="116">
      <x:c r="A116" s="187" t="str">
        <x:v>BUDGET_2026_V1</x:v>
      </x:c>
      <x:c r="B116" s="187" t="str">
        <x:v>BUDGET</x:v>
      </x:c>
      <x:c r="C116" s="187"/>
      <x:c r="D116" s="217" t="n">
        <x:v>46357</x:v>
      </x:c>
      <x:c r="E116" s="187" t="str">
        <x:v>R_DE_DE_B_ROAD</x:v>
      </x:c>
      <x:c r="F116" s="187" t="str">
        <x:v>DE</x:v>
      </x:c>
      <x:c r="G116" s="187" t="str">
        <x:v>DE_FC</x:v>
      </x:c>
      <x:c r="H116" s="187" t="str">
        <x:v>CARRIER_B</x:v>
      </x:c>
      <x:c r="I116" s="187" t="str">
        <x:v>ROAD</x:v>
      </x:c>
      <x:c r="J116" s="232" t="n">
        <x:v>3601.416</x:v>
      </x:c>
      <x:c r="K116" s="232" t="n">
        <x:v>3601.416</x:v>
      </x:c>
      <x:c r="L116" s="232" t="n">
        <x:v>3514.982016</x:v>
      </x:c>
      <x:c r="M116" s="241" t="n">
        <x:v>0.976</x:v>
      </x:c>
      <x:c r="N116" s="241" t="n">
        <x:v>1</x:v>
      </x:c>
      <x:c r="O116" s="244" t="n">
        <x:f>IF(K116="",M116,L116/K116)</x:f>
        <x:v>0.976</x:v>
      </x:c>
      <x:c r="P116" s="244" t="n">
        <x:f>O116-M116</x:f>
        <x:v>0</x:v>
      </x:c>
    </x:row>
    <x:row r="117">
      <x:c r="A117" s="187" t="str">
        <x:v>BUDGET_2026_V1</x:v>
      </x:c>
      <x:c r="B117" s="187" t="str">
        <x:v>BUDGET</x:v>
      </x:c>
      <x:c r="C117" s="187"/>
      <x:c r="D117" s="217" t="n">
        <x:v>46357</x:v>
      </x:c>
      <x:c r="E117" s="187" t="str">
        <x:v>R_DE_FR_B_ROAD</x:v>
      </x:c>
      <x:c r="F117" s="187" t="str">
        <x:v>DE</x:v>
      </x:c>
      <x:c r="G117" s="187" t="str">
        <x:v>FR_FC</x:v>
      </x:c>
      <x:c r="H117" s="187" t="str">
        <x:v>CARRIER_B</x:v>
      </x:c>
      <x:c r="I117" s="187" t="str">
        <x:v>ROAD</x:v>
      </x:c>
      <x:c r="J117" s="232" t="n">
        <x:v>286.416</x:v>
      </x:c>
      <x:c r="K117" s="232" t="n">
        <x:v>286.416</x:v>
      </x:c>
      <x:c r="L117" s="232" t="n">
        <x:v>277.250688</x:v>
      </x:c>
      <x:c r="M117" s="241" t="n">
        <x:v>0.968</x:v>
      </x:c>
      <x:c r="N117" s="241" t="n">
        <x:v>1</x:v>
      </x:c>
      <x:c r="O117" s="244" t="n">
        <x:f>IF(K117="",M117,L117/K117)</x:f>
        <x:v>0.9680000000000001</x:v>
      </x:c>
      <x:c r="P117" s="244" t="n">
        <x:f>O117-M117</x:f>
        <x:v>1.1102230246251565e-16</x:v>
      </x:c>
    </x:row>
    <x:row r="118">
      <x:c r="A118" s="187" t="str">
        <x:v>BUDGET_2026_V1</x:v>
      </x:c>
      <x:c r="B118" s="187" t="str">
        <x:v>BUDGET</x:v>
      </x:c>
      <x:c r="C118" s="187"/>
      <x:c r="D118" s="217" t="n">
        <x:v>46357</x:v>
      </x:c>
      <x:c r="E118" s="187" t="str">
        <x:v>R_FR_FR_A_ROAD</x:v>
      </x:c>
      <x:c r="F118" s="187" t="str">
        <x:v>FR</x:v>
      </x:c>
      <x:c r="G118" s="187" t="str">
        <x:v>FR_FC</x:v>
      </x:c>
      <x:c r="H118" s="187" t="str">
        <x:v>CARRIER_A</x:v>
      </x:c>
      <x:c r="I118" s="187" t="str">
        <x:v>ROAD</x:v>
      </x:c>
      <x:c r="J118" s="232" t="n">
        <x:v>2797.34</x:v>
      </x:c>
      <x:c r="K118" s="232" t="n">
        <x:v>2797.34</x:v>
      </x:c>
      <x:c r="L118" s="232" t="n">
        <x:v>2688.24374</x:v>
      </x:c>
      <x:c r="M118" s="241" t="n">
        <x:v>0.961</x:v>
      </x:c>
      <x:c r="N118" s="241" t="n">
        <x:v>1</x:v>
      </x:c>
      <x:c r="O118" s="244" t="n">
        <x:f>IF(K118="",M118,L118/K118)</x:f>
        <x:v>0.961</x:v>
      </x:c>
      <x:c r="P118" s="244" t="n">
        <x:f>O118-M118</x:f>
        <x:v>0</x:v>
      </x:c>
    </x:row>
    <x:row r="119">
      <x:c r="A119" s="187" t="str">
        <x:v>BUDGET_2026_V1</x:v>
      </x:c>
      <x:c r="B119" s="187" t="str">
        <x:v>BUDGET</x:v>
      </x:c>
      <x:c r="C119" s="187"/>
      <x:c r="D119" s="217" t="n">
        <x:v>46357</x:v>
      </x:c>
      <x:c r="E119" s="187" t="str">
        <x:v>R_FR_FR_B_ROAD</x:v>
      </x:c>
      <x:c r="F119" s="187" t="str">
        <x:v>FR</x:v>
      </x:c>
      <x:c r="G119" s="187" t="str">
        <x:v>FR_FC</x:v>
      </x:c>
      <x:c r="H119" s="187" t="str">
        <x:v>CARRIER_B</x:v>
      </x:c>
      <x:c r="I119" s="187" t="str">
        <x:v>ROAD</x:v>
      </x:c>
      <x:c r="J119" s="232" t="n">
        <x:v>5195.06</x:v>
      </x:c>
      <x:c r="K119" s="232" t="n">
        <x:v>5195.06</x:v>
      </x:c>
      <x:c r="L119" s="232" t="n">
        <x:v>5054.79338</x:v>
      </x:c>
      <x:c r="M119" s="241" t="n">
        <x:v>0.973</x:v>
      </x:c>
      <x:c r="N119" s="241" t="n">
        <x:v>1</x:v>
      </x:c>
      <x:c r="O119" s="244" t="n">
        <x:f>IF(K119="",M119,L119/K119)</x:f>
        <x:v>0.973</x:v>
      </x:c>
      <x:c r="P119" s="244" t="n">
        <x:f>O119-M119</x:f>
        <x:v>0</x:v>
      </x:c>
    </x:row>
    <x:row r="120">
      <x:c r="A120" s="187" t="str">
        <x:v>BUDGET_2026_V1</x:v>
      </x:c>
      <x:c r="B120" s="187" t="str">
        <x:v>BUDGET</x:v>
      </x:c>
      <x:c r="C120" s="187"/>
      <x:c r="D120" s="217" t="n">
        <x:v>46357</x:v>
      </x:c>
      <x:c r="E120" s="187" t="str">
        <x:v>R_GB_DE_A_ROAD</x:v>
      </x:c>
      <x:c r="F120" s="187" t="str">
        <x:v>GB</x:v>
      </x:c>
      <x:c r="G120" s="187" t="str">
        <x:v>DE_FC</x:v>
      </x:c>
      <x:c r="H120" s="187" t="str">
        <x:v>CARRIER_A</x:v>
      </x:c>
      <x:c r="I120" s="187" t="str">
        <x:v>ROAD</x:v>
      </x:c>
      <x:c r="J120" s="232" t="n">
        <x:v>6723.2256</x:v>
      </x:c>
      <x:c r="K120" s="232" t="n">
        <x:v>6723.2256</x:v>
      </x:c>
      <x:c r="L120" s="232" t="n">
        <x:v>6252.599808</x:v>
      </x:c>
      <x:c r="M120" s="241" t="n">
        <x:v>0.93</x:v>
      </x:c>
      <x:c r="N120" s="241" t="n">
        <x:v>1</x:v>
      </x:c>
      <x:c r="O120" s="244" t="n">
        <x:f>IF(K120="",M120,L120/K120)</x:f>
        <x:v>0.93</x:v>
      </x:c>
      <x:c r="P120" s="244" t="n">
        <x:f>O120-M120</x:f>
        <x:v>0</x:v>
      </x:c>
    </x:row>
    <x:row r="121">
      <x:c r="A121" s="187" t="str">
        <x:v>BUDGET_2026_V1</x:v>
      </x:c>
      <x:c r="B121" s="187" t="str">
        <x:v>BUDGET</x:v>
      </x:c>
      <x:c r="C121" s="187"/>
      <x:c r="D121" s="217" t="n">
        <x:v>46357</x:v>
      </x:c>
      <x:c r="E121" s="187" t="str">
        <x:v>R_GB_DE_B_ROAD</x:v>
      </x:c>
      <x:c r="F121" s="187" t="str">
        <x:v>GB</x:v>
      </x:c>
      <x:c r="G121" s="187" t="str">
        <x:v>DE_FC</x:v>
      </x:c>
      <x:c r="H121" s="187" t="str">
        <x:v>CARRIER_B</x:v>
      </x:c>
      <x:c r="I121" s="187" t="str">
        <x:v>ROAD</x:v>
      </x:c>
      <x:c r="J121" s="232" t="n">
        <x:v>2585.856</x:v>
      </x:c>
      <x:c r="K121" s="232" t="n">
        <x:v>2585.856</x:v>
      </x:c>
      <x:c r="L121" s="232" t="n">
        <x:v>2456.5632</x:v>
      </x:c>
      <x:c r="M121" s="241" t="n">
        <x:v>0.95</x:v>
      </x:c>
      <x:c r="N121" s="241" t="n">
        <x:v>1</x:v>
      </x:c>
      <x:c r="O121" s="244" t="n">
        <x:f>IF(K121="",M121,L121/K121)</x:f>
        <x:v>0.95</x:v>
      </x:c>
      <x:c r="P121" s="244" t="n">
        <x:f>O121-M121</x:f>
        <x:v>0</x:v>
      </x:c>
    </x:row>
    <x:row r="122">
      <x:c r="A122" s="187" t="str">
        <x:v>BUDGET_2026_V1</x:v>
      </x:c>
      <x:c r="B122" s="187" t="str">
        <x:v>BUDGET</x:v>
      </x:c>
      <x:c r="C122" s="187"/>
      <x:c r="D122" s="217" t="n">
        <x:v>46357</x:v>
      </x:c>
      <x:c r="E122" s="187" t="str">
        <x:v>R_GB_DE_B_AIR</x:v>
      </x:c>
      <x:c r="F122" s="187" t="str">
        <x:v>GB</x:v>
      </x:c>
      <x:c r="G122" s="187" t="str">
        <x:v>DE_FC</x:v>
      </x:c>
      <x:c r="H122" s="187" t="str">
        <x:v>CARRIER_B</x:v>
      </x:c>
      <x:c r="I122" s="187" t="str">
        <x:v>AIR</x:v>
      </x:c>
      <x:c r="J122" s="232" t="n">
        <x:v>724.03968</x:v>
      </x:c>
      <x:c r="K122" s="232" t="n">
        <x:v>724.03968</x:v>
      </x:c>
      <x:c r="L122" s="232" t="n">
        <x:v>705.21464832</x:v>
      </x:c>
      <x:c r="M122" s="241" t="n">
        <x:v>0.974</x:v>
      </x:c>
      <x:c r="N122" s="241" t="n">
        <x:v>1</x:v>
      </x:c>
      <x:c r="O122" s="244" t="n">
        <x:f>IF(K122="",M122,L122/K122)</x:f>
        <x:v>0.9740000000000001</x:v>
      </x:c>
      <x:c r="P122" s="244" t="n">
        <x:f>O122-M122</x:f>
        <x:v>1.1102230246251565e-16</x:v>
      </x:c>
    </x:row>
    <x:row r="123">
      <x:c r="A123" s="187" t="str">
        <x:v>BUDGET_2026_V1</x:v>
      </x:c>
      <x:c r="B123" s="187" t="str">
        <x:v>BUDGET</x:v>
      </x:c>
      <x:c r="C123" s="187"/>
      <x:c r="D123" s="217" t="n">
        <x:v>46357</x:v>
      </x:c>
      <x:c r="E123" s="187" t="str">
        <x:v>R_GB_DE_C_AIR</x:v>
      </x:c>
      <x:c r="F123" s="187" t="str">
        <x:v>GB</x:v>
      </x:c>
      <x:c r="G123" s="187" t="str">
        <x:v>DE_FC</x:v>
      </x:c>
      <x:c r="H123" s="187" t="str">
        <x:v>CARRIER_C</x:v>
      </x:c>
      <x:c r="I123" s="187" t="str">
        <x:v>AIR</x:v>
      </x:c>
      <x:c r="J123" s="232" t="n">
        <x:v>310.30272</x:v>
      </x:c>
      <x:c r="K123" s="232" t="n">
        <x:v>310.30272</x:v>
      </x:c>
      <x:c r="L123" s="232" t="n">
        <x:v>306.57908736</x:v>
      </x:c>
      <x:c r="M123" s="241" t="n">
        <x:v>0.988</x:v>
      </x:c>
      <x:c r="N123" s="241" t="n">
        <x:v>1</x:v>
      </x:c>
      <x:c r="O123" s="244" t="n">
        <x:f>IF(K123="",M123,L123/K123)</x:f>
        <x:v>0.988</x:v>
      </x:c>
      <x:c r="P123" s="244" t="n">
        <x:f>O123-M123</x:f>
        <x:v>0</x:v>
      </x:c>
    </x:row>
    <x:row r="124">
      <x:c r="A124" s="187" t="str">
        <x:v>BUDGET_2026_V1</x:v>
      </x:c>
      <x:c r="B124" s="187" t="str">
        <x:v>BUDGET</x:v>
      </x:c>
      <x:c r="C124" s="187"/>
      <x:c r="D124" s="217" t="n">
        <x:v>46357</x:v>
      </x:c>
      <x:c r="E124" s="187" t="str">
        <x:v>R_GB_FR_B_AIR</x:v>
      </x:c>
      <x:c r="F124" s="187" t="str">
        <x:v>GB</x:v>
      </x:c>
      <x:c r="G124" s="187" t="str">
        <x:v>FR_FC</x:v>
      </x:c>
      <x:c r="H124" s="187" t="str">
        <x:v>CARRIER_B</x:v>
      </x:c>
      <x:c r="I124" s="187" t="str">
        <x:v>AIR</x:v>
      </x:c>
      <x:c r="J124" s="232" t="n">
        <x:v>442.52</x:v>
      </x:c>
      <x:c r="K124" s="232" t="n">
        <x:v>442.52</x:v>
      </x:c>
      <x:c r="L124" s="232" t="n">
        <x:v>429.68692</x:v>
      </x:c>
      <x:c r="M124" s="241" t="n">
        <x:v>0.971</x:v>
      </x:c>
      <x:c r="N124" s="241" t="n">
        <x:v>1</x:v>
      </x:c>
      <x:c r="O124" s="244" t="n">
        <x:f>IF(K124="",M124,L124/K124)</x:f>
        <x:v>0.971</x:v>
      </x:c>
      <x:c r="P124" s="244" t="n">
        <x:f>O124-M124</x:f>
        <x:v>0</x:v>
      </x:c>
    </x:row>
    <x:row r="125">
      <x:c r="A125" s="187" t="str">
        <x:v>ACTUAL_2026_08_CLOSE_V1</x:v>
      </x:c>
      <x:c r="B125" s="187" t="str">
        <x:v>ACTUAL</x:v>
      </x:c>
      <x:c r="C125" s="187"/>
      <x:c r="D125" s="217" t="n">
        <x:v>46023</x:v>
      </x:c>
      <x:c r="E125" s="187" t="str">
        <x:v>R_DE_DE_A_ROAD</x:v>
      </x:c>
      <x:c r="F125" s="187" t="str">
        <x:v>DE</x:v>
      </x:c>
      <x:c r="G125" s="187" t="str">
        <x:v>DE_FC</x:v>
      </x:c>
      <x:c r="H125" s="187" t="str">
        <x:v>CARRIER_A</x:v>
      </x:c>
      <x:c r="I125" s="187" t="str">
        <x:v>ROAD</x:v>
      </x:c>
      <x:c r="J125" s="232" t="n">
        <x:v>3563.232435</x:v>
      </x:c>
      <x:c r="K125" s="232" t="n">
        <x:v>3563.232435</x:v>
      </x:c>
      <x:c r="L125" s="232" t="n">
        <x:v>3442.08253221</x:v>
      </x:c>
      <x:c r="M125" s="241" t="n">
        <x:v>0.966</x:v>
      </x:c>
      <x:c r="N125" s="241" t="n">
        <x:v>1</x:v>
      </x:c>
      <x:c r="O125" s="244" t="n">
        <x:f>IF(K125="",M125,L125/K125)</x:f>
        <x:v>0.966</x:v>
      </x:c>
      <x:c r="P125" s="244" t="n">
        <x:f>O125-M125</x:f>
        <x:v>0</x:v>
      </x:c>
    </x:row>
    <x:row r="126">
      <x:c r="A126" s="187" t="str">
        <x:v>ACTUAL_2026_08_CLOSE_V1</x:v>
      </x:c>
      <x:c r="B126" s="187" t="str">
        <x:v>ACTUAL</x:v>
      </x:c>
      <x:c r="C126" s="187"/>
      <x:c r="D126" s="217" t="n">
        <x:v>46023</x:v>
      </x:c>
      <x:c r="E126" s="187" t="str">
        <x:v>R_DE_DE_B_ROAD</x:v>
      </x:c>
      <x:c r="F126" s="187" t="str">
        <x:v>DE</x:v>
      </x:c>
      <x:c r="G126" s="187" t="str">
        <x:v>DE_FC</x:v>
      </x:c>
      <x:c r="H126" s="187" t="str">
        <x:v>CARRIER_B</x:v>
      </x:c>
      <x:c r="I126" s="187" t="str">
        <x:v>ROAD</x:v>
      </x:c>
      <x:c r="J126" s="232" t="n">
        <x:v>2375.48829</x:v>
      </x:c>
      <x:c r="K126" s="232" t="n">
        <x:v>2375.48829</x:v>
      </x:c>
      <x:c r="L126" s="232" t="n">
        <x:v>2320.85205933</x:v>
      </x:c>
      <x:c r="M126" s="241" t="n">
        <x:v>0.977</x:v>
      </x:c>
      <x:c r="N126" s="241" t="n">
        <x:v>1</x:v>
      </x:c>
      <x:c r="O126" s="244" t="n">
        <x:f>IF(K126="",M126,L126/K126)</x:f>
        <x:v>0.9770000000000001</x:v>
      </x:c>
      <x:c r="P126" s="244" t="n">
        <x:f>O126-M126</x:f>
        <x:v>1.1102230246251565e-16</x:v>
      </x:c>
    </x:row>
    <x:row r="127">
      <x:c r="A127" s="187" t="str">
        <x:v>ACTUAL_2026_08_CLOSE_V1</x:v>
      </x:c>
      <x:c r="B127" s="187" t="str">
        <x:v>ACTUAL</x:v>
      </x:c>
      <x:c r="C127" s="187"/>
      <x:c r="D127" s="217" t="n">
        <x:v>46023</x:v>
      </x:c>
      <x:c r="E127" s="187" t="str">
        <x:v>R_DE_FR_B_ROAD</x:v>
      </x:c>
      <x:c r="F127" s="187" t="str">
        <x:v>DE</x:v>
      </x:c>
      <x:c r="G127" s="187" t="str">
        <x:v>FR_FC</x:v>
      </x:c>
      <x:c r="H127" s="187" t="str">
        <x:v>CARRIER_B</x:v>
      </x:c>
      <x:c r="I127" s="187" t="str">
        <x:v>ROAD</x:v>
      </x:c>
      <x:c r="J127" s="232" t="n">
        <x:v>188.91954</x:v>
      </x:c>
      <x:c r="K127" s="232" t="n">
        <x:v>188.91954</x:v>
      </x:c>
      <x:c r="L127" s="232" t="n">
        <x:v>183.06303426</x:v>
      </x:c>
      <x:c r="M127" s="241" t="n">
        <x:v>0.969</x:v>
      </x:c>
      <x:c r="N127" s="241" t="n">
        <x:v>1</x:v>
      </x:c>
      <x:c r="O127" s="244" t="n">
        <x:f>IF(K127="",M127,L127/K127)</x:f>
        <x:v>0.9689999999999999</x:v>
      </x:c>
      <x:c r="P127" s="244" t="n">
        <x:f>O127-M127</x:f>
        <x:v>-1.1102230246251565e-16</x:v>
      </x:c>
    </x:row>
    <x:row r="128">
      <x:c r="A128" s="187" t="str">
        <x:v>ACTUAL_2026_08_CLOSE_V1</x:v>
      </x:c>
      <x:c r="B128" s="187" t="str">
        <x:v>ACTUAL</x:v>
      </x:c>
      <x:c r="C128" s="187"/>
      <x:c r="D128" s="217" t="n">
        <x:v>46023</x:v>
      </x:c>
      <x:c r="E128" s="187" t="str">
        <x:v>R_FR_FR_A_ROAD</x:v>
      </x:c>
      <x:c r="F128" s="187" t="str">
        <x:v>FR</x:v>
      </x:c>
      <x:c r="G128" s="187" t="str">
        <x:v>FR_FC</x:v>
      </x:c>
      <x:c r="H128" s="187" t="str">
        <x:v>CARRIER_A</x:v>
      </x:c>
      <x:c r="I128" s="187" t="str">
        <x:v>ROAD</x:v>
      </x:c>
      <x:c r="J128" s="232" t="n">
        <x:v>1639.13365</x:v>
      </x:c>
      <x:c r="K128" s="232" t="n">
        <x:v>1639.13365</x:v>
      </x:c>
      <x:c r="L128" s="232" t="n">
        <x:v>1576.8465713</x:v>
      </x:c>
      <x:c r="M128" s="241" t="n">
        <x:v>0.962</x:v>
      </x:c>
      <x:c r="N128" s="241" t="n">
        <x:v>1</x:v>
      </x:c>
      <x:c r="O128" s="244" t="n">
        <x:f>IF(K128="",M128,L128/K128)</x:f>
        <x:v>0.9620000000000001</x:v>
      </x:c>
      <x:c r="P128" s="244" t="n">
        <x:f>O128-M128</x:f>
        <x:v>1.1102230246251565e-16</x:v>
      </x:c>
    </x:row>
    <x:row r="129">
      <x:c r="A129" s="187" t="str">
        <x:v>ACTUAL_2026_08_CLOSE_V1</x:v>
      </x:c>
      <x:c r="B129" s="187" t="str">
        <x:v>ACTUAL</x:v>
      </x:c>
      <x:c r="C129" s="187"/>
      <x:c r="D129" s="217" t="n">
        <x:v>46023</x:v>
      </x:c>
      <x:c r="E129" s="187" t="str">
        <x:v>R_FR_FR_B_ROAD</x:v>
      </x:c>
      <x:c r="F129" s="187" t="str">
        <x:v>FR</x:v>
      </x:c>
      <x:c r="G129" s="187" t="str">
        <x:v>FR_FC</x:v>
      </x:c>
      <x:c r="H129" s="187" t="str">
        <x:v>CARRIER_B</x:v>
      </x:c>
      <x:c r="I129" s="187" t="str">
        <x:v>ROAD</x:v>
      </x:c>
      <x:c r="J129" s="232" t="n">
        <x:v>3044.10535</x:v>
      </x:c>
      <x:c r="K129" s="232" t="n">
        <x:v>3044.10535</x:v>
      </x:c>
      <x:c r="L129" s="232" t="n">
        <x:v>2964.9586109</x:v>
      </x:c>
      <x:c r="M129" s="241" t="n">
        <x:v>0.974</x:v>
      </x:c>
      <x:c r="N129" s="241" t="n">
        <x:v>1</x:v>
      </x:c>
      <x:c r="O129" s="244" t="n">
        <x:f>IF(K129="",M129,L129/K129)</x:f>
        <x:v>0.9740000000000001</x:v>
      </x:c>
      <x:c r="P129" s="244" t="n">
        <x:f>O129-M129</x:f>
        <x:v>1.1102230246251565e-16</x:v>
      </x:c>
    </x:row>
    <x:row r="130">
      <x:c r="A130" s="187" t="str">
        <x:v>ACTUAL_2026_08_CLOSE_V1</x:v>
      </x:c>
      <x:c r="B130" s="187" t="str">
        <x:v>ACTUAL</x:v>
      </x:c>
      <x:c r="C130" s="187"/>
      <x:c r="D130" s="217" t="n">
        <x:v>46023</x:v>
      </x:c>
      <x:c r="E130" s="187" t="str">
        <x:v>R_GB_DE_A_ROAD</x:v>
      </x:c>
      <x:c r="F130" s="187" t="str">
        <x:v>GB</x:v>
      </x:c>
      <x:c r="G130" s="187" t="str">
        <x:v>DE_FC</x:v>
      </x:c>
      <x:c r="H130" s="187" t="str">
        <x:v>CARRIER_A</x:v>
      </x:c>
      <x:c r="I130" s="187" t="str">
        <x:v>ROAD</x:v>
      </x:c>
      <x:c r="J130" s="232" t="n">
        <x:v>2400.513024</x:v>
      </x:c>
      <x:c r="K130" s="232" t="n">
        <x:v>2400.513024</x:v>
      </x:c>
      <x:c r="L130" s="232" t="n">
        <x:v>2234.877625344</x:v>
      </x:c>
      <x:c r="M130" s="241" t="n">
        <x:v>0.931</x:v>
      </x:c>
      <x:c r="N130" s="241" t="n">
        <x:v>1</x:v>
      </x:c>
      <x:c r="O130" s="244" t="n">
        <x:f>IF(K130="",M130,L130/K130)</x:f>
        <x:v>0.931</x:v>
      </x:c>
      <x:c r="P130" s="244" t="n">
        <x:f>O130-M130</x:f>
        <x:v>0</x:v>
      </x:c>
    </x:row>
    <x:row r="131">
      <x:c r="A131" s="187" t="str">
        <x:v>ACTUAL_2026_08_CLOSE_V1</x:v>
      </x:c>
      <x:c r="B131" s="187" t="str">
        <x:v>ACTUAL</x:v>
      </x:c>
      <x:c r="C131" s="187"/>
      <x:c r="D131" s="217" t="n">
        <x:v>46023</x:v>
      </x:c>
      <x:c r="E131" s="187" t="str">
        <x:v>R_GB_DE_B_ROAD</x:v>
      </x:c>
      <x:c r="F131" s="187" t="str">
        <x:v>GB</x:v>
      </x:c>
      <x:c r="G131" s="187" t="str">
        <x:v>DE_FC</x:v>
      </x:c>
      <x:c r="H131" s="187" t="str">
        <x:v>CARRIER_B</x:v>
      </x:c>
      <x:c r="I131" s="187" t="str">
        <x:v>ROAD</x:v>
      </x:c>
      <x:c r="J131" s="232" t="n">
        <x:v>967.9488</x:v>
      </x:c>
      <x:c r="K131" s="232" t="n">
        <x:v>967.9488</x:v>
      </x:c>
      <x:c r="L131" s="232" t="n">
        <x:v>920.5193088</x:v>
      </x:c>
      <x:c r="M131" s="241" t="n">
        <x:v>0.951</x:v>
      </x:c>
      <x:c r="N131" s="241" t="n">
        <x:v>1</x:v>
      </x:c>
      <x:c r="O131" s="244" t="n">
        <x:f>IF(K131="",M131,L131/K131)</x:f>
        <x:v>0.951</x:v>
      </x:c>
      <x:c r="P131" s="244" t="n">
        <x:f>O131-M131</x:f>
        <x:v>0</x:v>
      </x:c>
    </x:row>
    <x:row r="132">
      <x:c r="A132" s="187" t="str">
        <x:v>ACTUAL_2026_08_CLOSE_V1</x:v>
      </x:c>
      <x:c r="B132" s="187" t="str">
        <x:v>ACTUAL</x:v>
      </x:c>
      <x:c r="C132" s="187"/>
      <x:c r="D132" s="217" t="n">
        <x:v>46023</x:v>
      </x:c>
      <x:c r="E132" s="187" t="str">
        <x:v>R_GB_DE_B_AIR</x:v>
      </x:c>
      <x:c r="F132" s="187" t="str">
        <x:v>GB</x:v>
      </x:c>
      <x:c r="G132" s="187" t="str">
        <x:v>DE_FC</x:v>
      </x:c>
      <x:c r="H132" s="187" t="str">
        <x:v>CARRIER_B</x:v>
      </x:c>
      <x:c r="I132" s="187" t="str">
        <x:v>AIR</x:v>
      </x:c>
      <x:c r="J132" s="232" t="n">
        <x:v>348.461568</x:v>
      </x:c>
      <x:c r="K132" s="232" t="n">
        <x:v>348.461568</x:v>
      </x:c>
      <x:c r="L132" s="232" t="n">
        <x:v>339.7500288</x:v>
      </x:c>
      <x:c r="M132" s="241" t="n">
        <x:v>0.975</x:v>
      </x:c>
      <x:c r="N132" s="241" t="n">
        <x:v>1</x:v>
      </x:c>
      <x:c r="O132" s="244" t="n">
        <x:f>IF(K132="",M132,L132/K132)</x:f>
        <x:v>0.975</x:v>
      </x:c>
      <x:c r="P132" s="244" t="n">
        <x:f>O132-M132</x:f>
        <x:v>0</x:v>
      </x:c>
    </x:row>
    <x:row r="133">
      <x:c r="A133" s="187" t="str">
        <x:v>ACTUAL_2026_08_CLOSE_V1</x:v>
      </x:c>
      <x:c r="B133" s="187" t="str">
        <x:v>ACTUAL</x:v>
      </x:c>
      <x:c r="C133" s="187"/>
      <x:c r="D133" s="217" t="n">
        <x:v>46023</x:v>
      </x:c>
      <x:c r="E133" s="187" t="str">
        <x:v>R_GB_DE_C_AIR</x:v>
      </x:c>
      <x:c r="F133" s="187" t="str">
        <x:v>GB</x:v>
      </x:c>
      <x:c r="G133" s="187" t="str">
        <x:v>DE_FC</x:v>
      </x:c>
      <x:c r="H133" s="187" t="str">
        <x:v>CARRIER_C</x:v>
      </x:c>
      <x:c r="I133" s="187" t="str">
        <x:v>AIR</x:v>
      </x:c>
      <x:c r="J133" s="232" t="n">
        <x:v>154.871808</x:v>
      </x:c>
      <x:c r="K133" s="232" t="n">
        <x:v>154.871808</x:v>
      </x:c>
      <x:c r="L133" s="232" t="n">
        <x:v>153.168218112</x:v>
      </x:c>
      <x:c r="M133" s="241" t="n">
        <x:v>0.989</x:v>
      </x:c>
      <x:c r="N133" s="241" t="n">
        <x:v>1</x:v>
      </x:c>
      <x:c r="O133" s="244" t="n">
        <x:f>IF(K133="",M133,L133/K133)</x:f>
        <x:v>0.9890000000000001</x:v>
      </x:c>
      <x:c r="P133" s="244" t="n">
        <x:f>O133-M133</x:f>
        <x:v>1.1102230246251565e-16</x:v>
      </x:c>
    </x:row>
    <x:row r="134">
      <x:c r="A134" s="187" t="str">
        <x:v>ACTUAL_2026_08_CLOSE_V1</x:v>
      </x:c>
      <x:c r="B134" s="187" t="str">
        <x:v>ACTUAL</x:v>
      </x:c>
      <x:c r="C134" s="187"/>
      <x:c r="D134" s="217" t="n">
        <x:v>46023</x:v>
      </x:c>
      <x:c r="E134" s="187" t="str">
        <x:v>R_GB_FR_B_AIR</x:v>
      </x:c>
      <x:c r="F134" s="187" t="str">
        <x:v>GB</x:v>
      </x:c>
      <x:c r="G134" s="187" t="str">
        <x:v>FR_FC</x:v>
      </x:c>
      <x:c r="H134" s="187" t="str">
        <x:v>CARRIER_B</x:v>
      </x:c>
      <x:c r="I134" s="187" t="str">
        <x:v>AIR</x:v>
      </x:c>
      <x:c r="J134" s="232" t="n">
        <x:v>165.646</x:v>
      </x:c>
      <x:c r="K134" s="232" t="n">
        <x:v>165.646</x:v>
      </x:c>
      <x:c r="L134" s="232" t="n">
        <x:v>161.007912</x:v>
      </x:c>
      <x:c r="M134" s="241" t="n">
        <x:v>0.972</x:v>
      </x:c>
      <x:c r="N134" s="241" t="n">
        <x:v>1</x:v>
      </x:c>
      <x:c r="O134" s="244" t="n">
        <x:f>IF(K134="",M134,L134/K134)</x:f>
        <x:v>0.9720000000000001</x:v>
      </x:c>
      <x:c r="P134" s="244" t="n">
        <x:f>O134-M134</x:f>
        <x:v>1.1102230246251565e-16</x:v>
      </x:c>
    </x:row>
    <x:row r="135">
      <x:c r="A135" s="187" t="str">
        <x:v>ACTUAL_2026_08_CLOSE_V1</x:v>
      </x:c>
      <x:c r="B135" s="187" t="str">
        <x:v>ACTUAL</x:v>
      </x:c>
      <x:c r="C135" s="187"/>
      <x:c r="D135" s="217" t="n">
        <x:v>46054</x:v>
      </x:c>
      <x:c r="E135" s="187" t="str">
        <x:v>R_DE_DE_A_ROAD</x:v>
      </x:c>
      <x:c r="F135" s="187" t="str">
        <x:v>DE</x:v>
      </x:c>
      <x:c r="G135" s="187" t="str">
        <x:v>DE_FC</x:v>
      </x:c>
      <x:c r="H135" s="187" t="str">
        <x:v>CARRIER_A</x:v>
      </x:c>
      <x:c r="I135" s="187" t="str">
        <x:v>ROAD</x:v>
      </x:c>
      <x:c r="J135" s="232" t="n">
        <x:v>3464.438049072</x:v>
      </x:c>
      <x:c r="K135" s="232" t="n">
        <x:v>3464.438049072</x:v>
      </x:c>
      <x:c r="L135" s="232" t="n">
        <x:v>3346.647155403552</x:v>
      </x:c>
      <x:c r="M135" s="241" t="n">
        <x:v>0.966</x:v>
      </x:c>
      <x:c r="N135" s="241" t="n">
        <x:v>1</x:v>
      </x:c>
      <x:c r="O135" s="244" t="n">
        <x:f>IF(K135="",M135,L135/K135)</x:f>
        <x:v>0.966</x:v>
      </x:c>
      <x:c r="P135" s="244" t="n">
        <x:f>O135-M135</x:f>
        <x:v>0</x:v>
      </x:c>
    </x:row>
    <x:row r="136">
      <x:c r="A136" s="187" t="str">
        <x:v>ACTUAL_2026_08_CLOSE_V1</x:v>
      </x:c>
      <x:c r="B136" s="187" t="str">
        <x:v>ACTUAL</x:v>
      </x:c>
      <x:c r="C136" s="187"/>
      <x:c r="D136" s="217" t="n">
        <x:v>46054</x:v>
      </x:c>
      <x:c r="E136" s="187" t="str">
        <x:v>R_DE_DE_B_ROAD</x:v>
      </x:c>
      <x:c r="F136" s="187" t="str">
        <x:v>DE</x:v>
      </x:c>
      <x:c r="G136" s="187" t="str">
        <x:v>DE_FC</x:v>
      </x:c>
      <x:c r="H136" s="187" t="str">
        <x:v>CARRIER_B</x:v>
      </x:c>
      <x:c r="I136" s="187" t="str">
        <x:v>ROAD</x:v>
      </x:c>
      <x:c r="J136" s="232" t="n">
        <x:v>2309.625366048</x:v>
      </x:c>
      <x:c r="K136" s="232" t="n">
        <x:v>2309.625366048</x:v>
      </x:c>
      <x:c r="L136" s="232" t="n">
        <x:v>2256.503982628896</x:v>
      </x:c>
      <x:c r="M136" s="241" t="n">
        <x:v>0.977</x:v>
      </x:c>
      <x:c r="N136" s="241" t="n">
        <x:v>1</x:v>
      </x:c>
      <x:c r="O136" s="244" t="n">
        <x:f>IF(K136="",M136,L136/K136)</x:f>
        <x:v>0.977</x:v>
      </x:c>
      <x:c r="P136" s="244" t="n">
        <x:f>O136-M136</x:f>
        <x:v>0</x:v>
      </x:c>
    </x:row>
    <x:row r="137">
      <x:c r="A137" s="187" t="str">
        <x:v>ACTUAL_2026_08_CLOSE_V1</x:v>
      </x:c>
      <x:c r="B137" s="187" t="str">
        <x:v>ACTUAL</x:v>
      </x:c>
      <x:c r="C137" s="187"/>
      <x:c r="D137" s="217" t="n">
        <x:v>46054</x:v>
      </x:c>
      <x:c r="E137" s="187" t="str">
        <x:v>R_DE_FR_B_ROAD</x:v>
      </x:c>
      <x:c r="F137" s="187" t="str">
        <x:v>DE</x:v>
      </x:c>
      <x:c r="G137" s="187" t="str">
        <x:v>FR_FC</x:v>
      </x:c>
      <x:c r="H137" s="187" t="str">
        <x:v>CARRIER_B</x:v>
      </x:c>
      <x:c r="I137" s="187" t="str">
        <x:v>ROAD</x:v>
      </x:c>
      <x:c r="J137" s="232" t="n">
        <x:v>183.681546048</x:v>
      </x:c>
      <x:c r="K137" s="232" t="n">
        <x:v>183.681546048</x:v>
      </x:c>
      <x:c r="L137" s="232" t="n">
        <x:v>177.987418120512</x:v>
      </x:c>
      <x:c r="M137" s="241" t="n">
        <x:v>0.969</x:v>
      </x:c>
      <x:c r="N137" s="241" t="n">
        <x:v>1</x:v>
      </x:c>
      <x:c r="O137" s="244" t="n">
        <x:f>IF(K137="",M137,L137/K137)</x:f>
        <x:v>0.969</x:v>
      </x:c>
      <x:c r="P137" s="244" t="n">
        <x:f>O137-M137</x:f>
        <x:v>0</x:v>
      </x:c>
    </x:row>
    <x:row r="138">
      <x:c r="A138" s="187" t="str">
        <x:v>ACTUAL_2026_08_CLOSE_V1</x:v>
      </x:c>
      <x:c r="B138" s="187" t="str">
        <x:v>ACTUAL</x:v>
      </x:c>
      <x:c r="C138" s="187"/>
      <x:c r="D138" s="217" t="n">
        <x:v>46054</x:v>
      </x:c>
      <x:c r="E138" s="187" t="str">
        <x:v>R_FR_FR_A_ROAD</x:v>
      </x:c>
      <x:c r="F138" s="187" t="str">
        <x:v>FR</x:v>
      </x:c>
      <x:c r="G138" s="187" t="str">
        <x:v>FR_FC</x:v>
      </x:c>
      <x:c r="H138" s="187" t="str">
        <x:v>CARRIER_A</x:v>
      </x:c>
      <x:c r="I138" s="187" t="str">
        <x:v>ROAD</x:v>
      </x:c>
      <x:c r="J138" s="232" t="n">
        <x:v>1640.95475544</x:v>
      </x:c>
      <x:c r="K138" s="232" t="n">
        <x:v>1640.95475544</x:v>
      </x:c>
      <x:c r="L138" s="232" t="n">
        <x:v>1578.59847473328</x:v>
      </x:c>
      <x:c r="M138" s="241" t="n">
        <x:v>0.962</x:v>
      </x:c>
      <x:c r="N138" s="241" t="n">
        <x:v>1</x:v>
      </x:c>
      <x:c r="O138" s="244" t="n">
        <x:f>IF(K138="",M138,L138/K138)</x:f>
        <x:v>0.962</x:v>
      </x:c>
      <x:c r="P138" s="244" t="n">
        <x:f>O138-M138</x:f>
        <x:v>0</x:v>
      </x:c>
    </x:row>
    <x:row r="139">
      <x:c r="A139" s="187" t="str">
        <x:v>ACTUAL_2026_08_CLOSE_V1</x:v>
      </x:c>
      <x:c r="B139" s="187" t="str">
        <x:v>ACTUAL</x:v>
      </x:c>
      <x:c r="C139" s="187"/>
      <x:c r="D139" s="217" t="n">
        <x:v>46054</x:v>
      </x:c>
      <x:c r="E139" s="187" t="str">
        <x:v>R_FR_FR_B_ROAD</x:v>
      </x:c>
      <x:c r="F139" s="187" t="str">
        <x:v>FR</x:v>
      </x:c>
      <x:c r="G139" s="187" t="str">
        <x:v>FR_FC</x:v>
      </x:c>
      <x:c r="H139" s="187" t="str">
        <x:v>CARRIER_B</x:v>
      </x:c>
      <x:c r="I139" s="187" t="str">
        <x:v>ROAD</x:v>
      </x:c>
      <x:c r="J139" s="232" t="n">
        <x:v>3047.48740296</x:v>
      </x:c>
      <x:c r="K139" s="232" t="n">
        <x:v>3047.48740296</x:v>
      </x:c>
      <x:c r="L139" s="232" t="n">
        <x:v>2968.25273048304</x:v>
      </x:c>
      <x:c r="M139" s="241" t="n">
        <x:v>0.974</x:v>
      </x:c>
      <x:c r="N139" s="241" t="n">
        <x:v>1</x:v>
      </x:c>
      <x:c r="O139" s="244" t="n">
        <x:f>IF(K139="",M139,L139/K139)</x:f>
        <x:v>0.974</x:v>
      </x:c>
      <x:c r="P139" s="244" t="n">
        <x:f>O139-M139</x:f>
        <x:v>0</x:v>
      </x:c>
    </x:row>
    <x:row r="140">
      <x:c r="A140" s="187" t="str">
        <x:v>ACTUAL_2026_08_CLOSE_V1</x:v>
      </x:c>
      <x:c r="B140" s="187" t="str">
        <x:v>ACTUAL</x:v>
      </x:c>
      <x:c r="C140" s="187"/>
      <x:c r="D140" s="217" t="n">
        <x:v>46054</x:v>
      </x:c>
      <x:c r="E140" s="187" t="str">
        <x:v>R_GB_DE_A_ROAD</x:v>
      </x:c>
      <x:c r="F140" s="187" t="str">
        <x:v>GB</x:v>
      </x:c>
      <x:c r="G140" s="187" t="str">
        <x:v>DE_FC</x:v>
      </x:c>
      <x:c r="H140" s="187" t="str">
        <x:v>CARRIER_A</x:v>
      </x:c>
      <x:c r="I140" s="187" t="str">
        <x:v>ROAD</x:v>
      </x:c>
      <x:c r="J140" s="232" t="n">
        <x:v>2400.80489865216</x:v>
      </x:c>
      <x:c r="K140" s="232" t="n">
        <x:v>2400.80489865216</x:v>
      </x:c>
      <x:c r="L140" s="232" t="n">
        <x:v>2235.149360645161</x:v>
      </x:c>
      <x:c r="M140" s="241" t="n">
        <x:v>0.931</x:v>
      </x:c>
      <x:c r="N140" s="241" t="n">
        <x:v>1</x:v>
      </x:c>
      <x:c r="O140" s="244" t="n">
        <x:f>IF(K140="",M140,L140/K140)</x:f>
        <x:v>0.931</x:v>
      </x:c>
      <x:c r="P140" s="244" t="n">
        <x:f>O140-M140</x:f>
        <x:v>0</x:v>
      </x:c>
    </x:row>
    <x:row r="141">
      <x:c r="A141" s="187" t="str">
        <x:v>ACTUAL_2026_08_CLOSE_V1</x:v>
      </x:c>
      <x:c r="B141" s="187" t="str">
        <x:v>ACTUAL</x:v>
      </x:c>
      <x:c r="C141" s="187"/>
      <x:c r="D141" s="217" t="n">
        <x:v>46054</x:v>
      </x:c>
      <x:c r="E141" s="187" t="str">
        <x:v>R_GB_DE_B_ROAD</x:v>
      </x:c>
      <x:c r="F141" s="187" t="str">
        <x:v>GB</x:v>
      </x:c>
      <x:c r="G141" s="187" t="str">
        <x:v>DE_FC</x:v>
      </x:c>
      <x:c r="H141" s="187" t="str">
        <x:v>CARRIER_B</x:v>
      </x:c>
      <x:c r="I141" s="187" t="str">
        <x:v>ROAD</x:v>
      </x:c>
      <x:c r="J141" s="232" t="n">
        <x:v>968.066491392</x:v>
      </x:c>
      <x:c r="K141" s="232" t="n">
        <x:v>968.066491392</x:v>
      </x:c>
      <x:c r="L141" s="232" t="n">
        <x:v>920.631233313792</x:v>
      </x:c>
      <x:c r="M141" s="241" t="n">
        <x:v>0.951</x:v>
      </x:c>
      <x:c r="N141" s="241" t="n">
        <x:v>1</x:v>
      </x:c>
      <x:c r="O141" s="244" t="n">
        <x:f>IF(K141="",M141,L141/K141)</x:f>
        <x:v>0.951</x:v>
      </x:c>
      <x:c r="P141" s="244" t="n">
        <x:f>O141-M141</x:f>
        <x:v>0</x:v>
      </x:c>
    </x:row>
    <x:row r="142">
      <x:c r="A142" s="187" t="str">
        <x:v>ACTUAL_2026_08_CLOSE_V1</x:v>
      </x:c>
      <x:c r="B142" s="187" t="str">
        <x:v>ACTUAL</x:v>
      </x:c>
      <x:c r="C142" s="187"/>
      <x:c r="D142" s="217" t="n">
        <x:v>46054</x:v>
      </x:c>
      <x:c r="E142" s="187" t="str">
        <x:v>R_GB_DE_B_AIR</x:v>
      </x:c>
      <x:c r="F142" s="187" t="str">
        <x:v>GB</x:v>
      </x:c>
      <x:c r="G142" s="187" t="str">
        <x:v>DE_FC</x:v>
      </x:c>
      <x:c r="H142" s="187" t="str">
        <x:v>CARRIER_B</x:v>
      </x:c>
      <x:c r="I142" s="187" t="str">
        <x:v>AIR</x:v>
      </x:c>
      <x:c r="J142" s="232" t="n">
        <x:v>348.50393690112</x:v>
      </x:c>
      <x:c r="K142" s="232" t="n">
        <x:v>348.50393690112</x:v>
      </x:c>
      <x:c r="L142" s="232" t="n">
        <x:v>339.791338478592</x:v>
      </x:c>
      <x:c r="M142" s="241" t="n">
        <x:v>0.975</x:v>
      </x:c>
      <x:c r="N142" s="241" t="n">
        <x:v>1</x:v>
      </x:c>
      <x:c r="O142" s="244" t="n">
        <x:f>IF(K142="",M142,L142/K142)</x:f>
        <x:v>0.975</x:v>
      </x:c>
      <x:c r="P142" s="244" t="n">
        <x:f>O142-M142</x:f>
        <x:v>0</x:v>
      </x:c>
    </x:row>
    <x:row r="143">
      <x:c r="A143" s="187" t="str">
        <x:v>ACTUAL_2026_08_CLOSE_V1</x:v>
      </x:c>
      <x:c r="B143" s="187" t="str">
        <x:v>ACTUAL</x:v>
      </x:c>
      <x:c r="C143" s="187"/>
      <x:c r="D143" s="217" t="n">
        <x:v>46054</x:v>
      </x:c>
      <x:c r="E143" s="187" t="str">
        <x:v>R_GB_DE_C_AIR</x:v>
      </x:c>
      <x:c r="F143" s="187" t="str">
        <x:v>GB</x:v>
      </x:c>
      <x:c r="G143" s="187" t="str">
        <x:v>DE_FC</x:v>
      </x:c>
      <x:c r="H143" s="187" t="str">
        <x:v>CARRIER_C</x:v>
      </x:c>
      <x:c r="I143" s="187" t="str">
        <x:v>AIR</x:v>
      </x:c>
      <x:c r="J143" s="232" t="n">
        <x:v>154.89063862272</x:v>
      </x:c>
      <x:c r="K143" s="232" t="n">
        <x:v>154.89063862272</x:v>
      </x:c>
      <x:c r="L143" s="232" t="n">
        <x:v>153.18684159787009</x:v>
      </x:c>
      <x:c r="M143" s="241" t="n">
        <x:v>0.989</x:v>
      </x:c>
      <x:c r="N143" s="241" t="n">
        <x:v>1</x:v>
      </x:c>
      <x:c r="O143" s="244" t="n">
        <x:f>IF(K143="",M143,L143/K143)</x:f>
        <x:v>0.9890000000000001</x:v>
      </x:c>
      <x:c r="P143" s="244" t="n">
        <x:f>O143-M143</x:f>
        <x:v>1.1102230246251565e-16</x:v>
      </x:c>
    </x:row>
    <x:row r="144">
      <x:c r="A144" s="187" t="str">
        <x:v>ACTUAL_2026_08_CLOSE_V1</x:v>
      </x:c>
      <x:c r="B144" s="187" t="str">
        <x:v>ACTUAL</x:v>
      </x:c>
      <x:c r="C144" s="187"/>
      <x:c r="D144" s="217" t="n">
        <x:v>46054</x:v>
      </x:c>
      <x:c r="E144" s="187" t="str">
        <x:v>R_GB_FR_B_AIR</x:v>
      </x:c>
      <x:c r="F144" s="187" t="str">
        <x:v>GB</x:v>
      </x:c>
      <x:c r="G144" s="187" t="str">
        <x:v>FR_FC</x:v>
      </x:c>
      <x:c r="H144" s="187" t="str">
        <x:v>CARRIER_B</x:v>
      </x:c>
      <x:c r="I144" s="187" t="str">
        <x:v>AIR</x:v>
      </x:c>
      <x:c r="J144" s="232" t="n">
        <x:v>165.66614064</x:v>
      </x:c>
      <x:c r="K144" s="232" t="n">
        <x:v>165.66614064</x:v>
      </x:c>
      <x:c r="L144" s="232" t="n">
        <x:v>161.02748870208</x:v>
      </x:c>
      <x:c r="M144" s="241" t="n">
        <x:v>0.972</x:v>
      </x:c>
      <x:c r="N144" s="241" t="n">
        <x:v>1</x:v>
      </x:c>
      <x:c r="O144" s="244" t="n">
        <x:f>IF(K144="",M144,L144/K144)</x:f>
        <x:v>0.972</x:v>
      </x:c>
      <x:c r="P144" s="244" t="n">
        <x:f>O144-M144</x:f>
        <x:v>0</x:v>
      </x:c>
    </x:row>
    <x:row r="145">
      <x:c r="A145" s="187" t="str">
        <x:v>ACTUAL_2026_08_CLOSE_V1</x:v>
      </x:c>
      <x:c r="B145" s="187" t="str">
        <x:v>ACTUAL</x:v>
      </x:c>
      <x:c r="C145" s="187"/>
      <x:c r="D145" s="217" t="n">
        <x:v>46082</x:v>
      </x:c>
      <x:c r="E145" s="187" t="str">
        <x:v>R_DE_DE_A_ROAD</x:v>
      </x:c>
      <x:c r="F145" s="187" t="str">
        <x:v>DE</x:v>
      </x:c>
      <x:c r="G145" s="187" t="str">
        <x:v>DE_FC</x:v>
      </x:c>
      <x:c r="H145" s="187" t="str">
        <x:v>CARRIER_A</x:v>
      </x:c>
      <x:c r="I145" s="187" t="str">
        <x:v>ROAD</x:v>
      </x:c>
      <x:c r="J145" s="232" t="n">
        <x:v>3719.30627502</x:v>
      </x:c>
      <x:c r="K145" s="232" t="n">
        <x:v>3719.30627502</x:v>
      </x:c>
      <x:c r="L145" s="232" t="n">
        <x:v>3592.84986166932</x:v>
      </x:c>
      <x:c r="M145" s="241" t="n">
        <x:v>0.966</x:v>
      </x:c>
      <x:c r="N145" s="241" t="n">
        <x:v>1</x:v>
      </x:c>
      <x:c r="O145" s="244" t="n">
        <x:f>IF(K145="",M145,L145/K145)</x:f>
        <x:v>0.966</x:v>
      </x:c>
      <x:c r="P145" s="244" t="n">
        <x:f>O145-M145</x:f>
        <x:v>0</x:v>
      </x:c>
    </x:row>
    <x:row r="146">
      <x:c r="A146" s="187" t="str">
        <x:v>ACTUAL_2026_08_CLOSE_V1</x:v>
      </x:c>
      <x:c r="B146" s="187" t="str">
        <x:v>ACTUAL</x:v>
      </x:c>
      <x:c r="C146" s="187"/>
      <x:c r="D146" s="217" t="n">
        <x:v>46082</x:v>
      </x:c>
      <x:c r="E146" s="187" t="str">
        <x:v>R_DE_DE_B_ROAD</x:v>
      </x:c>
      <x:c r="F146" s="187" t="str">
        <x:v>DE</x:v>
      </x:c>
      <x:c r="G146" s="187" t="str">
        <x:v>DE_FC</x:v>
      </x:c>
      <x:c r="H146" s="187" t="str">
        <x:v>CARRIER_B</x:v>
      </x:c>
      <x:c r="I146" s="187" t="str">
        <x:v>ROAD</x:v>
      </x:c>
      <x:c r="J146" s="232" t="n">
        <x:v>2479.53751668</x:v>
      </x:c>
      <x:c r="K146" s="232" t="n">
        <x:v>2479.53751668</x:v>
      </x:c>
      <x:c r="L146" s="232" t="n">
        <x:v>2422.50815379636</x:v>
      </x:c>
      <x:c r="M146" s="241" t="n">
        <x:v>0.977</x:v>
      </x:c>
      <x:c r="N146" s="241" t="n">
        <x:v>1</x:v>
      </x:c>
      <x:c r="O146" s="244" t="n">
        <x:f>IF(K146="",M146,L146/K146)</x:f>
        <x:v>0.9770000000000001</x:v>
      </x:c>
      <x:c r="P146" s="244" t="n">
        <x:f>O146-M146</x:f>
        <x:v>1.1102230246251565e-16</x:v>
      </x:c>
    </x:row>
    <x:row r="147">
      <x:c r="A147" s="187" t="str">
        <x:v>ACTUAL_2026_08_CLOSE_V1</x:v>
      </x:c>
      <x:c r="B147" s="187" t="str">
        <x:v>ACTUAL</x:v>
      </x:c>
      <x:c r="C147" s="187"/>
      <x:c r="D147" s="217" t="n">
        <x:v>46082</x:v>
      </x:c>
      <x:c r="E147" s="187" t="str">
        <x:v>R_DE_FR_B_ROAD</x:v>
      </x:c>
      <x:c r="F147" s="187" t="str">
        <x:v>DE</x:v>
      </x:c>
      <x:c r="G147" s="187" t="str">
        <x:v>FR_FC</x:v>
      </x:c>
      <x:c r="H147" s="187" t="str">
        <x:v>CARRIER_B</x:v>
      </x:c>
      <x:c r="I147" s="187" t="str">
        <x:v>ROAD</x:v>
      </x:c>
      <x:c r="J147" s="232" t="n">
        <x:v>197.19444168</x:v>
      </x:c>
      <x:c r="K147" s="232" t="n">
        <x:v>197.19444168</x:v>
      </x:c>
      <x:c r="L147" s="232" t="n">
        <x:v>191.08141398792</x:v>
      </x:c>
      <x:c r="M147" s="241" t="n">
        <x:v>0.969</x:v>
      </x:c>
      <x:c r="N147" s="241" t="n">
        <x:v>1</x:v>
      </x:c>
      <x:c r="O147" s="244" t="n">
        <x:f>IF(K147="",M147,L147/K147)</x:f>
        <x:v>0.969</x:v>
      </x:c>
      <x:c r="P147" s="244" t="n">
        <x:f>O147-M147</x:f>
        <x:v>0</x:v>
      </x:c>
    </x:row>
    <x:row r="148">
      <x:c r="A148" s="187" t="str">
        <x:v>ACTUAL_2026_08_CLOSE_V1</x:v>
      </x:c>
      <x:c r="B148" s="187" t="str">
        <x:v>ACTUAL</x:v>
      </x:c>
      <x:c r="C148" s="187"/>
      <x:c r="D148" s="217" t="n">
        <x:v>46082</x:v>
      </x:c>
      <x:c r="E148" s="187" t="str">
        <x:v>R_FR_FR_A_ROAD</x:v>
      </x:c>
      <x:c r="F148" s="187" t="str">
        <x:v>FR</x:v>
      </x:c>
      <x:c r="G148" s="187" t="str">
        <x:v>FR_FC</x:v>
      </x:c>
      <x:c r="H148" s="187" t="str">
        <x:v>CARRIER_A</x:v>
      </x:c>
      <x:c r="I148" s="187" t="str">
        <x:v>ROAD</x:v>
      </x:c>
      <x:c r="J148" s="232" t="n">
        <x:v>1814.3611794</x:v>
      </x:c>
      <x:c r="K148" s="232" t="n">
        <x:v>1814.3611794</x:v>
      </x:c>
      <x:c r="L148" s="232" t="n">
        <x:v>1745.4154545828</x:v>
      </x:c>
      <x:c r="M148" s="241" t="n">
        <x:v>0.962</x:v>
      </x:c>
      <x:c r="N148" s="241" t="n">
        <x:v>1</x:v>
      </x:c>
      <x:c r="O148" s="244" t="n">
        <x:f>IF(K148="",M148,L148/K148)</x:f>
        <x:v>0.962</x:v>
      </x:c>
      <x:c r="P148" s="244" t="n">
        <x:f>O148-M148</x:f>
        <x:v>0</x:v>
      </x:c>
    </x:row>
    <x:row r="149">
      <x:c r="A149" s="187" t="str">
        <x:v>ACTUAL_2026_08_CLOSE_V1</x:v>
      </x:c>
      <x:c r="B149" s="187" t="str">
        <x:v>ACTUAL</x:v>
      </x:c>
      <x:c r="C149" s="187"/>
      <x:c r="D149" s="217" t="n">
        <x:v>46082</x:v>
      </x:c>
      <x:c r="E149" s="187" t="str">
        <x:v>R_FR_FR_B_ROAD</x:v>
      </x:c>
      <x:c r="F149" s="187" t="str">
        <x:v>FR</x:v>
      </x:c>
      <x:c r="G149" s="187" t="str">
        <x:v>FR_FC</x:v>
      </x:c>
      <x:c r="H149" s="187" t="str">
        <x:v>CARRIER_B</x:v>
      </x:c>
      <x:c r="I149" s="187" t="str">
        <x:v>ROAD</x:v>
      </x:c>
      <x:c r="J149" s="232" t="n">
        <x:v>3369.5279046</x:v>
      </x:c>
      <x:c r="K149" s="232" t="n">
        <x:v>3369.5279046</x:v>
      </x:c>
      <x:c r="L149" s="232" t="n">
        <x:v>3281.9201790804</x:v>
      </x:c>
      <x:c r="M149" s="241" t="n">
        <x:v>0.974</x:v>
      </x:c>
      <x:c r="N149" s="241" t="n">
        <x:v>1</x:v>
      </x:c>
      <x:c r="O149" s="244" t="n">
        <x:f>IF(K149="",M149,L149/K149)</x:f>
        <x:v>0.974</x:v>
      </x:c>
      <x:c r="P149" s="244" t="n">
        <x:f>O149-M149</x:f>
        <x:v>0</x:v>
      </x:c>
    </x:row>
    <x:row r="150">
      <x:c r="A150" s="187" t="str">
        <x:v>ACTUAL_2026_08_CLOSE_V1</x:v>
      </x:c>
      <x:c r="B150" s="187" t="str">
        <x:v>ACTUAL</x:v>
      </x:c>
      <x:c r="C150" s="187"/>
      <x:c r="D150" s="217" t="n">
        <x:v>46082</x:v>
      </x:c>
      <x:c r="E150" s="187" t="str">
        <x:v>R_GB_DE_A_ROAD</x:v>
      </x:c>
      <x:c r="F150" s="187" t="str">
        <x:v>GB</x:v>
      </x:c>
      <x:c r="G150" s="187" t="str">
        <x:v>DE_FC</x:v>
      </x:c>
      <x:c r="H150" s="187" t="str">
        <x:v>CARRIER_A</x:v>
      </x:c>
      <x:c r="I150" s="187" t="str">
        <x:v>ROAD</x:v>
      </x:c>
      <x:c r="J150" s="232" t="n">
        <x:v>2902.4078340096</x:v>
      </x:c>
      <x:c r="K150" s="232" t="n">
        <x:v>2902.4078340096</x:v>
      </x:c>
      <x:c r="L150" s="232" t="n">
        <x:v>2702.1416934629374</x:v>
      </x:c>
      <x:c r="M150" s="241" t="n">
        <x:v>0.931</x:v>
      </x:c>
      <x:c r="N150" s="241" t="n">
        <x:v>1</x:v>
      </x:c>
      <x:c r="O150" s="244" t="n">
        <x:f>IF(K150="",M150,L150/K150)</x:f>
        <x:v>0.9309999999999999</x:v>
      </x:c>
      <x:c r="P150" s="244" t="n">
        <x:f>O150-M150</x:f>
        <x:v>-1.1102230246251565e-16</x:v>
      </x:c>
    </x:row>
    <x:row r="151">
      <x:c r="A151" s="187" t="str">
        <x:v>ACTUAL_2026_08_CLOSE_V1</x:v>
      </x:c>
      <x:c r="B151" s="187" t="str">
        <x:v>ACTUAL</x:v>
      </x:c>
      <x:c r="C151" s="187"/>
      <x:c r="D151" s="217" t="n">
        <x:v>46082</x:v>
      </x:c>
      <x:c r="E151" s="187" t="str">
        <x:v>R_GB_DE_B_ROAD</x:v>
      </x:c>
      <x:c r="F151" s="187" t="str">
        <x:v>GB</x:v>
      </x:c>
      <x:c r="G151" s="187" t="str">
        <x:v>DE_FC</x:v>
      </x:c>
      <x:c r="H151" s="187" t="str">
        <x:v>CARRIER_B</x:v>
      </x:c>
      <x:c r="I151" s="187" t="str">
        <x:v>ROAD</x:v>
      </x:c>
      <x:c r="J151" s="232" t="n">
        <x:v>1170.32573952</x:v>
      </x:c>
      <x:c r="K151" s="232" t="n">
        <x:v>1170.32573952</x:v>
      </x:c>
      <x:c r="L151" s="232" t="n">
        <x:v>1112.97977828352</x:v>
      </x:c>
      <x:c r="M151" s="241" t="n">
        <x:v>0.951</x:v>
      </x:c>
      <x:c r="N151" s="241" t="n">
        <x:v>1</x:v>
      </x:c>
      <x:c r="O151" s="244" t="n">
        <x:f>IF(K151="",M151,L151/K151)</x:f>
        <x:v>0.9510000000000001</x:v>
      </x:c>
      <x:c r="P151" s="244" t="n">
        <x:f>O151-M151</x:f>
        <x:v>1.1102230246251565e-16</x:v>
      </x:c>
    </x:row>
    <x:row r="152">
      <x:c r="A152" s="187" t="str">
        <x:v>ACTUAL_2026_08_CLOSE_V1</x:v>
      </x:c>
      <x:c r="B152" s="187" t="str">
        <x:v>ACTUAL</x:v>
      </x:c>
      <x:c r="C152" s="187"/>
      <x:c r="D152" s="217" t="n">
        <x:v>46082</x:v>
      </x:c>
      <x:c r="E152" s="187" t="str">
        <x:v>R_GB_DE_B_AIR</x:v>
      </x:c>
      <x:c r="F152" s="187" t="str">
        <x:v>GB</x:v>
      </x:c>
      <x:c r="G152" s="187" t="str">
        <x:v>DE_FC</x:v>
      </x:c>
      <x:c r="H152" s="187" t="str">
        <x:v>CARRIER_B</x:v>
      </x:c>
      <x:c r="I152" s="187" t="str">
        <x:v>AIR</x:v>
      </x:c>
      <x:c r="J152" s="232" t="n">
        <x:v>421.3172662272</x:v>
      </x:c>
      <x:c r="K152" s="232" t="n">
        <x:v>421.3172662272</x:v>
      </x:c>
      <x:c r="L152" s="232" t="n">
        <x:v>410.78433457152</x:v>
      </x:c>
      <x:c r="M152" s="241" t="n">
        <x:v>0.975</x:v>
      </x:c>
      <x:c r="N152" s="241" t="n">
        <x:v>1</x:v>
      </x:c>
      <x:c r="O152" s="244" t="n">
        <x:f>IF(K152="",M152,L152/K152)</x:f>
        <x:v>0.975</x:v>
      </x:c>
      <x:c r="P152" s="244" t="n">
        <x:f>O152-M152</x:f>
        <x:v>0</x:v>
      </x:c>
    </x:row>
    <x:row r="153">
      <x:c r="A153" s="187" t="str">
        <x:v>ACTUAL_2026_08_CLOSE_V1</x:v>
      </x:c>
      <x:c r="B153" s="187" t="str">
        <x:v>ACTUAL</x:v>
      </x:c>
      <x:c r="C153" s="187"/>
      <x:c r="D153" s="217" t="n">
        <x:v>46082</x:v>
      </x:c>
      <x:c r="E153" s="187" t="str">
        <x:v>R_GB_DE_C_AIR</x:v>
      </x:c>
      <x:c r="F153" s="187" t="str">
        <x:v>GB</x:v>
      </x:c>
      <x:c r="G153" s="187" t="str">
        <x:v>DE_FC</x:v>
      </x:c>
      <x:c r="H153" s="187" t="str">
        <x:v>CARRIER_C</x:v>
      </x:c>
      <x:c r="I153" s="187" t="str">
        <x:v>AIR</x:v>
      </x:c>
      <x:c r="J153" s="232" t="n">
        <x:v>187.2521183232</x:v>
      </x:c>
      <x:c r="K153" s="232" t="n">
        <x:v>187.2521183232</x:v>
      </x:c>
      <x:c r="L153" s="232" t="n">
        <x:v>185.1923450216448</x:v>
      </x:c>
      <x:c r="M153" s="241" t="n">
        <x:v>0.989</x:v>
      </x:c>
      <x:c r="N153" s="241" t="n">
        <x:v>1</x:v>
      </x:c>
      <x:c r="O153" s="244" t="n">
        <x:f>IF(K153="",M153,L153/K153)</x:f>
        <x:v>0.989</x:v>
      </x:c>
      <x:c r="P153" s="244" t="n">
        <x:f>O153-M153</x:f>
        <x:v>0</x:v>
      </x:c>
    </x:row>
    <x:row r="154">
      <x:c r="A154" s="187" t="str">
        <x:v>ACTUAL_2026_08_CLOSE_V1</x:v>
      </x:c>
      <x:c r="B154" s="187" t="str">
        <x:v>ACTUAL</x:v>
      </x:c>
      <x:c r="C154" s="187"/>
      <x:c r="D154" s="217" t="n">
        <x:v>46082</x:v>
      </x:c>
      <x:c r="E154" s="187" t="str">
        <x:v>R_GB_FR_B_AIR</x:v>
      </x:c>
      <x:c r="F154" s="187" t="str">
        <x:v>GB</x:v>
      </x:c>
      <x:c r="G154" s="187" t="str">
        <x:v>FR_FC</x:v>
      </x:c>
      <x:c r="H154" s="187" t="str">
        <x:v>CARRIER_B</x:v>
      </x:c>
      <x:c r="I154" s="187" t="str">
        <x:v>AIR</x:v>
      </x:c>
      <x:c r="J154" s="232" t="n">
        <x:v>200.2789584</x:v>
      </x:c>
      <x:c r="K154" s="232" t="n">
        <x:v>200.2789584</x:v>
      </x:c>
      <x:c r="L154" s="232" t="n">
        <x:v>194.6711475648</x:v>
      </x:c>
      <x:c r="M154" s="241" t="n">
        <x:v>0.972</x:v>
      </x:c>
      <x:c r="N154" s="241" t="n">
        <x:v>1</x:v>
      </x:c>
      <x:c r="O154" s="244" t="n">
        <x:f>IF(K154="",M154,L154/K154)</x:f>
        <x:v>0.9720000000000001</x:v>
      </x:c>
      <x:c r="P154" s="244" t="n">
        <x:f>O154-M154</x:f>
        <x:v>1.1102230246251565e-16</x:v>
      </x:c>
    </x:row>
    <x:row r="155">
      <x:c r="A155" s="187" t="str">
        <x:v>ACTUAL_2026_08_CLOSE_V1</x:v>
      </x:c>
      <x:c r="B155" s="187" t="str">
        <x:v>ACTUAL</x:v>
      </x:c>
      <x:c r="C155" s="187"/>
      <x:c r="D155" s="217" t="n">
        <x:v>46113</x:v>
      </x:c>
      <x:c r="E155" s="187" t="str">
        <x:v>R_DE_DE_A_ROAD</x:v>
      </x:c>
      <x:c r="F155" s="187" t="str">
        <x:v>DE</x:v>
      </x:c>
      <x:c r="G155" s="187" t="str">
        <x:v>DE_FC</x:v>
      </x:c>
      <x:c r="H155" s="187" t="str">
        <x:v>CARRIER_A</x:v>
      </x:c>
      <x:c r="I155" s="187" t="str">
        <x:v>ROAD</x:v>
      </x:c>
      <x:c r="J155" s="232" t="n">
        <x:v>3854.36976372</x:v>
      </x:c>
      <x:c r="K155" s="232" t="n">
        <x:v>3854.36976372</x:v>
      </x:c>
      <x:c r="L155" s="232" t="n">
        <x:v>3723.32119175352</x:v>
      </x:c>
      <x:c r="M155" s="241" t="n">
        <x:v>0.966</x:v>
      </x:c>
      <x:c r="N155" s="241" t="n">
        <x:v>1</x:v>
      </x:c>
      <x:c r="O155" s="244" t="n">
        <x:f>IF(K155="",M155,L155/K155)</x:f>
        <x:v>0.9660000000000001</x:v>
      </x:c>
      <x:c r="P155" s="244" t="n">
        <x:f>O155-M155</x:f>
        <x:v>1.1102230246251565e-16</x:v>
      </x:c>
    </x:row>
    <x:row r="156">
      <x:c r="A156" s="187" t="str">
        <x:v>ACTUAL_2026_08_CLOSE_V1</x:v>
      </x:c>
      <x:c r="B156" s="187" t="str">
        <x:v>ACTUAL</x:v>
      </x:c>
      <x:c r="C156" s="187"/>
      <x:c r="D156" s="217" t="n">
        <x:v>46113</x:v>
      </x:c>
      <x:c r="E156" s="187" t="str">
        <x:v>R_DE_DE_B_ROAD</x:v>
      </x:c>
      <x:c r="F156" s="187" t="str">
        <x:v>DE</x:v>
      </x:c>
      <x:c r="G156" s="187" t="str">
        <x:v>DE_FC</x:v>
      </x:c>
      <x:c r="H156" s="187" t="str">
        <x:v>CARRIER_B</x:v>
      </x:c>
      <x:c r="I156" s="187" t="str">
        <x:v>ROAD</x:v>
      </x:c>
      <x:c r="J156" s="232" t="n">
        <x:v>2569.57984248</x:v>
      </x:c>
      <x:c r="K156" s="232" t="n">
        <x:v>2569.57984248</x:v>
      </x:c>
      <x:c r="L156" s="232" t="n">
        <x:v>2510.47950610296</x:v>
      </x:c>
      <x:c r="M156" s="241" t="n">
        <x:v>0.977</x:v>
      </x:c>
      <x:c r="N156" s="241" t="n">
        <x:v>1</x:v>
      </x:c>
      <x:c r="O156" s="244" t="n">
        <x:f>IF(K156="",M156,L156/K156)</x:f>
        <x:v>0.977</x:v>
      </x:c>
      <x:c r="P156" s="244" t="n">
        <x:f>O156-M156</x:f>
        <x:v>0</x:v>
      </x:c>
    </x:row>
    <x:row r="157">
      <x:c r="A157" s="187" t="str">
        <x:v>ACTUAL_2026_08_CLOSE_V1</x:v>
      </x:c>
      <x:c r="B157" s="187" t="str">
        <x:v>ACTUAL</x:v>
      </x:c>
      <x:c r="C157" s="187"/>
      <x:c r="D157" s="217" t="n">
        <x:v>46113</x:v>
      </x:c>
      <x:c r="E157" s="187" t="str">
        <x:v>R_DE_FR_B_ROAD</x:v>
      </x:c>
      <x:c r="F157" s="187" t="str">
        <x:v>DE</x:v>
      </x:c>
      <x:c r="G157" s="187" t="str">
        <x:v>FR_FC</x:v>
      </x:c>
      <x:c r="H157" s="187" t="str">
        <x:v>CARRIER_B</x:v>
      </x:c>
      <x:c r="I157" s="187" t="str">
        <x:v>ROAD</x:v>
      </x:c>
      <x:c r="J157" s="232" t="n">
        <x:v>204.35539248</x:v>
      </x:c>
      <x:c r="K157" s="232" t="n">
        <x:v>204.35539248</x:v>
      </x:c>
      <x:c r="L157" s="232" t="n">
        <x:v>198.02037531312</x:v>
      </x:c>
      <x:c r="M157" s="241" t="n">
        <x:v>0.969</x:v>
      </x:c>
      <x:c r="N157" s="241" t="n">
        <x:v>1</x:v>
      </x:c>
      <x:c r="O157" s="244" t="n">
        <x:f>IF(K157="",M157,L157/K157)</x:f>
        <x:v>0.9690000000000001</x:v>
      </x:c>
      <x:c r="P157" s="244" t="n">
        <x:f>O157-M157</x:f>
        <x:v>1.1102230246251565e-16</x:v>
      </x:c>
    </x:row>
    <x:row r="158">
      <x:c r="A158" s="187" t="str">
        <x:v>ACTUAL_2026_08_CLOSE_V1</x:v>
      </x:c>
      <x:c r="B158" s="187" t="str">
        <x:v>ACTUAL</x:v>
      </x:c>
      <x:c r="C158" s="187"/>
      <x:c r="D158" s="217" t="n">
        <x:v>46113</x:v>
      </x:c>
      <x:c r="E158" s="187" t="str">
        <x:v>R_FR_FR_A_ROAD</x:v>
      </x:c>
      <x:c r="F158" s="187" t="str">
        <x:v>FR</x:v>
      </x:c>
      <x:c r="G158" s="187" t="str">
        <x:v>FR_FC</x:v>
      </x:c>
      <x:c r="H158" s="187" t="str">
        <x:v>CARRIER_A</x:v>
      </x:c>
      <x:c r="I158" s="187" t="str">
        <x:v>ROAD</x:v>
      </x:c>
      <x:c r="J158" s="232" t="n">
        <x:v>1887.2827134</x:v>
      </x:c>
      <x:c r="K158" s="232" t="n">
        <x:v>1887.2827134</x:v>
      </x:c>
      <x:c r="L158" s="232" t="n">
        <x:v>1815.5659702908</x:v>
      </x:c>
      <x:c r="M158" s="241" t="n">
        <x:v>0.962</x:v>
      </x:c>
      <x:c r="N158" s="241" t="n">
        <x:v>1</x:v>
      </x:c>
      <x:c r="O158" s="244" t="n">
        <x:f>IF(K158="",M158,L158/K158)</x:f>
        <x:v>0.962</x:v>
      </x:c>
      <x:c r="P158" s="244" t="n">
        <x:f>O158-M158</x:f>
        <x:v>0</x:v>
      </x:c>
    </x:row>
    <x:row r="159">
      <x:c r="A159" s="187" t="str">
        <x:v>ACTUAL_2026_08_CLOSE_V1</x:v>
      </x:c>
      <x:c r="B159" s="187" t="str">
        <x:v>ACTUAL</x:v>
      </x:c>
      <x:c r="C159" s="187"/>
      <x:c r="D159" s="217" t="n">
        <x:v>46113</x:v>
      </x:c>
      <x:c r="E159" s="187" t="str">
        <x:v>R_FR_FR_B_ROAD</x:v>
      </x:c>
      <x:c r="F159" s="187" t="str">
        <x:v>FR</x:v>
      </x:c>
      <x:c r="G159" s="187" t="str">
        <x:v>FR_FC</x:v>
      </x:c>
      <x:c r="H159" s="187" t="str">
        <x:v>CARRIER_B</x:v>
      </x:c>
      <x:c r="I159" s="187" t="str">
        <x:v>ROAD</x:v>
      </x:c>
      <x:c r="J159" s="232" t="n">
        <x:v>3504.9536106</x:v>
      </x:c>
      <x:c r="K159" s="232" t="n">
        <x:v>3504.9536106</x:v>
      </x:c>
      <x:c r="L159" s="232" t="n">
        <x:v>3413.8248167244</x:v>
      </x:c>
      <x:c r="M159" s="241" t="n">
        <x:v>0.974</x:v>
      </x:c>
      <x:c r="N159" s="241" t="n">
        <x:v>1</x:v>
      </x:c>
      <x:c r="O159" s="244" t="n">
        <x:f>IF(K159="",M159,L159/K159)</x:f>
        <x:v>0.974</x:v>
      </x:c>
      <x:c r="P159" s="244" t="n">
        <x:f>O159-M159</x:f>
        <x:v>0</x:v>
      </x:c>
    </x:row>
    <x:row r="160">
      <x:c r="A160" s="187" t="str">
        <x:v>ACTUAL_2026_08_CLOSE_V1</x:v>
      </x:c>
      <x:c r="B160" s="187" t="str">
        <x:v>ACTUAL</x:v>
      </x:c>
      <x:c r="C160" s="187"/>
      <x:c r="D160" s="217" t="n">
        <x:v>46113</x:v>
      </x:c>
      <x:c r="E160" s="187" t="str">
        <x:v>R_GB_DE_A_ROAD</x:v>
      </x:c>
      <x:c r="F160" s="187" t="str">
        <x:v>GB</x:v>
      </x:c>
      <x:c r="G160" s="187" t="str">
        <x:v>DE_FC</x:v>
      </x:c>
      <x:c r="H160" s="187" t="str">
        <x:v>CARRIER_A</x:v>
      </x:c>
      <x:c r="I160" s="187" t="str">
        <x:v>ROAD</x:v>
      </x:c>
      <x:c r="J160" s="232" t="n">
        <x:v>2968.5562669056</x:v>
      </x:c>
      <x:c r="K160" s="232" t="n">
        <x:v>2968.5562669056</x:v>
      </x:c>
      <x:c r="L160" s="232" t="n">
        <x:v>2763.7258844891135</x:v>
      </x:c>
      <x:c r="M160" s="241" t="n">
        <x:v>0.931</x:v>
      </x:c>
      <x:c r="N160" s="241" t="n">
        <x:v>1</x:v>
      </x:c>
      <x:c r="O160" s="244" t="n">
        <x:f>IF(K160="",M160,L160/K160)</x:f>
        <x:v>0.931</x:v>
      </x:c>
      <x:c r="P160" s="244" t="n">
        <x:f>O160-M160</x:f>
        <x:v>0</x:v>
      </x:c>
    </x:row>
    <x:row r="161">
      <x:c r="A161" s="187" t="str">
        <x:v>ACTUAL_2026_08_CLOSE_V1</x:v>
      </x:c>
      <x:c r="B161" s="187" t="str">
        <x:v>ACTUAL</x:v>
      </x:c>
      <x:c r="C161" s="187"/>
      <x:c r="D161" s="217" t="n">
        <x:v>46113</x:v>
      </x:c>
      <x:c r="E161" s="187" t="str">
        <x:v>R_GB_DE_B_ROAD</x:v>
      </x:c>
      <x:c r="F161" s="187" t="str">
        <x:v>GB</x:v>
      </x:c>
      <x:c r="G161" s="187" t="str">
        <x:v>DE_FC</x:v>
      </x:c>
      <x:c r="H161" s="187" t="str">
        <x:v>CARRIER_B</x:v>
      </x:c>
      <x:c r="I161" s="187" t="str">
        <x:v>ROAD</x:v>
      </x:c>
      <x:c r="J161" s="232" t="n">
        <x:v>1196.99849472</x:v>
      </x:c>
      <x:c r="K161" s="232" t="n">
        <x:v>1196.99849472</x:v>
      </x:c>
      <x:c r="L161" s="232" t="n">
        <x:v>1138.34556847872</x:v>
      </x:c>
      <x:c r="M161" s="241" t="n">
        <x:v>0.951</x:v>
      </x:c>
      <x:c r="N161" s="241" t="n">
        <x:v>1</x:v>
      </x:c>
      <x:c r="O161" s="244" t="n">
        <x:f>IF(K161="",M161,L161/K161)</x:f>
        <x:v>0.951</x:v>
      </x:c>
      <x:c r="P161" s="244" t="n">
        <x:f>O161-M161</x:f>
        <x:v>0</x:v>
      </x:c>
    </x:row>
    <x:row r="162">
      <x:c r="A162" s="187" t="str">
        <x:v>ACTUAL_2026_08_CLOSE_V1</x:v>
      </x:c>
      <x:c r="B162" s="187" t="str">
        <x:v>ACTUAL</x:v>
      </x:c>
      <x:c r="C162" s="187"/>
      <x:c r="D162" s="217" t="n">
        <x:v>46113</x:v>
      </x:c>
      <x:c r="E162" s="187" t="str">
        <x:v>R_GB_DE_B_AIR</x:v>
      </x:c>
      <x:c r="F162" s="187" t="str">
        <x:v>GB</x:v>
      </x:c>
      <x:c r="G162" s="187" t="str">
        <x:v>DE_FC</x:v>
      </x:c>
      <x:c r="H162" s="187" t="str">
        <x:v>CARRIER_B</x:v>
      </x:c>
      <x:c r="I162" s="187" t="str">
        <x:v>AIR</x:v>
      </x:c>
      <x:c r="J162" s="232" t="n">
        <x:v>430.9194580992</x:v>
      </x:c>
      <x:c r="K162" s="232" t="n">
        <x:v>430.9194580992</x:v>
      </x:c>
      <x:c r="L162" s="232" t="n">
        <x:v>420.14647164672</x:v>
      </x:c>
      <x:c r="M162" s="241" t="n">
        <x:v>0.975</x:v>
      </x:c>
      <x:c r="N162" s="241" t="n">
        <x:v>1</x:v>
      </x:c>
      <x:c r="O162" s="244" t="n">
        <x:f>IF(K162="",M162,L162/K162)</x:f>
        <x:v>0.9749999999999999</x:v>
      </x:c>
      <x:c r="P162" s="244" t="n">
        <x:f>O162-M162</x:f>
        <x:v>-1.1102230246251565e-16</x:v>
      </x:c>
    </x:row>
    <x:row r="163">
      <x:c r="A163" s="187" t="str">
        <x:v>ACTUAL_2026_08_CLOSE_V1</x:v>
      </x:c>
      <x:c r="B163" s="187" t="str">
        <x:v>ACTUAL</x:v>
      </x:c>
      <x:c r="C163" s="187"/>
      <x:c r="D163" s="217" t="n">
        <x:v>46113</x:v>
      </x:c>
      <x:c r="E163" s="187" t="str">
        <x:v>R_GB_DE_C_AIR</x:v>
      </x:c>
      <x:c r="F163" s="187" t="str">
        <x:v>GB</x:v>
      </x:c>
      <x:c r="G163" s="187" t="str">
        <x:v>DE_FC</x:v>
      </x:c>
      <x:c r="H163" s="187" t="str">
        <x:v>CARRIER_C</x:v>
      </x:c>
      <x:c r="I163" s="187" t="str">
        <x:v>AIR</x:v>
      </x:c>
      <x:c r="J163" s="232" t="n">
        <x:v>191.5197591552</x:v>
      </x:c>
      <x:c r="K163" s="232" t="n">
        <x:v>191.5197591552</x:v>
      </x:c>
      <x:c r="L163" s="232" t="n">
        <x:v>189.4130418044928</x:v>
      </x:c>
      <x:c r="M163" s="241" t="n">
        <x:v>0.989</x:v>
      </x:c>
      <x:c r="N163" s="241" t="n">
        <x:v>1</x:v>
      </x:c>
      <x:c r="O163" s="244" t="n">
        <x:f>IF(K163="",M163,L163/K163)</x:f>
        <x:v>0.9889999999999999</x:v>
      </x:c>
      <x:c r="P163" s="244" t="n">
        <x:f>O163-M163</x:f>
        <x:v>-1.1102230246251565e-16</x:v>
      </x:c>
    </x:row>
    <x:row r="164">
      <x:c r="A164" s="187" t="str">
        <x:v>ACTUAL_2026_08_CLOSE_V1</x:v>
      </x:c>
      <x:c r="B164" s="187" t="str">
        <x:v>ACTUAL</x:v>
      </x:c>
      <x:c r="C164" s="187"/>
      <x:c r="D164" s="217" t="n">
        <x:v>46113</x:v>
      </x:c>
      <x:c r="E164" s="187" t="str">
        <x:v>R_GB_FR_B_AIR</x:v>
      </x:c>
      <x:c r="F164" s="187" t="str">
        <x:v>GB</x:v>
      </x:c>
      <x:c r="G164" s="187" t="str">
        <x:v>FR_FC</x:v>
      </x:c>
      <x:c r="H164" s="187" t="str">
        <x:v>CARRIER_B</x:v>
      </x:c>
      <x:c r="I164" s="187" t="str">
        <x:v>AIR</x:v>
      </x:c>
      <x:c r="J164" s="232" t="n">
        <x:v>204.8434924</x:v>
      </x:c>
      <x:c r="K164" s="232" t="n">
        <x:v>204.8434924</x:v>
      </x:c>
      <x:c r="L164" s="232" t="n">
        <x:v>199.1078746128</x:v>
      </x:c>
      <x:c r="M164" s="241" t="n">
        <x:v>0.972</x:v>
      </x:c>
      <x:c r="N164" s="241" t="n">
        <x:v>1</x:v>
      </x:c>
      <x:c r="O164" s="244" t="n">
        <x:f>IF(K164="",M164,L164/K164)</x:f>
        <x:v>0.972</x:v>
      </x:c>
      <x:c r="P164" s="244" t="n">
        <x:f>O164-M164</x:f>
        <x:v>0</x:v>
      </x:c>
    </x:row>
    <x:row r="165">
      <x:c r="A165" s="187" t="str">
        <x:v>ACTUAL_2026_08_CLOSE_V1</x:v>
      </x:c>
      <x:c r="B165" s="187" t="str">
        <x:v>ACTUAL</x:v>
      </x:c>
      <x:c r="C165" s="187"/>
      <x:c r="D165" s="217" t="n">
        <x:v>46143</x:v>
      </x:c>
      <x:c r="E165" s="187" t="str">
        <x:v>R_DE_DE_A_ROAD</x:v>
      </x:c>
      <x:c r="F165" s="187" t="str">
        <x:v>DE</x:v>
      </x:c>
      <x:c r="G165" s="187" t="str">
        <x:v>DE_FC</x:v>
      </x:c>
      <x:c r="H165" s="187" t="str">
        <x:v>CARRIER_A</x:v>
      </x:c>
      <x:c r="I165" s="187" t="str">
        <x:v>ROAD</x:v>
      </x:c>
      <x:c r="J165" s="232" t="n">
        <x:v>3931.34709744</x:v>
      </x:c>
      <x:c r="K165" s="232" t="n">
        <x:v>3931.34709744</x:v>
      </x:c>
      <x:c r="L165" s="232" t="n">
        <x:v>3797.68129612704</x:v>
      </x:c>
      <x:c r="M165" s="241" t="n">
        <x:v>0.966</x:v>
      </x:c>
      <x:c r="N165" s="241" t="n">
        <x:v>1</x:v>
      </x:c>
      <x:c r="O165" s="244" t="n">
        <x:f>IF(K165="",M165,L165/K165)</x:f>
        <x:v>0.9659999999999999</x:v>
      </x:c>
      <x:c r="P165" s="244" t="n">
        <x:f>O165-M165</x:f>
        <x:v>-1.1102230246251565e-16</x:v>
      </x:c>
    </x:row>
    <x:row r="166">
      <x:c r="A166" s="187" t="str">
        <x:v>ACTUAL_2026_08_CLOSE_V1</x:v>
      </x:c>
      <x:c r="B166" s="187" t="str">
        <x:v>ACTUAL</x:v>
      </x:c>
      <x:c r="C166" s="187"/>
      <x:c r="D166" s="217" t="n">
        <x:v>46143</x:v>
      </x:c>
      <x:c r="E166" s="187" t="str">
        <x:v>R_DE_DE_B_ROAD</x:v>
      </x:c>
      <x:c r="F166" s="187" t="str">
        <x:v>DE</x:v>
      </x:c>
      <x:c r="G166" s="187" t="str">
        <x:v>DE_FC</x:v>
      </x:c>
      <x:c r="H166" s="187" t="str">
        <x:v>CARRIER_B</x:v>
      </x:c>
      <x:c r="I166" s="187" t="str">
        <x:v>ROAD</x:v>
      </x:c>
      <x:c r="J166" s="232" t="n">
        <x:v>2620.89806496</x:v>
      </x:c>
      <x:c r="K166" s="232" t="n">
        <x:v>2620.89806496</x:v>
      </x:c>
      <x:c r="L166" s="232" t="n">
        <x:v>2560.61740946592</x:v>
      </x:c>
      <x:c r="M166" s="241" t="n">
        <x:v>0.977</x:v>
      </x:c>
      <x:c r="N166" s="241" t="n">
        <x:v>1</x:v>
      </x:c>
      <x:c r="O166" s="244" t="n">
        <x:f>IF(K166="",M166,L166/K166)</x:f>
        <x:v>0.9770000000000001</x:v>
      </x:c>
      <x:c r="P166" s="244" t="n">
        <x:f>O166-M166</x:f>
        <x:v>1.1102230246251565e-16</x:v>
      </x:c>
    </x:row>
    <x:row r="167">
      <x:c r="A167" s="187" t="str">
        <x:v>ACTUAL_2026_08_CLOSE_V1</x:v>
      </x:c>
      <x:c r="B167" s="187" t="str">
        <x:v>ACTUAL</x:v>
      </x:c>
      <x:c r="C167" s="187"/>
      <x:c r="D167" s="217" t="n">
        <x:v>46143</x:v>
      </x:c>
      <x:c r="E167" s="187" t="str">
        <x:v>R_DE_FR_B_ROAD</x:v>
      </x:c>
      <x:c r="F167" s="187" t="str">
        <x:v>DE</x:v>
      </x:c>
      <x:c r="G167" s="187" t="str">
        <x:v>FR_FC</x:v>
      </x:c>
      <x:c r="H167" s="187" t="str">
        <x:v>CARRIER_B</x:v>
      </x:c>
      <x:c r="I167" s="187" t="str">
        <x:v>ROAD</x:v>
      </x:c>
      <x:c r="J167" s="232" t="n">
        <x:v>208.43666496</x:v>
      </x:c>
      <x:c r="K167" s="232" t="n">
        <x:v>208.43666496</x:v>
      </x:c>
      <x:c r="L167" s="232" t="n">
        <x:v>201.97512834624</x:v>
      </x:c>
      <x:c r="M167" s="241" t="n">
        <x:v>0.969</x:v>
      </x:c>
      <x:c r="N167" s="241" t="n">
        <x:v>1</x:v>
      </x:c>
      <x:c r="O167" s="244" t="n">
        <x:f>IF(K167="",M167,L167/K167)</x:f>
        <x:v>0.9690000000000001</x:v>
      </x:c>
      <x:c r="P167" s="244" t="n">
        <x:f>O167-M167</x:f>
        <x:v>1.1102230246251565e-16</x:v>
      </x:c>
    </x:row>
    <x:row r="168">
      <x:c r="A168" s="187" t="str">
        <x:v>ACTUAL_2026_08_CLOSE_V1</x:v>
      </x:c>
      <x:c r="B168" s="187" t="str">
        <x:v>ACTUAL</x:v>
      </x:c>
      <x:c r="C168" s="187"/>
      <x:c r="D168" s="217" t="n">
        <x:v>46143</x:v>
      </x:c>
      <x:c r="E168" s="187" t="str">
        <x:v>R_FR_FR_A_ROAD</x:v>
      </x:c>
      <x:c r="F168" s="187" t="str">
        <x:v>FR</x:v>
      </x:c>
      <x:c r="G168" s="187" t="str">
        <x:v>FR_FC</x:v>
      </x:c>
      <x:c r="H168" s="187" t="str">
        <x:v>CARRIER_A</x:v>
      </x:c>
      <x:c r="I168" s="187" t="str">
        <x:v>ROAD</x:v>
      </x:c>
      <x:c r="J168" s="232" t="n">
        <x:v>1972.4517736</x:v>
      </x:c>
      <x:c r="K168" s="232" t="n">
        <x:v>1972.4517736</x:v>
      </x:c>
      <x:c r="L168" s="232" t="n">
        <x:v>1897.4986062032</x:v>
      </x:c>
      <x:c r="M168" s="241" t="n">
        <x:v>0.962</x:v>
      </x:c>
      <x:c r="N168" s="241" t="n">
        <x:v>1</x:v>
      </x:c>
      <x:c r="O168" s="244" t="n">
        <x:f>IF(K168="",M168,L168/K168)</x:f>
        <x:v>0.9620000000000001</x:v>
      </x:c>
      <x:c r="P168" s="244" t="n">
        <x:f>O168-M168</x:f>
        <x:v>1.1102230246251565e-16</x:v>
      </x:c>
    </x:row>
    <x:row r="169">
      <x:c r="A169" s="187" t="str">
        <x:v>ACTUAL_2026_08_CLOSE_V1</x:v>
      </x:c>
      <x:c r="B169" s="187" t="str">
        <x:v>ACTUAL</x:v>
      </x:c>
      <x:c r="C169" s="187"/>
      <x:c r="D169" s="217" t="n">
        <x:v>46143</x:v>
      </x:c>
      <x:c r="E169" s="187" t="str">
        <x:v>R_FR_FR_B_ROAD</x:v>
      </x:c>
      <x:c r="F169" s="187" t="str">
        <x:v>FR</x:v>
      </x:c>
      <x:c r="G169" s="187" t="str">
        <x:v>FR_FC</x:v>
      </x:c>
      <x:c r="H169" s="187" t="str">
        <x:v>CARRIER_B</x:v>
      </x:c>
      <x:c r="I169" s="187" t="str">
        <x:v>ROAD</x:v>
      </x:c>
      <x:c r="J169" s="232" t="n">
        <x:v>3663.1247224</x:v>
      </x:c>
      <x:c r="K169" s="232" t="n">
        <x:v>3663.1247224</x:v>
      </x:c>
      <x:c r="L169" s="232" t="n">
        <x:v>3567.8834796176</x:v>
      </x:c>
      <x:c r="M169" s="241" t="n">
        <x:v>0.974</x:v>
      </x:c>
      <x:c r="N169" s="241" t="n">
        <x:v>1</x:v>
      </x:c>
      <x:c r="O169" s="244" t="n">
        <x:f>IF(K169="",M169,L169/K169)</x:f>
        <x:v>0.9740000000000001</x:v>
      </x:c>
      <x:c r="P169" s="244" t="n">
        <x:f>O169-M169</x:f>
        <x:v>1.1102230246251565e-16</x:v>
      </x:c>
    </x:row>
    <x:row r="170">
      <x:c r="A170" s="187" t="str">
        <x:v>ACTUAL_2026_08_CLOSE_V1</x:v>
      </x:c>
      <x:c r="B170" s="187" t="str">
        <x:v>ACTUAL</x:v>
      </x:c>
      <x:c r="C170" s="187"/>
      <x:c r="D170" s="217" t="n">
        <x:v>46143</x:v>
      </x:c>
      <x:c r="E170" s="187" t="str">
        <x:v>R_GB_DE_A_ROAD</x:v>
      </x:c>
      <x:c r="F170" s="187" t="str">
        <x:v>GB</x:v>
      </x:c>
      <x:c r="G170" s="187" t="str">
        <x:v>DE_FC</x:v>
      </x:c>
      <x:c r="H170" s="187" t="str">
        <x:v>CARRIER_A</x:v>
      </x:c>
      <x:c r="I170" s="187" t="str">
        <x:v>ROAD</x:v>
      </x:c>
      <x:c r="J170" s="232" t="n">
        <x:v>3277.515558912</x:v>
      </x:c>
      <x:c r="K170" s="232" t="n">
        <x:v>3277.515558912</x:v>
      </x:c>
      <x:c r="L170" s="232" t="n">
        <x:v>3051.366985347072</x:v>
      </x:c>
      <x:c r="M170" s="241" t="n">
        <x:v>0.931</x:v>
      </x:c>
      <x:c r="N170" s="241" t="n">
        <x:v>1</x:v>
      </x:c>
      <x:c r="O170" s="244" t="n">
        <x:f>IF(K170="",M170,L170/K170)</x:f>
        <x:v>0.9309999999999999</x:v>
      </x:c>
      <x:c r="P170" s="244" t="n">
        <x:f>O170-M170</x:f>
        <x:v>-1.1102230246251565e-16</x:v>
      </x:c>
    </x:row>
    <x:row r="171">
      <x:c r="A171" s="187" t="str">
        <x:v>ACTUAL_2026_08_CLOSE_V1</x:v>
      </x:c>
      <x:c r="B171" s="187" t="str">
        <x:v>ACTUAL</x:v>
      </x:c>
      <x:c r="C171" s="187"/>
      <x:c r="D171" s="217" t="n">
        <x:v>46143</x:v>
      </x:c>
      <x:c r="E171" s="187" t="str">
        <x:v>R_GB_DE_B_ROAD</x:v>
      </x:c>
      <x:c r="F171" s="187" t="str">
        <x:v>GB</x:v>
      </x:c>
      <x:c r="G171" s="187" t="str">
        <x:v>DE_FC</x:v>
      </x:c>
      <x:c r="H171" s="187" t="str">
        <x:v>CARRIER_B</x:v>
      </x:c>
      <x:c r="I171" s="187" t="str">
        <x:v>ROAD</x:v>
      </x:c>
      <x:c r="J171" s="232" t="n">
        <x:v>1321.5788544</x:v>
      </x:c>
      <x:c r="K171" s="232" t="n">
        <x:v>1321.5788544</x:v>
      </x:c>
      <x:c r="L171" s="232" t="n">
        <x:v>1256.8214905344</x:v>
      </x:c>
      <x:c r="M171" s="241" t="n">
        <x:v>0.951</x:v>
      </x:c>
      <x:c r="N171" s="241" t="n">
        <x:v>1</x:v>
      </x:c>
      <x:c r="O171" s="244" t="n">
        <x:f>IF(K171="",M171,L171/K171)</x:f>
        <x:v>0.9510000000000001</x:v>
      </x:c>
      <x:c r="P171" s="244" t="n">
        <x:f>O171-M171</x:f>
        <x:v>1.1102230246251565e-16</x:v>
      </x:c>
    </x:row>
    <x:row r="172">
      <x:c r="A172" s="187" t="str">
        <x:v>ACTUAL_2026_08_CLOSE_V1</x:v>
      </x:c>
      <x:c r="B172" s="187" t="str">
        <x:v>ACTUAL</x:v>
      </x:c>
      <x:c r="C172" s="187"/>
      <x:c r="D172" s="217" t="n">
        <x:v>46143</x:v>
      </x:c>
      <x:c r="E172" s="187" t="str">
        <x:v>R_GB_DE_B_AIR</x:v>
      </x:c>
      <x:c r="F172" s="187" t="str">
        <x:v>GB</x:v>
      </x:c>
      <x:c r="G172" s="187" t="str">
        <x:v>DE_FC</x:v>
      </x:c>
      <x:c r="H172" s="187" t="str">
        <x:v>CARRIER_B</x:v>
      </x:c>
      <x:c r="I172" s="187" t="str">
        <x:v>AIR</x:v>
      </x:c>
      <x:c r="J172" s="232" t="n">
        <x:v>475.768387584</x:v>
      </x:c>
      <x:c r="K172" s="232" t="n">
        <x:v>475.768387584</x:v>
      </x:c>
      <x:c r="L172" s="232" t="n">
        <x:v>463.8741778944</x:v>
      </x:c>
      <x:c r="M172" s="241" t="n">
        <x:v>0.975</x:v>
      </x:c>
      <x:c r="N172" s="241" t="n">
        <x:v>1</x:v>
      </x:c>
      <x:c r="O172" s="244" t="n">
        <x:f>IF(K172="",M172,L172/K172)</x:f>
        <x:v>0.9750000000000001</x:v>
      </x:c>
      <x:c r="P172" s="244" t="n">
        <x:f>O172-M172</x:f>
        <x:v>1.1102230246251565e-16</x:v>
      </x:c>
    </x:row>
    <x:row r="173">
      <x:c r="A173" s="187" t="str">
        <x:v>ACTUAL_2026_08_CLOSE_V1</x:v>
      </x:c>
      <x:c r="B173" s="187" t="str">
        <x:v>ACTUAL</x:v>
      </x:c>
      <x:c r="C173" s="187"/>
      <x:c r="D173" s="217" t="n">
        <x:v>46143</x:v>
      </x:c>
      <x:c r="E173" s="187" t="str">
        <x:v>R_GB_DE_C_AIR</x:v>
      </x:c>
      <x:c r="F173" s="187" t="str">
        <x:v>GB</x:v>
      </x:c>
      <x:c r="G173" s="187" t="str">
        <x:v>DE_FC</x:v>
      </x:c>
      <x:c r="H173" s="187" t="str">
        <x:v>CARRIER_C</x:v>
      </x:c>
      <x:c r="I173" s="187" t="str">
        <x:v>AIR</x:v>
      </x:c>
      <x:c r="J173" s="232" t="n">
        <x:v>211.452616704</x:v>
      </x:c>
      <x:c r="K173" s="232" t="n">
        <x:v>211.452616704</x:v>
      </x:c>
      <x:c r="L173" s="232" t="n">
        <x:v>209.126637920256</x:v>
      </x:c>
      <x:c r="M173" s="241" t="n">
        <x:v>0.989</x:v>
      </x:c>
      <x:c r="N173" s="241" t="n">
        <x:v>1</x:v>
      </x:c>
      <x:c r="O173" s="244" t="n">
        <x:f>IF(K173="",M173,L173/K173)</x:f>
        <x:v>0.989</x:v>
      </x:c>
      <x:c r="P173" s="244" t="n">
        <x:f>O173-M173</x:f>
        <x:v>0</x:v>
      </x:c>
    </x:row>
    <x:row r="174">
      <x:c r="A174" s="187" t="str">
        <x:v>ACTUAL_2026_08_CLOSE_V1</x:v>
      </x:c>
      <x:c r="B174" s="187" t="str">
        <x:v>ACTUAL</x:v>
      </x:c>
      <x:c r="C174" s="187"/>
      <x:c r="D174" s="217" t="n">
        <x:v>46143</x:v>
      </x:c>
      <x:c r="E174" s="187" t="str">
        <x:v>R_GB_FR_B_AIR</x:v>
      </x:c>
      <x:c r="F174" s="187" t="str">
        <x:v>GB</x:v>
      </x:c>
      <x:c r="G174" s="187" t="str">
        <x:v>FR_FC</x:v>
      </x:c>
      <x:c r="H174" s="187" t="str">
        <x:v>CARRIER_B</x:v>
      </x:c>
      <x:c r="I174" s="187" t="str">
        <x:v>AIR</x:v>
      </x:c>
      <x:c r="J174" s="232" t="n">
        <x:v>226.163048</x:v>
      </x:c>
      <x:c r="K174" s="232" t="n">
        <x:v>226.163048</x:v>
      </x:c>
      <x:c r="L174" s="232" t="n">
        <x:v>219.830482656</x:v>
      </x:c>
      <x:c r="M174" s="241" t="n">
        <x:v>0.972</x:v>
      </x:c>
      <x:c r="N174" s="241" t="n">
        <x:v>1</x:v>
      </x:c>
      <x:c r="O174" s="244" t="n">
        <x:f>IF(K174="",M174,L174/K174)</x:f>
        <x:v>0.972</x:v>
      </x:c>
      <x:c r="P174" s="244" t="n">
        <x:f>O174-M174</x:f>
        <x:v>0</x:v>
      </x:c>
    </x:row>
    <x:row r="175">
      <x:c r="A175" s="187" t="str">
        <x:v>ACTUAL_2026_08_CLOSE_V1</x:v>
      </x:c>
      <x:c r="B175" s="187" t="str">
        <x:v>ACTUAL</x:v>
      </x:c>
      <x:c r="C175" s="187"/>
      <x:c r="D175" s="217" t="n">
        <x:v>46174</x:v>
      </x:c>
      <x:c r="E175" s="187" t="str">
        <x:v>R_DE_DE_A_ROAD</x:v>
      </x:c>
      <x:c r="F175" s="187" t="str">
        <x:v>DE</x:v>
      </x:c>
      <x:c r="G175" s="187" t="str">
        <x:v>DE_FC</x:v>
      </x:c>
      <x:c r="H175" s="187" t="str">
        <x:v>CARRIER_A</x:v>
      </x:c>
      <x:c r="I175" s="187" t="str">
        <x:v>ROAD</x:v>
      </x:c>
      <x:c r="J175" s="232" t="n">
        <x:v>4035.2472972</x:v>
      </x:c>
      <x:c r="K175" s="232" t="n">
        <x:v>4035.2472972</x:v>
      </x:c>
      <x:c r="L175" s="232" t="n">
        <x:v>3898.0488890952</x:v>
      </x:c>
      <x:c r="M175" s="241" t="n">
        <x:v>0.966</x:v>
      </x:c>
      <x:c r="N175" s="241" t="n">
        <x:v>1</x:v>
      </x:c>
      <x:c r="O175" s="244" t="n">
        <x:f>IF(K175="",M175,L175/K175)</x:f>
        <x:v>0.966</x:v>
      </x:c>
      <x:c r="P175" s="244" t="n">
        <x:f>O175-M175</x:f>
        <x:v>0</x:v>
      </x:c>
    </x:row>
    <x:row r="176">
      <x:c r="A176" s="187" t="str">
        <x:v>ACTUAL_2026_08_CLOSE_V1</x:v>
      </x:c>
      <x:c r="B176" s="187" t="str">
        <x:v>ACTUAL</x:v>
      </x:c>
      <x:c r="C176" s="187"/>
      <x:c r="D176" s="217" t="n">
        <x:v>46174</x:v>
      </x:c>
      <x:c r="E176" s="187" t="str">
        <x:v>R_DE_DE_B_ROAD</x:v>
      </x:c>
      <x:c r="F176" s="187" t="str">
        <x:v>DE</x:v>
      </x:c>
      <x:c r="G176" s="187" t="str">
        <x:v>DE_FC</x:v>
      </x:c>
      <x:c r="H176" s="187" t="str">
        <x:v>CARRIER_B</x:v>
      </x:c>
      <x:c r="I176" s="187" t="str">
        <x:v>ROAD</x:v>
      </x:c>
      <x:c r="J176" s="232" t="n">
        <x:v>2690.1648648</x:v>
      </x:c>
      <x:c r="K176" s="232" t="n">
        <x:v>2690.1648648</x:v>
      </x:c>
      <x:c r="L176" s="232" t="n">
        <x:v>2628.2910729096</x:v>
      </x:c>
      <x:c r="M176" s="241" t="n">
        <x:v>0.977</x:v>
      </x:c>
      <x:c r="N176" s="241" t="n">
        <x:v>1</x:v>
      </x:c>
      <x:c r="O176" s="244" t="n">
        <x:f>IF(K176="",M176,L176/K176)</x:f>
        <x:v>0.9770000000000001</x:v>
      </x:c>
      <x:c r="P176" s="244" t="n">
        <x:f>O176-M176</x:f>
        <x:v>1.1102230246251565e-16</x:v>
      </x:c>
    </x:row>
    <x:row r="177">
      <x:c r="A177" s="187" t="str">
        <x:v>ACTUAL_2026_08_CLOSE_V1</x:v>
      </x:c>
      <x:c r="B177" s="187" t="str">
        <x:v>ACTUAL</x:v>
      </x:c>
      <x:c r="C177" s="187"/>
      <x:c r="D177" s="217" t="n">
        <x:v>46174</x:v>
      </x:c>
      <x:c r="E177" s="187" t="str">
        <x:v>R_DE_FR_B_ROAD</x:v>
      </x:c>
      <x:c r="F177" s="187" t="str">
        <x:v>DE</x:v>
      </x:c>
      <x:c r="G177" s="187" t="str">
        <x:v>FR_FC</x:v>
      </x:c>
      <x:c r="H177" s="187" t="str">
        <x:v>CARRIER_B</x:v>
      </x:c>
      <x:c r="I177" s="187" t="str">
        <x:v>ROAD</x:v>
      </x:c>
      <x:c r="J177" s="232" t="n">
        <x:v>213.9453648</x:v>
      </x:c>
      <x:c r="K177" s="232" t="n">
        <x:v>213.9453648</x:v>
      </x:c>
      <x:c r="L177" s="232" t="n">
        <x:v>207.3130584912</x:v>
      </x:c>
      <x:c r="M177" s="241" t="n">
        <x:v>0.969</x:v>
      </x:c>
      <x:c r="N177" s="241" t="n">
        <x:v>1</x:v>
      </x:c>
      <x:c r="O177" s="244" t="n">
        <x:f>IF(K177="",M177,L177/K177)</x:f>
        <x:v>0.969</x:v>
      </x:c>
      <x:c r="P177" s="244" t="n">
        <x:f>O177-M177</x:f>
        <x:v>0</x:v>
      </x:c>
    </x:row>
    <x:row r="178">
      <x:c r="A178" s="187" t="str">
        <x:v>ACTUAL_2026_08_CLOSE_V1</x:v>
      </x:c>
      <x:c r="B178" s="187" t="str">
        <x:v>ACTUAL</x:v>
      </x:c>
      <x:c r="C178" s="187"/>
      <x:c r="D178" s="217" t="n">
        <x:v>46174</x:v>
      </x:c>
      <x:c r="E178" s="187" t="str">
        <x:v>R_FR_FR_A_ROAD</x:v>
      </x:c>
      <x:c r="F178" s="187" t="str">
        <x:v>FR</x:v>
      </x:c>
      <x:c r="G178" s="187" t="str">
        <x:v>FR_FC</x:v>
      </x:c>
      <x:c r="H178" s="187" t="str">
        <x:v>CARRIER_A</x:v>
      </x:c>
      <x:c r="I178" s="187" t="str">
        <x:v>ROAD</x:v>
      </x:c>
      <x:c r="J178" s="232" t="n">
        <x:v>2020.12839</x:v>
      </x:c>
      <x:c r="K178" s="232" t="n">
        <x:v>2020.12839</x:v>
      </x:c>
      <x:c r="L178" s="232" t="n">
        <x:v>1943.36351118</x:v>
      </x:c>
      <x:c r="M178" s="241" t="n">
        <x:v>0.962</x:v>
      </x:c>
      <x:c r="N178" s="241" t="n">
        <x:v>1</x:v>
      </x:c>
      <x:c r="O178" s="244" t="n">
        <x:f>IF(K178="",M178,L178/K178)</x:f>
        <x:v>0.962</x:v>
      </x:c>
      <x:c r="P178" s="244" t="n">
        <x:f>O178-M178</x:f>
        <x:v>0</x:v>
      </x:c>
    </x:row>
    <x:row r="179">
      <x:c r="A179" s="187" t="str">
        <x:v>ACTUAL_2026_08_CLOSE_V1</x:v>
      </x:c>
      <x:c r="B179" s="187" t="str">
        <x:v>ACTUAL</x:v>
      </x:c>
      <x:c r="C179" s="187"/>
      <x:c r="D179" s="217" t="n">
        <x:v>46174</x:v>
      </x:c>
      <x:c r="E179" s="187" t="str">
        <x:v>R_FR_FR_B_ROAD</x:v>
      </x:c>
      <x:c r="F179" s="187" t="str">
        <x:v>FR</x:v>
      </x:c>
      <x:c r="G179" s="187" t="str">
        <x:v>FR_FC</x:v>
      </x:c>
      <x:c r="H179" s="187" t="str">
        <x:v>CARRIER_B</x:v>
      </x:c>
      <x:c r="I179" s="187" t="str">
        <x:v>ROAD</x:v>
      </x:c>
      <x:c r="J179" s="232" t="n">
        <x:v>3751.66701</x:v>
      </x:c>
      <x:c r="K179" s="232" t="n">
        <x:v>3751.66701</x:v>
      </x:c>
      <x:c r="L179" s="232" t="n">
        <x:v>3654.12366774</x:v>
      </x:c>
      <x:c r="M179" s="241" t="n">
        <x:v>0.974</x:v>
      </x:c>
      <x:c r="N179" s="241" t="n">
        <x:v>1</x:v>
      </x:c>
      <x:c r="O179" s="244" t="n">
        <x:f>IF(K179="",M179,L179/K179)</x:f>
        <x:v>0.974</x:v>
      </x:c>
      <x:c r="P179" s="244" t="n">
        <x:f>O179-M179</x:f>
        <x:v>0</x:v>
      </x:c>
    </x:row>
    <x:row r="180">
      <x:c r="A180" s="187" t="str">
        <x:v>ACTUAL_2026_08_CLOSE_V1</x:v>
      </x:c>
      <x:c r="B180" s="187" t="str">
        <x:v>ACTUAL</x:v>
      </x:c>
      <x:c r="C180" s="187"/>
      <x:c r="D180" s="217" t="n">
        <x:v>46174</x:v>
      </x:c>
      <x:c r="E180" s="187" t="str">
        <x:v>R_GB_DE_A_ROAD</x:v>
      </x:c>
      <x:c r="F180" s="187" t="str">
        <x:v>GB</x:v>
      </x:c>
      <x:c r="G180" s="187" t="str">
        <x:v>DE_FC</x:v>
      </x:c>
      <x:c r="H180" s="187" t="str">
        <x:v>CARRIER_A</x:v>
      </x:c>
      <x:c r="I180" s="187" t="str">
        <x:v>ROAD</x:v>
      </x:c>
      <x:c r="J180" s="232" t="n">
        <x:v>3491.548526592</x:v>
      </x:c>
      <x:c r="K180" s="232" t="n">
        <x:v>3491.548526592</x:v>
      </x:c>
      <x:c r="L180" s="232" t="n">
        <x:v>3250.631678257152</x:v>
      </x:c>
      <x:c r="M180" s="241" t="n">
        <x:v>0.931</x:v>
      </x:c>
      <x:c r="N180" s="241" t="n">
        <x:v>1</x:v>
      </x:c>
      <x:c r="O180" s="244" t="n">
        <x:f>IF(K180="",M180,L180/K180)</x:f>
        <x:v>0.9309999999999999</x:v>
      </x:c>
      <x:c r="P180" s="244" t="n">
        <x:f>O180-M180</x:f>
        <x:v>-1.1102230246251565e-16</x:v>
      </x:c>
    </x:row>
    <x:row r="181">
      <x:c r="A181" s="187" t="str">
        <x:v>ACTUAL_2026_08_CLOSE_V1</x:v>
      </x:c>
      <x:c r="B181" s="187" t="str">
        <x:v>ACTUAL</x:v>
      </x:c>
      <x:c r="C181" s="187"/>
      <x:c r="D181" s="217" t="n">
        <x:v>46174</x:v>
      </x:c>
      <x:c r="E181" s="187" t="str">
        <x:v>R_GB_DE_B_ROAD</x:v>
      </x:c>
      <x:c r="F181" s="187" t="str">
        <x:v>GB</x:v>
      </x:c>
      <x:c r="G181" s="187" t="str">
        <x:v>DE_FC</x:v>
      </x:c>
      <x:c r="H181" s="187" t="str">
        <x:v>CARRIER_B</x:v>
      </x:c>
      <x:c r="I181" s="187" t="str">
        <x:v>ROAD</x:v>
      </x:c>
      <x:c r="J181" s="232" t="n">
        <x:v>1407.8824704</x:v>
      </x:c>
      <x:c r="K181" s="232" t="n">
        <x:v>1407.8824704</x:v>
      </x:c>
      <x:c r="L181" s="232" t="n">
        <x:v>1338.8962293504</x:v>
      </x:c>
      <x:c r="M181" s="241" t="n">
        <x:v>0.951</x:v>
      </x:c>
      <x:c r="N181" s="241" t="n">
        <x:v>1</x:v>
      </x:c>
      <x:c r="O181" s="244" t="n">
        <x:f>IF(K181="",M181,L181/K181)</x:f>
        <x:v>0.951</x:v>
      </x:c>
      <x:c r="P181" s="244" t="n">
        <x:f>O181-M181</x:f>
        <x:v>0</x:v>
      </x:c>
    </x:row>
    <x:row r="182">
      <x:c r="A182" s="187" t="str">
        <x:v>ACTUAL_2026_08_CLOSE_V1</x:v>
      </x:c>
      <x:c r="B182" s="187" t="str">
        <x:v>ACTUAL</x:v>
      </x:c>
      <x:c r="C182" s="187"/>
      <x:c r="D182" s="217" t="n">
        <x:v>46174</x:v>
      </x:c>
      <x:c r="E182" s="187" t="str">
        <x:v>R_GB_DE_B_AIR</x:v>
      </x:c>
      <x:c r="F182" s="187" t="str">
        <x:v>GB</x:v>
      </x:c>
      <x:c r="G182" s="187" t="str">
        <x:v>DE_FC</x:v>
      </x:c>
      <x:c r="H182" s="187" t="str">
        <x:v>CARRIER_B</x:v>
      </x:c>
      <x:c r="I182" s="187" t="str">
        <x:v>AIR</x:v>
      </x:c>
      <x:c r="J182" s="232" t="n">
        <x:v>506.837689344</x:v>
      </x:c>
      <x:c r="K182" s="232" t="n">
        <x:v>506.837689344</x:v>
      </x:c>
      <x:c r="L182" s="232" t="n">
        <x:v>494.1667471104</x:v>
      </x:c>
      <x:c r="M182" s="241" t="n">
        <x:v>0.975</x:v>
      </x:c>
      <x:c r="N182" s="241" t="n">
        <x:v>1</x:v>
      </x:c>
      <x:c r="O182" s="244" t="n">
        <x:f>IF(K182="",M182,L182/K182)</x:f>
        <x:v>0.975</x:v>
      </x:c>
      <x:c r="P182" s="244" t="n">
        <x:f>O182-M182</x:f>
        <x:v>0</x:v>
      </x:c>
    </x:row>
    <x:row r="183">
      <x:c r="A183" s="187" t="str">
        <x:v>ACTUAL_2026_08_CLOSE_V1</x:v>
      </x:c>
      <x:c r="B183" s="187" t="str">
        <x:v>ACTUAL</x:v>
      </x:c>
      <x:c r="C183" s="187"/>
      <x:c r="D183" s="217" t="n">
        <x:v>46174</x:v>
      </x:c>
      <x:c r="E183" s="187" t="str">
        <x:v>R_GB_DE_C_AIR</x:v>
      </x:c>
      <x:c r="F183" s="187" t="str">
        <x:v>GB</x:v>
      </x:c>
      <x:c r="G183" s="187" t="str">
        <x:v>DE_FC</x:v>
      </x:c>
      <x:c r="H183" s="187" t="str">
        <x:v>CARRIER_C</x:v>
      </x:c>
      <x:c r="I183" s="187" t="str">
        <x:v>AIR</x:v>
      </x:c>
      <x:c r="J183" s="232" t="n">
        <x:v>225.261195264</x:v>
      </x:c>
      <x:c r="K183" s="232" t="n">
        <x:v>225.261195264</x:v>
      </x:c>
      <x:c r="L183" s="232" t="n">
        <x:v>222.783322116096</x:v>
      </x:c>
      <x:c r="M183" s="241" t="n">
        <x:v>0.989</x:v>
      </x:c>
      <x:c r="N183" s="241" t="n">
        <x:v>1</x:v>
      </x:c>
      <x:c r="O183" s="244" t="n">
        <x:f>IF(K183="",M183,L183/K183)</x:f>
        <x:v>0.989</x:v>
      </x:c>
      <x:c r="P183" s="244" t="n">
        <x:f>O183-M183</x:f>
        <x:v>0</x:v>
      </x:c>
    </x:row>
    <x:row r="184">
      <x:c r="A184" s="187" t="str">
        <x:v>ACTUAL_2026_08_CLOSE_V1</x:v>
      </x:c>
      <x:c r="B184" s="187" t="str">
        <x:v>ACTUAL</x:v>
      </x:c>
      <x:c r="C184" s="187"/>
      <x:c r="D184" s="217" t="n">
        <x:v>46174</x:v>
      </x:c>
      <x:c r="E184" s="187" t="str">
        <x:v>R_GB_FR_B_AIR</x:v>
      </x:c>
      <x:c r="F184" s="187" t="str">
        <x:v>GB</x:v>
      </x:c>
      <x:c r="G184" s="187" t="str">
        <x:v>FR_FC</x:v>
      </x:c>
      <x:c r="H184" s="187" t="str">
        <x:v>CARRIER_B</x:v>
      </x:c>
      <x:c r="I184" s="187" t="str">
        <x:v>AIR</x:v>
      </x:c>
      <x:c r="J184" s="232" t="n">
        <x:v>240.932268</x:v>
      </x:c>
      <x:c r="K184" s="232" t="n">
        <x:v>240.932268</x:v>
      </x:c>
      <x:c r="L184" s="232" t="n">
        <x:v>234.186164496</x:v>
      </x:c>
      <x:c r="M184" s="241" t="n">
        <x:v>0.972</x:v>
      </x:c>
      <x:c r="N184" s="241" t="n">
        <x:v>1</x:v>
      </x:c>
      <x:c r="O184" s="244" t="n">
        <x:f>IF(K184="",M184,L184/K184)</x:f>
        <x:v>0.9720000000000001</x:v>
      </x:c>
      <x:c r="P184" s="244" t="n">
        <x:f>O184-M184</x:f>
        <x:v>1.1102230246251565e-16</x:v>
      </x:c>
    </x:row>
    <x:row r="185">
      <x:c r="A185" s="187" t="str">
        <x:v>ACTUAL_2026_08_CLOSE_V1</x:v>
      </x:c>
      <x:c r="B185" s="187" t="str">
        <x:v>ACTUAL</x:v>
      </x:c>
      <x:c r="C185" s="187"/>
      <x:c r="D185" s="217" t="n">
        <x:v>46204</x:v>
      </x:c>
      <x:c r="E185" s="187" t="str">
        <x:v>R_DE_DE_A_ROAD</x:v>
      </x:c>
      <x:c r="F185" s="187" t="str">
        <x:v>DE</x:v>
      </x:c>
      <x:c r="G185" s="187" t="str">
        <x:v>DE_FC</x:v>
      </x:c>
      <x:c r="H185" s="187" t="str">
        <x:v>CARRIER_A</x:v>
      </x:c>
      <x:c r="I185" s="187" t="str">
        <x:v>ROAD</x:v>
      </x:c>
      <x:c r="J185" s="232" t="n">
        <x:v>4039.016562</x:v>
      </x:c>
      <x:c r="K185" s="232" t="n">
        <x:v>4018.82147919</x:v>
      </x:c>
      <x:c r="L185" s="232" t="n">
        <x:v>3866.10626298078</x:v>
      </x:c>
      <x:c r="M185" s="241" t="n">
        <x:v>0.962</x:v>
      </x:c>
      <x:c r="N185" s="241" t="n">
        <x:v>0.995</x:v>
      </x:c>
      <x:c r="O185" s="244" t="n">
        <x:f>IF(K185="",M185,L185/K185)</x:f>
        <x:v>0.962</x:v>
      </x:c>
      <x:c r="P185" s="244" t="n">
        <x:f>O185-M185</x:f>
        <x:v>0</x:v>
      </x:c>
    </x:row>
    <x:row r="186">
      <x:c r="A186" s="187" t="str">
        <x:v>ACTUAL_2026_08_CLOSE_V1</x:v>
      </x:c>
      <x:c r="B186" s="187" t="str">
        <x:v>ACTUAL</x:v>
      </x:c>
      <x:c r="C186" s="187"/>
      <x:c r="D186" s="217" t="n">
        <x:v>46204</x:v>
      </x:c>
      <x:c r="E186" s="187" t="str">
        <x:v>R_DE_DE_B_ROAD</x:v>
      </x:c>
      <x:c r="F186" s="187" t="str">
        <x:v>DE</x:v>
      </x:c>
      <x:c r="G186" s="187" t="str">
        <x:v>DE_FC</x:v>
      </x:c>
      <x:c r="H186" s="187" t="str">
        <x:v>CARRIER_B</x:v>
      </x:c>
      <x:c r="I186" s="187" t="str">
        <x:v>ROAD</x:v>
      </x:c>
      <x:c r="J186" s="232" t="n">
        <x:v>2692.677708</x:v>
      </x:c>
      <x:c r="K186" s="232" t="n">
        <x:v>2679.21431946</x:v>
      </x:c>
      <x:c r="L186" s="232" t="n">
        <x:v>2606.87553283458</x:v>
      </x:c>
      <x:c r="M186" s="241" t="n">
        <x:v>0.973</x:v>
      </x:c>
      <x:c r="N186" s="241" t="n">
        <x:v>0.995</x:v>
      </x:c>
      <x:c r="O186" s="244" t="n">
        <x:f>IF(K186="",M186,L186/K186)</x:f>
        <x:v>0.9730000000000001</x:v>
      </x:c>
      <x:c r="P186" s="244" t="n">
        <x:f>O186-M186</x:f>
        <x:v>1.1102230246251565e-16</x:v>
      </x:c>
    </x:row>
    <x:row r="187">
      <x:c r="A187" s="187" t="str">
        <x:v>ACTUAL_2026_08_CLOSE_V1</x:v>
      </x:c>
      <x:c r="B187" s="187" t="str">
        <x:v>ACTUAL</x:v>
      </x:c>
      <x:c r="C187" s="187"/>
      <x:c r="D187" s="217" t="n">
        <x:v>46204</x:v>
      </x:c>
      <x:c r="E187" s="187" t="str">
        <x:v>R_DE_FR_B_ROAD</x:v>
      </x:c>
      <x:c r="F187" s="187" t="str">
        <x:v>DE</x:v>
      </x:c>
      <x:c r="G187" s="187" t="str">
        <x:v>FR_FC</x:v>
      </x:c>
      <x:c r="H187" s="187" t="str">
        <x:v>CARRIER_B</x:v>
      </x:c>
      <x:c r="I187" s="187" t="str">
        <x:v>ROAD</x:v>
      </x:c>
      <x:c r="J187" s="232" t="n">
        <x:v>214.145208</x:v>
      </x:c>
      <x:c r="K187" s="232" t="n">
        <x:v>213.07448196</x:v>
      </x:c>
      <x:c r="L187" s="232" t="n">
        <x:v>205.6168750914</x:v>
      </x:c>
      <x:c r="M187" s="241" t="n">
        <x:v>0.965</x:v>
      </x:c>
      <x:c r="N187" s="241" t="n">
        <x:v>0.995</x:v>
      </x:c>
      <x:c r="O187" s="244" t="n">
        <x:f>IF(K187="",M187,L187/K187)</x:f>
        <x:v>0.965</x:v>
      </x:c>
      <x:c r="P187" s="244" t="n">
        <x:f>O187-M187</x:f>
        <x:v>0</x:v>
      </x:c>
    </x:row>
    <x:row r="188">
      <x:c r="A188" s="187" t="str">
        <x:v>ACTUAL_2026_08_CLOSE_V1</x:v>
      </x:c>
      <x:c r="B188" s="187" t="str">
        <x:v>ACTUAL</x:v>
      </x:c>
      <x:c r="C188" s="187"/>
      <x:c r="D188" s="217" t="n">
        <x:v>46204</x:v>
      </x:c>
      <x:c r="E188" s="187" t="str">
        <x:v>R_FR_FR_A_ROAD</x:v>
      </x:c>
      <x:c r="F188" s="187" t="str">
        <x:v>FR</x:v>
      </x:c>
      <x:c r="G188" s="187" t="str">
        <x:v>FR_FC</x:v>
      </x:c>
      <x:c r="H188" s="187" t="str">
        <x:v>CARRIER_A</x:v>
      </x:c>
      <x:c r="I188" s="187" t="str">
        <x:v>ROAD</x:v>
      </x:c>
      <x:c r="J188" s="232" t="n">
        <x:v>2049.01074</x:v>
      </x:c>
      <x:c r="K188" s="232" t="n">
        <x:v>2038.7656863</x:v>
      </x:c>
      <x:c r="L188" s="232" t="n">
        <x:v>1953.1375274754</x:v>
      </x:c>
      <x:c r="M188" s="241" t="n">
        <x:v>0.958</x:v>
      </x:c>
      <x:c r="N188" s="241" t="n">
        <x:v>0.995</x:v>
      </x:c>
      <x:c r="O188" s="244" t="n">
        <x:f>IF(K188="",M188,L188/K188)</x:f>
        <x:v>0.9580000000000001</x:v>
      </x:c>
      <x:c r="P188" s="244" t="n">
        <x:f>O188-M188</x:f>
        <x:v>1.1102230246251565e-16</x:v>
      </x:c>
    </x:row>
    <x:row r="189">
      <x:c r="A189" s="187" t="str">
        <x:v>ACTUAL_2026_08_CLOSE_V1</x:v>
      </x:c>
      <x:c r="B189" s="187" t="str">
        <x:v>ACTUAL</x:v>
      </x:c>
      <x:c r="C189" s="187"/>
      <x:c r="D189" s="217" t="n">
        <x:v>46204</x:v>
      </x:c>
      <x:c r="E189" s="187" t="str">
        <x:v>R_FR_FR_B_ROAD</x:v>
      </x:c>
      <x:c r="F189" s="187" t="str">
        <x:v>FR</x:v>
      </x:c>
      <x:c r="G189" s="187" t="str">
        <x:v>FR_FC</x:v>
      </x:c>
      <x:c r="H189" s="187" t="str">
        <x:v>CARRIER_B</x:v>
      </x:c>
      <x:c r="I189" s="187" t="str">
        <x:v>ROAD</x:v>
      </x:c>
      <x:c r="J189" s="232" t="n">
        <x:v>3805.30566</x:v>
      </x:c>
      <x:c r="K189" s="232" t="n">
        <x:v>3786.2791317</x:v>
      </x:c>
      <x:c r="L189" s="232" t="n">
        <x:v>3672.690757749</x:v>
      </x:c>
      <x:c r="M189" s="241" t="n">
        <x:v>0.97</x:v>
      </x:c>
      <x:c r="N189" s="241" t="n">
        <x:v>0.995</x:v>
      </x:c>
      <x:c r="O189" s="244" t="n">
        <x:f>IF(K189="",M189,L189/K189)</x:f>
        <x:v>0.97</x:v>
      </x:c>
      <x:c r="P189" s="244" t="n">
        <x:f>O189-M189</x:f>
        <x:v>0</x:v>
      </x:c>
    </x:row>
    <x:row r="190">
      <x:c r="A190" s="187" t="str">
        <x:v>ACTUAL_2026_08_CLOSE_V1</x:v>
      </x:c>
      <x:c r="B190" s="187" t="str">
        <x:v>ACTUAL</x:v>
      </x:c>
      <x:c r="C190" s="187"/>
      <x:c r="D190" s="217" t="n">
        <x:v>46204</x:v>
      </x:c>
      <x:c r="E190" s="187" t="str">
        <x:v>R_GB_DE_A_ROAD</x:v>
      </x:c>
      <x:c r="F190" s="187" t="str">
        <x:v>GB</x:v>
      </x:c>
      <x:c r="G190" s="187" t="str">
        <x:v>DE_FC</x:v>
      </x:c>
      <x:c r="H190" s="187" t="str">
        <x:v>CARRIER_A</x:v>
      </x:c>
      <x:c r="I190" s="187" t="str">
        <x:v>ROAD</x:v>
      </x:c>
      <x:c r="J190" s="232" t="n">
        <x:v>3662.25463296</x:v>
      </x:c>
      <x:c r="K190" s="232" t="n">
        <x:v>3643.9433597952</x:v>
      </x:c>
      <x:c r="L190" s="232" t="n">
        <x:v>3377.93549453015</x:v>
      </x:c>
      <x:c r="M190" s="241" t="n">
        <x:v>0.927</x:v>
      </x:c>
      <x:c r="N190" s="241" t="n">
        <x:v>0.995</x:v>
      </x:c>
      <x:c r="O190" s="244" t="n">
        <x:f>IF(K190="",M190,L190/K190)</x:f>
        <x:v>0.9269999999999999</x:v>
      </x:c>
      <x:c r="P190" s="244" t="n">
        <x:f>O190-M190</x:f>
        <x:v>-1.1102230246251565e-16</x:v>
      </x:c>
    </x:row>
    <x:row r="191">
      <x:c r="A191" s="187" t="str">
        <x:v>ACTUAL_2026_08_CLOSE_V1</x:v>
      </x:c>
      <x:c r="B191" s="187" t="str">
        <x:v>ACTUAL</x:v>
      </x:c>
      <x:c r="C191" s="187"/>
      <x:c r="D191" s="217" t="n">
        <x:v>46204</x:v>
      </x:c>
      <x:c r="E191" s="187" t="str">
        <x:v>R_GB_DE_B_ROAD</x:v>
      </x:c>
      <x:c r="F191" s="187" t="str">
        <x:v>GB</x:v>
      </x:c>
      <x:c r="G191" s="187" t="str">
        <x:v>DE_FC</x:v>
      </x:c>
      <x:c r="H191" s="187" t="str">
        <x:v>CARRIER_B</x:v>
      </x:c>
      <x:c r="I191" s="187" t="str">
        <x:v>ROAD</x:v>
      </x:c>
      <x:c r="J191" s="232" t="n">
        <x:v>1670.50211328</x:v>
      </x:c>
      <x:c r="K191" s="232" t="n">
        <x:v>1662.1496027136</x:v>
      </x:c>
      <x:c r="L191" s="232" t="n">
        <x:v>1574.055673769779</x:v>
      </x:c>
      <x:c r="M191" s="241" t="n">
        <x:v>0.947</x:v>
      </x:c>
      <x:c r="N191" s="241" t="n">
        <x:v>0.995</x:v>
      </x:c>
      <x:c r="O191" s="244" t="n">
        <x:f>IF(K191="",M191,L191/K191)</x:f>
        <x:v>0.947</x:v>
      </x:c>
      <x:c r="P191" s="244" t="n">
        <x:f>O191-M191</x:f>
        <x:v>0</x:v>
      </x:c>
    </x:row>
    <x:row r="192">
      <x:c r="A192" s="187" t="str">
        <x:v>ACTUAL_2026_08_CLOSE_V1</x:v>
      </x:c>
      <x:c r="B192" s="187" t="str">
        <x:v>ACTUAL</x:v>
      </x:c>
      <x:c r="C192" s="187"/>
      <x:c r="D192" s="217" t="n">
        <x:v>46204</x:v>
      </x:c>
      <x:c r="E192" s="187" t="str">
        <x:v>R_GB_DE_B_AIR</x:v>
      </x:c>
      <x:c r="F192" s="187" t="str">
        <x:v>GB</x:v>
      </x:c>
      <x:c r="G192" s="187" t="str">
        <x:v>DE_FC</x:v>
      </x:c>
      <x:c r="H192" s="187" t="str">
        <x:v>CARRIER_B</x:v>
      </x:c>
      <x:c r="I192" s="187" t="str">
        <x:v>AIR</x:v>
      </x:c>
      <x:c r="J192" s="232" t="n">
        <x:v>706.75089408</x:v>
      </x:c>
      <x:c r="K192" s="232" t="n">
        <x:v>703.2171396096</x:v>
      </x:c>
      <x:c r="L192" s="232" t="n">
        <x:v>682.8238425609215</x:v>
      </x:c>
      <x:c r="M192" s="241" t="n">
        <x:v>0.971</x:v>
      </x:c>
      <x:c r="N192" s="241" t="n">
        <x:v>0.995</x:v>
      </x:c>
      <x:c r="O192" s="244" t="n">
        <x:f>IF(K192="",M192,L192/K192)</x:f>
        <x:v>0.9709999999999999</x:v>
      </x:c>
      <x:c r="P192" s="244" t="n">
        <x:f>O192-M192</x:f>
        <x:v>-1.1102230246251565e-16</x:v>
      </x:c>
    </x:row>
    <x:row r="193">
      <x:c r="A193" s="187" t="str">
        <x:v>ACTUAL_2026_08_CLOSE_V1</x:v>
      </x:c>
      <x:c r="B193" s="187" t="str">
        <x:v>ACTUAL</x:v>
      </x:c>
      <x:c r="C193" s="187"/>
      <x:c r="D193" s="217" t="n">
        <x:v>46204</x:v>
      </x:c>
      <x:c r="E193" s="187" t="str">
        <x:v>R_GB_DE_C_AIR</x:v>
      </x:c>
      <x:c r="F193" s="187" t="str">
        <x:v>GB</x:v>
      </x:c>
      <x:c r="G193" s="187" t="str">
        <x:v>DE_FC</x:v>
      </x:c>
      <x:c r="H193" s="187" t="str">
        <x:v>CARRIER_C</x:v>
      </x:c>
      <x:c r="I193" s="187" t="str">
        <x:v>AIR</x:v>
      </x:c>
      <x:c r="J193" s="232" t="n">
        <x:v>385.50048768</x:v>
      </x:c>
      <x:c r="K193" s="232" t="n">
        <x:v>383.5729852416</x:v>
      </x:c>
      <x:c r="L193" s="232" t="n">
        <x:v>377.819390462976</x:v>
      </x:c>
      <x:c r="M193" s="241" t="n">
        <x:v>0.985</x:v>
      </x:c>
      <x:c r="N193" s="241" t="n">
        <x:v>0.995</x:v>
      </x:c>
      <x:c r="O193" s="244" t="n">
        <x:f>IF(K193="",M193,L193/K193)</x:f>
        <x:v>0.985</x:v>
      </x:c>
      <x:c r="P193" s="244" t="n">
        <x:f>O193-M193</x:f>
        <x:v>0</x:v>
      </x:c>
    </x:row>
    <x:row r="194">
      <x:c r="A194" s="187" t="str">
        <x:v>ACTUAL_2026_08_CLOSE_V1</x:v>
      </x:c>
      <x:c r="B194" s="187" t="str">
        <x:v>ACTUAL</x:v>
      </x:c>
      <x:c r="C194" s="187"/>
      <x:c r="D194" s="217" t="n">
        <x:v>46204</x:v>
      </x:c>
      <x:c r="E194" s="187" t="str">
        <x:v>R_GB_FR_B_AIR</x:v>
      </x:c>
      <x:c r="F194" s="187" t="str">
        <x:v>GB</x:v>
      </x:c>
      <x:c r="G194" s="187" t="str">
        <x:v>FR_FC</x:v>
      </x:c>
      <x:c r="H194" s="187" t="str">
        <x:v>CARRIER_B</x:v>
      </x:c>
      <x:c r="I194" s="187" t="str">
        <x:v>AIR</x:v>
      </x:c>
      <x:c r="J194" s="232" t="n">
        <x:v>274.87944</x:v>
      </x:c>
      <x:c r="K194" s="232" t="n">
        <x:v>273.5050428</x:v>
      </x:c>
      <x:c r="L194" s="232" t="n">
        <x:v>264.7528814304</x:v>
      </x:c>
      <x:c r="M194" s="241" t="n">
        <x:v>0.968</x:v>
      </x:c>
      <x:c r="N194" s="241" t="n">
        <x:v>0.995</x:v>
      </x:c>
      <x:c r="O194" s="244" t="n">
        <x:f>IF(K194="",M194,L194/K194)</x:f>
        <x:v>0.968</x:v>
      </x:c>
      <x:c r="P194" s="244" t="n">
        <x:f>O194-M194</x:f>
        <x:v>0</x:v>
      </x:c>
    </x:row>
    <x:row r="195">
      <x:c r="A195" s="187" t="str">
        <x:v>ACTUAL_2026_08_CLOSE_V1</x:v>
      </x:c>
      <x:c r="B195" s="187" t="str">
        <x:v>ACTUAL</x:v>
      </x:c>
      <x:c r="C195" s="187"/>
      <x:c r="D195" s="217" t="n">
        <x:v>46235</x:v>
      </x:c>
      <x:c r="E195" s="187" t="str">
        <x:v>R_DE_DE_A_ROAD</x:v>
      </x:c>
      <x:c r="F195" s="187" t="str">
        <x:v>DE</x:v>
      </x:c>
      <x:c r="G195" s="187" t="str">
        <x:v>DE_FC</x:v>
      </x:c>
      <x:c r="H195" s="187" t="str">
        <x:v>CARRIER_A</x:v>
      </x:c>
      <x:c r="I195" s="187" t="str">
        <x:v>ROAD</x:v>
      </x:c>
      <x:c r="J195" s="232" t="n">
        <x:v>3845.6523</x:v>
      </x:c>
      <x:c r="K195" s="232" t="n">
        <x:v>3538.000116</x:v>
      </x:c>
      <x:c r="L195" s="232" t="n">
        <x:v>3403.556111592</x:v>
      </x:c>
      <x:c r="M195" s="241" t="n">
        <x:v>0.962</x:v>
      </x:c>
      <x:c r="N195" s="241" t="n">
        <x:v>0.92</x:v>
      </x:c>
      <x:c r="O195" s="244" t="n">
        <x:f>IF(K195="",M195,L195/K195)</x:f>
        <x:v>0.962</x:v>
      </x:c>
      <x:c r="P195" s="244" t="n">
        <x:f>O195-M195</x:f>
        <x:v>0</x:v>
      </x:c>
    </x:row>
    <x:row r="196">
      <x:c r="A196" s="187" t="str">
        <x:v>ACTUAL_2026_08_CLOSE_V1</x:v>
      </x:c>
      <x:c r="B196" s="187" t="str">
        <x:v>ACTUAL</x:v>
      </x:c>
      <x:c r="C196" s="187"/>
      <x:c r="D196" s="217" t="n">
        <x:v>46235</x:v>
      </x:c>
      <x:c r="E196" s="187" t="str">
        <x:v>R_DE_DE_B_ROAD</x:v>
      </x:c>
      <x:c r="F196" s="187" t="str">
        <x:v>DE</x:v>
      </x:c>
      <x:c r="G196" s="187" t="str">
        <x:v>DE_FC</x:v>
      </x:c>
      <x:c r="H196" s="187" t="str">
        <x:v>CARRIER_B</x:v>
      </x:c>
      <x:c r="I196" s="187" t="str">
        <x:v>ROAD</x:v>
      </x:c>
      <x:c r="J196" s="232" t="n">
        <x:v>2563.7682</x:v>
      </x:c>
      <x:c r="K196" s="232" t="n">
        <x:v>2358.666744</x:v>
      </x:c>
      <x:c r="L196" s="232" t="n">
        <x:v>2294.982741912</x:v>
      </x:c>
      <x:c r="M196" s="241" t="n">
        <x:v>0.973</x:v>
      </x:c>
      <x:c r="N196" s="241" t="n">
        <x:v>0.92</x:v>
      </x:c>
      <x:c r="O196" s="244" t="n">
        <x:f>IF(K196="",M196,L196/K196)</x:f>
        <x:v>0.973</x:v>
      </x:c>
      <x:c r="P196" s="244" t="n">
        <x:f>O196-M196</x:f>
        <x:v>0</x:v>
      </x:c>
    </x:row>
    <x:row r="197">
      <x:c r="A197" s="187" t="str">
        <x:v>ACTUAL_2026_08_CLOSE_V1</x:v>
      </x:c>
      <x:c r="B197" s="187" t="str">
        <x:v>ACTUAL</x:v>
      </x:c>
      <x:c r="C197" s="187"/>
      <x:c r="D197" s="217" t="n">
        <x:v>46235</x:v>
      </x:c>
      <x:c r="E197" s="187" t="str">
        <x:v>R_DE_FR_B_ROAD</x:v>
      </x:c>
      <x:c r="F197" s="187" t="str">
        <x:v>DE</x:v>
      </x:c>
      <x:c r="G197" s="187" t="str">
        <x:v>FR_FC</x:v>
      </x:c>
      <x:c r="H197" s="187" t="str">
        <x:v>CARRIER_B</x:v>
      </x:c>
      <x:c r="I197" s="187" t="str">
        <x:v>ROAD</x:v>
      </x:c>
      <x:c r="J197" s="232" t="n">
        <x:v>203.8932</x:v>
      </x:c>
      <x:c r="K197" s="232" t="n">
        <x:v>187.581744</x:v>
      </x:c>
      <x:c r="L197" s="232" t="n">
        <x:v>181.01638296</x:v>
      </x:c>
      <x:c r="M197" s="241" t="n">
        <x:v>0.965</x:v>
      </x:c>
      <x:c r="N197" s="241" t="n">
        <x:v>0.92</x:v>
      </x:c>
      <x:c r="O197" s="244" t="n">
        <x:f>IF(K197="",M197,L197/K197)</x:f>
        <x:v>0.965</x:v>
      </x:c>
      <x:c r="P197" s="244" t="n">
        <x:f>O197-M197</x:f>
        <x:v>0</x:v>
      </x:c>
    </x:row>
    <x:row r="198">
      <x:c r="A198" s="187" t="str">
        <x:v>ACTUAL_2026_08_CLOSE_V1</x:v>
      </x:c>
      <x:c r="B198" s="187" t="str">
        <x:v>ACTUAL</x:v>
      </x:c>
      <x:c r="C198" s="187"/>
      <x:c r="D198" s="217" t="n">
        <x:v>46235</x:v>
      </x:c>
      <x:c r="E198" s="187" t="str">
        <x:v>R_FR_FR_A_ROAD</x:v>
      </x:c>
      <x:c r="F198" s="187" t="str">
        <x:v>FR</x:v>
      </x:c>
      <x:c r="G198" s="187" t="str">
        <x:v>FR_FC</x:v>
      </x:c>
      <x:c r="H198" s="187" t="str">
        <x:v>CARRIER_A</x:v>
      </x:c>
      <x:c r="I198" s="187" t="str">
        <x:v>ROAD</x:v>
      </x:c>
      <x:c r="J198" s="232" t="n">
        <x:v>1882.825</x:v>
      </x:c>
      <x:c r="K198" s="232" t="n">
        <x:v>1732.199</x:v>
      </x:c>
      <x:c r="L198" s="232" t="n">
        <x:v>1659.446642</x:v>
      </x:c>
      <x:c r="M198" s="241" t="n">
        <x:v>0.958</x:v>
      </x:c>
      <x:c r="N198" s="241" t="n">
        <x:v>0.92</x:v>
      </x:c>
      <x:c r="O198" s="244" t="n">
        <x:f>IF(K198="",M198,L198/K198)</x:f>
        <x:v>0.9580000000000001</x:v>
      </x:c>
      <x:c r="P198" s="244" t="n">
        <x:f>O198-M198</x:f>
        <x:v>1.1102230246251565e-16</x:v>
      </x:c>
    </x:row>
    <x:row r="199">
      <x:c r="A199" s="187" t="str">
        <x:v>ACTUAL_2026_08_CLOSE_V1</x:v>
      </x:c>
      <x:c r="B199" s="187" t="str">
        <x:v>ACTUAL</x:v>
      </x:c>
      <x:c r="C199" s="187"/>
      <x:c r="D199" s="217" t="n">
        <x:v>46235</x:v>
      </x:c>
      <x:c r="E199" s="187" t="str">
        <x:v>R_FR_FR_B_ROAD</x:v>
      </x:c>
      <x:c r="F199" s="187" t="str">
        <x:v>FR</x:v>
      </x:c>
      <x:c r="G199" s="187" t="str">
        <x:v>FR_FC</x:v>
      </x:c>
      <x:c r="H199" s="187" t="str">
        <x:v>CARRIER_B</x:v>
      </x:c>
      <x:c r="I199" s="187" t="str">
        <x:v>ROAD</x:v>
      </x:c>
      <x:c r="J199" s="232" t="n">
        <x:v>3496.675</x:v>
      </x:c>
      <x:c r="K199" s="232" t="n">
        <x:v>3216.941</x:v>
      </x:c>
      <x:c r="L199" s="232" t="n">
        <x:v>3120.43277</x:v>
      </x:c>
      <x:c r="M199" s="241" t="n">
        <x:v>0.97</x:v>
      </x:c>
      <x:c r="N199" s="241" t="n">
        <x:v>0.92</x:v>
      </x:c>
      <x:c r="O199" s="244" t="n">
        <x:f>IF(K199="",M199,L199/K199)</x:f>
        <x:v>0.97</x:v>
      </x:c>
      <x:c r="P199" s="244" t="n">
        <x:f>O199-M199</x:f>
        <x:v>0</x:v>
      </x:c>
    </x:row>
    <x:row r="200">
      <x:c r="A200" s="187" t="str">
        <x:v>ACTUAL_2026_08_CLOSE_V1</x:v>
      </x:c>
      <x:c r="B200" s="187" t="str">
        <x:v>ACTUAL</x:v>
      </x:c>
      <x:c r="C200" s="187"/>
      <x:c r="D200" s="217" t="n">
        <x:v>46235</x:v>
      </x:c>
      <x:c r="E200" s="187" t="str">
        <x:v>R_GB_DE_A_ROAD</x:v>
      </x:c>
      <x:c r="F200" s="187" t="str">
        <x:v>GB</x:v>
      </x:c>
      <x:c r="G200" s="187" t="str">
        <x:v>DE_FC</x:v>
      </x:c>
      <x:c r="H200" s="187" t="str">
        <x:v>CARRIER_A</x:v>
      </x:c>
      <x:c r="I200" s="187" t="str">
        <x:v>ROAD</x:v>
      </x:c>
      <x:c r="J200" s="232" t="n">
        <x:v>2325.428336</x:v>
      </x:c>
      <x:c r="K200" s="232" t="n">
        <x:v>2139.39406912</x:v>
      </x:c>
      <x:c r="L200" s="232" t="n">
        <x:v>1963.96375545216</x:v>
      </x:c>
      <x:c r="M200" s="241" t="n">
        <x:v>0.918</x:v>
      </x:c>
      <x:c r="N200" s="241" t="n">
        <x:v>0.92</x:v>
      </x:c>
      <x:c r="O200" s="244" t="n">
        <x:f>IF(K200="",M200,L200/K200)</x:f>
        <x:v>0.918</x:v>
      </x:c>
      <x:c r="P200" s="244" t="n">
        <x:f>O200-M200</x:f>
        <x:v>0</x:v>
      </x:c>
    </x:row>
    <x:row r="201">
      <x:c r="A201" s="187" t="str">
        <x:v>ACTUAL_2026_08_CLOSE_V1</x:v>
      </x:c>
      <x:c r="B201" s="187" t="str">
        <x:v>ACTUAL</x:v>
      </x:c>
      <x:c r="C201" s="187"/>
      <x:c r="D201" s="217" t="n">
        <x:v>46235</x:v>
      </x:c>
      <x:c r="E201" s="187" t="str">
        <x:v>R_GB_DE_B_ROAD</x:v>
      </x:c>
      <x:c r="F201" s="187" t="str">
        <x:v>GB</x:v>
      </x:c>
      <x:c r="G201" s="187" t="str">
        <x:v>DE_FC</x:v>
      </x:c>
      <x:c r="H201" s="187" t="str">
        <x:v>CARRIER_B</x:v>
      </x:c>
      <x:c r="I201" s="187" t="str">
        <x:v>ROAD</x:v>
      </x:c>
      <x:c r="J201" s="232" t="n">
        <x:v>1374.116744</x:v>
      </x:c>
      <x:c r="K201" s="232" t="n">
        <x:v>1264.18740448</x:v>
      </x:c>
      <x:c r="L201" s="232" t="n">
        <x:v>1193.39290982912</x:v>
      </x:c>
      <x:c r="M201" s="241" t="n">
        <x:v>0.944</x:v>
      </x:c>
      <x:c r="N201" s="241" t="n">
        <x:v>0.92</x:v>
      </x:c>
      <x:c r="O201" s="244" t="n">
        <x:f>IF(K201="",M201,L201/K201)</x:f>
        <x:v>0.9440000000000001</x:v>
      </x:c>
      <x:c r="P201" s="244" t="n">
        <x:f>O201-M201</x:f>
        <x:v>1.1102230246251565e-16</x:v>
      </x:c>
    </x:row>
    <x:row r="202">
      <x:c r="A202" s="187" t="str">
        <x:v>ACTUAL_2026_08_CLOSE_V1</x:v>
      </x:c>
      <x:c r="B202" s="187" t="str">
        <x:v>ACTUAL</x:v>
      </x:c>
      <x:c r="C202" s="187"/>
      <x:c r="D202" s="217" t="n">
        <x:v>46235</x:v>
      </x:c>
      <x:c r="E202" s="187" t="str">
        <x:v>R_GB_DE_B_AIR</x:v>
      </x:c>
      <x:c r="F202" s="187" t="str">
        <x:v>GB</x:v>
      </x:c>
      <x:c r="G202" s="187" t="str">
        <x:v>DE_FC</x:v>
      </x:c>
      <x:c r="H202" s="187" t="str">
        <x:v>CARRIER_B</x:v>
      </x:c>
      <x:c r="I202" s="187" t="str">
        <x:v>AIR</x:v>
      </x:c>
      <x:c r="J202" s="232" t="n">
        <x:v>2642.5322</x:v>
      </x:c>
      <x:c r="K202" s="232" t="n">
        <x:v>2431.129624</x:v>
      </x:c>
      <x:c r="L202" s="232" t="n">
        <x:v>2360.626864904</x:v>
      </x:c>
      <x:c r="M202" s="241" t="n">
        <x:v>0.971</x:v>
      </x:c>
      <x:c r="N202" s="241" t="n">
        <x:v>0.92</x:v>
      </x:c>
      <x:c r="O202" s="244" t="n">
        <x:f>IF(K202="",M202,L202/K202)</x:f>
        <x:v>0.9709999999999999</x:v>
      </x:c>
      <x:c r="P202" s="244" t="n">
        <x:f>O202-M202</x:f>
        <x:v>-1.1102230246251565e-16</x:v>
      </x:c>
    </x:row>
    <x:row r="203">
      <x:c r="A203" s="187" t="str">
        <x:v>ACTUAL_2026_08_CLOSE_V1</x:v>
      </x:c>
      <x:c r="B203" s="187" t="str">
        <x:v>ACTUAL</x:v>
      </x:c>
      <x:c r="C203" s="187"/>
      <x:c r="D203" s="217" t="n">
        <x:v>46235</x:v>
      </x:c>
      <x:c r="E203" s="187" t="str">
        <x:v>R_GB_DE_C_AIR</x:v>
      </x:c>
      <x:c r="F203" s="187" t="str">
        <x:v>GB</x:v>
      </x:c>
      <x:c r="G203" s="187" t="str">
        <x:v>DE_FC</x:v>
      </x:c>
      <x:c r="H203" s="187" t="str">
        <x:v>CARRIER_C</x:v>
      </x:c>
      <x:c r="I203" s="187" t="str">
        <x:v>AIR</x:v>
      </x:c>
      <x:c r="J203" s="232" t="n">
        <x:v>4228.05152</x:v>
      </x:c>
      <x:c r="K203" s="232" t="n">
        <x:v>3889.8073984</x:v>
      </x:c>
      <x:c r="L203" s="232" t="n">
        <x:v>3831.460287424</x:v>
      </x:c>
      <x:c r="M203" s="241" t="n">
        <x:v>0.985</x:v>
      </x:c>
      <x:c r="N203" s="241" t="n">
        <x:v>0.92</x:v>
      </x:c>
      <x:c r="O203" s="244" t="n">
        <x:f>IF(K203="",M203,L203/K203)</x:f>
        <x:v>0.985</x:v>
      </x:c>
      <x:c r="P203" s="244" t="n">
        <x:f>O203-M203</x:f>
        <x:v>0</x:v>
      </x:c>
    </x:row>
    <x:row r="204">
      <x:c r="A204" s="187" t="str">
        <x:v>ACTUAL_2026_08_CLOSE_V1</x:v>
      </x:c>
      <x:c r="B204" s="187" t="str">
        <x:v>ACTUAL</x:v>
      </x:c>
      <x:c r="C204" s="187"/>
      <x:c r="D204" s="217" t="n">
        <x:v>46235</x:v>
      </x:c>
      <x:c r="E204" s="187" t="str">
        <x:v>R_GB_FR_B_AIR</x:v>
      </x:c>
      <x:c r="F204" s="187" t="str">
        <x:v>GB</x:v>
      </x:c>
      <x:c r="G204" s="187" t="str">
        <x:v>FR_FC</x:v>
      </x:c>
      <x:c r="H204" s="187" t="str">
        <x:v>CARRIER_B</x:v>
      </x:c>
      <x:c r="I204" s="187" t="str">
        <x:v>AIR</x:v>
      </x:c>
      <x:c r="J204" s="232" t="n">
        <x:v>316.1928</x:v>
      </x:c>
      <x:c r="K204" s="232" t="n">
        <x:v>290.897376</x:v>
      </x:c>
      <x:c r="L204" s="232" t="n">
        <x:v>281.588659968</x:v>
      </x:c>
      <x:c r="M204" s="241" t="n">
        <x:v>0.968</x:v>
      </x:c>
      <x:c r="N204" s="241" t="n">
        <x:v>0.92</x:v>
      </x:c>
      <x:c r="O204" s="244" t="n">
        <x:f>IF(K204="",M204,L204/K204)</x:f>
        <x:v>0.968</x:v>
      </x:c>
      <x:c r="P204" s="244" t="n">
        <x:f>O204-M204</x:f>
        <x:v>0</x:v>
      </x:c>
    </x:row>
    <x:row r="205">
      <x:c r="A205" s="187" t="str">
        <x:v>FORECAST_2026_08_V1</x:v>
      </x:c>
      <x:c r="B205" s="187" t="str">
        <x:v>FORECAST</x:v>
      </x:c>
      <x:c r="C205" s="187"/>
      <x:c r="D205" s="217" t="n">
        <x:v>46266</x:v>
      </x:c>
      <x:c r="E205" s="187" t="str">
        <x:v>R_DE_DE_A_ROAD</x:v>
      </x:c>
      <x:c r="F205" s="187" t="str">
        <x:v>DE</x:v>
      </x:c>
      <x:c r="G205" s="187" t="str">
        <x:v>DE_FC</x:v>
      </x:c>
      <x:c r="H205" s="187" t="str">
        <x:v>CARRIER_A</x:v>
      </x:c>
      <x:c r="I205" s="187" t="str">
        <x:v>ROAD</x:v>
      </x:c>
      <x:c r="J205" s="232" t="n">
        <x:v>3783.9312</x:v>
      </x:c>
      <x:c r="K205" s="232"/>
      <x:c r="L205" s="232"/>
      <x:c r="M205" s="241" t="n">
        <x:v>0.965</x:v>
      </x:c>
      <x:c r="N205" s="241"/>
      <x:c r="O205" s="244" t="n">
        <x:f>IF(K205="",M205,L205/K205)</x:f>
        <x:v>0.965</x:v>
      </x:c>
      <x:c r="P205" s="244" t="n">
        <x:f>O205-M205</x:f>
        <x:v>0</x:v>
      </x:c>
    </x:row>
    <x:row r="206">
      <x:c r="A206" s="187" t="str">
        <x:v>FORECAST_2026_08_V1</x:v>
      </x:c>
      <x:c r="B206" s="187" t="str">
        <x:v>FORECAST</x:v>
      </x:c>
      <x:c r="C206" s="187"/>
      <x:c r="D206" s="217" t="n">
        <x:v>46266</x:v>
      </x:c>
      <x:c r="E206" s="187" t="str">
        <x:v>R_DE_DE_B_ROAD</x:v>
      </x:c>
      <x:c r="F206" s="187" t="str">
        <x:v>DE</x:v>
      </x:c>
      <x:c r="G206" s="187" t="str">
        <x:v>DE_FC</x:v>
      </x:c>
      <x:c r="H206" s="187" t="str">
        <x:v>CARRIER_B</x:v>
      </x:c>
      <x:c r="I206" s="187" t="str">
        <x:v>ROAD</x:v>
      </x:c>
      <x:c r="J206" s="232" t="n">
        <x:v>2522.6208</x:v>
      </x:c>
      <x:c r="K206" s="232"/>
      <x:c r="L206" s="232"/>
      <x:c r="M206" s="241" t="n">
        <x:v>0.976</x:v>
      </x:c>
      <x:c r="N206" s="241"/>
      <x:c r="O206" s="244" t="n">
        <x:f>IF(K206="",M206,L206/K206)</x:f>
        <x:v>0.976</x:v>
      </x:c>
      <x:c r="P206" s="244" t="n">
        <x:f>O206-M206</x:f>
        <x:v>0</x:v>
      </x:c>
    </x:row>
    <x:row r="207">
      <x:c r="A207" s="187" t="str">
        <x:v>FORECAST_2026_08_V1</x:v>
      </x:c>
      <x:c r="B207" s="187" t="str">
        <x:v>FORECAST</x:v>
      </x:c>
      <x:c r="C207" s="187"/>
      <x:c r="D207" s="217" t="n">
        <x:v>46266</x:v>
      </x:c>
      <x:c r="E207" s="187" t="str">
        <x:v>R_DE_FR_B_ROAD</x:v>
      </x:c>
      <x:c r="F207" s="187" t="str">
        <x:v>DE</x:v>
      </x:c>
      <x:c r="G207" s="187" t="str">
        <x:v>FR_FC</x:v>
      </x:c>
      <x:c r="H207" s="187" t="str">
        <x:v>CARRIER_B</x:v>
      </x:c>
      <x:c r="I207" s="187" t="str">
        <x:v>ROAD</x:v>
      </x:c>
      <x:c r="J207" s="232" t="n">
        <x:v>200.6208</x:v>
      </x:c>
      <x:c r="K207" s="232"/>
      <x:c r="L207" s="232"/>
      <x:c r="M207" s="241" t="n">
        <x:v>0.968</x:v>
      </x:c>
      <x:c r="N207" s="241"/>
      <x:c r="O207" s="244" t="n">
        <x:f>IF(K207="",M207,L207/K207)</x:f>
        <x:v>0.968</x:v>
      </x:c>
      <x:c r="P207" s="244" t="n">
        <x:f>O207-M207</x:f>
        <x:v>0</x:v>
      </x:c>
    </x:row>
    <x:row r="208">
      <x:c r="A208" s="187" t="str">
        <x:v>FORECAST_2026_08_V1</x:v>
      </x:c>
      <x:c r="B208" s="187" t="str">
        <x:v>FORECAST</x:v>
      </x:c>
      <x:c r="C208" s="187"/>
      <x:c r="D208" s="217" t="n">
        <x:v>46266</x:v>
      </x:c>
      <x:c r="E208" s="187" t="str">
        <x:v>R_FR_FR_A_ROAD</x:v>
      </x:c>
      <x:c r="F208" s="187" t="str">
        <x:v>FR</x:v>
      </x:c>
      <x:c r="G208" s="187" t="str">
        <x:v>FR_FC</x:v>
      </x:c>
      <x:c r="H208" s="187" t="str">
        <x:v>CARRIER_A</x:v>
      </x:c>
      <x:c r="I208" s="187" t="str">
        <x:v>ROAD</x:v>
      </x:c>
      <x:c r="J208" s="232" t="n">
        <x:v>1914.36</x:v>
      </x:c>
      <x:c r="K208" s="232"/>
      <x:c r="L208" s="232"/>
      <x:c r="M208" s="241" t="n">
        <x:v>0.961</x:v>
      </x:c>
      <x:c r="N208" s="241"/>
      <x:c r="O208" s="244" t="n">
        <x:f>IF(K208="",M208,L208/K208)</x:f>
        <x:v>0.961</x:v>
      </x:c>
      <x:c r="P208" s="244" t="n">
        <x:f>O208-M208</x:f>
        <x:v>0</x:v>
      </x:c>
    </x:row>
    <x:row r="209">
      <x:c r="A209" s="187" t="str">
        <x:v>FORECAST_2026_08_V1</x:v>
      </x:c>
      <x:c r="B209" s="187" t="str">
        <x:v>FORECAST</x:v>
      </x:c>
      <x:c r="C209" s="187"/>
      <x:c r="D209" s="217" t="n">
        <x:v>46266</x:v>
      </x:c>
      <x:c r="E209" s="187" t="str">
        <x:v>R_FR_FR_B_ROAD</x:v>
      </x:c>
      <x:c r="F209" s="187" t="str">
        <x:v>FR</x:v>
      </x:c>
      <x:c r="G209" s="187" t="str">
        <x:v>FR_FC</x:v>
      </x:c>
      <x:c r="H209" s="187" t="str">
        <x:v>CARRIER_B</x:v>
      </x:c>
      <x:c r="I209" s="187" t="str">
        <x:v>ROAD</x:v>
      </x:c>
      <x:c r="J209" s="232" t="n">
        <x:v>3555.24</x:v>
      </x:c>
      <x:c r="K209" s="232"/>
      <x:c r="L209" s="232"/>
      <x:c r="M209" s="241" t="n">
        <x:v>0.973</x:v>
      </x:c>
      <x:c r="N209" s="241"/>
      <x:c r="O209" s="244" t="n">
        <x:f>IF(K209="",M209,L209/K209)</x:f>
        <x:v>0.973</x:v>
      </x:c>
      <x:c r="P209" s="244" t="n">
        <x:f>O209-M209</x:f>
        <x:v>0</x:v>
      </x:c>
    </x:row>
    <x:row r="210">
      <x:c r="A210" s="187" t="str">
        <x:v>FORECAST_2026_08_V1</x:v>
      </x:c>
      <x:c r="B210" s="187" t="str">
        <x:v>FORECAST</x:v>
      </x:c>
      <x:c r="C210" s="187"/>
      <x:c r="D210" s="217" t="n">
        <x:v>46266</x:v>
      </x:c>
      <x:c r="E210" s="187" t="str">
        <x:v>R_GB_DE_A_ROAD</x:v>
      </x:c>
      <x:c r="F210" s="187" t="str">
        <x:v>GB</x:v>
      </x:c>
      <x:c r="G210" s="187" t="str">
        <x:v>DE_FC</x:v>
      </x:c>
      <x:c r="H210" s="187" t="str">
        <x:v>CARRIER_A</x:v>
      </x:c>
      <x:c r="I210" s="187" t="str">
        <x:v>ROAD</x:v>
      </x:c>
      <x:c r="J210" s="232" t="n">
        <x:v>2004.22656</x:v>
      </x:c>
      <x:c r="K210" s="232"/>
      <x:c r="L210" s="232"/>
      <x:c r="M210" s="241" t="n">
        <x:v>0.93</x:v>
      </x:c>
      <x:c r="N210" s="241"/>
      <x:c r="O210" s="244" t="n">
        <x:f>IF(K210="",M210,L210/K210)</x:f>
        <x:v>0.93</x:v>
      </x:c>
      <x:c r="P210" s="244" t="n">
        <x:f>O210-M210</x:f>
        <x:v>0</x:v>
      </x:c>
    </x:row>
    <x:row r="211">
      <x:c r="A211" s="187" t="str">
        <x:v>FORECAST_2026_08_V1</x:v>
      </x:c>
      <x:c r="B211" s="187" t="str">
        <x:v>FORECAST</x:v>
      </x:c>
      <x:c r="C211" s="187"/>
      <x:c r="D211" s="217" t="n">
        <x:v>46266</x:v>
      </x:c>
      <x:c r="E211" s="187" t="str">
        <x:v>R_GB_DE_B_ROAD</x:v>
      </x:c>
      <x:c r="F211" s="187" t="str">
        <x:v>GB</x:v>
      </x:c>
      <x:c r="G211" s="187" t="str">
        <x:v>DE_FC</x:v>
      </x:c>
      <x:c r="H211" s="187" t="str">
        <x:v>CARRIER_B</x:v>
      </x:c>
      <x:c r="I211" s="187" t="str">
        <x:v>ROAD</x:v>
      </x:c>
      <x:c r="J211" s="232" t="n">
        <x:v>1135.728384</x:v>
      </x:c>
      <x:c r="K211" s="232"/>
      <x:c r="L211" s="232"/>
      <x:c r="M211" s="241" t="n">
        <x:v>0.95</x:v>
      </x:c>
      <x:c r="N211" s="241"/>
      <x:c r="O211" s="244" t="n">
        <x:f>IF(K211="",M211,L211/K211)</x:f>
        <x:v>0.95</x:v>
      </x:c>
      <x:c r="P211" s="244" t="n">
        <x:f>O211-M211</x:f>
        <x:v>0</x:v>
      </x:c>
    </x:row>
    <x:row r="212">
      <x:c r="A212" s="187" t="str">
        <x:v>FORECAST_2026_08_V1</x:v>
      </x:c>
      <x:c r="B212" s="187" t="str">
        <x:v>FORECAST</x:v>
      </x:c>
      <x:c r="C212" s="187"/>
      <x:c r="D212" s="217" t="n">
        <x:v>46266</x:v>
      </x:c>
      <x:c r="E212" s="187" t="str">
        <x:v>R_GB_DE_B_AIR</x:v>
      </x:c>
      <x:c r="F212" s="187" t="str">
        <x:v>GB</x:v>
      </x:c>
      <x:c r="G212" s="187" t="str">
        <x:v>DE_FC</x:v>
      </x:c>
      <x:c r="H212" s="187" t="str">
        <x:v>CARRIER_B</x:v>
      </x:c>
      <x:c r="I212" s="187" t="str">
        <x:v>AIR</x:v>
      </x:c>
      <x:c r="J212" s="232" t="n">
        <x:v>1670.1888</x:v>
      </x:c>
      <x:c r="K212" s="232"/>
      <x:c r="L212" s="232"/>
      <x:c r="M212" s="241" t="n">
        <x:v>0.974</x:v>
      </x:c>
      <x:c r="N212" s="241"/>
      <x:c r="O212" s="244" t="n">
        <x:f>IF(K212="",M212,L212/K212)</x:f>
        <x:v>0.974</x:v>
      </x:c>
      <x:c r="P212" s="244" t="n">
        <x:f>O212-M212</x:f>
        <x:v>0</x:v>
      </x:c>
    </x:row>
    <x:row r="213">
      <x:c r="A213" s="187" t="str">
        <x:v>FORECAST_2026_08_V1</x:v>
      </x:c>
      <x:c r="B213" s="187" t="str">
        <x:v>FORECAST</x:v>
      </x:c>
      <x:c r="C213" s="187"/>
      <x:c r="D213" s="217" t="n">
        <x:v>46266</x:v>
      </x:c>
      <x:c r="E213" s="187" t="str">
        <x:v>R_GB_DE_C_AIR</x:v>
      </x:c>
      <x:c r="F213" s="187" t="str">
        <x:v>GB</x:v>
      </x:c>
      <x:c r="G213" s="187" t="str">
        <x:v>DE_FC</x:v>
      </x:c>
      <x:c r="H213" s="187" t="str">
        <x:v>CARRIER_C</x:v>
      </x:c>
      <x:c r="I213" s="187" t="str">
        <x:v>AIR</x:v>
      </x:c>
      <x:c r="J213" s="232" t="n">
        <x:v>1870.611456</x:v>
      </x:c>
      <x:c r="K213" s="232"/>
      <x:c r="L213" s="232"/>
      <x:c r="M213" s="241" t="n">
        <x:v>0.988</x:v>
      </x:c>
      <x:c r="N213" s="241"/>
      <x:c r="O213" s="244" t="n">
        <x:f>IF(K213="",M213,L213/K213)</x:f>
        <x:v>0.988</x:v>
      </x:c>
      <x:c r="P213" s="244" t="n">
        <x:f>O213-M213</x:f>
        <x:v>0</x:v>
      </x:c>
    </x:row>
    <x:row r="214">
      <x:c r="A214" s="187" t="str">
        <x:v>FORECAST_2026_08_V1</x:v>
      </x:c>
      <x:c r="B214" s="187" t="str">
        <x:v>FORECAST</x:v>
      </x:c>
      <x:c r="C214" s="187"/>
      <x:c r="D214" s="217" t="n">
        <x:v>46266</x:v>
      </x:c>
      <x:c r="E214" s="187" t="str">
        <x:v>R_GB_FR_B_AIR</x:v>
      </x:c>
      <x:c r="F214" s="187" t="str">
        <x:v>GB</x:v>
      </x:c>
      <x:c r="G214" s="187" t="str">
        <x:v>FR_FC</x:v>
      </x:c>
      <x:c r="H214" s="187" t="str">
        <x:v>CARRIER_B</x:v>
      </x:c>
      <x:c r="I214" s="187" t="str">
        <x:v>AIR</x:v>
      </x:c>
      <x:c r="J214" s="232" t="n">
        <x:v>273.6864</x:v>
      </x:c>
      <x:c r="K214" s="232"/>
      <x:c r="L214" s="232"/>
      <x:c r="M214" s="241" t="n">
        <x:v>0.971</x:v>
      </x:c>
      <x:c r="N214" s="241"/>
      <x:c r="O214" s="244" t="n">
        <x:f>IF(K214="",M214,L214/K214)</x:f>
        <x:v>0.971</x:v>
      </x:c>
      <x:c r="P214" s="244" t="n">
        <x:f>O214-M214</x:f>
        <x:v>0</x:v>
      </x:c>
    </x:row>
    <x:row r="215">
      <x:c r="A215" s="187" t="str">
        <x:v>FORECAST_2026_08_V1</x:v>
      </x:c>
      <x:c r="B215" s="187" t="str">
        <x:v>FORECAST</x:v>
      </x:c>
      <x:c r="C215" s="187"/>
      <x:c r="D215" s="217" t="n">
        <x:v>46296</x:v>
      </x:c>
      <x:c r="E215" s="187" t="str">
        <x:v>R_DE_DE_A_ROAD</x:v>
      </x:c>
      <x:c r="F215" s="187" t="str">
        <x:v>DE</x:v>
      </x:c>
      <x:c r="G215" s="187" t="str">
        <x:v>DE_FC</x:v>
      </x:c>
      <x:c r="H215" s="187" t="str">
        <x:v>CARRIER_A</x:v>
      </x:c>
      <x:c r="I215" s="187" t="str">
        <x:v>ROAD</x:v>
      </x:c>
      <x:c r="J215" s="232" t="n">
        <x:v>4051.593</x:v>
      </x:c>
      <x:c r="K215" s="232"/>
      <x:c r="L215" s="232"/>
      <x:c r="M215" s="241" t="n">
        <x:v>0.965</x:v>
      </x:c>
      <x:c r="N215" s="241"/>
      <x:c r="O215" s="244" t="n">
        <x:f>IF(K215="",M215,L215/K215)</x:f>
        <x:v>0.965</x:v>
      </x:c>
      <x:c r="P215" s="244" t="n">
        <x:f>O215-M215</x:f>
        <x:v>0</x:v>
      </x:c>
    </x:row>
    <x:row r="216">
      <x:c r="A216" s="187" t="str">
        <x:v>FORECAST_2026_08_V1</x:v>
      </x:c>
      <x:c r="B216" s="187" t="str">
        <x:v>FORECAST</x:v>
      </x:c>
      <x:c r="C216" s="187"/>
      <x:c r="D216" s="217" t="n">
        <x:v>46296</x:v>
      </x:c>
      <x:c r="E216" s="187" t="str">
        <x:v>R_DE_DE_B_ROAD</x:v>
      </x:c>
      <x:c r="F216" s="187" t="str">
        <x:v>DE</x:v>
      </x:c>
      <x:c r="G216" s="187" t="str">
        <x:v>DE_FC</x:v>
      </x:c>
      <x:c r="H216" s="187" t="str">
        <x:v>CARRIER_B</x:v>
      </x:c>
      <x:c r="I216" s="187" t="str">
        <x:v>ROAD</x:v>
      </x:c>
      <x:c r="J216" s="232" t="n">
        <x:v>2701.062</x:v>
      </x:c>
      <x:c r="K216" s="232"/>
      <x:c r="L216" s="232"/>
      <x:c r="M216" s="241" t="n">
        <x:v>0.976</x:v>
      </x:c>
      <x:c r="N216" s="241"/>
      <x:c r="O216" s="244" t="n">
        <x:f>IF(K216="",M216,L216/K216)</x:f>
        <x:v>0.976</x:v>
      </x:c>
      <x:c r="P216" s="244" t="n">
        <x:f>O216-M216</x:f>
        <x:v>0</x:v>
      </x:c>
    </x:row>
    <x:row r="217">
      <x:c r="A217" s="187" t="str">
        <x:v>FORECAST_2026_08_V1</x:v>
      </x:c>
      <x:c r="B217" s="187" t="str">
        <x:v>FORECAST</x:v>
      </x:c>
      <x:c r="C217" s="187"/>
      <x:c r="D217" s="217" t="n">
        <x:v>46296</x:v>
      </x:c>
      <x:c r="E217" s="187" t="str">
        <x:v>R_DE_FR_B_ROAD</x:v>
      </x:c>
      <x:c r="F217" s="187" t="str">
        <x:v>DE</x:v>
      </x:c>
      <x:c r="G217" s="187" t="str">
        <x:v>FR_FC</x:v>
      </x:c>
      <x:c r="H217" s="187" t="str">
        <x:v>CARRIER_B</x:v>
      </x:c>
      <x:c r="I217" s="187" t="str">
        <x:v>ROAD</x:v>
      </x:c>
      <x:c r="J217" s="232" t="n">
        <x:v>214.812</x:v>
      </x:c>
      <x:c r="K217" s="232"/>
      <x:c r="L217" s="232"/>
      <x:c r="M217" s="241" t="n">
        <x:v>0.968</x:v>
      </x:c>
      <x:c r="N217" s="241"/>
      <x:c r="O217" s="244" t="n">
        <x:f>IF(K217="",M217,L217/K217)</x:f>
        <x:v>0.968</x:v>
      </x:c>
      <x:c r="P217" s="244" t="n">
        <x:f>O217-M217</x:f>
        <x:v>0</x:v>
      </x:c>
    </x:row>
    <x:row r="218">
      <x:c r="A218" s="187" t="str">
        <x:v>FORECAST_2026_08_V1</x:v>
      </x:c>
      <x:c r="B218" s="187" t="str">
        <x:v>FORECAST</x:v>
      </x:c>
      <x:c r="C218" s="187"/>
      <x:c r="D218" s="217" t="n">
        <x:v>46296</x:v>
      </x:c>
      <x:c r="E218" s="187" t="str">
        <x:v>R_FR_FR_A_ROAD</x:v>
      </x:c>
      <x:c r="F218" s="187" t="str">
        <x:v>FR</x:v>
      </x:c>
      <x:c r="G218" s="187" t="str">
        <x:v>FR_FC</x:v>
      </x:c>
      <x:c r="H218" s="187" t="str">
        <x:v>CARRIER_A</x:v>
      </x:c>
      <x:c r="I218" s="187" t="str">
        <x:v>ROAD</x:v>
      </x:c>
      <x:c r="J218" s="232" t="n">
        <x:v>2170.35</x:v>
      </x:c>
      <x:c r="K218" s="232"/>
      <x:c r="L218" s="232"/>
      <x:c r="M218" s="241" t="n">
        <x:v>0.961</x:v>
      </x:c>
      <x:c r="N218" s="241"/>
      <x:c r="O218" s="244" t="n">
        <x:f>IF(K218="",M218,L218/K218)</x:f>
        <x:v>0.961</x:v>
      </x:c>
      <x:c r="P218" s="244" t="n">
        <x:f>O218-M218</x:f>
        <x:v>0</x:v>
      </x:c>
    </x:row>
    <x:row r="219">
      <x:c r="A219" s="187" t="str">
        <x:v>FORECAST_2026_08_V1</x:v>
      </x:c>
      <x:c r="B219" s="187" t="str">
        <x:v>FORECAST</x:v>
      </x:c>
      <x:c r="C219" s="187"/>
      <x:c r="D219" s="217" t="n">
        <x:v>46296</x:v>
      </x:c>
      <x:c r="E219" s="187" t="str">
        <x:v>R_FR_FR_B_ROAD</x:v>
      </x:c>
      <x:c r="F219" s="187" t="str">
        <x:v>FR</x:v>
      </x:c>
      <x:c r="G219" s="187" t="str">
        <x:v>FR_FC</x:v>
      </x:c>
      <x:c r="H219" s="187" t="str">
        <x:v>CARRIER_B</x:v>
      </x:c>
      <x:c r="I219" s="187" t="str">
        <x:v>ROAD</x:v>
      </x:c>
      <x:c r="J219" s="232" t="n">
        <x:v>4030.65</x:v>
      </x:c>
      <x:c r="K219" s="232"/>
      <x:c r="L219" s="232"/>
      <x:c r="M219" s="241" t="n">
        <x:v>0.973</x:v>
      </x:c>
      <x:c r="N219" s="241"/>
      <x:c r="O219" s="244" t="n">
        <x:f>IF(K219="",M219,L219/K219)</x:f>
        <x:v>0.973</x:v>
      </x:c>
      <x:c r="P219" s="244" t="n">
        <x:f>O219-M219</x:f>
        <x:v>0</x:v>
      </x:c>
    </x:row>
    <x:row r="220">
      <x:c r="A220" s="187" t="str">
        <x:v>FORECAST_2026_08_V1</x:v>
      </x:c>
      <x:c r="B220" s="187" t="str">
        <x:v>FORECAST</x:v>
      </x:c>
      <x:c r="C220" s="187"/>
      <x:c r="D220" s="217" t="n">
        <x:v>46296</x:v>
      </x:c>
      <x:c r="E220" s="187" t="str">
        <x:v>R_GB_DE_A_ROAD</x:v>
      </x:c>
      <x:c r="F220" s="187" t="str">
        <x:v>GB</x:v>
      </x:c>
      <x:c r="G220" s="187" t="str">
        <x:v>DE_FC</x:v>
      </x:c>
      <x:c r="H220" s="187" t="str">
        <x:v>CARRIER_A</x:v>
      </x:c>
      <x:c r="I220" s="187" t="str">
        <x:v>ROAD</x:v>
      </x:c>
      <x:c r="J220" s="232" t="n">
        <x:v>2838.55104</x:v>
      </x:c>
      <x:c r="K220" s="232"/>
      <x:c r="L220" s="232"/>
      <x:c r="M220" s="241" t="n">
        <x:v>0.93</x:v>
      </x:c>
      <x:c r="N220" s="241"/>
      <x:c r="O220" s="244" t="n">
        <x:f>IF(K220="",M220,L220/K220)</x:f>
        <x:v>0.93</x:v>
      </x:c>
      <x:c r="P220" s="244" t="n">
        <x:f>O220-M220</x:f>
        <x:v>0</x:v>
      </x:c>
    </x:row>
    <x:row r="221">
      <x:c r="A221" s="187" t="str">
        <x:v>FORECAST_2026_08_V1</x:v>
      </x:c>
      <x:c r="B221" s="187" t="str">
        <x:v>FORECAST</x:v>
      </x:c>
      <x:c r="C221" s="187"/>
      <x:c r="D221" s="217" t="n">
        <x:v>46296</x:v>
      </x:c>
      <x:c r="E221" s="187" t="str">
        <x:v>R_GB_DE_B_ROAD</x:v>
      </x:c>
      <x:c r="F221" s="187" t="str">
        <x:v>GB</x:v>
      </x:c>
      <x:c r="G221" s="187" t="str">
        <x:v>DE_FC</x:v>
      </x:c>
      <x:c r="H221" s="187" t="str">
        <x:v>CARRIER_B</x:v>
      </x:c>
      <x:c r="I221" s="187" t="str">
        <x:v>ROAD</x:v>
      </x:c>
      <x:c r="J221" s="232" t="n">
        <x:v>1576.9728</x:v>
      </x:c>
      <x:c r="K221" s="232"/>
      <x:c r="L221" s="232"/>
      <x:c r="M221" s="241" t="n">
        <x:v>0.95</x:v>
      </x:c>
      <x:c r="N221" s="241"/>
      <x:c r="O221" s="244" t="n">
        <x:f>IF(K221="",M221,L221/K221)</x:f>
        <x:v>0.95</x:v>
      </x:c>
      <x:c r="P221" s="244" t="n">
        <x:f>O221-M221</x:f>
        <x:v>0</x:v>
      </x:c>
    </x:row>
    <x:row r="222">
      <x:c r="A222" s="187" t="str">
        <x:v>FORECAST_2026_08_V1</x:v>
      </x:c>
      <x:c r="B222" s="187" t="str">
        <x:v>FORECAST</x:v>
      </x:c>
      <x:c r="C222" s="187"/>
      <x:c r="D222" s="217" t="n">
        <x:v>46296</x:v>
      </x:c>
      <x:c r="E222" s="187" t="str">
        <x:v>R_GB_DE_B_AIR</x:v>
      </x:c>
      <x:c r="F222" s="187" t="str">
        <x:v>GB</x:v>
      </x:c>
      <x:c r="G222" s="187" t="str">
        <x:v>DE_FC</x:v>
      </x:c>
      <x:c r="H222" s="187" t="str">
        <x:v>CARRIER_B</x:v>
      </x:c>
      <x:c r="I222" s="187" t="str">
        <x:v>AIR</x:v>
      </x:c>
      <x:c r="J222" s="232" t="n">
        <x:v>1892.36736</x:v>
      </x:c>
      <x:c r="K222" s="232"/>
      <x:c r="L222" s="232"/>
      <x:c r="M222" s="241" t="n">
        <x:v>0.974</x:v>
      </x:c>
      <x:c r="N222" s="241"/>
      <x:c r="O222" s="244" t="n">
        <x:f>IF(K222="",M222,L222/K222)</x:f>
        <x:v>0.974</x:v>
      </x:c>
      <x:c r="P222" s="244" t="n">
        <x:f>O222-M222</x:f>
        <x:v>0</x:v>
      </x:c>
    </x:row>
    <x:row r="223">
      <x:c r="A223" s="187" t="str">
        <x:v>FORECAST_2026_08_V1</x:v>
      </x:c>
      <x:c r="B223" s="187" t="str">
        <x:v>FORECAST</x:v>
      </x:c>
      <x:c r="C223" s="187"/>
      <x:c r="D223" s="217" t="n">
        <x:v>46296</x:v>
      </x:c>
      <x:c r="E223" s="187" t="str">
        <x:v>R_GB_DE_C_AIR</x:v>
      </x:c>
      <x:c r="F223" s="187" t="str">
        <x:v>GB</x:v>
      </x:c>
      <x:c r="G223" s="187" t="str">
        <x:v>DE_FC</x:v>
      </x:c>
      <x:c r="H223" s="187" t="str">
        <x:v>CARRIER_C</x:v>
      </x:c>
      <x:c r="I223" s="187" t="str">
        <x:v>AIR</x:v>
      </x:c>
      <x:c r="J223" s="232" t="n">
        <x:v>1576.9728</x:v>
      </x:c>
      <x:c r="K223" s="232"/>
      <x:c r="L223" s="232"/>
      <x:c r="M223" s="241" t="n">
        <x:v>0.988</x:v>
      </x:c>
      <x:c r="N223" s="241"/>
      <x:c r="O223" s="244" t="n">
        <x:f>IF(K223="",M223,L223/K223)</x:f>
        <x:v>0.988</x:v>
      </x:c>
      <x:c r="P223" s="244" t="n">
        <x:f>O223-M223</x:f>
        <x:v>0</x:v>
      </x:c>
    </x:row>
    <x:row r="224">
      <x:c r="A224" s="187" t="str">
        <x:v>FORECAST_2026_08_V1</x:v>
      </x:c>
      <x:c r="B224" s="187" t="str">
        <x:v>FORECAST</x:v>
      </x:c>
      <x:c r="C224" s="187"/>
      <x:c r="D224" s="217" t="n">
        <x:v>46296</x:v>
      </x:c>
      <x:c r="E224" s="187" t="str">
        <x:v>R_GB_FR_B_AIR</x:v>
      </x:c>
      <x:c r="F224" s="187" t="str">
        <x:v>GB</x:v>
      </x:c>
      <x:c r="G224" s="187" t="str">
        <x:v>FR_FC</x:v>
      </x:c>
      <x:c r="H224" s="187" t="str">
        <x:v>CARRIER_B</x:v>
      </x:c>
      <x:c r="I224" s="187" t="str">
        <x:v>AIR</x:v>
      </x:c>
      <x:c r="J224" s="232" t="n">
        <x:v>328.536</x:v>
      </x:c>
      <x:c r="K224" s="232"/>
      <x:c r="L224" s="232"/>
      <x:c r="M224" s="241" t="n">
        <x:v>0.971</x:v>
      </x:c>
      <x:c r="N224" s="241"/>
      <x:c r="O224" s="244" t="n">
        <x:f>IF(K224="",M224,L224/K224)</x:f>
        <x:v>0.971</x:v>
      </x:c>
      <x:c r="P224" s="244" t="n">
        <x:f>O224-M224</x:f>
        <x:v>0</x:v>
      </x:c>
    </x:row>
    <x:row r="225">
      <x:c r="A225" s="187" t="str">
        <x:v>FORECAST_2026_08_V1</x:v>
      </x:c>
      <x:c r="B225" s="187" t="str">
        <x:v>FORECAST</x:v>
      </x:c>
      <x:c r="C225" s="187"/>
      <x:c r="D225" s="217" t="n">
        <x:v>46327</x:v>
      </x:c>
      <x:c r="E225" s="187" t="str">
        <x:v>R_DE_DE_A_ROAD</x:v>
      </x:c>
      <x:c r="F225" s="187" t="str">
        <x:v>DE</x:v>
      </x:c>
      <x:c r="G225" s="187" t="str">
        <x:v>DE_FC</x:v>
      </x:c>
      <x:c r="H225" s="187" t="str">
        <x:v>CARRIER_A</x:v>
      </x:c>
      <x:c r="I225" s="187" t="str">
        <x:v>ROAD</x:v>
      </x:c>
      <x:c r="J225" s="232" t="n">
        <x:v>4849.6896</x:v>
      </x:c>
      <x:c r="K225" s="232"/>
      <x:c r="L225" s="232"/>
      <x:c r="M225" s="241" t="n">
        <x:v>0.965</x:v>
      </x:c>
      <x:c r="N225" s="241"/>
      <x:c r="O225" s="244" t="n">
        <x:f>IF(K225="",M225,L225/K225)</x:f>
        <x:v>0.965</x:v>
      </x:c>
      <x:c r="P225" s="244" t="n">
        <x:f>O225-M225</x:f>
        <x:v>0</x:v>
      </x:c>
    </x:row>
    <x:row r="226">
      <x:c r="A226" s="187" t="str">
        <x:v>FORECAST_2026_08_V1</x:v>
      </x:c>
      <x:c r="B226" s="187" t="str">
        <x:v>FORECAST</x:v>
      </x:c>
      <x:c r="C226" s="187"/>
      <x:c r="D226" s="217" t="n">
        <x:v>46327</x:v>
      </x:c>
      <x:c r="E226" s="187" t="str">
        <x:v>R_DE_DE_B_ROAD</x:v>
      </x:c>
      <x:c r="F226" s="187" t="str">
        <x:v>DE</x:v>
      </x:c>
      <x:c r="G226" s="187" t="str">
        <x:v>DE_FC</x:v>
      </x:c>
      <x:c r="H226" s="187" t="str">
        <x:v>CARRIER_B</x:v>
      </x:c>
      <x:c r="I226" s="187" t="str">
        <x:v>ROAD</x:v>
      </x:c>
      <x:c r="J226" s="232" t="n">
        <x:v>3233.1264</x:v>
      </x:c>
      <x:c r="K226" s="232"/>
      <x:c r="L226" s="232"/>
      <x:c r="M226" s="241" t="n">
        <x:v>0.976</x:v>
      </x:c>
      <x:c r="N226" s="241"/>
      <x:c r="O226" s="244" t="n">
        <x:f>IF(K226="",M226,L226/K226)</x:f>
        <x:v>0.976</x:v>
      </x:c>
      <x:c r="P226" s="244" t="n">
        <x:f>O226-M226</x:f>
        <x:v>0</x:v>
      </x:c>
    </x:row>
    <x:row r="227">
      <x:c r="A227" s="187" t="str">
        <x:v>FORECAST_2026_08_V1</x:v>
      </x:c>
      <x:c r="B227" s="187" t="str">
        <x:v>FORECAST</x:v>
      </x:c>
      <x:c r="C227" s="187"/>
      <x:c r="D227" s="217" t="n">
        <x:v>46327</x:v>
      </x:c>
      <x:c r="E227" s="187" t="str">
        <x:v>R_DE_FR_B_ROAD</x:v>
      </x:c>
      <x:c r="F227" s="187" t="str">
        <x:v>DE</x:v>
      </x:c>
      <x:c r="G227" s="187" t="str">
        <x:v>FR_FC</x:v>
      </x:c>
      <x:c r="H227" s="187" t="str">
        <x:v>CARRIER_B</x:v>
      </x:c>
      <x:c r="I227" s="187" t="str">
        <x:v>ROAD</x:v>
      </x:c>
      <x:c r="J227" s="232" t="n">
        <x:v>257.1264</x:v>
      </x:c>
      <x:c r="K227" s="232"/>
      <x:c r="L227" s="232"/>
      <x:c r="M227" s="241" t="n">
        <x:v>0.968</x:v>
      </x:c>
      <x:c r="N227" s="241"/>
      <x:c r="O227" s="244" t="n">
        <x:f>IF(K227="",M227,L227/K227)</x:f>
        <x:v>0.968</x:v>
      </x:c>
      <x:c r="P227" s="244" t="n">
        <x:f>O227-M227</x:f>
        <x:v>0</x:v>
      </x:c>
    </x:row>
    <x:row r="228">
      <x:c r="A228" s="187" t="str">
        <x:v>FORECAST_2026_08_V1</x:v>
      </x:c>
      <x:c r="B228" s="187" t="str">
        <x:v>FORECAST</x:v>
      </x:c>
      <x:c r="C228" s="187"/>
      <x:c r="D228" s="217" t="n">
        <x:v>46327</x:v>
      </x:c>
      <x:c r="E228" s="187" t="str">
        <x:v>R_FR_FR_A_ROAD</x:v>
      </x:c>
      <x:c r="F228" s="187" t="str">
        <x:v>FR</x:v>
      </x:c>
      <x:c r="G228" s="187" t="str">
        <x:v>FR_FC</x:v>
      </x:c>
      <x:c r="H228" s="187" t="str">
        <x:v>CARRIER_A</x:v>
      </x:c>
      <x:c r="I228" s="187" t="str">
        <x:v>ROAD</x:v>
      </x:c>
      <x:c r="J228" s="232" t="n">
        <x:v>2668.232</x:v>
      </x:c>
      <x:c r="K228" s="232"/>
      <x:c r="L228" s="232"/>
      <x:c r="M228" s="241" t="n">
        <x:v>0.961</x:v>
      </x:c>
      <x:c r="N228" s="241"/>
      <x:c r="O228" s="244" t="n">
        <x:f>IF(K228="",M228,L228/K228)</x:f>
        <x:v>0.961</x:v>
      </x:c>
      <x:c r="P228" s="244" t="n">
        <x:f>O228-M228</x:f>
        <x:v>0</x:v>
      </x:c>
    </x:row>
    <x:row r="229">
      <x:c r="A229" s="187" t="str">
        <x:v>FORECAST_2026_08_V1</x:v>
      </x:c>
      <x:c r="B229" s="187" t="str">
        <x:v>FORECAST</x:v>
      </x:c>
      <x:c r="C229" s="187"/>
      <x:c r="D229" s="217" t="n">
        <x:v>46327</x:v>
      </x:c>
      <x:c r="E229" s="187" t="str">
        <x:v>R_FR_FR_B_ROAD</x:v>
      </x:c>
      <x:c r="F229" s="187" t="str">
        <x:v>FR</x:v>
      </x:c>
      <x:c r="G229" s="187" t="str">
        <x:v>FR_FC</x:v>
      </x:c>
      <x:c r="H229" s="187" t="str">
        <x:v>CARRIER_B</x:v>
      </x:c>
      <x:c r="I229" s="187" t="str">
        <x:v>ROAD</x:v>
      </x:c>
      <x:c r="J229" s="232" t="n">
        <x:v>4955.288</x:v>
      </x:c>
      <x:c r="K229" s="232"/>
      <x:c r="L229" s="232"/>
      <x:c r="M229" s="241" t="n">
        <x:v>0.973</x:v>
      </x:c>
      <x:c r="N229" s="241"/>
      <x:c r="O229" s="244" t="n">
        <x:f>IF(K229="",M229,L229/K229)</x:f>
        <x:v>0.973</x:v>
      </x:c>
      <x:c r="P229" s="244" t="n">
        <x:f>O229-M229</x:f>
        <x:v>0</x:v>
      </x:c>
    </x:row>
    <x:row r="230">
      <x:c r="A230" s="187" t="str">
        <x:v>FORECAST_2026_08_V1</x:v>
      </x:c>
      <x:c r="B230" s="187" t="str">
        <x:v>FORECAST</x:v>
      </x:c>
      <x:c r="C230" s="187"/>
      <x:c r="D230" s="217" t="n">
        <x:v>46327</x:v>
      </x:c>
      <x:c r="E230" s="187" t="str">
        <x:v>R_GB_DE_A_ROAD</x:v>
      </x:c>
      <x:c r="F230" s="187" t="str">
        <x:v>GB</x:v>
      </x:c>
      <x:c r="G230" s="187" t="str">
        <x:v>DE_FC</x:v>
      </x:c>
      <x:c r="H230" s="187" t="str">
        <x:v>CARRIER_A</x:v>
      </x:c>
      <x:c r="I230" s="187" t="str">
        <x:v>ROAD</x:v>
      </x:c>
      <x:c r="J230" s="232" t="n">
        <x:v>4562.707968</x:v>
      </x:c>
      <x:c r="K230" s="232"/>
      <x:c r="L230" s="232"/>
      <x:c r="M230" s="241" t="n">
        <x:v>0.93</x:v>
      </x:c>
      <x:c r="N230" s="241"/>
      <x:c r="O230" s="244" t="n">
        <x:f>IF(K230="",M230,L230/K230)</x:f>
        <x:v>0.93</x:v>
      </x:c>
      <x:c r="P230" s="244" t="n">
        <x:f>O230-M230</x:f>
        <x:v>0</x:v>
      </x:c>
    </x:row>
    <x:row r="231">
      <x:c r="A231" s="187" t="str">
        <x:v>FORECAST_2026_08_V1</x:v>
      </x:c>
      <x:c r="B231" s="187" t="str">
        <x:v>FORECAST</x:v>
      </x:c>
      <x:c r="C231" s="187"/>
      <x:c r="D231" s="217" t="n">
        <x:v>46327</x:v>
      </x:c>
      <x:c r="E231" s="187" t="str">
        <x:v>R_GB_DE_B_ROAD</x:v>
      </x:c>
      <x:c r="F231" s="187" t="str">
        <x:v>GB</x:v>
      </x:c>
      <x:c r="G231" s="187" t="str">
        <x:v>DE_FC</x:v>
      </x:c>
      <x:c r="H231" s="187" t="str">
        <x:v>CARRIER_B</x:v>
      </x:c>
      <x:c r="I231" s="187" t="str">
        <x:v>ROAD</x:v>
      </x:c>
      <x:c r="J231" s="232" t="n">
        <x:v>2498.625792</x:v>
      </x:c>
      <x:c r="K231" s="232"/>
      <x:c r="L231" s="232"/>
      <x:c r="M231" s="241" t="n">
        <x:v>0.95</x:v>
      </x:c>
      <x:c r="N231" s="241"/>
      <x:c r="O231" s="244" t="n">
        <x:f>IF(K231="",M231,L231/K231)</x:f>
        <x:v>0.95</x:v>
      </x:c>
      <x:c r="P231" s="244" t="n">
        <x:f>O231-M231</x:f>
        <x:v>0</x:v>
      </x:c>
    </x:row>
    <x:row r="232">
      <x:c r="A232" s="187" t="str">
        <x:v>FORECAST_2026_08_V1</x:v>
      </x:c>
      <x:c r="B232" s="187" t="str">
        <x:v>FORECAST</x:v>
      </x:c>
      <x:c r="C232" s="187"/>
      <x:c r="D232" s="217" t="n">
        <x:v>46327</x:v>
      </x:c>
      <x:c r="E232" s="187" t="str">
        <x:v>R_GB_DE_B_AIR</x:v>
      </x:c>
      <x:c r="F232" s="187" t="str">
        <x:v>GB</x:v>
      </x:c>
      <x:c r="G232" s="187" t="str">
        <x:v>DE_FC</x:v>
      </x:c>
      <x:c r="H232" s="187" t="str">
        <x:v>CARRIER_B</x:v>
      </x:c>
      <x:c r="I232" s="187" t="str">
        <x:v>AIR</x:v>
      </x:c>
      <x:c r="J232" s="232" t="n">
        <x:v>2389.989888</x:v>
      </x:c>
      <x:c r="K232" s="232"/>
      <x:c r="L232" s="232"/>
      <x:c r="M232" s="241" t="n">
        <x:v>0.974</x:v>
      </x:c>
      <x:c r="N232" s="241"/>
      <x:c r="O232" s="244" t="n">
        <x:f>IF(K232="",M232,L232/K232)</x:f>
        <x:v>0.974</x:v>
      </x:c>
      <x:c r="P232" s="244" t="n">
        <x:f>O232-M232</x:f>
        <x:v>0</x:v>
      </x:c>
    </x:row>
    <x:row r="233">
      <x:c r="A233" s="187" t="str">
        <x:v>FORECAST_2026_08_V1</x:v>
      </x:c>
      <x:c r="B233" s="187" t="str">
        <x:v>FORECAST</x:v>
      </x:c>
      <x:c r="C233" s="187"/>
      <x:c r="D233" s="217" t="n">
        <x:v>46327</x:v>
      </x:c>
      <x:c r="E233" s="187" t="str">
        <x:v>R_GB_DE_C_AIR</x:v>
      </x:c>
      <x:c r="F233" s="187" t="str">
        <x:v>GB</x:v>
      </x:c>
      <x:c r="G233" s="187" t="str">
        <x:v>DE_FC</x:v>
      </x:c>
      <x:c r="H233" s="187" t="str">
        <x:v>CARRIER_C</x:v>
      </x:c>
      <x:c r="I233" s="187" t="str">
        <x:v>AIR</x:v>
      </x:c>
      <x:c r="J233" s="232" t="n">
        <x:v>1412.266752</x:v>
      </x:c>
      <x:c r="K233" s="232"/>
      <x:c r="L233" s="232"/>
      <x:c r="M233" s="241" t="n">
        <x:v>0.988</x:v>
      </x:c>
      <x:c r="N233" s="241"/>
      <x:c r="O233" s="244" t="n">
        <x:f>IF(K233="",M233,L233/K233)</x:f>
        <x:v>0.988</x:v>
      </x:c>
      <x:c r="P233" s="244" t="n">
        <x:f>O233-M233</x:f>
        <x:v>0</x:v>
      </x:c>
    </x:row>
    <x:row r="234">
      <x:c r="A234" s="187" t="str">
        <x:v>FORECAST_2026_08_V1</x:v>
      </x:c>
      <x:c r="B234" s="187" t="str">
        <x:v>FORECAST</x:v>
      </x:c>
      <x:c r="C234" s="187"/>
      <x:c r="D234" s="217" t="n">
        <x:v>46327</x:v>
      </x:c>
      <x:c r="E234" s="187" t="str">
        <x:v>R_GB_FR_B_AIR</x:v>
      </x:c>
      <x:c r="F234" s="187" t="str">
        <x:v>GB</x:v>
      </x:c>
      <x:c r="G234" s="187" t="str">
        <x:v>FR_FC</x:v>
      </x:c>
      <x:c r="H234" s="187" t="str">
        <x:v>CARRIER_B</x:v>
      </x:c>
      <x:c r="I234" s="187" t="str">
        <x:v>AIR</x:v>
      </x:c>
      <x:c r="J234" s="232" t="n">
        <x:v>452.6496</x:v>
      </x:c>
      <x:c r="K234" s="232"/>
      <x:c r="L234" s="232"/>
      <x:c r="M234" s="241" t="n">
        <x:v>0.971</x:v>
      </x:c>
      <x:c r="N234" s="241"/>
      <x:c r="O234" s="244" t="n">
        <x:f>IF(K234="",M234,L234/K234)</x:f>
        <x:v>0.971</x:v>
      </x:c>
      <x:c r="P234" s="244" t="n">
        <x:f>O234-M234</x:f>
        <x:v>0</x:v>
      </x:c>
    </x:row>
    <x:row r="235">
      <x:c r="A235" s="187" t="str">
        <x:v>FORECAST_2026_08_V1</x:v>
      </x:c>
      <x:c r="B235" s="187" t="str">
        <x:v>FORECAST</x:v>
      </x:c>
      <x:c r="C235" s="187"/>
      <x:c r="D235" s="217" t="n">
        <x:v>46357</x:v>
      </x:c>
      <x:c r="E235" s="187" t="str">
        <x:v>R_DE_DE_A_ROAD</x:v>
      </x:c>
      <x:c r="F235" s="187" t="str">
        <x:v>DE</x:v>
      </x:c>
      <x:c r="G235" s="187" t="str">
        <x:v>DE_FC</x:v>
      </x:c>
      <x:c r="H235" s="187" t="str">
        <x:v>CARRIER_A</x:v>
      </x:c>
      <x:c r="I235" s="187" t="str">
        <x:v>ROAD</x:v>
      </x:c>
      <x:c r="J235" s="232" t="n">
        <x:v>5592.7872</x:v>
      </x:c>
      <x:c r="K235" s="232"/>
      <x:c r="L235" s="232"/>
      <x:c r="M235" s="241" t="n">
        <x:v>0.965</x:v>
      </x:c>
      <x:c r="N235" s="241"/>
      <x:c r="O235" s="244" t="n">
        <x:f>IF(K235="",M235,L235/K235)</x:f>
        <x:v>0.965</x:v>
      </x:c>
      <x:c r="P235" s="244" t="n">
        <x:f>O235-M235</x:f>
        <x:v>0</x:v>
      </x:c>
    </x:row>
    <x:row r="236">
      <x:c r="A236" s="187" t="str">
        <x:v>FORECAST_2026_08_V1</x:v>
      </x:c>
      <x:c r="B236" s="187" t="str">
        <x:v>FORECAST</x:v>
      </x:c>
      <x:c r="C236" s="187"/>
      <x:c r="D236" s="217" t="n">
        <x:v>46357</x:v>
      </x:c>
      <x:c r="E236" s="187" t="str">
        <x:v>R_DE_DE_B_ROAD</x:v>
      </x:c>
      <x:c r="F236" s="187" t="str">
        <x:v>DE</x:v>
      </x:c>
      <x:c r="G236" s="187" t="str">
        <x:v>DE_FC</x:v>
      </x:c>
      <x:c r="H236" s="187" t="str">
        <x:v>CARRIER_B</x:v>
      </x:c>
      <x:c r="I236" s="187" t="str">
        <x:v>ROAD</x:v>
      </x:c>
      <x:c r="J236" s="232" t="n">
        <x:v>3728.5248</x:v>
      </x:c>
      <x:c r="K236" s="232"/>
      <x:c r="L236" s="232"/>
      <x:c r="M236" s="241" t="n">
        <x:v>0.976</x:v>
      </x:c>
      <x:c r="N236" s="241"/>
      <x:c r="O236" s="244" t="n">
        <x:f>IF(K236="",M236,L236/K236)</x:f>
        <x:v>0.976</x:v>
      </x:c>
      <x:c r="P236" s="244" t="n">
        <x:f>O236-M236</x:f>
        <x:v>0</x:v>
      </x:c>
    </x:row>
    <x:row r="237">
      <x:c r="A237" s="187" t="str">
        <x:v>FORECAST_2026_08_V1</x:v>
      </x:c>
      <x:c r="B237" s="187" t="str">
        <x:v>FORECAST</x:v>
      </x:c>
      <x:c r="C237" s="187"/>
      <x:c r="D237" s="217" t="n">
        <x:v>46357</x:v>
      </x:c>
      <x:c r="E237" s="187" t="str">
        <x:v>R_DE_FR_B_ROAD</x:v>
      </x:c>
      <x:c r="F237" s="187" t="str">
        <x:v>DE</x:v>
      </x:c>
      <x:c r="G237" s="187" t="str">
        <x:v>FR_FC</x:v>
      </x:c>
      <x:c r="H237" s="187" t="str">
        <x:v>CARRIER_B</x:v>
      </x:c>
      <x:c r="I237" s="187" t="str">
        <x:v>ROAD</x:v>
      </x:c>
      <x:c r="J237" s="232" t="n">
        <x:v>296.5248</x:v>
      </x:c>
      <x:c r="K237" s="232"/>
      <x:c r="L237" s="232"/>
      <x:c r="M237" s="241" t="n">
        <x:v>0.968</x:v>
      </x:c>
      <x:c r="N237" s="241"/>
      <x:c r="O237" s="244" t="n">
        <x:f>IF(K237="",M237,L237/K237)</x:f>
        <x:v>0.968</x:v>
      </x:c>
      <x:c r="P237" s="244" t="n">
        <x:f>O237-M237</x:f>
        <x:v>0</x:v>
      </x:c>
    </x:row>
    <x:row r="238">
      <x:c r="A238" s="187" t="str">
        <x:v>FORECAST_2026_08_V1</x:v>
      </x:c>
      <x:c r="B238" s="187" t="str">
        <x:v>FORECAST</x:v>
      </x:c>
      <x:c r="C238" s="187"/>
      <x:c r="D238" s="217" t="n">
        <x:v>46357</x:v>
      </x:c>
      <x:c r="E238" s="187" t="str">
        <x:v>R_FR_FR_A_ROAD</x:v>
      </x:c>
      <x:c r="F238" s="187" t="str">
        <x:v>FR</x:v>
      </x:c>
      <x:c r="G238" s="187" t="str">
        <x:v>FR_FC</x:v>
      </x:c>
      <x:c r="H238" s="187" t="str">
        <x:v>CARRIER_A</x:v>
      </x:c>
      <x:c r="I238" s="187" t="str">
        <x:v>ROAD</x:v>
      </x:c>
      <x:c r="J238" s="232" t="n">
        <x:v>2970.968</x:v>
      </x:c>
      <x:c r="K238" s="232"/>
      <x:c r="L238" s="232"/>
      <x:c r="M238" s="241" t="n">
        <x:v>0.961</x:v>
      </x:c>
      <x:c r="N238" s="241"/>
      <x:c r="O238" s="244" t="n">
        <x:f>IF(K238="",M238,L238/K238)</x:f>
        <x:v>0.961</x:v>
      </x:c>
      <x:c r="P238" s="244" t="n">
        <x:f>O238-M238</x:f>
        <x:v>0</x:v>
      </x:c>
    </x:row>
    <x:row r="239">
      <x:c r="A239" s="187" t="str">
        <x:v>FORECAST_2026_08_V1</x:v>
      </x:c>
      <x:c r="B239" s="187" t="str">
        <x:v>FORECAST</x:v>
      </x:c>
      <x:c r="C239" s="187"/>
      <x:c r="D239" s="217" t="n">
        <x:v>46357</x:v>
      </x:c>
      <x:c r="E239" s="187" t="str">
        <x:v>R_FR_FR_B_ROAD</x:v>
      </x:c>
      <x:c r="F239" s="187" t="str">
        <x:v>FR</x:v>
      </x:c>
      <x:c r="G239" s="187" t="str">
        <x:v>FR_FC</x:v>
      </x:c>
      <x:c r="H239" s="187" t="str">
        <x:v>CARRIER_B</x:v>
      </x:c>
      <x:c r="I239" s="187" t="str">
        <x:v>ROAD</x:v>
      </x:c>
      <x:c r="J239" s="232" t="n">
        <x:v>5517.512</x:v>
      </x:c>
      <x:c r="K239" s="232"/>
      <x:c r="L239" s="232"/>
      <x:c r="M239" s="241" t="n">
        <x:v>0.973</x:v>
      </x:c>
      <x:c r="N239" s="241"/>
      <x:c r="O239" s="244" t="n">
        <x:f>IF(K239="",M239,L239/K239)</x:f>
        <x:v>0.973</x:v>
      </x:c>
      <x:c r="P239" s="244" t="n">
        <x:f>O239-M239</x:f>
        <x:v>0</x:v>
      </x:c>
    </x:row>
    <x:row r="240">
      <x:c r="A240" s="187" t="str">
        <x:v>FORECAST_2026_08_V1</x:v>
      </x:c>
      <x:c r="B240" s="187" t="str">
        <x:v>FORECAST</x:v>
      </x:c>
      <x:c r="C240" s="187"/>
      <x:c r="D240" s="217" t="n">
        <x:v>46357</x:v>
      </x:c>
      <x:c r="E240" s="187" t="str">
        <x:v>R_GB_DE_A_ROAD</x:v>
      </x:c>
      <x:c r="F240" s="187" t="str">
        <x:v>GB</x:v>
      </x:c>
      <x:c r="G240" s="187" t="str">
        <x:v>DE_FC</x:v>
      </x:c>
      <x:c r="H240" s="187" t="str">
        <x:v>CARRIER_A</x:v>
      </x:c>
      <x:c r="I240" s="187" t="str">
        <x:v>ROAD</x:v>
      </x:c>
      <x:c r="J240" s="232" t="n">
        <x:v>6167.71584</x:v>
      </x:c>
      <x:c r="K240" s="232"/>
      <x:c r="L240" s="232"/>
      <x:c r="M240" s="241" t="n">
        <x:v>0.93</x:v>
      </x:c>
      <x:c r="N240" s="241"/>
      <x:c r="O240" s="244" t="n">
        <x:f>IF(K240="",M240,L240/K240)</x:f>
        <x:v>0.93</x:v>
      </x:c>
      <x:c r="P240" s="244" t="n">
        <x:f>O240-M240</x:f>
        <x:v>0</x:v>
      </x:c>
    </x:row>
    <x:row r="241">
      <x:c r="A241" s="187" t="str">
        <x:v>FORECAST_2026_08_V1</x:v>
      </x:c>
      <x:c r="B241" s="187" t="str">
        <x:v>FORECAST</x:v>
      </x:c>
      <x:c r="C241" s="187"/>
      <x:c r="D241" s="217" t="n">
        <x:v>46357</x:v>
      </x:c>
      <x:c r="E241" s="187" t="str">
        <x:v>R_GB_DE_B_ROAD</x:v>
      </x:c>
      <x:c r="F241" s="187" t="str">
        <x:v>GB</x:v>
      </x:c>
      <x:c r="G241" s="187" t="str">
        <x:v>DE_FC</x:v>
      </x:c>
      <x:c r="H241" s="187" t="str">
        <x:v>CARRIER_B</x:v>
      </x:c>
      <x:c r="I241" s="187" t="str">
        <x:v>ROAD</x:v>
      </x:c>
      <x:c r="J241" s="232" t="n">
        <x:v>3212.352</x:v>
      </x:c>
      <x:c r="K241" s="232"/>
      <x:c r="L241" s="232"/>
      <x:c r="M241" s="241" t="n">
        <x:v>0.95</x:v>
      </x:c>
      <x:c r="N241" s="241"/>
      <x:c r="O241" s="244" t="n">
        <x:f>IF(K241="",M241,L241/K241)</x:f>
        <x:v>0.95</x:v>
      </x:c>
      <x:c r="P241" s="244" t="n">
        <x:f>O241-M241</x:f>
        <x:v>0</x:v>
      </x:c>
    </x:row>
    <x:row r="242">
      <x:c r="A242" s="187" t="str">
        <x:v>FORECAST_2026_08_V1</x:v>
      </x:c>
      <x:c r="B242" s="187" t="str">
        <x:v>FORECAST</x:v>
      </x:c>
      <x:c r="C242" s="187"/>
      <x:c r="D242" s="217" t="n">
        <x:v>46357</x:v>
      </x:c>
      <x:c r="E242" s="187" t="str">
        <x:v>R_GB_DE_B_AIR</x:v>
      </x:c>
      <x:c r="F242" s="187" t="str">
        <x:v>GB</x:v>
      </x:c>
      <x:c r="G242" s="187" t="str">
        <x:v>DE_FC</x:v>
      </x:c>
      <x:c r="H242" s="187" t="str">
        <x:v>CARRIER_B</x:v>
      </x:c>
      <x:c r="I242" s="187" t="str">
        <x:v>AIR</x:v>
      </x:c>
      <x:c r="J242" s="232" t="n">
        <x:v>2441.38752</x:v>
      </x:c>
      <x:c r="K242" s="232"/>
      <x:c r="L242" s="232"/>
      <x:c r="M242" s="241" t="n">
        <x:v>0.974</x:v>
      </x:c>
      <x:c r="N242" s="241"/>
      <x:c r="O242" s="244" t="n">
        <x:f>IF(K242="",M242,L242/K242)</x:f>
        <x:v>0.974</x:v>
      </x:c>
      <x:c r="P242" s="244" t="n">
        <x:f>O242-M242</x:f>
        <x:v>0</x:v>
      </x:c>
    </x:row>
    <x:row r="243">
      <x:c r="A243" s="187" t="str">
        <x:v>FORECAST_2026_08_V1</x:v>
      </x:c>
      <x:c r="B243" s="187" t="str">
        <x:v>FORECAST</x:v>
      </x:c>
      <x:c r="C243" s="187"/>
      <x:c r="D243" s="217" t="n">
        <x:v>46357</x:v>
      </x:c>
      <x:c r="E243" s="187" t="str">
        <x:v>R_GB_DE_C_AIR</x:v>
      </x:c>
      <x:c r="F243" s="187" t="str">
        <x:v>GB</x:v>
      </x:c>
      <x:c r="G243" s="187" t="str">
        <x:v>DE_FC</x:v>
      </x:c>
      <x:c r="H243" s="187" t="str">
        <x:v>CARRIER_C</x:v>
      </x:c>
      <x:c r="I243" s="187" t="str">
        <x:v>AIR</x:v>
      </x:c>
      <x:c r="J243" s="232" t="n">
        <x:v>1027.95264</x:v>
      </x:c>
      <x:c r="K243" s="232"/>
      <x:c r="L243" s="232"/>
      <x:c r="M243" s="241" t="n">
        <x:v>0.988</x:v>
      </x:c>
      <x:c r="N243" s="241"/>
      <x:c r="O243" s="244" t="n">
        <x:f>IF(K243="",M243,L243/K243)</x:f>
        <x:v>0.988</x:v>
      </x:c>
      <x:c r="P243" s="244" t="n">
        <x:f>O243-M243</x:f>
        <x:v>0</x:v>
      </x:c>
    </x:row>
    <x:row r="244">
      <x:c r="A244" s="187" t="str">
        <x:v>FORECAST_2026_08_V1</x:v>
      </x:c>
      <x:c r="B244" s="187" t="str">
        <x:v>FORECAST</x:v>
      </x:c>
      <x:c r="C244" s="187"/>
      <x:c r="D244" s="217" t="n">
        <x:v>46357</x:v>
      </x:c>
      <x:c r="E244" s="187" t="str">
        <x:v>R_GB_FR_B_AIR</x:v>
      </x:c>
      <x:c r="F244" s="187" t="str">
        <x:v>GB</x:v>
      </x:c>
      <x:c r="G244" s="187" t="str">
        <x:v>FR_FC</x:v>
      </x:c>
      <x:c r="H244" s="187" t="str">
        <x:v>CARRIER_B</x:v>
      </x:c>
      <x:c r="I244" s="187" t="str">
        <x:v>AIR</x:v>
      </x:c>
      <x:c r="J244" s="232" t="n">
        <x:v>535.392</x:v>
      </x:c>
      <x:c r="K244" s="232"/>
      <x:c r="L244" s="232"/>
      <x:c r="M244" s="241" t="n">
        <x:v>0.971</x:v>
      </x:c>
      <x:c r="N244" s="241"/>
      <x:c r="O244" s="244" t="n">
        <x:f>IF(K244="",M244,L244/K244)</x:f>
        <x:v>0.971</x:v>
      </x:c>
      <x:c r="P244" s="244" t="n">
        <x:f>O244-M244</x:f>
        <x:v>0</x:v>
      </x:c>
    </x:row>
    <x:row r="245">
      <x:c r="A245" s="187" t="str">
        <x:v>SCENARIO_BASE_2026_08</x:v>
      </x:c>
      <x:c r="B245" s="187" t="str">
        <x:v>SCENARIO</x:v>
      </x:c>
      <x:c r="C245" s="187" t="str">
        <x:v>BASE</x:v>
      </x:c>
      <x:c r="D245" s="217" t="n">
        <x:v>46266</x:v>
      </x:c>
      <x:c r="E245" s="187" t="str">
        <x:v>R_DE_DE_A_ROAD</x:v>
      </x:c>
      <x:c r="F245" s="187" t="str">
        <x:v>DE</x:v>
      </x:c>
      <x:c r="G245" s="187" t="str">
        <x:v>DE_FC</x:v>
      </x:c>
      <x:c r="H245" s="187" t="str">
        <x:v>CARRIER_A</x:v>
      </x:c>
      <x:c r="I245" s="187" t="str">
        <x:v>ROAD</x:v>
      </x:c>
      <x:c r="J245" s="232" t="n">
        <x:v>3783.9312</x:v>
      </x:c>
      <x:c r="K245" s="232"/>
      <x:c r="L245" s="232"/>
      <x:c r="M245" s="241" t="n">
        <x:v>0.965</x:v>
      </x:c>
      <x:c r="N245" s="241"/>
      <x:c r="O245" s="244" t="n">
        <x:f>IF(K245="",M245,L245/K245)</x:f>
        <x:v>0.965</x:v>
      </x:c>
      <x:c r="P245" s="244" t="n">
        <x:f>O245-M245</x:f>
        <x:v>0</x:v>
      </x:c>
    </x:row>
    <x:row r="246">
      <x:c r="A246" s="187" t="str">
        <x:v>SCENARIO_BASE_2026_08</x:v>
      </x:c>
      <x:c r="B246" s="187" t="str">
        <x:v>SCENARIO</x:v>
      </x:c>
      <x:c r="C246" s="187" t="str">
        <x:v>BASE</x:v>
      </x:c>
      <x:c r="D246" s="217" t="n">
        <x:v>46266</x:v>
      </x:c>
      <x:c r="E246" s="187" t="str">
        <x:v>R_DE_DE_B_ROAD</x:v>
      </x:c>
      <x:c r="F246" s="187" t="str">
        <x:v>DE</x:v>
      </x:c>
      <x:c r="G246" s="187" t="str">
        <x:v>DE_FC</x:v>
      </x:c>
      <x:c r="H246" s="187" t="str">
        <x:v>CARRIER_B</x:v>
      </x:c>
      <x:c r="I246" s="187" t="str">
        <x:v>ROAD</x:v>
      </x:c>
      <x:c r="J246" s="232" t="n">
        <x:v>2522.6208</x:v>
      </x:c>
      <x:c r="K246" s="232"/>
      <x:c r="L246" s="232"/>
      <x:c r="M246" s="241" t="n">
        <x:v>0.976</x:v>
      </x:c>
      <x:c r="N246" s="241"/>
      <x:c r="O246" s="244" t="n">
        <x:f>IF(K246="",M246,L246/K246)</x:f>
        <x:v>0.976</x:v>
      </x:c>
      <x:c r="P246" s="244" t="n">
        <x:f>O246-M246</x:f>
        <x:v>0</x:v>
      </x:c>
    </x:row>
    <x:row r="247">
      <x:c r="A247" s="187" t="str">
        <x:v>SCENARIO_BASE_2026_08</x:v>
      </x:c>
      <x:c r="B247" s="187" t="str">
        <x:v>SCENARIO</x:v>
      </x:c>
      <x:c r="C247" s="187" t="str">
        <x:v>BASE</x:v>
      </x:c>
      <x:c r="D247" s="217" t="n">
        <x:v>46266</x:v>
      </x:c>
      <x:c r="E247" s="187" t="str">
        <x:v>R_DE_FR_B_ROAD</x:v>
      </x:c>
      <x:c r="F247" s="187" t="str">
        <x:v>DE</x:v>
      </x:c>
      <x:c r="G247" s="187" t="str">
        <x:v>FR_FC</x:v>
      </x:c>
      <x:c r="H247" s="187" t="str">
        <x:v>CARRIER_B</x:v>
      </x:c>
      <x:c r="I247" s="187" t="str">
        <x:v>ROAD</x:v>
      </x:c>
      <x:c r="J247" s="232" t="n">
        <x:v>200.6208</x:v>
      </x:c>
      <x:c r="K247" s="232"/>
      <x:c r="L247" s="232"/>
      <x:c r="M247" s="241" t="n">
        <x:v>0.968</x:v>
      </x:c>
      <x:c r="N247" s="241"/>
      <x:c r="O247" s="244" t="n">
        <x:f>IF(K247="",M247,L247/K247)</x:f>
        <x:v>0.968</x:v>
      </x:c>
      <x:c r="P247" s="244" t="n">
        <x:f>O247-M247</x:f>
        <x:v>0</x:v>
      </x:c>
    </x:row>
    <x:row r="248">
      <x:c r="A248" s="187" t="str">
        <x:v>SCENARIO_BASE_2026_08</x:v>
      </x:c>
      <x:c r="B248" s="187" t="str">
        <x:v>SCENARIO</x:v>
      </x:c>
      <x:c r="C248" s="187" t="str">
        <x:v>BASE</x:v>
      </x:c>
      <x:c r="D248" s="217" t="n">
        <x:v>46266</x:v>
      </x:c>
      <x:c r="E248" s="187" t="str">
        <x:v>R_FR_FR_A_ROAD</x:v>
      </x:c>
      <x:c r="F248" s="187" t="str">
        <x:v>FR</x:v>
      </x:c>
      <x:c r="G248" s="187" t="str">
        <x:v>FR_FC</x:v>
      </x:c>
      <x:c r="H248" s="187" t="str">
        <x:v>CARRIER_A</x:v>
      </x:c>
      <x:c r="I248" s="187" t="str">
        <x:v>ROAD</x:v>
      </x:c>
      <x:c r="J248" s="232" t="n">
        <x:v>1914.36</x:v>
      </x:c>
      <x:c r="K248" s="232"/>
      <x:c r="L248" s="232"/>
      <x:c r="M248" s="241" t="n">
        <x:v>0.961</x:v>
      </x:c>
      <x:c r="N248" s="241"/>
      <x:c r="O248" s="244" t="n">
        <x:f>IF(K248="",M248,L248/K248)</x:f>
        <x:v>0.961</x:v>
      </x:c>
      <x:c r="P248" s="244" t="n">
        <x:f>O248-M248</x:f>
        <x:v>0</x:v>
      </x:c>
    </x:row>
    <x:row r="249">
      <x:c r="A249" s="187" t="str">
        <x:v>SCENARIO_BASE_2026_08</x:v>
      </x:c>
      <x:c r="B249" s="187" t="str">
        <x:v>SCENARIO</x:v>
      </x:c>
      <x:c r="C249" s="187" t="str">
        <x:v>BASE</x:v>
      </x:c>
      <x:c r="D249" s="217" t="n">
        <x:v>46266</x:v>
      </x:c>
      <x:c r="E249" s="187" t="str">
        <x:v>R_FR_FR_B_ROAD</x:v>
      </x:c>
      <x:c r="F249" s="187" t="str">
        <x:v>FR</x:v>
      </x:c>
      <x:c r="G249" s="187" t="str">
        <x:v>FR_FC</x:v>
      </x:c>
      <x:c r="H249" s="187" t="str">
        <x:v>CARRIER_B</x:v>
      </x:c>
      <x:c r="I249" s="187" t="str">
        <x:v>ROAD</x:v>
      </x:c>
      <x:c r="J249" s="232" t="n">
        <x:v>3555.24</x:v>
      </x:c>
      <x:c r="K249" s="232"/>
      <x:c r="L249" s="232"/>
      <x:c r="M249" s="241" t="n">
        <x:v>0.973</x:v>
      </x:c>
      <x:c r="N249" s="241"/>
      <x:c r="O249" s="244" t="n">
        <x:f>IF(K249="",M249,L249/K249)</x:f>
        <x:v>0.973</x:v>
      </x:c>
      <x:c r="P249" s="244" t="n">
        <x:f>O249-M249</x:f>
        <x:v>0</x:v>
      </x:c>
    </x:row>
    <x:row r="250">
      <x:c r="A250" s="187" t="str">
        <x:v>SCENARIO_BASE_2026_08</x:v>
      </x:c>
      <x:c r="B250" s="187" t="str">
        <x:v>SCENARIO</x:v>
      </x:c>
      <x:c r="C250" s="187" t="str">
        <x:v>BASE</x:v>
      </x:c>
      <x:c r="D250" s="217" t="n">
        <x:v>46266</x:v>
      </x:c>
      <x:c r="E250" s="187" t="str">
        <x:v>R_GB_DE_A_ROAD</x:v>
      </x:c>
      <x:c r="F250" s="187" t="str">
        <x:v>GB</x:v>
      </x:c>
      <x:c r="G250" s="187" t="str">
        <x:v>DE_FC</x:v>
      </x:c>
      <x:c r="H250" s="187" t="str">
        <x:v>CARRIER_A</x:v>
      </x:c>
      <x:c r="I250" s="187" t="str">
        <x:v>ROAD</x:v>
      </x:c>
      <x:c r="J250" s="232" t="n">
        <x:v>2004.22656</x:v>
      </x:c>
      <x:c r="K250" s="232"/>
      <x:c r="L250" s="232"/>
      <x:c r="M250" s="241" t="n">
        <x:v>0.93</x:v>
      </x:c>
      <x:c r="N250" s="241"/>
      <x:c r="O250" s="244" t="n">
        <x:f>IF(K250="",M250,L250/K250)</x:f>
        <x:v>0.93</x:v>
      </x:c>
      <x:c r="P250" s="244" t="n">
        <x:f>O250-M250</x:f>
        <x:v>0</x:v>
      </x:c>
    </x:row>
    <x:row r="251">
      <x:c r="A251" s="187" t="str">
        <x:v>SCENARIO_BASE_2026_08</x:v>
      </x:c>
      <x:c r="B251" s="187" t="str">
        <x:v>SCENARIO</x:v>
      </x:c>
      <x:c r="C251" s="187" t="str">
        <x:v>BASE</x:v>
      </x:c>
      <x:c r="D251" s="217" t="n">
        <x:v>46266</x:v>
      </x:c>
      <x:c r="E251" s="187" t="str">
        <x:v>R_GB_DE_B_ROAD</x:v>
      </x:c>
      <x:c r="F251" s="187" t="str">
        <x:v>GB</x:v>
      </x:c>
      <x:c r="G251" s="187" t="str">
        <x:v>DE_FC</x:v>
      </x:c>
      <x:c r="H251" s="187" t="str">
        <x:v>CARRIER_B</x:v>
      </x:c>
      <x:c r="I251" s="187" t="str">
        <x:v>ROAD</x:v>
      </x:c>
      <x:c r="J251" s="232" t="n">
        <x:v>1135.728384</x:v>
      </x:c>
      <x:c r="K251" s="232"/>
      <x:c r="L251" s="232"/>
      <x:c r="M251" s="241" t="n">
        <x:v>0.95</x:v>
      </x:c>
      <x:c r="N251" s="241"/>
      <x:c r="O251" s="244" t="n">
        <x:f>IF(K251="",M251,L251/K251)</x:f>
        <x:v>0.95</x:v>
      </x:c>
      <x:c r="P251" s="244" t="n">
        <x:f>O251-M251</x:f>
        <x:v>0</x:v>
      </x:c>
    </x:row>
    <x:row r="252">
      <x:c r="A252" s="187" t="str">
        <x:v>SCENARIO_BASE_2026_08</x:v>
      </x:c>
      <x:c r="B252" s="187" t="str">
        <x:v>SCENARIO</x:v>
      </x:c>
      <x:c r="C252" s="187" t="str">
        <x:v>BASE</x:v>
      </x:c>
      <x:c r="D252" s="217" t="n">
        <x:v>46266</x:v>
      </x:c>
      <x:c r="E252" s="187" t="str">
        <x:v>R_GB_DE_B_AIR</x:v>
      </x:c>
      <x:c r="F252" s="187" t="str">
        <x:v>GB</x:v>
      </x:c>
      <x:c r="G252" s="187" t="str">
        <x:v>DE_FC</x:v>
      </x:c>
      <x:c r="H252" s="187" t="str">
        <x:v>CARRIER_B</x:v>
      </x:c>
      <x:c r="I252" s="187" t="str">
        <x:v>AIR</x:v>
      </x:c>
      <x:c r="J252" s="232" t="n">
        <x:v>1670.1888</x:v>
      </x:c>
      <x:c r="K252" s="232"/>
      <x:c r="L252" s="232"/>
      <x:c r="M252" s="241" t="n">
        <x:v>0.974</x:v>
      </x:c>
      <x:c r="N252" s="241"/>
      <x:c r="O252" s="244" t="n">
        <x:f>IF(K252="",M252,L252/K252)</x:f>
        <x:v>0.974</x:v>
      </x:c>
      <x:c r="P252" s="244" t="n">
        <x:f>O252-M252</x:f>
        <x:v>0</x:v>
      </x:c>
    </x:row>
    <x:row r="253">
      <x:c r="A253" s="187" t="str">
        <x:v>SCENARIO_BASE_2026_08</x:v>
      </x:c>
      <x:c r="B253" s="187" t="str">
        <x:v>SCENARIO</x:v>
      </x:c>
      <x:c r="C253" s="187" t="str">
        <x:v>BASE</x:v>
      </x:c>
      <x:c r="D253" s="217" t="n">
        <x:v>46266</x:v>
      </x:c>
      <x:c r="E253" s="187" t="str">
        <x:v>R_GB_DE_C_AIR</x:v>
      </x:c>
      <x:c r="F253" s="187" t="str">
        <x:v>GB</x:v>
      </x:c>
      <x:c r="G253" s="187" t="str">
        <x:v>DE_FC</x:v>
      </x:c>
      <x:c r="H253" s="187" t="str">
        <x:v>CARRIER_C</x:v>
      </x:c>
      <x:c r="I253" s="187" t="str">
        <x:v>AIR</x:v>
      </x:c>
      <x:c r="J253" s="232" t="n">
        <x:v>1870.611456</x:v>
      </x:c>
      <x:c r="K253" s="232"/>
      <x:c r="L253" s="232"/>
      <x:c r="M253" s="241" t="n">
        <x:v>0.988</x:v>
      </x:c>
      <x:c r="N253" s="241"/>
      <x:c r="O253" s="244" t="n">
        <x:f>IF(K253="",M253,L253/K253)</x:f>
        <x:v>0.988</x:v>
      </x:c>
      <x:c r="P253" s="244" t="n">
        <x:f>O253-M253</x:f>
        <x:v>0</x:v>
      </x:c>
    </x:row>
    <x:row r="254">
      <x:c r="A254" s="187" t="str">
        <x:v>SCENARIO_BASE_2026_08</x:v>
      </x:c>
      <x:c r="B254" s="187" t="str">
        <x:v>SCENARIO</x:v>
      </x:c>
      <x:c r="C254" s="187" t="str">
        <x:v>BASE</x:v>
      </x:c>
      <x:c r="D254" s="217" t="n">
        <x:v>46266</x:v>
      </x:c>
      <x:c r="E254" s="187" t="str">
        <x:v>R_GB_FR_B_AIR</x:v>
      </x:c>
      <x:c r="F254" s="187" t="str">
        <x:v>GB</x:v>
      </x:c>
      <x:c r="G254" s="187" t="str">
        <x:v>FR_FC</x:v>
      </x:c>
      <x:c r="H254" s="187" t="str">
        <x:v>CARRIER_B</x:v>
      </x:c>
      <x:c r="I254" s="187" t="str">
        <x:v>AIR</x:v>
      </x:c>
      <x:c r="J254" s="232" t="n">
        <x:v>273.6864</x:v>
      </x:c>
      <x:c r="K254" s="232"/>
      <x:c r="L254" s="232"/>
      <x:c r="M254" s="241" t="n">
        <x:v>0.971</x:v>
      </x:c>
      <x:c r="N254" s="241"/>
      <x:c r="O254" s="244" t="n">
        <x:f>IF(K254="",M254,L254/K254)</x:f>
        <x:v>0.971</x:v>
      </x:c>
      <x:c r="P254" s="244" t="n">
        <x:f>O254-M254</x:f>
        <x:v>0</x:v>
      </x:c>
    </x:row>
    <x:row r="255">
      <x:c r="A255" s="187" t="str">
        <x:v>SCENARIO_BASE_2026_08</x:v>
      </x:c>
      <x:c r="B255" s="187" t="str">
        <x:v>SCENARIO</x:v>
      </x:c>
      <x:c r="C255" s="187" t="str">
        <x:v>BASE</x:v>
      </x:c>
      <x:c r="D255" s="217" t="n">
        <x:v>46296</x:v>
      </x:c>
      <x:c r="E255" s="187" t="str">
        <x:v>R_DE_DE_A_ROAD</x:v>
      </x:c>
      <x:c r="F255" s="187" t="str">
        <x:v>DE</x:v>
      </x:c>
      <x:c r="G255" s="187" t="str">
        <x:v>DE_FC</x:v>
      </x:c>
      <x:c r="H255" s="187" t="str">
        <x:v>CARRIER_A</x:v>
      </x:c>
      <x:c r="I255" s="187" t="str">
        <x:v>ROAD</x:v>
      </x:c>
      <x:c r="J255" s="232" t="n">
        <x:v>4051.593</x:v>
      </x:c>
      <x:c r="K255" s="232"/>
      <x:c r="L255" s="232"/>
      <x:c r="M255" s="241" t="n">
        <x:v>0.965</x:v>
      </x:c>
      <x:c r="N255" s="241"/>
      <x:c r="O255" s="244" t="n">
        <x:f>IF(K255="",M255,L255/K255)</x:f>
        <x:v>0.965</x:v>
      </x:c>
      <x:c r="P255" s="244" t="n">
        <x:f>O255-M255</x:f>
        <x:v>0</x:v>
      </x:c>
    </x:row>
    <x:row r="256">
      <x:c r="A256" s="187" t="str">
        <x:v>SCENARIO_BASE_2026_08</x:v>
      </x:c>
      <x:c r="B256" s="187" t="str">
        <x:v>SCENARIO</x:v>
      </x:c>
      <x:c r="C256" s="187" t="str">
        <x:v>BASE</x:v>
      </x:c>
      <x:c r="D256" s="217" t="n">
        <x:v>46296</x:v>
      </x:c>
      <x:c r="E256" s="187" t="str">
        <x:v>R_DE_DE_B_ROAD</x:v>
      </x:c>
      <x:c r="F256" s="187" t="str">
        <x:v>DE</x:v>
      </x:c>
      <x:c r="G256" s="187" t="str">
        <x:v>DE_FC</x:v>
      </x:c>
      <x:c r="H256" s="187" t="str">
        <x:v>CARRIER_B</x:v>
      </x:c>
      <x:c r="I256" s="187" t="str">
        <x:v>ROAD</x:v>
      </x:c>
      <x:c r="J256" s="232" t="n">
        <x:v>2701.062</x:v>
      </x:c>
      <x:c r="K256" s="232"/>
      <x:c r="L256" s="232"/>
      <x:c r="M256" s="241" t="n">
        <x:v>0.976</x:v>
      </x:c>
      <x:c r="N256" s="241"/>
      <x:c r="O256" s="244" t="n">
        <x:f>IF(K256="",M256,L256/K256)</x:f>
        <x:v>0.976</x:v>
      </x:c>
      <x:c r="P256" s="244" t="n">
        <x:f>O256-M256</x:f>
        <x:v>0</x:v>
      </x:c>
    </x:row>
    <x:row r="257">
      <x:c r="A257" s="187" t="str">
        <x:v>SCENARIO_BASE_2026_08</x:v>
      </x:c>
      <x:c r="B257" s="187" t="str">
        <x:v>SCENARIO</x:v>
      </x:c>
      <x:c r="C257" s="187" t="str">
        <x:v>BASE</x:v>
      </x:c>
      <x:c r="D257" s="217" t="n">
        <x:v>46296</x:v>
      </x:c>
      <x:c r="E257" s="187" t="str">
        <x:v>R_DE_FR_B_ROAD</x:v>
      </x:c>
      <x:c r="F257" s="187" t="str">
        <x:v>DE</x:v>
      </x:c>
      <x:c r="G257" s="187" t="str">
        <x:v>FR_FC</x:v>
      </x:c>
      <x:c r="H257" s="187" t="str">
        <x:v>CARRIER_B</x:v>
      </x:c>
      <x:c r="I257" s="187" t="str">
        <x:v>ROAD</x:v>
      </x:c>
      <x:c r="J257" s="232" t="n">
        <x:v>214.812</x:v>
      </x:c>
      <x:c r="K257" s="232"/>
      <x:c r="L257" s="232"/>
      <x:c r="M257" s="241" t="n">
        <x:v>0.968</x:v>
      </x:c>
      <x:c r="N257" s="241"/>
      <x:c r="O257" s="244" t="n">
        <x:f>IF(K257="",M257,L257/K257)</x:f>
        <x:v>0.968</x:v>
      </x:c>
      <x:c r="P257" s="244" t="n">
        <x:f>O257-M257</x:f>
        <x:v>0</x:v>
      </x:c>
    </x:row>
    <x:row r="258">
      <x:c r="A258" s="187" t="str">
        <x:v>SCENARIO_BASE_2026_08</x:v>
      </x:c>
      <x:c r="B258" s="187" t="str">
        <x:v>SCENARIO</x:v>
      </x:c>
      <x:c r="C258" s="187" t="str">
        <x:v>BASE</x:v>
      </x:c>
      <x:c r="D258" s="217" t="n">
        <x:v>46296</x:v>
      </x:c>
      <x:c r="E258" s="187" t="str">
        <x:v>R_FR_FR_A_ROAD</x:v>
      </x:c>
      <x:c r="F258" s="187" t="str">
        <x:v>FR</x:v>
      </x:c>
      <x:c r="G258" s="187" t="str">
        <x:v>FR_FC</x:v>
      </x:c>
      <x:c r="H258" s="187" t="str">
        <x:v>CARRIER_A</x:v>
      </x:c>
      <x:c r="I258" s="187" t="str">
        <x:v>ROAD</x:v>
      </x:c>
      <x:c r="J258" s="232" t="n">
        <x:v>2170.35</x:v>
      </x:c>
      <x:c r="K258" s="232"/>
      <x:c r="L258" s="232"/>
      <x:c r="M258" s="241" t="n">
        <x:v>0.961</x:v>
      </x:c>
      <x:c r="N258" s="241"/>
      <x:c r="O258" s="244" t="n">
        <x:f>IF(K258="",M258,L258/K258)</x:f>
        <x:v>0.961</x:v>
      </x:c>
      <x:c r="P258" s="244" t="n">
        <x:f>O258-M258</x:f>
        <x:v>0</x:v>
      </x:c>
    </x:row>
    <x:row r="259">
      <x:c r="A259" s="187" t="str">
        <x:v>SCENARIO_BASE_2026_08</x:v>
      </x:c>
      <x:c r="B259" s="187" t="str">
        <x:v>SCENARIO</x:v>
      </x:c>
      <x:c r="C259" s="187" t="str">
        <x:v>BASE</x:v>
      </x:c>
      <x:c r="D259" s="217" t="n">
        <x:v>46296</x:v>
      </x:c>
      <x:c r="E259" s="187" t="str">
        <x:v>R_FR_FR_B_ROAD</x:v>
      </x:c>
      <x:c r="F259" s="187" t="str">
        <x:v>FR</x:v>
      </x:c>
      <x:c r="G259" s="187" t="str">
        <x:v>FR_FC</x:v>
      </x:c>
      <x:c r="H259" s="187" t="str">
        <x:v>CARRIER_B</x:v>
      </x:c>
      <x:c r="I259" s="187" t="str">
        <x:v>ROAD</x:v>
      </x:c>
      <x:c r="J259" s="232" t="n">
        <x:v>4030.65</x:v>
      </x:c>
      <x:c r="K259" s="232"/>
      <x:c r="L259" s="232"/>
      <x:c r="M259" s="241" t="n">
        <x:v>0.973</x:v>
      </x:c>
      <x:c r="N259" s="241"/>
      <x:c r="O259" s="244" t="n">
        <x:f>IF(K259="",M259,L259/K259)</x:f>
        <x:v>0.973</x:v>
      </x:c>
      <x:c r="P259" s="244" t="n">
        <x:f>O259-M259</x:f>
        <x:v>0</x:v>
      </x:c>
    </x:row>
    <x:row r="260">
      <x:c r="A260" s="187" t="str">
        <x:v>SCENARIO_BASE_2026_08</x:v>
      </x:c>
      <x:c r="B260" s="187" t="str">
        <x:v>SCENARIO</x:v>
      </x:c>
      <x:c r="C260" s="187" t="str">
        <x:v>BASE</x:v>
      </x:c>
      <x:c r="D260" s="217" t="n">
        <x:v>46296</x:v>
      </x:c>
      <x:c r="E260" s="187" t="str">
        <x:v>R_GB_DE_A_ROAD</x:v>
      </x:c>
      <x:c r="F260" s="187" t="str">
        <x:v>GB</x:v>
      </x:c>
      <x:c r="G260" s="187" t="str">
        <x:v>DE_FC</x:v>
      </x:c>
      <x:c r="H260" s="187" t="str">
        <x:v>CARRIER_A</x:v>
      </x:c>
      <x:c r="I260" s="187" t="str">
        <x:v>ROAD</x:v>
      </x:c>
      <x:c r="J260" s="232" t="n">
        <x:v>2838.55104</x:v>
      </x:c>
      <x:c r="K260" s="232"/>
      <x:c r="L260" s="232"/>
      <x:c r="M260" s="241" t="n">
        <x:v>0.93</x:v>
      </x:c>
      <x:c r="N260" s="241"/>
      <x:c r="O260" s="244" t="n">
        <x:f>IF(K260="",M260,L260/K260)</x:f>
        <x:v>0.93</x:v>
      </x:c>
      <x:c r="P260" s="244" t="n">
        <x:f>O260-M260</x:f>
        <x:v>0</x:v>
      </x:c>
    </x:row>
    <x:row r="261">
      <x:c r="A261" s="187" t="str">
        <x:v>SCENARIO_BASE_2026_08</x:v>
      </x:c>
      <x:c r="B261" s="187" t="str">
        <x:v>SCENARIO</x:v>
      </x:c>
      <x:c r="C261" s="187" t="str">
        <x:v>BASE</x:v>
      </x:c>
      <x:c r="D261" s="217" t="n">
        <x:v>46296</x:v>
      </x:c>
      <x:c r="E261" s="187" t="str">
        <x:v>R_GB_DE_B_ROAD</x:v>
      </x:c>
      <x:c r="F261" s="187" t="str">
        <x:v>GB</x:v>
      </x:c>
      <x:c r="G261" s="187" t="str">
        <x:v>DE_FC</x:v>
      </x:c>
      <x:c r="H261" s="187" t="str">
        <x:v>CARRIER_B</x:v>
      </x:c>
      <x:c r="I261" s="187" t="str">
        <x:v>ROAD</x:v>
      </x:c>
      <x:c r="J261" s="232" t="n">
        <x:v>1576.9728</x:v>
      </x:c>
      <x:c r="K261" s="232"/>
      <x:c r="L261" s="232"/>
      <x:c r="M261" s="241" t="n">
        <x:v>0.95</x:v>
      </x:c>
      <x:c r="N261" s="241"/>
      <x:c r="O261" s="244" t="n">
        <x:f>IF(K261="",M261,L261/K261)</x:f>
        <x:v>0.95</x:v>
      </x:c>
      <x:c r="P261" s="244" t="n">
        <x:f>O261-M261</x:f>
        <x:v>0</x:v>
      </x:c>
    </x:row>
    <x:row r="262">
      <x:c r="A262" s="187" t="str">
        <x:v>SCENARIO_BASE_2026_08</x:v>
      </x:c>
      <x:c r="B262" s="187" t="str">
        <x:v>SCENARIO</x:v>
      </x:c>
      <x:c r="C262" s="187" t="str">
        <x:v>BASE</x:v>
      </x:c>
      <x:c r="D262" s="217" t="n">
        <x:v>46296</x:v>
      </x:c>
      <x:c r="E262" s="187" t="str">
        <x:v>R_GB_DE_B_AIR</x:v>
      </x:c>
      <x:c r="F262" s="187" t="str">
        <x:v>GB</x:v>
      </x:c>
      <x:c r="G262" s="187" t="str">
        <x:v>DE_FC</x:v>
      </x:c>
      <x:c r="H262" s="187" t="str">
        <x:v>CARRIER_B</x:v>
      </x:c>
      <x:c r="I262" s="187" t="str">
        <x:v>AIR</x:v>
      </x:c>
      <x:c r="J262" s="232" t="n">
        <x:v>1892.36736</x:v>
      </x:c>
      <x:c r="K262" s="232"/>
      <x:c r="L262" s="232"/>
      <x:c r="M262" s="241" t="n">
        <x:v>0.974</x:v>
      </x:c>
      <x:c r="N262" s="241"/>
      <x:c r="O262" s="244" t="n">
        <x:f>IF(K262="",M262,L262/K262)</x:f>
        <x:v>0.974</x:v>
      </x:c>
      <x:c r="P262" s="244" t="n">
        <x:f>O262-M262</x:f>
        <x:v>0</x:v>
      </x:c>
    </x:row>
    <x:row r="263">
      <x:c r="A263" s="187" t="str">
        <x:v>SCENARIO_BASE_2026_08</x:v>
      </x:c>
      <x:c r="B263" s="187" t="str">
        <x:v>SCENARIO</x:v>
      </x:c>
      <x:c r="C263" s="187" t="str">
        <x:v>BASE</x:v>
      </x:c>
      <x:c r="D263" s="217" t="n">
        <x:v>46296</x:v>
      </x:c>
      <x:c r="E263" s="187" t="str">
        <x:v>R_GB_DE_C_AIR</x:v>
      </x:c>
      <x:c r="F263" s="187" t="str">
        <x:v>GB</x:v>
      </x:c>
      <x:c r="G263" s="187" t="str">
        <x:v>DE_FC</x:v>
      </x:c>
      <x:c r="H263" s="187" t="str">
        <x:v>CARRIER_C</x:v>
      </x:c>
      <x:c r="I263" s="187" t="str">
        <x:v>AIR</x:v>
      </x:c>
      <x:c r="J263" s="232" t="n">
        <x:v>1576.9728</x:v>
      </x:c>
      <x:c r="K263" s="232"/>
      <x:c r="L263" s="232"/>
      <x:c r="M263" s="241" t="n">
        <x:v>0.988</x:v>
      </x:c>
      <x:c r="N263" s="241"/>
      <x:c r="O263" s="244" t="n">
        <x:f>IF(K263="",M263,L263/K263)</x:f>
        <x:v>0.988</x:v>
      </x:c>
      <x:c r="P263" s="244" t="n">
        <x:f>O263-M263</x:f>
        <x:v>0</x:v>
      </x:c>
    </x:row>
    <x:row r="264">
      <x:c r="A264" s="187" t="str">
        <x:v>SCENARIO_BASE_2026_08</x:v>
      </x:c>
      <x:c r="B264" s="187" t="str">
        <x:v>SCENARIO</x:v>
      </x:c>
      <x:c r="C264" s="187" t="str">
        <x:v>BASE</x:v>
      </x:c>
      <x:c r="D264" s="217" t="n">
        <x:v>46296</x:v>
      </x:c>
      <x:c r="E264" s="187" t="str">
        <x:v>R_GB_FR_B_AIR</x:v>
      </x:c>
      <x:c r="F264" s="187" t="str">
        <x:v>GB</x:v>
      </x:c>
      <x:c r="G264" s="187" t="str">
        <x:v>FR_FC</x:v>
      </x:c>
      <x:c r="H264" s="187" t="str">
        <x:v>CARRIER_B</x:v>
      </x:c>
      <x:c r="I264" s="187" t="str">
        <x:v>AIR</x:v>
      </x:c>
      <x:c r="J264" s="232" t="n">
        <x:v>328.536</x:v>
      </x:c>
      <x:c r="K264" s="232"/>
      <x:c r="L264" s="232"/>
      <x:c r="M264" s="241" t="n">
        <x:v>0.971</x:v>
      </x:c>
      <x:c r="N264" s="241"/>
      <x:c r="O264" s="244" t="n">
        <x:f>IF(K264="",M264,L264/K264)</x:f>
        <x:v>0.971</x:v>
      </x:c>
      <x:c r="P264" s="244" t="n">
        <x:f>O264-M264</x:f>
        <x:v>0</x:v>
      </x:c>
    </x:row>
    <x:row r="265">
      <x:c r="A265" s="187" t="str">
        <x:v>SCENARIO_BASE_2026_08</x:v>
      </x:c>
      <x:c r="B265" s="187" t="str">
        <x:v>SCENARIO</x:v>
      </x:c>
      <x:c r="C265" s="187" t="str">
        <x:v>BASE</x:v>
      </x:c>
      <x:c r="D265" s="217" t="n">
        <x:v>46327</x:v>
      </x:c>
      <x:c r="E265" s="187" t="str">
        <x:v>R_DE_DE_A_ROAD</x:v>
      </x:c>
      <x:c r="F265" s="187" t="str">
        <x:v>DE</x:v>
      </x:c>
      <x:c r="G265" s="187" t="str">
        <x:v>DE_FC</x:v>
      </x:c>
      <x:c r="H265" s="187" t="str">
        <x:v>CARRIER_A</x:v>
      </x:c>
      <x:c r="I265" s="187" t="str">
        <x:v>ROAD</x:v>
      </x:c>
      <x:c r="J265" s="232" t="n">
        <x:v>4849.6896</x:v>
      </x:c>
      <x:c r="K265" s="232"/>
      <x:c r="L265" s="232"/>
      <x:c r="M265" s="241" t="n">
        <x:v>0.965</x:v>
      </x:c>
      <x:c r="N265" s="241"/>
      <x:c r="O265" s="244" t="n">
        <x:f>IF(K265="",M265,L265/K265)</x:f>
        <x:v>0.965</x:v>
      </x:c>
      <x:c r="P265" s="244" t="n">
        <x:f>O265-M265</x:f>
        <x:v>0</x:v>
      </x:c>
    </x:row>
    <x:row r="266">
      <x:c r="A266" s="187" t="str">
        <x:v>SCENARIO_BASE_2026_08</x:v>
      </x:c>
      <x:c r="B266" s="187" t="str">
        <x:v>SCENARIO</x:v>
      </x:c>
      <x:c r="C266" s="187" t="str">
        <x:v>BASE</x:v>
      </x:c>
      <x:c r="D266" s="217" t="n">
        <x:v>46327</x:v>
      </x:c>
      <x:c r="E266" s="187" t="str">
        <x:v>R_DE_DE_B_ROAD</x:v>
      </x:c>
      <x:c r="F266" s="187" t="str">
        <x:v>DE</x:v>
      </x:c>
      <x:c r="G266" s="187" t="str">
        <x:v>DE_FC</x:v>
      </x:c>
      <x:c r="H266" s="187" t="str">
        <x:v>CARRIER_B</x:v>
      </x:c>
      <x:c r="I266" s="187" t="str">
        <x:v>ROAD</x:v>
      </x:c>
      <x:c r="J266" s="232" t="n">
        <x:v>3233.1264</x:v>
      </x:c>
      <x:c r="K266" s="232"/>
      <x:c r="L266" s="232"/>
      <x:c r="M266" s="241" t="n">
        <x:v>0.976</x:v>
      </x:c>
      <x:c r="N266" s="241"/>
      <x:c r="O266" s="244" t="n">
        <x:f>IF(K266="",M266,L266/K266)</x:f>
        <x:v>0.976</x:v>
      </x:c>
      <x:c r="P266" s="244" t="n">
        <x:f>O266-M266</x:f>
        <x:v>0</x:v>
      </x:c>
    </x:row>
    <x:row r="267">
      <x:c r="A267" s="187" t="str">
        <x:v>SCENARIO_BASE_2026_08</x:v>
      </x:c>
      <x:c r="B267" s="187" t="str">
        <x:v>SCENARIO</x:v>
      </x:c>
      <x:c r="C267" s="187" t="str">
        <x:v>BASE</x:v>
      </x:c>
      <x:c r="D267" s="217" t="n">
        <x:v>46327</x:v>
      </x:c>
      <x:c r="E267" s="187" t="str">
        <x:v>R_DE_FR_B_ROAD</x:v>
      </x:c>
      <x:c r="F267" s="187" t="str">
        <x:v>DE</x:v>
      </x:c>
      <x:c r="G267" s="187" t="str">
        <x:v>FR_FC</x:v>
      </x:c>
      <x:c r="H267" s="187" t="str">
        <x:v>CARRIER_B</x:v>
      </x:c>
      <x:c r="I267" s="187" t="str">
        <x:v>ROAD</x:v>
      </x:c>
      <x:c r="J267" s="232" t="n">
        <x:v>257.1264</x:v>
      </x:c>
      <x:c r="K267" s="232"/>
      <x:c r="L267" s="232"/>
      <x:c r="M267" s="241" t="n">
        <x:v>0.968</x:v>
      </x:c>
      <x:c r="N267" s="241"/>
      <x:c r="O267" s="244" t="n">
        <x:f>IF(K267="",M267,L267/K267)</x:f>
        <x:v>0.968</x:v>
      </x:c>
      <x:c r="P267" s="244" t="n">
        <x:f>O267-M267</x:f>
        <x:v>0</x:v>
      </x:c>
    </x:row>
    <x:row r="268">
      <x:c r="A268" s="187" t="str">
        <x:v>SCENARIO_BASE_2026_08</x:v>
      </x:c>
      <x:c r="B268" s="187" t="str">
        <x:v>SCENARIO</x:v>
      </x:c>
      <x:c r="C268" s="187" t="str">
        <x:v>BASE</x:v>
      </x:c>
      <x:c r="D268" s="217" t="n">
        <x:v>46327</x:v>
      </x:c>
      <x:c r="E268" s="187" t="str">
        <x:v>R_FR_FR_A_ROAD</x:v>
      </x:c>
      <x:c r="F268" s="187" t="str">
        <x:v>FR</x:v>
      </x:c>
      <x:c r="G268" s="187" t="str">
        <x:v>FR_FC</x:v>
      </x:c>
      <x:c r="H268" s="187" t="str">
        <x:v>CARRIER_A</x:v>
      </x:c>
      <x:c r="I268" s="187" t="str">
        <x:v>ROAD</x:v>
      </x:c>
      <x:c r="J268" s="232" t="n">
        <x:v>2668.232</x:v>
      </x:c>
      <x:c r="K268" s="232"/>
      <x:c r="L268" s="232"/>
      <x:c r="M268" s="241" t="n">
        <x:v>0.961</x:v>
      </x:c>
      <x:c r="N268" s="241"/>
      <x:c r="O268" s="244" t="n">
        <x:f>IF(K268="",M268,L268/K268)</x:f>
        <x:v>0.961</x:v>
      </x:c>
      <x:c r="P268" s="244" t="n">
        <x:f>O268-M268</x:f>
        <x:v>0</x:v>
      </x:c>
    </x:row>
    <x:row r="269">
      <x:c r="A269" s="187" t="str">
        <x:v>SCENARIO_BASE_2026_08</x:v>
      </x:c>
      <x:c r="B269" s="187" t="str">
        <x:v>SCENARIO</x:v>
      </x:c>
      <x:c r="C269" s="187" t="str">
        <x:v>BASE</x:v>
      </x:c>
      <x:c r="D269" s="217" t="n">
        <x:v>46327</x:v>
      </x:c>
      <x:c r="E269" s="187" t="str">
        <x:v>R_FR_FR_B_ROAD</x:v>
      </x:c>
      <x:c r="F269" s="187" t="str">
        <x:v>FR</x:v>
      </x:c>
      <x:c r="G269" s="187" t="str">
        <x:v>FR_FC</x:v>
      </x:c>
      <x:c r="H269" s="187" t="str">
        <x:v>CARRIER_B</x:v>
      </x:c>
      <x:c r="I269" s="187" t="str">
        <x:v>ROAD</x:v>
      </x:c>
      <x:c r="J269" s="232" t="n">
        <x:v>4955.288</x:v>
      </x:c>
      <x:c r="K269" s="232"/>
      <x:c r="L269" s="232"/>
      <x:c r="M269" s="241" t="n">
        <x:v>0.973</x:v>
      </x:c>
      <x:c r="N269" s="241"/>
      <x:c r="O269" s="244" t="n">
        <x:f>IF(K269="",M269,L269/K269)</x:f>
        <x:v>0.973</x:v>
      </x:c>
      <x:c r="P269" s="244" t="n">
        <x:f>O269-M269</x:f>
        <x:v>0</x:v>
      </x:c>
    </x:row>
    <x:row r="270">
      <x:c r="A270" s="187" t="str">
        <x:v>SCENARIO_BASE_2026_08</x:v>
      </x:c>
      <x:c r="B270" s="187" t="str">
        <x:v>SCENARIO</x:v>
      </x:c>
      <x:c r="C270" s="187" t="str">
        <x:v>BASE</x:v>
      </x:c>
      <x:c r="D270" s="217" t="n">
        <x:v>46327</x:v>
      </x:c>
      <x:c r="E270" s="187" t="str">
        <x:v>R_GB_DE_A_ROAD</x:v>
      </x:c>
      <x:c r="F270" s="187" t="str">
        <x:v>GB</x:v>
      </x:c>
      <x:c r="G270" s="187" t="str">
        <x:v>DE_FC</x:v>
      </x:c>
      <x:c r="H270" s="187" t="str">
        <x:v>CARRIER_A</x:v>
      </x:c>
      <x:c r="I270" s="187" t="str">
        <x:v>ROAD</x:v>
      </x:c>
      <x:c r="J270" s="232" t="n">
        <x:v>4562.707968</x:v>
      </x:c>
      <x:c r="K270" s="232"/>
      <x:c r="L270" s="232"/>
      <x:c r="M270" s="241" t="n">
        <x:v>0.93</x:v>
      </x:c>
      <x:c r="N270" s="241"/>
      <x:c r="O270" s="244" t="n">
        <x:f>IF(K270="",M270,L270/K270)</x:f>
        <x:v>0.93</x:v>
      </x:c>
      <x:c r="P270" s="244" t="n">
        <x:f>O270-M270</x:f>
        <x:v>0</x:v>
      </x:c>
    </x:row>
    <x:row r="271">
      <x:c r="A271" s="187" t="str">
        <x:v>SCENARIO_BASE_2026_08</x:v>
      </x:c>
      <x:c r="B271" s="187" t="str">
        <x:v>SCENARIO</x:v>
      </x:c>
      <x:c r="C271" s="187" t="str">
        <x:v>BASE</x:v>
      </x:c>
      <x:c r="D271" s="217" t="n">
        <x:v>46327</x:v>
      </x:c>
      <x:c r="E271" s="187" t="str">
        <x:v>R_GB_DE_B_ROAD</x:v>
      </x:c>
      <x:c r="F271" s="187" t="str">
        <x:v>GB</x:v>
      </x:c>
      <x:c r="G271" s="187" t="str">
        <x:v>DE_FC</x:v>
      </x:c>
      <x:c r="H271" s="187" t="str">
        <x:v>CARRIER_B</x:v>
      </x:c>
      <x:c r="I271" s="187" t="str">
        <x:v>ROAD</x:v>
      </x:c>
      <x:c r="J271" s="232" t="n">
        <x:v>2498.625792</x:v>
      </x:c>
      <x:c r="K271" s="232"/>
      <x:c r="L271" s="232"/>
      <x:c r="M271" s="241" t="n">
        <x:v>0.95</x:v>
      </x:c>
      <x:c r="N271" s="241"/>
      <x:c r="O271" s="244" t="n">
        <x:f>IF(K271="",M271,L271/K271)</x:f>
        <x:v>0.95</x:v>
      </x:c>
      <x:c r="P271" s="244" t="n">
        <x:f>O271-M271</x:f>
        <x:v>0</x:v>
      </x:c>
    </x:row>
    <x:row r="272">
      <x:c r="A272" s="187" t="str">
        <x:v>SCENARIO_BASE_2026_08</x:v>
      </x:c>
      <x:c r="B272" s="187" t="str">
        <x:v>SCENARIO</x:v>
      </x:c>
      <x:c r="C272" s="187" t="str">
        <x:v>BASE</x:v>
      </x:c>
      <x:c r="D272" s="217" t="n">
        <x:v>46327</x:v>
      </x:c>
      <x:c r="E272" s="187" t="str">
        <x:v>R_GB_DE_B_AIR</x:v>
      </x:c>
      <x:c r="F272" s="187" t="str">
        <x:v>GB</x:v>
      </x:c>
      <x:c r="G272" s="187" t="str">
        <x:v>DE_FC</x:v>
      </x:c>
      <x:c r="H272" s="187" t="str">
        <x:v>CARRIER_B</x:v>
      </x:c>
      <x:c r="I272" s="187" t="str">
        <x:v>AIR</x:v>
      </x:c>
      <x:c r="J272" s="232" t="n">
        <x:v>2389.989888</x:v>
      </x:c>
      <x:c r="K272" s="232"/>
      <x:c r="L272" s="232"/>
      <x:c r="M272" s="241" t="n">
        <x:v>0.974</x:v>
      </x:c>
      <x:c r="N272" s="241"/>
      <x:c r="O272" s="244" t="n">
        <x:f>IF(K272="",M272,L272/K272)</x:f>
        <x:v>0.974</x:v>
      </x:c>
      <x:c r="P272" s="244" t="n">
        <x:f>O272-M272</x:f>
        <x:v>0</x:v>
      </x:c>
    </x:row>
    <x:row r="273">
      <x:c r="A273" s="187" t="str">
        <x:v>SCENARIO_BASE_2026_08</x:v>
      </x:c>
      <x:c r="B273" s="187" t="str">
        <x:v>SCENARIO</x:v>
      </x:c>
      <x:c r="C273" s="187" t="str">
        <x:v>BASE</x:v>
      </x:c>
      <x:c r="D273" s="217" t="n">
        <x:v>46327</x:v>
      </x:c>
      <x:c r="E273" s="187" t="str">
        <x:v>R_GB_DE_C_AIR</x:v>
      </x:c>
      <x:c r="F273" s="187" t="str">
        <x:v>GB</x:v>
      </x:c>
      <x:c r="G273" s="187" t="str">
        <x:v>DE_FC</x:v>
      </x:c>
      <x:c r="H273" s="187" t="str">
        <x:v>CARRIER_C</x:v>
      </x:c>
      <x:c r="I273" s="187" t="str">
        <x:v>AIR</x:v>
      </x:c>
      <x:c r="J273" s="232" t="n">
        <x:v>1412.266752</x:v>
      </x:c>
      <x:c r="K273" s="232"/>
      <x:c r="L273" s="232"/>
      <x:c r="M273" s="241" t="n">
        <x:v>0.988</x:v>
      </x:c>
      <x:c r="N273" s="241"/>
      <x:c r="O273" s="244" t="n">
        <x:f>IF(K273="",M273,L273/K273)</x:f>
        <x:v>0.988</x:v>
      </x:c>
      <x:c r="P273" s="244" t="n">
        <x:f>O273-M273</x:f>
        <x:v>0</x:v>
      </x:c>
    </x:row>
    <x:row r="274">
      <x:c r="A274" s="187" t="str">
        <x:v>SCENARIO_BASE_2026_08</x:v>
      </x:c>
      <x:c r="B274" s="187" t="str">
        <x:v>SCENARIO</x:v>
      </x:c>
      <x:c r="C274" s="187" t="str">
        <x:v>BASE</x:v>
      </x:c>
      <x:c r="D274" s="217" t="n">
        <x:v>46327</x:v>
      </x:c>
      <x:c r="E274" s="187" t="str">
        <x:v>R_GB_FR_B_AIR</x:v>
      </x:c>
      <x:c r="F274" s="187" t="str">
        <x:v>GB</x:v>
      </x:c>
      <x:c r="G274" s="187" t="str">
        <x:v>FR_FC</x:v>
      </x:c>
      <x:c r="H274" s="187" t="str">
        <x:v>CARRIER_B</x:v>
      </x:c>
      <x:c r="I274" s="187" t="str">
        <x:v>AIR</x:v>
      </x:c>
      <x:c r="J274" s="232" t="n">
        <x:v>452.6496</x:v>
      </x:c>
      <x:c r="K274" s="232"/>
      <x:c r="L274" s="232"/>
      <x:c r="M274" s="241" t="n">
        <x:v>0.971</x:v>
      </x:c>
      <x:c r="N274" s="241"/>
      <x:c r="O274" s="244" t="n">
        <x:f>IF(K274="",M274,L274/K274)</x:f>
        <x:v>0.971</x:v>
      </x:c>
      <x:c r="P274" s="244" t="n">
        <x:f>O274-M274</x:f>
        <x:v>0</x:v>
      </x:c>
    </x:row>
    <x:row r="275">
      <x:c r="A275" s="187" t="str">
        <x:v>SCENARIO_BASE_2026_08</x:v>
      </x:c>
      <x:c r="B275" s="187" t="str">
        <x:v>SCENARIO</x:v>
      </x:c>
      <x:c r="C275" s="187" t="str">
        <x:v>BASE</x:v>
      </x:c>
      <x:c r="D275" s="217" t="n">
        <x:v>46357</x:v>
      </x:c>
      <x:c r="E275" s="187" t="str">
        <x:v>R_DE_DE_A_ROAD</x:v>
      </x:c>
      <x:c r="F275" s="187" t="str">
        <x:v>DE</x:v>
      </x:c>
      <x:c r="G275" s="187" t="str">
        <x:v>DE_FC</x:v>
      </x:c>
      <x:c r="H275" s="187" t="str">
        <x:v>CARRIER_A</x:v>
      </x:c>
      <x:c r="I275" s="187" t="str">
        <x:v>ROAD</x:v>
      </x:c>
      <x:c r="J275" s="232" t="n">
        <x:v>5592.7872</x:v>
      </x:c>
      <x:c r="K275" s="232"/>
      <x:c r="L275" s="232"/>
      <x:c r="M275" s="241" t="n">
        <x:v>0.965</x:v>
      </x:c>
      <x:c r="N275" s="241"/>
      <x:c r="O275" s="244" t="n">
        <x:f>IF(K275="",M275,L275/K275)</x:f>
        <x:v>0.965</x:v>
      </x:c>
      <x:c r="P275" s="244" t="n">
        <x:f>O275-M275</x:f>
        <x:v>0</x:v>
      </x:c>
    </x:row>
    <x:row r="276">
      <x:c r="A276" s="187" t="str">
        <x:v>SCENARIO_BASE_2026_08</x:v>
      </x:c>
      <x:c r="B276" s="187" t="str">
        <x:v>SCENARIO</x:v>
      </x:c>
      <x:c r="C276" s="187" t="str">
        <x:v>BASE</x:v>
      </x:c>
      <x:c r="D276" s="217" t="n">
        <x:v>46357</x:v>
      </x:c>
      <x:c r="E276" s="187" t="str">
        <x:v>R_DE_DE_B_ROAD</x:v>
      </x:c>
      <x:c r="F276" s="187" t="str">
        <x:v>DE</x:v>
      </x:c>
      <x:c r="G276" s="187" t="str">
        <x:v>DE_FC</x:v>
      </x:c>
      <x:c r="H276" s="187" t="str">
        <x:v>CARRIER_B</x:v>
      </x:c>
      <x:c r="I276" s="187" t="str">
        <x:v>ROAD</x:v>
      </x:c>
      <x:c r="J276" s="232" t="n">
        <x:v>3728.5248</x:v>
      </x:c>
      <x:c r="K276" s="232"/>
      <x:c r="L276" s="232"/>
      <x:c r="M276" s="241" t="n">
        <x:v>0.976</x:v>
      </x:c>
      <x:c r="N276" s="241"/>
      <x:c r="O276" s="244" t="n">
        <x:f>IF(K276="",M276,L276/K276)</x:f>
        <x:v>0.976</x:v>
      </x:c>
      <x:c r="P276" s="244" t="n">
        <x:f>O276-M276</x:f>
        <x:v>0</x:v>
      </x:c>
    </x:row>
    <x:row r="277">
      <x:c r="A277" s="187" t="str">
        <x:v>SCENARIO_BASE_2026_08</x:v>
      </x:c>
      <x:c r="B277" s="187" t="str">
        <x:v>SCENARIO</x:v>
      </x:c>
      <x:c r="C277" s="187" t="str">
        <x:v>BASE</x:v>
      </x:c>
      <x:c r="D277" s="217" t="n">
        <x:v>46357</x:v>
      </x:c>
      <x:c r="E277" s="187" t="str">
        <x:v>R_DE_FR_B_ROAD</x:v>
      </x:c>
      <x:c r="F277" s="187" t="str">
        <x:v>DE</x:v>
      </x:c>
      <x:c r="G277" s="187" t="str">
        <x:v>FR_FC</x:v>
      </x:c>
      <x:c r="H277" s="187" t="str">
        <x:v>CARRIER_B</x:v>
      </x:c>
      <x:c r="I277" s="187" t="str">
        <x:v>ROAD</x:v>
      </x:c>
      <x:c r="J277" s="232" t="n">
        <x:v>296.5248</x:v>
      </x:c>
      <x:c r="K277" s="232"/>
      <x:c r="L277" s="232"/>
      <x:c r="M277" s="241" t="n">
        <x:v>0.968</x:v>
      </x:c>
      <x:c r="N277" s="241"/>
      <x:c r="O277" s="244" t="n">
        <x:f>IF(K277="",M277,L277/K277)</x:f>
        <x:v>0.968</x:v>
      </x:c>
      <x:c r="P277" s="244" t="n">
        <x:f>O277-M277</x:f>
        <x:v>0</x:v>
      </x:c>
    </x:row>
    <x:row r="278">
      <x:c r="A278" s="187" t="str">
        <x:v>SCENARIO_BASE_2026_08</x:v>
      </x:c>
      <x:c r="B278" s="187" t="str">
        <x:v>SCENARIO</x:v>
      </x:c>
      <x:c r="C278" s="187" t="str">
        <x:v>BASE</x:v>
      </x:c>
      <x:c r="D278" s="217" t="n">
        <x:v>46357</x:v>
      </x:c>
      <x:c r="E278" s="187" t="str">
        <x:v>R_FR_FR_A_ROAD</x:v>
      </x:c>
      <x:c r="F278" s="187" t="str">
        <x:v>FR</x:v>
      </x:c>
      <x:c r="G278" s="187" t="str">
        <x:v>FR_FC</x:v>
      </x:c>
      <x:c r="H278" s="187" t="str">
        <x:v>CARRIER_A</x:v>
      </x:c>
      <x:c r="I278" s="187" t="str">
        <x:v>ROAD</x:v>
      </x:c>
      <x:c r="J278" s="232" t="n">
        <x:v>2970.968</x:v>
      </x:c>
      <x:c r="K278" s="232"/>
      <x:c r="L278" s="232"/>
      <x:c r="M278" s="241" t="n">
        <x:v>0.961</x:v>
      </x:c>
      <x:c r="N278" s="241"/>
      <x:c r="O278" s="244" t="n">
        <x:f>IF(K278="",M278,L278/K278)</x:f>
        <x:v>0.961</x:v>
      </x:c>
      <x:c r="P278" s="244" t="n">
        <x:f>O278-M278</x:f>
        <x:v>0</x:v>
      </x:c>
    </x:row>
    <x:row r="279">
      <x:c r="A279" s="187" t="str">
        <x:v>SCENARIO_BASE_2026_08</x:v>
      </x:c>
      <x:c r="B279" s="187" t="str">
        <x:v>SCENARIO</x:v>
      </x:c>
      <x:c r="C279" s="187" t="str">
        <x:v>BASE</x:v>
      </x:c>
      <x:c r="D279" s="217" t="n">
        <x:v>46357</x:v>
      </x:c>
      <x:c r="E279" s="187" t="str">
        <x:v>R_FR_FR_B_ROAD</x:v>
      </x:c>
      <x:c r="F279" s="187" t="str">
        <x:v>FR</x:v>
      </x:c>
      <x:c r="G279" s="187" t="str">
        <x:v>FR_FC</x:v>
      </x:c>
      <x:c r="H279" s="187" t="str">
        <x:v>CARRIER_B</x:v>
      </x:c>
      <x:c r="I279" s="187" t="str">
        <x:v>ROAD</x:v>
      </x:c>
      <x:c r="J279" s="232" t="n">
        <x:v>5517.512</x:v>
      </x:c>
      <x:c r="K279" s="232"/>
      <x:c r="L279" s="232"/>
      <x:c r="M279" s="241" t="n">
        <x:v>0.973</x:v>
      </x:c>
      <x:c r="N279" s="241"/>
      <x:c r="O279" s="244" t="n">
        <x:f>IF(K279="",M279,L279/K279)</x:f>
        <x:v>0.973</x:v>
      </x:c>
      <x:c r="P279" s="244" t="n">
        <x:f>O279-M279</x:f>
        <x:v>0</x:v>
      </x:c>
    </x:row>
    <x:row r="280">
      <x:c r="A280" s="187" t="str">
        <x:v>SCENARIO_BASE_2026_08</x:v>
      </x:c>
      <x:c r="B280" s="187" t="str">
        <x:v>SCENARIO</x:v>
      </x:c>
      <x:c r="C280" s="187" t="str">
        <x:v>BASE</x:v>
      </x:c>
      <x:c r="D280" s="217" t="n">
        <x:v>46357</x:v>
      </x:c>
      <x:c r="E280" s="187" t="str">
        <x:v>R_GB_DE_A_ROAD</x:v>
      </x:c>
      <x:c r="F280" s="187" t="str">
        <x:v>GB</x:v>
      </x:c>
      <x:c r="G280" s="187" t="str">
        <x:v>DE_FC</x:v>
      </x:c>
      <x:c r="H280" s="187" t="str">
        <x:v>CARRIER_A</x:v>
      </x:c>
      <x:c r="I280" s="187" t="str">
        <x:v>ROAD</x:v>
      </x:c>
      <x:c r="J280" s="232" t="n">
        <x:v>6167.71584</x:v>
      </x:c>
      <x:c r="K280" s="232"/>
      <x:c r="L280" s="232"/>
      <x:c r="M280" s="241" t="n">
        <x:v>0.93</x:v>
      </x:c>
      <x:c r="N280" s="241"/>
      <x:c r="O280" s="244" t="n">
        <x:f>IF(K280="",M280,L280/K280)</x:f>
        <x:v>0.93</x:v>
      </x:c>
      <x:c r="P280" s="244" t="n">
        <x:f>O280-M280</x:f>
        <x:v>0</x:v>
      </x:c>
    </x:row>
    <x:row r="281">
      <x:c r="A281" s="187" t="str">
        <x:v>SCENARIO_BASE_2026_08</x:v>
      </x:c>
      <x:c r="B281" s="187" t="str">
        <x:v>SCENARIO</x:v>
      </x:c>
      <x:c r="C281" s="187" t="str">
        <x:v>BASE</x:v>
      </x:c>
      <x:c r="D281" s="217" t="n">
        <x:v>46357</x:v>
      </x:c>
      <x:c r="E281" s="187" t="str">
        <x:v>R_GB_DE_B_ROAD</x:v>
      </x:c>
      <x:c r="F281" s="187" t="str">
        <x:v>GB</x:v>
      </x:c>
      <x:c r="G281" s="187" t="str">
        <x:v>DE_FC</x:v>
      </x:c>
      <x:c r="H281" s="187" t="str">
        <x:v>CARRIER_B</x:v>
      </x:c>
      <x:c r="I281" s="187" t="str">
        <x:v>ROAD</x:v>
      </x:c>
      <x:c r="J281" s="232" t="n">
        <x:v>3212.352</x:v>
      </x:c>
      <x:c r="K281" s="232"/>
      <x:c r="L281" s="232"/>
      <x:c r="M281" s="241" t="n">
        <x:v>0.95</x:v>
      </x:c>
      <x:c r="N281" s="241"/>
      <x:c r="O281" s="244" t="n">
        <x:f>IF(K281="",M281,L281/K281)</x:f>
        <x:v>0.95</x:v>
      </x:c>
      <x:c r="P281" s="244" t="n">
        <x:f>O281-M281</x:f>
        <x:v>0</x:v>
      </x:c>
    </x:row>
    <x:row r="282">
      <x:c r="A282" s="187" t="str">
        <x:v>SCENARIO_BASE_2026_08</x:v>
      </x:c>
      <x:c r="B282" s="187" t="str">
        <x:v>SCENARIO</x:v>
      </x:c>
      <x:c r="C282" s="187" t="str">
        <x:v>BASE</x:v>
      </x:c>
      <x:c r="D282" s="217" t="n">
        <x:v>46357</x:v>
      </x:c>
      <x:c r="E282" s="187" t="str">
        <x:v>R_GB_DE_B_AIR</x:v>
      </x:c>
      <x:c r="F282" s="187" t="str">
        <x:v>GB</x:v>
      </x:c>
      <x:c r="G282" s="187" t="str">
        <x:v>DE_FC</x:v>
      </x:c>
      <x:c r="H282" s="187" t="str">
        <x:v>CARRIER_B</x:v>
      </x:c>
      <x:c r="I282" s="187" t="str">
        <x:v>AIR</x:v>
      </x:c>
      <x:c r="J282" s="232" t="n">
        <x:v>2441.38752</x:v>
      </x:c>
      <x:c r="K282" s="232"/>
      <x:c r="L282" s="232"/>
      <x:c r="M282" s="241" t="n">
        <x:v>0.974</x:v>
      </x:c>
      <x:c r="N282" s="241"/>
      <x:c r="O282" s="244" t="n">
        <x:f>IF(K282="",M282,L282/K282)</x:f>
        <x:v>0.974</x:v>
      </x:c>
      <x:c r="P282" s="244" t="n">
        <x:f>O282-M282</x:f>
        <x:v>0</x:v>
      </x:c>
    </x:row>
    <x:row r="283">
      <x:c r="A283" s="187" t="str">
        <x:v>SCENARIO_BASE_2026_08</x:v>
      </x:c>
      <x:c r="B283" s="187" t="str">
        <x:v>SCENARIO</x:v>
      </x:c>
      <x:c r="C283" s="187" t="str">
        <x:v>BASE</x:v>
      </x:c>
      <x:c r="D283" s="217" t="n">
        <x:v>46357</x:v>
      </x:c>
      <x:c r="E283" s="187" t="str">
        <x:v>R_GB_DE_C_AIR</x:v>
      </x:c>
      <x:c r="F283" s="187" t="str">
        <x:v>GB</x:v>
      </x:c>
      <x:c r="G283" s="187" t="str">
        <x:v>DE_FC</x:v>
      </x:c>
      <x:c r="H283" s="187" t="str">
        <x:v>CARRIER_C</x:v>
      </x:c>
      <x:c r="I283" s="187" t="str">
        <x:v>AIR</x:v>
      </x:c>
      <x:c r="J283" s="232" t="n">
        <x:v>1027.95264</x:v>
      </x:c>
      <x:c r="K283" s="232"/>
      <x:c r="L283" s="232"/>
      <x:c r="M283" s="241" t="n">
        <x:v>0.988</x:v>
      </x:c>
      <x:c r="N283" s="241"/>
      <x:c r="O283" s="244" t="n">
        <x:f>IF(K283="",M283,L283/K283)</x:f>
        <x:v>0.988</x:v>
      </x:c>
      <x:c r="P283" s="244" t="n">
        <x:f>O283-M283</x:f>
        <x:v>0</x:v>
      </x:c>
    </x:row>
    <x:row r="284">
      <x:c r="A284" s="187" t="str">
        <x:v>SCENARIO_BASE_2026_08</x:v>
      </x:c>
      <x:c r="B284" s="187" t="str">
        <x:v>SCENARIO</x:v>
      </x:c>
      <x:c r="C284" s="187" t="str">
        <x:v>BASE</x:v>
      </x:c>
      <x:c r="D284" s="217" t="n">
        <x:v>46357</x:v>
      </x:c>
      <x:c r="E284" s="187" t="str">
        <x:v>R_GB_FR_B_AIR</x:v>
      </x:c>
      <x:c r="F284" s="187" t="str">
        <x:v>GB</x:v>
      </x:c>
      <x:c r="G284" s="187" t="str">
        <x:v>FR_FC</x:v>
      </x:c>
      <x:c r="H284" s="187" t="str">
        <x:v>CARRIER_B</x:v>
      </x:c>
      <x:c r="I284" s="187" t="str">
        <x:v>AIR</x:v>
      </x:c>
      <x:c r="J284" s="232" t="n">
        <x:v>535.392</x:v>
      </x:c>
      <x:c r="K284" s="232"/>
      <x:c r="L284" s="232"/>
      <x:c r="M284" s="241" t="n">
        <x:v>0.971</x:v>
      </x:c>
      <x:c r="N284" s="241"/>
      <x:c r="O284" s="244" t="n">
        <x:f>IF(K284="",M284,L284/K284)</x:f>
        <x:v>0.971</x:v>
      </x:c>
      <x:c r="P284" s="244" t="n">
        <x:f>O284-M284</x:f>
        <x:v>0</x:v>
      </x:c>
    </x:row>
    <x:row r="285">
      <x:c r="A285" s="187" t="str">
        <x:v>SCENARIO_GROWTH_2026_08</x:v>
      </x:c>
      <x:c r="B285" s="187" t="str">
        <x:v>SCENARIO</x:v>
      </x:c>
      <x:c r="C285" s="187" t="str">
        <x:v>GROWTH</x:v>
      </x:c>
      <x:c r="D285" s="217" t="n">
        <x:v>46266</x:v>
      </x:c>
      <x:c r="E285" s="187" t="str">
        <x:v>R_DE_DE_A_ROAD</x:v>
      </x:c>
      <x:c r="F285" s="187" t="str">
        <x:v>DE</x:v>
      </x:c>
      <x:c r="G285" s="187" t="str">
        <x:v>DE_FC</x:v>
      </x:c>
      <x:c r="H285" s="187" t="str">
        <x:v>CARRIER_A</x:v>
      </x:c>
      <x:c r="I285" s="187" t="str">
        <x:v>ROAD</x:v>
      </x:c>
      <x:c r="J285" s="232" t="n">
        <x:v>3783.9312</x:v>
      </x:c>
      <x:c r="K285" s="232"/>
      <x:c r="L285" s="232"/>
      <x:c r="M285" s="241" t="n">
        <x:v>0.965</x:v>
      </x:c>
      <x:c r="N285" s="241"/>
      <x:c r="O285" s="244" t="n">
        <x:f>IF(K285="",M285,L285/K285)</x:f>
        <x:v>0.965</x:v>
      </x:c>
      <x:c r="P285" s="244" t="n">
        <x:f>O285-M285</x:f>
        <x:v>0</x:v>
      </x:c>
    </x:row>
    <x:row r="286">
      <x:c r="A286" s="187" t="str">
        <x:v>SCENARIO_GROWTH_2026_08</x:v>
      </x:c>
      <x:c r="B286" s="187" t="str">
        <x:v>SCENARIO</x:v>
      </x:c>
      <x:c r="C286" s="187" t="str">
        <x:v>GROWTH</x:v>
      </x:c>
      <x:c r="D286" s="217" t="n">
        <x:v>46266</x:v>
      </x:c>
      <x:c r="E286" s="187" t="str">
        <x:v>R_DE_DE_B_ROAD</x:v>
      </x:c>
      <x:c r="F286" s="187" t="str">
        <x:v>DE</x:v>
      </x:c>
      <x:c r="G286" s="187" t="str">
        <x:v>DE_FC</x:v>
      </x:c>
      <x:c r="H286" s="187" t="str">
        <x:v>CARRIER_B</x:v>
      </x:c>
      <x:c r="I286" s="187" t="str">
        <x:v>ROAD</x:v>
      </x:c>
      <x:c r="J286" s="232" t="n">
        <x:v>2522.6208</x:v>
      </x:c>
      <x:c r="K286" s="232"/>
      <x:c r="L286" s="232"/>
      <x:c r="M286" s="241" t="n">
        <x:v>0.976</x:v>
      </x:c>
      <x:c r="N286" s="241"/>
      <x:c r="O286" s="244" t="n">
        <x:f>IF(K286="",M286,L286/K286)</x:f>
        <x:v>0.976</x:v>
      </x:c>
      <x:c r="P286" s="244" t="n">
        <x:f>O286-M286</x:f>
        <x:v>0</x:v>
      </x:c>
    </x:row>
    <x:row r="287">
      <x:c r="A287" s="187" t="str">
        <x:v>SCENARIO_GROWTH_2026_08</x:v>
      </x:c>
      <x:c r="B287" s="187" t="str">
        <x:v>SCENARIO</x:v>
      </x:c>
      <x:c r="C287" s="187" t="str">
        <x:v>GROWTH</x:v>
      </x:c>
      <x:c r="D287" s="217" t="n">
        <x:v>46266</x:v>
      </x:c>
      <x:c r="E287" s="187" t="str">
        <x:v>R_DE_FR_B_ROAD</x:v>
      </x:c>
      <x:c r="F287" s="187" t="str">
        <x:v>DE</x:v>
      </x:c>
      <x:c r="G287" s="187" t="str">
        <x:v>FR_FC</x:v>
      </x:c>
      <x:c r="H287" s="187" t="str">
        <x:v>CARRIER_B</x:v>
      </x:c>
      <x:c r="I287" s="187" t="str">
        <x:v>ROAD</x:v>
      </x:c>
      <x:c r="J287" s="232" t="n">
        <x:v>200.6208</x:v>
      </x:c>
      <x:c r="K287" s="232"/>
      <x:c r="L287" s="232"/>
      <x:c r="M287" s="241" t="n">
        <x:v>0.968</x:v>
      </x:c>
      <x:c r="N287" s="241"/>
      <x:c r="O287" s="244" t="n">
        <x:f>IF(K287="",M287,L287/K287)</x:f>
        <x:v>0.968</x:v>
      </x:c>
      <x:c r="P287" s="244" t="n">
        <x:f>O287-M287</x:f>
        <x:v>0</x:v>
      </x:c>
    </x:row>
    <x:row r="288">
      <x:c r="A288" s="187" t="str">
        <x:v>SCENARIO_GROWTH_2026_08</x:v>
      </x:c>
      <x:c r="B288" s="187" t="str">
        <x:v>SCENARIO</x:v>
      </x:c>
      <x:c r="C288" s="187" t="str">
        <x:v>GROWTH</x:v>
      </x:c>
      <x:c r="D288" s="217" t="n">
        <x:v>46266</x:v>
      </x:c>
      <x:c r="E288" s="187" t="str">
        <x:v>R_FR_FR_A_ROAD</x:v>
      </x:c>
      <x:c r="F288" s="187" t="str">
        <x:v>FR</x:v>
      </x:c>
      <x:c r="G288" s="187" t="str">
        <x:v>FR_FC</x:v>
      </x:c>
      <x:c r="H288" s="187" t="str">
        <x:v>CARRIER_A</x:v>
      </x:c>
      <x:c r="I288" s="187" t="str">
        <x:v>ROAD</x:v>
      </x:c>
      <x:c r="J288" s="232" t="n">
        <x:v>1914.36</x:v>
      </x:c>
      <x:c r="K288" s="232"/>
      <x:c r="L288" s="232"/>
      <x:c r="M288" s="241" t="n">
        <x:v>0.961</x:v>
      </x:c>
      <x:c r="N288" s="241"/>
      <x:c r="O288" s="244" t="n">
        <x:f>IF(K288="",M288,L288/K288)</x:f>
        <x:v>0.961</x:v>
      </x:c>
      <x:c r="P288" s="244" t="n">
        <x:f>O288-M288</x:f>
        <x:v>0</x:v>
      </x:c>
    </x:row>
    <x:row r="289">
      <x:c r="A289" s="187" t="str">
        <x:v>SCENARIO_GROWTH_2026_08</x:v>
      </x:c>
      <x:c r="B289" s="187" t="str">
        <x:v>SCENARIO</x:v>
      </x:c>
      <x:c r="C289" s="187" t="str">
        <x:v>GROWTH</x:v>
      </x:c>
      <x:c r="D289" s="217" t="n">
        <x:v>46266</x:v>
      </x:c>
      <x:c r="E289" s="187" t="str">
        <x:v>R_FR_FR_B_ROAD</x:v>
      </x:c>
      <x:c r="F289" s="187" t="str">
        <x:v>FR</x:v>
      </x:c>
      <x:c r="G289" s="187" t="str">
        <x:v>FR_FC</x:v>
      </x:c>
      <x:c r="H289" s="187" t="str">
        <x:v>CARRIER_B</x:v>
      </x:c>
      <x:c r="I289" s="187" t="str">
        <x:v>ROAD</x:v>
      </x:c>
      <x:c r="J289" s="232" t="n">
        <x:v>3555.24</x:v>
      </x:c>
      <x:c r="K289" s="232"/>
      <x:c r="L289" s="232"/>
      <x:c r="M289" s="241" t="n">
        <x:v>0.973</x:v>
      </x:c>
      <x:c r="N289" s="241"/>
      <x:c r="O289" s="244" t="n">
        <x:f>IF(K289="",M289,L289/K289)</x:f>
        <x:v>0.973</x:v>
      </x:c>
      <x:c r="P289" s="244" t="n">
        <x:f>O289-M289</x:f>
        <x:v>0</x:v>
      </x:c>
    </x:row>
    <x:row r="290">
      <x:c r="A290" s="187" t="str">
        <x:v>SCENARIO_GROWTH_2026_08</x:v>
      </x:c>
      <x:c r="B290" s="187" t="str">
        <x:v>SCENARIO</x:v>
      </x:c>
      <x:c r="C290" s="187" t="str">
        <x:v>GROWTH</x:v>
      </x:c>
      <x:c r="D290" s="217" t="n">
        <x:v>46266</x:v>
      </x:c>
      <x:c r="E290" s="187" t="str">
        <x:v>R_GB_DE_A_ROAD</x:v>
      </x:c>
      <x:c r="F290" s="187" t="str">
        <x:v>GB</x:v>
      </x:c>
      <x:c r="G290" s="187" t="str">
        <x:v>DE_FC</x:v>
      </x:c>
      <x:c r="H290" s="187" t="str">
        <x:v>CARRIER_A</x:v>
      </x:c>
      <x:c r="I290" s="187" t="str">
        <x:v>ROAD</x:v>
      </x:c>
      <x:c r="J290" s="232" t="n">
        <x:v>2204.649216</x:v>
      </x:c>
      <x:c r="K290" s="232"/>
      <x:c r="L290" s="232"/>
      <x:c r="M290" s="241" t="n">
        <x:v>0.93</x:v>
      </x:c>
      <x:c r="N290" s="241"/>
      <x:c r="O290" s="244" t="n">
        <x:f>IF(K290="",M290,L290/K290)</x:f>
        <x:v>0.93</x:v>
      </x:c>
      <x:c r="P290" s="244" t="n">
        <x:f>O290-M290</x:f>
        <x:v>0</x:v>
      </x:c>
    </x:row>
    <x:row r="291">
      <x:c r="A291" s="187" t="str">
        <x:v>SCENARIO_GROWTH_2026_08</x:v>
      </x:c>
      <x:c r="B291" s="187" t="str">
        <x:v>SCENARIO</x:v>
      </x:c>
      <x:c r="C291" s="187" t="str">
        <x:v>GROWTH</x:v>
      </x:c>
      <x:c r="D291" s="217" t="n">
        <x:v>46266</x:v>
      </x:c>
      <x:c r="E291" s="187" t="str">
        <x:v>R_GB_DE_B_ROAD</x:v>
      </x:c>
      <x:c r="F291" s="187" t="str">
        <x:v>GB</x:v>
      </x:c>
      <x:c r="G291" s="187" t="str">
        <x:v>DE_FC</x:v>
      </x:c>
      <x:c r="H291" s="187" t="str">
        <x:v>CARRIER_B</x:v>
      </x:c>
      <x:c r="I291" s="187" t="str">
        <x:v>ROAD</x:v>
      </x:c>
      <x:c r="J291" s="232" t="n">
        <x:v>1249.3012224</x:v>
      </x:c>
      <x:c r="K291" s="232"/>
      <x:c r="L291" s="232"/>
      <x:c r="M291" s="241" t="n">
        <x:v>0.95</x:v>
      </x:c>
      <x:c r="N291" s="241"/>
      <x:c r="O291" s="244" t="n">
        <x:f>IF(K291="",M291,L291/K291)</x:f>
        <x:v>0.95</x:v>
      </x:c>
      <x:c r="P291" s="244" t="n">
        <x:f>O291-M291</x:f>
        <x:v>0</x:v>
      </x:c>
    </x:row>
    <x:row r="292">
      <x:c r="A292" s="187" t="str">
        <x:v>SCENARIO_GROWTH_2026_08</x:v>
      </x:c>
      <x:c r="B292" s="187" t="str">
        <x:v>SCENARIO</x:v>
      </x:c>
      <x:c r="C292" s="187" t="str">
        <x:v>GROWTH</x:v>
      </x:c>
      <x:c r="D292" s="217" t="n">
        <x:v>46266</x:v>
      </x:c>
      <x:c r="E292" s="187" t="str">
        <x:v>R_GB_DE_B_AIR</x:v>
      </x:c>
      <x:c r="F292" s="187" t="str">
        <x:v>GB</x:v>
      </x:c>
      <x:c r="G292" s="187" t="str">
        <x:v>DE_FC</x:v>
      </x:c>
      <x:c r="H292" s="187" t="str">
        <x:v>CARRIER_B</x:v>
      </x:c>
      <x:c r="I292" s="187" t="str">
        <x:v>AIR</x:v>
      </x:c>
      <x:c r="J292" s="232" t="n">
        <x:v>1837.20768</x:v>
      </x:c>
      <x:c r="K292" s="232"/>
      <x:c r="L292" s="232"/>
      <x:c r="M292" s="241" t="n">
        <x:v>0.974</x:v>
      </x:c>
      <x:c r="N292" s="241"/>
      <x:c r="O292" s="244" t="n">
        <x:f>IF(K292="",M292,L292/K292)</x:f>
        <x:v>0.974</x:v>
      </x:c>
      <x:c r="P292" s="244" t="n">
        <x:f>O292-M292</x:f>
        <x:v>0</x:v>
      </x:c>
    </x:row>
    <x:row r="293">
      <x:c r="A293" s="187" t="str">
        <x:v>SCENARIO_GROWTH_2026_08</x:v>
      </x:c>
      <x:c r="B293" s="187" t="str">
        <x:v>SCENARIO</x:v>
      </x:c>
      <x:c r="C293" s="187" t="str">
        <x:v>GROWTH</x:v>
      </x:c>
      <x:c r="D293" s="217" t="n">
        <x:v>46266</x:v>
      </x:c>
      <x:c r="E293" s="187" t="str">
        <x:v>R_GB_DE_C_AIR</x:v>
      </x:c>
      <x:c r="F293" s="187" t="str">
        <x:v>GB</x:v>
      </x:c>
      <x:c r="G293" s="187" t="str">
        <x:v>DE_FC</x:v>
      </x:c>
      <x:c r="H293" s="187" t="str">
        <x:v>CARRIER_C</x:v>
      </x:c>
      <x:c r="I293" s="187" t="str">
        <x:v>AIR</x:v>
      </x:c>
      <x:c r="J293" s="232" t="n">
        <x:v>2057.6726016</x:v>
      </x:c>
      <x:c r="K293" s="232"/>
      <x:c r="L293" s="232"/>
      <x:c r="M293" s="241" t="n">
        <x:v>0.988</x:v>
      </x:c>
      <x:c r="N293" s="241"/>
      <x:c r="O293" s="244" t="n">
        <x:f>IF(K293="",M293,L293/K293)</x:f>
        <x:v>0.988</x:v>
      </x:c>
      <x:c r="P293" s="244" t="n">
        <x:f>O293-M293</x:f>
        <x:v>0</x:v>
      </x:c>
    </x:row>
    <x:row r="294">
      <x:c r="A294" s="187" t="str">
        <x:v>SCENARIO_GROWTH_2026_08</x:v>
      </x:c>
      <x:c r="B294" s="187" t="str">
        <x:v>SCENARIO</x:v>
      </x:c>
      <x:c r="C294" s="187" t="str">
        <x:v>GROWTH</x:v>
      </x:c>
      <x:c r="D294" s="217" t="n">
        <x:v>46266</x:v>
      </x:c>
      <x:c r="E294" s="187" t="str">
        <x:v>R_GB_FR_B_AIR</x:v>
      </x:c>
      <x:c r="F294" s="187" t="str">
        <x:v>GB</x:v>
      </x:c>
      <x:c r="G294" s="187" t="str">
        <x:v>FR_FC</x:v>
      </x:c>
      <x:c r="H294" s="187" t="str">
        <x:v>CARRIER_B</x:v>
      </x:c>
      <x:c r="I294" s="187" t="str">
        <x:v>AIR</x:v>
      </x:c>
      <x:c r="J294" s="232" t="n">
        <x:v>301.05504</x:v>
      </x:c>
      <x:c r="K294" s="232"/>
      <x:c r="L294" s="232"/>
      <x:c r="M294" s="241" t="n">
        <x:v>0.971</x:v>
      </x:c>
      <x:c r="N294" s="241"/>
      <x:c r="O294" s="244" t="n">
        <x:f>IF(K294="",M294,L294/K294)</x:f>
        <x:v>0.971</x:v>
      </x:c>
      <x:c r="P294" s="244" t="n">
        <x:f>O294-M294</x:f>
        <x:v>0</x:v>
      </x:c>
    </x:row>
    <x:row r="295">
      <x:c r="A295" s="187" t="str">
        <x:v>SCENARIO_GROWTH_2026_08</x:v>
      </x:c>
      <x:c r="B295" s="187" t="str">
        <x:v>SCENARIO</x:v>
      </x:c>
      <x:c r="C295" s="187" t="str">
        <x:v>GROWTH</x:v>
      </x:c>
      <x:c r="D295" s="217" t="n">
        <x:v>46296</x:v>
      </x:c>
      <x:c r="E295" s="187" t="str">
        <x:v>R_DE_DE_A_ROAD</x:v>
      </x:c>
      <x:c r="F295" s="187" t="str">
        <x:v>DE</x:v>
      </x:c>
      <x:c r="G295" s="187" t="str">
        <x:v>DE_FC</x:v>
      </x:c>
      <x:c r="H295" s="187" t="str">
        <x:v>CARRIER_A</x:v>
      </x:c>
      <x:c r="I295" s="187" t="str">
        <x:v>ROAD</x:v>
      </x:c>
      <x:c r="J295" s="232" t="n">
        <x:v>4051.593</x:v>
      </x:c>
      <x:c r="K295" s="232"/>
      <x:c r="L295" s="232"/>
      <x:c r="M295" s="241" t="n">
        <x:v>0.965</x:v>
      </x:c>
      <x:c r="N295" s="241"/>
      <x:c r="O295" s="244" t="n">
        <x:f>IF(K295="",M295,L295/K295)</x:f>
        <x:v>0.965</x:v>
      </x:c>
      <x:c r="P295" s="244" t="n">
        <x:f>O295-M295</x:f>
        <x:v>0</x:v>
      </x:c>
    </x:row>
    <x:row r="296">
      <x:c r="A296" s="187" t="str">
        <x:v>SCENARIO_GROWTH_2026_08</x:v>
      </x:c>
      <x:c r="B296" s="187" t="str">
        <x:v>SCENARIO</x:v>
      </x:c>
      <x:c r="C296" s="187" t="str">
        <x:v>GROWTH</x:v>
      </x:c>
      <x:c r="D296" s="217" t="n">
        <x:v>46296</x:v>
      </x:c>
      <x:c r="E296" s="187" t="str">
        <x:v>R_DE_DE_B_ROAD</x:v>
      </x:c>
      <x:c r="F296" s="187" t="str">
        <x:v>DE</x:v>
      </x:c>
      <x:c r="G296" s="187" t="str">
        <x:v>DE_FC</x:v>
      </x:c>
      <x:c r="H296" s="187" t="str">
        <x:v>CARRIER_B</x:v>
      </x:c>
      <x:c r="I296" s="187" t="str">
        <x:v>ROAD</x:v>
      </x:c>
      <x:c r="J296" s="232" t="n">
        <x:v>2701.062</x:v>
      </x:c>
      <x:c r="K296" s="232"/>
      <x:c r="L296" s="232"/>
      <x:c r="M296" s="241" t="n">
        <x:v>0.976</x:v>
      </x:c>
      <x:c r="N296" s="241"/>
      <x:c r="O296" s="244" t="n">
        <x:f>IF(K296="",M296,L296/K296)</x:f>
        <x:v>0.976</x:v>
      </x:c>
      <x:c r="P296" s="244" t="n">
        <x:f>O296-M296</x:f>
        <x:v>0</x:v>
      </x:c>
    </x:row>
    <x:row r="297">
      <x:c r="A297" s="187" t="str">
        <x:v>SCENARIO_GROWTH_2026_08</x:v>
      </x:c>
      <x:c r="B297" s="187" t="str">
        <x:v>SCENARIO</x:v>
      </x:c>
      <x:c r="C297" s="187" t="str">
        <x:v>GROWTH</x:v>
      </x:c>
      <x:c r="D297" s="217" t="n">
        <x:v>46296</x:v>
      </x:c>
      <x:c r="E297" s="187" t="str">
        <x:v>R_DE_FR_B_ROAD</x:v>
      </x:c>
      <x:c r="F297" s="187" t="str">
        <x:v>DE</x:v>
      </x:c>
      <x:c r="G297" s="187" t="str">
        <x:v>FR_FC</x:v>
      </x:c>
      <x:c r="H297" s="187" t="str">
        <x:v>CARRIER_B</x:v>
      </x:c>
      <x:c r="I297" s="187" t="str">
        <x:v>ROAD</x:v>
      </x:c>
      <x:c r="J297" s="232" t="n">
        <x:v>214.812</x:v>
      </x:c>
      <x:c r="K297" s="232"/>
      <x:c r="L297" s="232"/>
      <x:c r="M297" s="241" t="n">
        <x:v>0.968</x:v>
      </x:c>
      <x:c r="N297" s="241"/>
      <x:c r="O297" s="244" t="n">
        <x:f>IF(K297="",M297,L297/K297)</x:f>
        <x:v>0.968</x:v>
      </x:c>
      <x:c r="P297" s="244" t="n">
        <x:f>O297-M297</x:f>
        <x:v>0</x:v>
      </x:c>
    </x:row>
    <x:row r="298">
      <x:c r="A298" s="187" t="str">
        <x:v>SCENARIO_GROWTH_2026_08</x:v>
      </x:c>
      <x:c r="B298" s="187" t="str">
        <x:v>SCENARIO</x:v>
      </x:c>
      <x:c r="C298" s="187" t="str">
        <x:v>GROWTH</x:v>
      </x:c>
      <x:c r="D298" s="217" t="n">
        <x:v>46296</x:v>
      </x:c>
      <x:c r="E298" s="187" t="str">
        <x:v>R_FR_FR_A_ROAD</x:v>
      </x:c>
      <x:c r="F298" s="187" t="str">
        <x:v>FR</x:v>
      </x:c>
      <x:c r="G298" s="187" t="str">
        <x:v>FR_FC</x:v>
      </x:c>
      <x:c r="H298" s="187" t="str">
        <x:v>CARRIER_A</x:v>
      </x:c>
      <x:c r="I298" s="187" t="str">
        <x:v>ROAD</x:v>
      </x:c>
      <x:c r="J298" s="232" t="n">
        <x:v>2170.35</x:v>
      </x:c>
      <x:c r="K298" s="232"/>
      <x:c r="L298" s="232"/>
      <x:c r="M298" s="241" t="n">
        <x:v>0.961</x:v>
      </x:c>
      <x:c r="N298" s="241"/>
      <x:c r="O298" s="244" t="n">
        <x:f>IF(K298="",M298,L298/K298)</x:f>
        <x:v>0.961</x:v>
      </x:c>
      <x:c r="P298" s="244" t="n">
        <x:f>O298-M298</x:f>
        <x:v>0</x:v>
      </x:c>
    </x:row>
    <x:row r="299">
      <x:c r="A299" s="187" t="str">
        <x:v>SCENARIO_GROWTH_2026_08</x:v>
      </x:c>
      <x:c r="B299" s="187" t="str">
        <x:v>SCENARIO</x:v>
      </x:c>
      <x:c r="C299" s="187" t="str">
        <x:v>GROWTH</x:v>
      </x:c>
      <x:c r="D299" s="217" t="n">
        <x:v>46296</x:v>
      </x:c>
      <x:c r="E299" s="187" t="str">
        <x:v>R_FR_FR_B_ROAD</x:v>
      </x:c>
      <x:c r="F299" s="187" t="str">
        <x:v>FR</x:v>
      </x:c>
      <x:c r="G299" s="187" t="str">
        <x:v>FR_FC</x:v>
      </x:c>
      <x:c r="H299" s="187" t="str">
        <x:v>CARRIER_B</x:v>
      </x:c>
      <x:c r="I299" s="187" t="str">
        <x:v>ROAD</x:v>
      </x:c>
      <x:c r="J299" s="232" t="n">
        <x:v>4030.65</x:v>
      </x:c>
      <x:c r="K299" s="232"/>
      <x:c r="L299" s="232"/>
      <x:c r="M299" s="241" t="n">
        <x:v>0.973</x:v>
      </x:c>
      <x:c r="N299" s="241"/>
      <x:c r="O299" s="244" t="n">
        <x:f>IF(K299="",M299,L299/K299)</x:f>
        <x:v>0.973</x:v>
      </x:c>
      <x:c r="P299" s="244" t="n">
        <x:f>O299-M299</x:f>
        <x:v>0</x:v>
      </x:c>
    </x:row>
    <x:row r="300">
      <x:c r="A300" s="187" t="str">
        <x:v>SCENARIO_GROWTH_2026_08</x:v>
      </x:c>
      <x:c r="B300" s="187" t="str">
        <x:v>SCENARIO</x:v>
      </x:c>
      <x:c r="C300" s="187" t="str">
        <x:v>GROWTH</x:v>
      </x:c>
      <x:c r="D300" s="217" t="n">
        <x:v>46296</x:v>
      </x:c>
      <x:c r="E300" s="187" t="str">
        <x:v>R_GB_DE_A_ROAD</x:v>
      </x:c>
      <x:c r="F300" s="187" t="str">
        <x:v>GB</x:v>
      </x:c>
      <x:c r="G300" s="187" t="str">
        <x:v>DE_FC</x:v>
      </x:c>
      <x:c r="H300" s="187" t="str">
        <x:v>CARRIER_A</x:v>
      </x:c>
      <x:c r="I300" s="187" t="str">
        <x:v>ROAD</x:v>
      </x:c>
      <x:c r="J300" s="232" t="n">
        <x:v>3122.406144</x:v>
      </x:c>
      <x:c r="K300" s="232"/>
      <x:c r="L300" s="232"/>
      <x:c r="M300" s="241" t="n">
        <x:v>0.93</x:v>
      </x:c>
      <x:c r="N300" s="241"/>
      <x:c r="O300" s="244" t="n">
        <x:f>IF(K300="",M300,L300/K300)</x:f>
        <x:v>0.93</x:v>
      </x:c>
      <x:c r="P300" s="244" t="n">
        <x:f>O300-M300</x:f>
        <x:v>0</x:v>
      </x:c>
    </x:row>
    <x:row r="301">
      <x:c r="A301" s="187" t="str">
        <x:v>SCENARIO_GROWTH_2026_08</x:v>
      </x:c>
      <x:c r="B301" s="187" t="str">
        <x:v>SCENARIO</x:v>
      </x:c>
      <x:c r="C301" s="187" t="str">
        <x:v>GROWTH</x:v>
      </x:c>
      <x:c r="D301" s="217" t="n">
        <x:v>46296</x:v>
      </x:c>
      <x:c r="E301" s="187" t="str">
        <x:v>R_GB_DE_B_ROAD</x:v>
      </x:c>
      <x:c r="F301" s="187" t="str">
        <x:v>GB</x:v>
      </x:c>
      <x:c r="G301" s="187" t="str">
        <x:v>DE_FC</x:v>
      </x:c>
      <x:c r="H301" s="187" t="str">
        <x:v>CARRIER_B</x:v>
      </x:c>
      <x:c r="I301" s="187" t="str">
        <x:v>ROAD</x:v>
      </x:c>
      <x:c r="J301" s="232" t="n">
        <x:v>1734.67008</x:v>
      </x:c>
      <x:c r="K301" s="232"/>
      <x:c r="L301" s="232"/>
      <x:c r="M301" s="241" t="n">
        <x:v>0.95</x:v>
      </x:c>
      <x:c r="N301" s="241"/>
      <x:c r="O301" s="244" t="n">
        <x:f>IF(K301="",M301,L301/K301)</x:f>
        <x:v>0.95</x:v>
      </x:c>
      <x:c r="P301" s="244" t="n">
        <x:f>O301-M301</x:f>
        <x:v>0</x:v>
      </x:c>
    </x:row>
    <x:row r="302">
      <x:c r="A302" s="187" t="str">
        <x:v>SCENARIO_GROWTH_2026_08</x:v>
      </x:c>
      <x:c r="B302" s="187" t="str">
        <x:v>SCENARIO</x:v>
      </x:c>
      <x:c r="C302" s="187" t="str">
        <x:v>GROWTH</x:v>
      </x:c>
      <x:c r="D302" s="217" t="n">
        <x:v>46296</x:v>
      </x:c>
      <x:c r="E302" s="187" t="str">
        <x:v>R_GB_DE_B_AIR</x:v>
      </x:c>
      <x:c r="F302" s="187" t="str">
        <x:v>GB</x:v>
      </x:c>
      <x:c r="G302" s="187" t="str">
        <x:v>DE_FC</x:v>
      </x:c>
      <x:c r="H302" s="187" t="str">
        <x:v>CARRIER_B</x:v>
      </x:c>
      <x:c r="I302" s="187" t="str">
        <x:v>AIR</x:v>
      </x:c>
      <x:c r="J302" s="232" t="n">
        <x:v>2081.604096</x:v>
      </x:c>
      <x:c r="K302" s="232"/>
      <x:c r="L302" s="232"/>
      <x:c r="M302" s="241" t="n">
        <x:v>0.974</x:v>
      </x:c>
      <x:c r="N302" s="241"/>
      <x:c r="O302" s="244" t="n">
        <x:f>IF(K302="",M302,L302/K302)</x:f>
        <x:v>0.974</x:v>
      </x:c>
      <x:c r="P302" s="244" t="n">
        <x:f>O302-M302</x:f>
        <x:v>0</x:v>
      </x:c>
    </x:row>
    <x:row r="303">
      <x:c r="A303" s="187" t="str">
        <x:v>SCENARIO_GROWTH_2026_08</x:v>
      </x:c>
      <x:c r="B303" s="187" t="str">
        <x:v>SCENARIO</x:v>
      </x:c>
      <x:c r="C303" s="187" t="str">
        <x:v>GROWTH</x:v>
      </x:c>
      <x:c r="D303" s="217" t="n">
        <x:v>46296</x:v>
      </x:c>
      <x:c r="E303" s="187" t="str">
        <x:v>R_GB_DE_C_AIR</x:v>
      </x:c>
      <x:c r="F303" s="187" t="str">
        <x:v>GB</x:v>
      </x:c>
      <x:c r="G303" s="187" t="str">
        <x:v>DE_FC</x:v>
      </x:c>
      <x:c r="H303" s="187" t="str">
        <x:v>CARRIER_C</x:v>
      </x:c>
      <x:c r="I303" s="187" t="str">
        <x:v>AIR</x:v>
      </x:c>
      <x:c r="J303" s="232" t="n">
        <x:v>1734.67008</x:v>
      </x:c>
      <x:c r="K303" s="232"/>
      <x:c r="L303" s="232"/>
      <x:c r="M303" s="241" t="n">
        <x:v>0.988</x:v>
      </x:c>
      <x:c r="N303" s="241"/>
      <x:c r="O303" s="244" t="n">
        <x:f>IF(K303="",M303,L303/K303)</x:f>
        <x:v>0.988</x:v>
      </x:c>
      <x:c r="P303" s="244" t="n">
        <x:f>O303-M303</x:f>
        <x:v>0</x:v>
      </x:c>
    </x:row>
    <x:row r="304">
      <x:c r="A304" s="187" t="str">
        <x:v>SCENARIO_GROWTH_2026_08</x:v>
      </x:c>
      <x:c r="B304" s="187" t="str">
        <x:v>SCENARIO</x:v>
      </x:c>
      <x:c r="C304" s="187" t="str">
        <x:v>GROWTH</x:v>
      </x:c>
      <x:c r="D304" s="217" t="n">
        <x:v>46296</x:v>
      </x:c>
      <x:c r="E304" s="187" t="str">
        <x:v>R_GB_FR_B_AIR</x:v>
      </x:c>
      <x:c r="F304" s="187" t="str">
        <x:v>GB</x:v>
      </x:c>
      <x:c r="G304" s="187" t="str">
        <x:v>FR_FC</x:v>
      </x:c>
      <x:c r="H304" s="187" t="str">
        <x:v>CARRIER_B</x:v>
      </x:c>
      <x:c r="I304" s="187" t="str">
        <x:v>AIR</x:v>
      </x:c>
      <x:c r="J304" s="232" t="n">
        <x:v>361.3896</x:v>
      </x:c>
      <x:c r="K304" s="232"/>
      <x:c r="L304" s="232"/>
      <x:c r="M304" s="241" t="n">
        <x:v>0.971</x:v>
      </x:c>
      <x:c r="N304" s="241"/>
      <x:c r="O304" s="244" t="n">
        <x:f>IF(K304="",M304,L304/K304)</x:f>
        <x:v>0.971</x:v>
      </x:c>
      <x:c r="P304" s="244" t="n">
        <x:f>O304-M304</x:f>
        <x:v>0</x:v>
      </x:c>
    </x:row>
    <x:row r="305">
      <x:c r="A305" s="187" t="str">
        <x:v>SCENARIO_GROWTH_2026_08</x:v>
      </x:c>
      <x:c r="B305" s="187" t="str">
        <x:v>SCENARIO</x:v>
      </x:c>
      <x:c r="C305" s="187" t="str">
        <x:v>GROWTH</x:v>
      </x:c>
      <x:c r="D305" s="217" t="n">
        <x:v>46327</x:v>
      </x:c>
      <x:c r="E305" s="187" t="str">
        <x:v>R_DE_DE_A_ROAD</x:v>
      </x:c>
      <x:c r="F305" s="187" t="str">
        <x:v>DE</x:v>
      </x:c>
      <x:c r="G305" s="187" t="str">
        <x:v>DE_FC</x:v>
      </x:c>
      <x:c r="H305" s="187" t="str">
        <x:v>CARRIER_A</x:v>
      </x:c>
      <x:c r="I305" s="187" t="str">
        <x:v>ROAD</x:v>
      </x:c>
      <x:c r="J305" s="232" t="n">
        <x:v>4849.6896</x:v>
      </x:c>
      <x:c r="K305" s="232"/>
      <x:c r="L305" s="232"/>
      <x:c r="M305" s="241" t="n">
        <x:v>0.965</x:v>
      </x:c>
      <x:c r="N305" s="241"/>
      <x:c r="O305" s="244" t="n">
        <x:f>IF(K305="",M305,L305/K305)</x:f>
        <x:v>0.965</x:v>
      </x:c>
      <x:c r="P305" s="244" t="n">
        <x:f>O305-M305</x:f>
        <x:v>0</x:v>
      </x:c>
    </x:row>
    <x:row r="306">
      <x:c r="A306" s="187" t="str">
        <x:v>SCENARIO_GROWTH_2026_08</x:v>
      </x:c>
      <x:c r="B306" s="187" t="str">
        <x:v>SCENARIO</x:v>
      </x:c>
      <x:c r="C306" s="187" t="str">
        <x:v>GROWTH</x:v>
      </x:c>
      <x:c r="D306" s="217" t="n">
        <x:v>46327</x:v>
      </x:c>
      <x:c r="E306" s="187" t="str">
        <x:v>R_DE_DE_B_ROAD</x:v>
      </x:c>
      <x:c r="F306" s="187" t="str">
        <x:v>DE</x:v>
      </x:c>
      <x:c r="G306" s="187" t="str">
        <x:v>DE_FC</x:v>
      </x:c>
      <x:c r="H306" s="187" t="str">
        <x:v>CARRIER_B</x:v>
      </x:c>
      <x:c r="I306" s="187" t="str">
        <x:v>ROAD</x:v>
      </x:c>
      <x:c r="J306" s="232" t="n">
        <x:v>3233.1264</x:v>
      </x:c>
      <x:c r="K306" s="232"/>
      <x:c r="L306" s="232"/>
      <x:c r="M306" s="241" t="n">
        <x:v>0.976</x:v>
      </x:c>
      <x:c r="N306" s="241"/>
      <x:c r="O306" s="244" t="n">
        <x:f>IF(K306="",M306,L306/K306)</x:f>
        <x:v>0.976</x:v>
      </x:c>
      <x:c r="P306" s="244" t="n">
        <x:f>O306-M306</x:f>
        <x:v>0</x:v>
      </x:c>
    </x:row>
    <x:row r="307">
      <x:c r="A307" s="187" t="str">
        <x:v>SCENARIO_GROWTH_2026_08</x:v>
      </x:c>
      <x:c r="B307" s="187" t="str">
        <x:v>SCENARIO</x:v>
      </x:c>
      <x:c r="C307" s="187" t="str">
        <x:v>GROWTH</x:v>
      </x:c>
      <x:c r="D307" s="217" t="n">
        <x:v>46327</x:v>
      </x:c>
      <x:c r="E307" s="187" t="str">
        <x:v>R_DE_FR_B_ROAD</x:v>
      </x:c>
      <x:c r="F307" s="187" t="str">
        <x:v>DE</x:v>
      </x:c>
      <x:c r="G307" s="187" t="str">
        <x:v>FR_FC</x:v>
      </x:c>
      <x:c r="H307" s="187" t="str">
        <x:v>CARRIER_B</x:v>
      </x:c>
      <x:c r="I307" s="187" t="str">
        <x:v>ROAD</x:v>
      </x:c>
      <x:c r="J307" s="232" t="n">
        <x:v>257.1264</x:v>
      </x:c>
      <x:c r="K307" s="232"/>
      <x:c r="L307" s="232"/>
      <x:c r="M307" s="241" t="n">
        <x:v>0.968</x:v>
      </x:c>
      <x:c r="N307" s="241"/>
      <x:c r="O307" s="244" t="n">
        <x:f>IF(K307="",M307,L307/K307)</x:f>
        <x:v>0.968</x:v>
      </x:c>
      <x:c r="P307" s="244" t="n">
        <x:f>O307-M307</x:f>
        <x:v>0</x:v>
      </x:c>
    </x:row>
    <x:row r="308">
      <x:c r="A308" s="187" t="str">
        <x:v>SCENARIO_GROWTH_2026_08</x:v>
      </x:c>
      <x:c r="B308" s="187" t="str">
        <x:v>SCENARIO</x:v>
      </x:c>
      <x:c r="C308" s="187" t="str">
        <x:v>GROWTH</x:v>
      </x:c>
      <x:c r="D308" s="217" t="n">
        <x:v>46327</x:v>
      </x:c>
      <x:c r="E308" s="187" t="str">
        <x:v>R_FR_FR_A_ROAD</x:v>
      </x:c>
      <x:c r="F308" s="187" t="str">
        <x:v>FR</x:v>
      </x:c>
      <x:c r="G308" s="187" t="str">
        <x:v>FR_FC</x:v>
      </x:c>
      <x:c r="H308" s="187" t="str">
        <x:v>CARRIER_A</x:v>
      </x:c>
      <x:c r="I308" s="187" t="str">
        <x:v>ROAD</x:v>
      </x:c>
      <x:c r="J308" s="232" t="n">
        <x:v>2668.232</x:v>
      </x:c>
      <x:c r="K308" s="232"/>
      <x:c r="L308" s="232"/>
      <x:c r="M308" s="241" t="n">
        <x:v>0.961</x:v>
      </x:c>
      <x:c r="N308" s="241"/>
      <x:c r="O308" s="244" t="n">
        <x:f>IF(K308="",M308,L308/K308)</x:f>
        <x:v>0.961</x:v>
      </x:c>
      <x:c r="P308" s="244" t="n">
        <x:f>O308-M308</x:f>
        <x:v>0</x:v>
      </x:c>
    </x:row>
    <x:row r="309">
      <x:c r="A309" s="187" t="str">
        <x:v>SCENARIO_GROWTH_2026_08</x:v>
      </x:c>
      <x:c r="B309" s="187" t="str">
        <x:v>SCENARIO</x:v>
      </x:c>
      <x:c r="C309" s="187" t="str">
        <x:v>GROWTH</x:v>
      </x:c>
      <x:c r="D309" s="217" t="n">
        <x:v>46327</x:v>
      </x:c>
      <x:c r="E309" s="187" t="str">
        <x:v>R_FR_FR_B_ROAD</x:v>
      </x:c>
      <x:c r="F309" s="187" t="str">
        <x:v>FR</x:v>
      </x:c>
      <x:c r="G309" s="187" t="str">
        <x:v>FR_FC</x:v>
      </x:c>
      <x:c r="H309" s="187" t="str">
        <x:v>CARRIER_B</x:v>
      </x:c>
      <x:c r="I309" s="187" t="str">
        <x:v>ROAD</x:v>
      </x:c>
      <x:c r="J309" s="232" t="n">
        <x:v>4955.288</x:v>
      </x:c>
      <x:c r="K309" s="232"/>
      <x:c r="L309" s="232"/>
      <x:c r="M309" s="241" t="n">
        <x:v>0.973</x:v>
      </x:c>
      <x:c r="N309" s="241"/>
      <x:c r="O309" s="244" t="n">
        <x:f>IF(K309="",M309,L309/K309)</x:f>
        <x:v>0.973</x:v>
      </x:c>
      <x:c r="P309" s="244" t="n">
        <x:f>O309-M309</x:f>
        <x:v>0</x:v>
      </x:c>
    </x:row>
    <x:row r="310">
      <x:c r="A310" s="187" t="str">
        <x:v>SCENARIO_GROWTH_2026_08</x:v>
      </x:c>
      <x:c r="B310" s="187" t="str">
        <x:v>SCENARIO</x:v>
      </x:c>
      <x:c r="C310" s="187" t="str">
        <x:v>GROWTH</x:v>
      </x:c>
      <x:c r="D310" s="217" t="n">
        <x:v>46327</x:v>
      </x:c>
      <x:c r="E310" s="187" t="str">
        <x:v>R_GB_DE_A_ROAD</x:v>
      </x:c>
      <x:c r="F310" s="187" t="str">
        <x:v>GB</x:v>
      </x:c>
      <x:c r="G310" s="187" t="str">
        <x:v>DE_FC</x:v>
      </x:c>
      <x:c r="H310" s="187" t="str">
        <x:v>CARRIER_A</x:v>
      </x:c>
      <x:c r="I310" s="187" t="str">
        <x:v>ROAD</x:v>
      </x:c>
      <x:c r="J310" s="232" t="n">
        <x:v>5018.9787648</x:v>
      </x:c>
      <x:c r="K310" s="232"/>
      <x:c r="L310" s="232"/>
      <x:c r="M310" s="241" t="n">
        <x:v>0.93</x:v>
      </x:c>
      <x:c r="N310" s="241"/>
      <x:c r="O310" s="244" t="n">
        <x:f>IF(K310="",M310,L310/K310)</x:f>
        <x:v>0.93</x:v>
      </x:c>
      <x:c r="P310" s="244" t="n">
        <x:f>O310-M310</x:f>
        <x:v>0</x:v>
      </x:c>
    </x:row>
    <x:row r="311">
      <x:c r="A311" s="187" t="str">
        <x:v>SCENARIO_GROWTH_2026_08</x:v>
      </x:c>
      <x:c r="B311" s="187" t="str">
        <x:v>SCENARIO</x:v>
      </x:c>
      <x:c r="C311" s="187" t="str">
        <x:v>GROWTH</x:v>
      </x:c>
      <x:c r="D311" s="217" t="n">
        <x:v>46327</x:v>
      </x:c>
      <x:c r="E311" s="187" t="str">
        <x:v>R_GB_DE_B_ROAD</x:v>
      </x:c>
      <x:c r="F311" s="187" t="str">
        <x:v>GB</x:v>
      </x:c>
      <x:c r="G311" s="187" t="str">
        <x:v>DE_FC</x:v>
      </x:c>
      <x:c r="H311" s="187" t="str">
        <x:v>CARRIER_B</x:v>
      </x:c>
      <x:c r="I311" s="187" t="str">
        <x:v>ROAD</x:v>
      </x:c>
      <x:c r="J311" s="232" t="n">
        <x:v>2748.4883712</x:v>
      </x:c>
      <x:c r="K311" s="232"/>
      <x:c r="L311" s="232"/>
      <x:c r="M311" s="241" t="n">
        <x:v>0.95</x:v>
      </x:c>
      <x:c r="N311" s="241"/>
      <x:c r="O311" s="244" t="n">
        <x:f>IF(K311="",M311,L311/K311)</x:f>
        <x:v>0.95</x:v>
      </x:c>
      <x:c r="P311" s="244" t="n">
        <x:f>O311-M311</x:f>
        <x:v>0</x:v>
      </x:c>
    </x:row>
    <x:row r="312">
      <x:c r="A312" s="187" t="str">
        <x:v>SCENARIO_GROWTH_2026_08</x:v>
      </x:c>
      <x:c r="B312" s="187" t="str">
        <x:v>SCENARIO</x:v>
      </x:c>
      <x:c r="C312" s="187" t="str">
        <x:v>GROWTH</x:v>
      </x:c>
      <x:c r="D312" s="217" t="n">
        <x:v>46327</x:v>
      </x:c>
      <x:c r="E312" s="187" t="str">
        <x:v>R_GB_DE_B_AIR</x:v>
      </x:c>
      <x:c r="F312" s="187" t="str">
        <x:v>GB</x:v>
      </x:c>
      <x:c r="G312" s="187" t="str">
        <x:v>DE_FC</x:v>
      </x:c>
      <x:c r="H312" s="187" t="str">
        <x:v>CARRIER_B</x:v>
      </x:c>
      <x:c r="I312" s="187" t="str">
        <x:v>AIR</x:v>
      </x:c>
      <x:c r="J312" s="232" t="n">
        <x:v>2628.9888768</x:v>
      </x:c>
      <x:c r="K312" s="232"/>
      <x:c r="L312" s="232"/>
      <x:c r="M312" s="241" t="n">
        <x:v>0.974</x:v>
      </x:c>
      <x:c r="N312" s="241"/>
      <x:c r="O312" s="244" t="n">
        <x:f>IF(K312="",M312,L312/K312)</x:f>
        <x:v>0.974</x:v>
      </x:c>
      <x:c r="P312" s="244" t="n">
        <x:f>O312-M312</x:f>
        <x:v>0</x:v>
      </x:c>
    </x:row>
    <x:row r="313">
      <x:c r="A313" s="187" t="str">
        <x:v>SCENARIO_GROWTH_2026_08</x:v>
      </x:c>
      <x:c r="B313" s="187" t="str">
        <x:v>SCENARIO</x:v>
      </x:c>
      <x:c r="C313" s="187" t="str">
        <x:v>GROWTH</x:v>
      </x:c>
      <x:c r="D313" s="217" t="n">
        <x:v>46327</x:v>
      </x:c>
      <x:c r="E313" s="187" t="str">
        <x:v>R_GB_DE_C_AIR</x:v>
      </x:c>
      <x:c r="F313" s="187" t="str">
        <x:v>GB</x:v>
      </x:c>
      <x:c r="G313" s="187" t="str">
        <x:v>DE_FC</x:v>
      </x:c>
      <x:c r="H313" s="187" t="str">
        <x:v>CARRIER_C</x:v>
      </x:c>
      <x:c r="I313" s="187" t="str">
        <x:v>AIR</x:v>
      </x:c>
      <x:c r="J313" s="232" t="n">
        <x:v>1553.4934272</x:v>
      </x:c>
      <x:c r="K313" s="232"/>
      <x:c r="L313" s="232"/>
      <x:c r="M313" s="241" t="n">
        <x:v>0.988</x:v>
      </x:c>
      <x:c r="N313" s="241"/>
      <x:c r="O313" s="244" t="n">
        <x:f>IF(K313="",M313,L313/K313)</x:f>
        <x:v>0.988</x:v>
      </x:c>
      <x:c r="P313" s="244" t="n">
        <x:f>O313-M313</x:f>
        <x:v>0</x:v>
      </x:c>
    </x:row>
    <x:row r="314">
      <x:c r="A314" s="187" t="str">
        <x:v>SCENARIO_GROWTH_2026_08</x:v>
      </x:c>
      <x:c r="B314" s="187" t="str">
        <x:v>SCENARIO</x:v>
      </x:c>
      <x:c r="C314" s="187" t="str">
        <x:v>GROWTH</x:v>
      </x:c>
      <x:c r="D314" s="217" t="n">
        <x:v>46327</x:v>
      </x:c>
      <x:c r="E314" s="187" t="str">
        <x:v>R_GB_FR_B_AIR</x:v>
      </x:c>
      <x:c r="F314" s="187" t="str">
        <x:v>GB</x:v>
      </x:c>
      <x:c r="G314" s="187" t="str">
        <x:v>FR_FC</x:v>
      </x:c>
      <x:c r="H314" s="187" t="str">
        <x:v>CARRIER_B</x:v>
      </x:c>
      <x:c r="I314" s="187" t="str">
        <x:v>AIR</x:v>
      </x:c>
      <x:c r="J314" s="232" t="n">
        <x:v>497.91456</x:v>
      </x:c>
      <x:c r="K314" s="232"/>
      <x:c r="L314" s="232"/>
      <x:c r="M314" s="241" t="n">
        <x:v>0.971</x:v>
      </x:c>
      <x:c r="N314" s="241"/>
      <x:c r="O314" s="244" t="n">
        <x:f>IF(K314="",M314,L314/K314)</x:f>
        <x:v>0.971</x:v>
      </x:c>
      <x:c r="P314" s="244" t="n">
        <x:f>O314-M314</x:f>
        <x:v>0</x:v>
      </x:c>
    </x:row>
    <x:row r="315">
      <x:c r="A315" s="187" t="str">
        <x:v>SCENARIO_GROWTH_2026_08</x:v>
      </x:c>
      <x:c r="B315" s="187" t="str">
        <x:v>SCENARIO</x:v>
      </x:c>
      <x:c r="C315" s="187" t="str">
        <x:v>GROWTH</x:v>
      </x:c>
      <x:c r="D315" s="217" t="n">
        <x:v>46357</x:v>
      </x:c>
      <x:c r="E315" s="187" t="str">
        <x:v>R_DE_DE_A_ROAD</x:v>
      </x:c>
      <x:c r="F315" s="187" t="str">
        <x:v>DE</x:v>
      </x:c>
      <x:c r="G315" s="187" t="str">
        <x:v>DE_FC</x:v>
      </x:c>
      <x:c r="H315" s="187" t="str">
        <x:v>CARRIER_A</x:v>
      </x:c>
      <x:c r="I315" s="187" t="str">
        <x:v>ROAD</x:v>
      </x:c>
      <x:c r="J315" s="232" t="n">
        <x:v>5592.7872</x:v>
      </x:c>
      <x:c r="K315" s="232"/>
      <x:c r="L315" s="232"/>
      <x:c r="M315" s="241" t="n">
        <x:v>0.965</x:v>
      </x:c>
      <x:c r="N315" s="241"/>
      <x:c r="O315" s="244" t="n">
        <x:f>IF(K315="",M315,L315/K315)</x:f>
        <x:v>0.965</x:v>
      </x:c>
      <x:c r="P315" s="244" t="n">
        <x:f>O315-M315</x:f>
        <x:v>0</x:v>
      </x:c>
    </x:row>
    <x:row r="316">
      <x:c r="A316" s="187" t="str">
        <x:v>SCENARIO_GROWTH_2026_08</x:v>
      </x:c>
      <x:c r="B316" s="187" t="str">
        <x:v>SCENARIO</x:v>
      </x:c>
      <x:c r="C316" s="187" t="str">
        <x:v>GROWTH</x:v>
      </x:c>
      <x:c r="D316" s="217" t="n">
        <x:v>46357</x:v>
      </x:c>
      <x:c r="E316" s="187" t="str">
        <x:v>R_DE_DE_B_ROAD</x:v>
      </x:c>
      <x:c r="F316" s="187" t="str">
        <x:v>DE</x:v>
      </x:c>
      <x:c r="G316" s="187" t="str">
        <x:v>DE_FC</x:v>
      </x:c>
      <x:c r="H316" s="187" t="str">
        <x:v>CARRIER_B</x:v>
      </x:c>
      <x:c r="I316" s="187" t="str">
        <x:v>ROAD</x:v>
      </x:c>
      <x:c r="J316" s="232" t="n">
        <x:v>3728.5248</x:v>
      </x:c>
      <x:c r="K316" s="232"/>
      <x:c r="L316" s="232"/>
      <x:c r="M316" s="241" t="n">
        <x:v>0.976</x:v>
      </x:c>
      <x:c r="N316" s="241"/>
      <x:c r="O316" s="244" t="n">
        <x:f>IF(K316="",M316,L316/K316)</x:f>
        <x:v>0.976</x:v>
      </x:c>
      <x:c r="P316" s="244" t="n">
        <x:f>O316-M316</x:f>
        <x:v>0</x:v>
      </x:c>
    </x:row>
    <x:row r="317">
      <x:c r="A317" s="187" t="str">
        <x:v>SCENARIO_GROWTH_2026_08</x:v>
      </x:c>
      <x:c r="B317" s="187" t="str">
        <x:v>SCENARIO</x:v>
      </x:c>
      <x:c r="C317" s="187" t="str">
        <x:v>GROWTH</x:v>
      </x:c>
      <x:c r="D317" s="217" t="n">
        <x:v>46357</x:v>
      </x:c>
      <x:c r="E317" s="187" t="str">
        <x:v>R_DE_FR_B_ROAD</x:v>
      </x:c>
      <x:c r="F317" s="187" t="str">
        <x:v>DE</x:v>
      </x:c>
      <x:c r="G317" s="187" t="str">
        <x:v>FR_FC</x:v>
      </x:c>
      <x:c r="H317" s="187" t="str">
        <x:v>CARRIER_B</x:v>
      </x:c>
      <x:c r="I317" s="187" t="str">
        <x:v>ROAD</x:v>
      </x:c>
      <x:c r="J317" s="232" t="n">
        <x:v>296.5248</x:v>
      </x:c>
      <x:c r="K317" s="232"/>
      <x:c r="L317" s="232"/>
      <x:c r="M317" s="241" t="n">
        <x:v>0.968</x:v>
      </x:c>
      <x:c r="N317" s="241"/>
      <x:c r="O317" s="244" t="n">
        <x:f>IF(K317="",M317,L317/K317)</x:f>
        <x:v>0.968</x:v>
      </x:c>
      <x:c r="P317" s="244" t="n">
        <x:f>O317-M317</x:f>
        <x:v>0</x:v>
      </x:c>
    </x:row>
    <x:row r="318">
      <x:c r="A318" s="187" t="str">
        <x:v>SCENARIO_GROWTH_2026_08</x:v>
      </x:c>
      <x:c r="B318" s="187" t="str">
        <x:v>SCENARIO</x:v>
      </x:c>
      <x:c r="C318" s="187" t="str">
        <x:v>GROWTH</x:v>
      </x:c>
      <x:c r="D318" s="217" t="n">
        <x:v>46357</x:v>
      </x:c>
      <x:c r="E318" s="187" t="str">
        <x:v>R_FR_FR_A_ROAD</x:v>
      </x:c>
      <x:c r="F318" s="187" t="str">
        <x:v>FR</x:v>
      </x:c>
      <x:c r="G318" s="187" t="str">
        <x:v>FR_FC</x:v>
      </x:c>
      <x:c r="H318" s="187" t="str">
        <x:v>CARRIER_A</x:v>
      </x:c>
      <x:c r="I318" s="187" t="str">
        <x:v>ROAD</x:v>
      </x:c>
      <x:c r="J318" s="232" t="n">
        <x:v>2970.968</x:v>
      </x:c>
      <x:c r="K318" s="232"/>
      <x:c r="L318" s="232"/>
      <x:c r="M318" s="241" t="n">
        <x:v>0.961</x:v>
      </x:c>
      <x:c r="N318" s="241"/>
      <x:c r="O318" s="244" t="n">
        <x:f>IF(K318="",M318,L318/K318)</x:f>
        <x:v>0.961</x:v>
      </x:c>
      <x:c r="P318" s="244" t="n">
        <x:f>O318-M318</x:f>
        <x:v>0</x:v>
      </x:c>
    </x:row>
    <x:row r="319">
      <x:c r="A319" s="187" t="str">
        <x:v>SCENARIO_GROWTH_2026_08</x:v>
      </x:c>
      <x:c r="B319" s="187" t="str">
        <x:v>SCENARIO</x:v>
      </x:c>
      <x:c r="C319" s="187" t="str">
        <x:v>GROWTH</x:v>
      </x:c>
      <x:c r="D319" s="217" t="n">
        <x:v>46357</x:v>
      </x:c>
      <x:c r="E319" s="187" t="str">
        <x:v>R_FR_FR_B_ROAD</x:v>
      </x:c>
      <x:c r="F319" s="187" t="str">
        <x:v>FR</x:v>
      </x:c>
      <x:c r="G319" s="187" t="str">
        <x:v>FR_FC</x:v>
      </x:c>
      <x:c r="H319" s="187" t="str">
        <x:v>CARRIER_B</x:v>
      </x:c>
      <x:c r="I319" s="187" t="str">
        <x:v>ROAD</x:v>
      </x:c>
      <x:c r="J319" s="232" t="n">
        <x:v>5517.512</x:v>
      </x:c>
      <x:c r="K319" s="232"/>
      <x:c r="L319" s="232"/>
      <x:c r="M319" s="241" t="n">
        <x:v>0.973</x:v>
      </x:c>
      <x:c r="N319" s="241"/>
      <x:c r="O319" s="244" t="n">
        <x:f>IF(K319="",M319,L319/K319)</x:f>
        <x:v>0.973</x:v>
      </x:c>
      <x:c r="P319" s="244" t="n">
        <x:f>O319-M319</x:f>
        <x:v>0</x:v>
      </x:c>
    </x:row>
    <x:row r="320">
      <x:c r="A320" s="187" t="str">
        <x:v>SCENARIO_GROWTH_2026_08</x:v>
      </x:c>
      <x:c r="B320" s="187" t="str">
        <x:v>SCENARIO</x:v>
      </x:c>
      <x:c r="C320" s="187" t="str">
        <x:v>GROWTH</x:v>
      </x:c>
      <x:c r="D320" s="217" t="n">
        <x:v>46357</x:v>
      </x:c>
      <x:c r="E320" s="187" t="str">
        <x:v>R_GB_DE_A_ROAD</x:v>
      </x:c>
      <x:c r="F320" s="187" t="str">
        <x:v>GB</x:v>
      </x:c>
      <x:c r="G320" s="187" t="str">
        <x:v>DE_FC</x:v>
      </x:c>
      <x:c r="H320" s="187" t="str">
        <x:v>CARRIER_A</x:v>
      </x:c>
      <x:c r="I320" s="187" t="str">
        <x:v>ROAD</x:v>
      </x:c>
      <x:c r="J320" s="232" t="n">
        <x:v>6784.487424</x:v>
      </x:c>
      <x:c r="K320" s="232"/>
      <x:c r="L320" s="232"/>
      <x:c r="M320" s="241" t="n">
        <x:v>0.93</x:v>
      </x:c>
      <x:c r="N320" s="241"/>
      <x:c r="O320" s="244" t="n">
        <x:f>IF(K320="",M320,L320/K320)</x:f>
        <x:v>0.93</x:v>
      </x:c>
      <x:c r="P320" s="244" t="n">
        <x:f>O320-M320</x:f>
        <x:v>0</x:v>
      </x:c>
    </x:row>
    <x:row r="321">
      <x:c r="A321" s="187" t="str">
        <x:v>SCENARIO_GROWTH_2026_08</x:v>
      </x:c>
      <x:c r="B321" s="187" t="str">
        <x:v>SCENARIO</x:v>
      </x:c>
      <x:c r="C321" s="187" t="str">
        <x:v>GROWTH</x:v>
      </x:c>
      <x:c r="D321" s="217" t="n">
        <x:v>46357</x:v>
      </x:c>
      <x:c r="E321" s="187" t="str">
        <x:v>R_GB_DE_B_ROAD</x:v>
      </x:c>
      <x:c r="F321" s="187" t="str">
        <x:v>GB</x:v>
      </x:c>
      <x:c r="G321" s="187" t="str">
        <x:v>DE_FC</x:v>
      </x:c>
      <x:c r="H321" s="187" t="str">
        <x:v>CARRIER_B</x:v>
      </x:c>
      <x:c r="I321" s="187" t="str">
        <x:v>ROAD</x:v>
      </x:c>
      <x:c r="J321" s="232" t="n">
        <x:v>3533.5872</x:v>
      </x:c>
      <x:c r="K321" s="232"/>
      <x:c r="L321" s="232"/>
      <x:c r="M321" s="241" t="n">
        <x:v>0.95</x:v>
      </x:c>
      <x:c r="N321" s="241"/>
      <x:c r="O321" s="244" t="n">
        <x:f>IF(K321="",M321,L321/K321)</x:f>
        <x:v>0.95</x:v>
      </x:c>
      <x:c r="P321" s="244" t="n">
        <x:f>O321-M321</x:f>
        <x:v>0</x:v>
      </x:c>
    </x:row>
    <x:row r="322">
      <x:c r="A322" s="187" t="str">
        <x:v>SCENARIO_GROWTH_2026_08</x:v>
      </x:c>
      <x:c r="B322" s="187" t="str">
        <x:v>SCENARIO</x:v>
      </x:c>
      <x:c r="C322" s="187" t="str">
        <x:v>GROWTH</x:v>
      </x:c>
      <x:c r="D322" s="217" t="n">
        <x:v>46357</x:v>
      </x:c>
      <x:c r="E322" s="187" t="str">
        <x:v>R_GB_DE_B_AIR</x:v>
      </x:c>
      <x:c r="F322" s="187" t="str">
        <x:v>GB</x:v>
      </x:c>
      <x:c r="G322" s="187" t="str">
        <x:v>DE_FC</x:v>
      </x:c>
      <x:c r="H322" s="187" t="str">
        <x:v>CARRIER_B</x:v>
      </x:c>
      <x:c r="I322" s="187" t="str">
        <x:v>AIR</x:v>
      </x:c>
      <x:c r="J322" s="232" t="n">
        <x:v>2685.526272</x:v>
      </x:c>
      <x:c r="K322" s="232"/>
      <x:c r="L322" s="232"/>
      <x:c r="M322" s="241" t="n">
        <x:v>0.974</x:v>
      </x:c>
      <x:c r="N322" s="241"/>
      <x:c r="O322" s="244" t="n">
        <x:f>IF(K322="",M322,L322/K322)</x:f>
        <x:v>0.974</x:v>
      </x:c>
      <x:c r="P322" s="244" t="n">
        <x:f>O322-M322</x:f>
        <x:v>0</x:v>
      </x:c>
    </x:row>
    <x:row r="323">
      <x:c r="A323" s="187" t="str">
        <x:v>SCENARIO_GROWTH_2026_08</x:v>
      </x:c>
      <x:c r="B323" s="187" t="str">
        <x:v>SCENARIO</x:v>
      </x:c>
      <x:c r="C323" s="187" t="str">
        <x:v>GROWTH</x:v>
      </x:c>
      <x:c r="D323" s="217" t="n">
        <x:v>46357</x:v>
      </x:c>
      <x:c r="E323" s="187" t="str">
        <x:v>R_GB_DE_C_AIR</x:v>
      </x:c>
      <x:c r="F323" s="187" t="str">
        <x:v>GB</x:v>
      </x:c>
      <x:c r="G323" s="187" t="str">
        <x:v>DE_FC</x:v>
      </x:c>
      <x:c r="H323" s="187" t="str">
        <x:v>CARRIER_C</x:v>
      </x:c>
      <x:c r="I323" s="187" t="str">
        <x:v>AIR</x:v>
      </x:c>
      <x:c r="J323" s="232" t="n">
        <x:v>1130.747904</x:v>
      </x:c>
      <x:c r="K323" s="232"/>
      <x:c r="L323" s="232"/>
      <x:c r="M323" s="241" t="n">
        <x:v>0.988</x:v>
      </x:c>
      <x:c r="N323" s="241"/>
      <x:c r="O323" s="244" t="n">
        <x:f>IF(K323="",M323,L323/K323)</x:f>
        <x:v>0.988</x:v>
      </x:c>
      <x:c r="P323" s="244" t="n">
        <x:f>O323-M323</x:f>
        <x:v>0</x:v>
      </x:c>
    </x:row>
    <x:row r="324">
      <x:c r="A324" s="187" t="str">
        <x:v>SCENARIO_GROWTH_2026_08</x:v>
      </x:c>
      <x:c r="B324" s="187" t="str">
        <x:v>SCENARIO</x:v>
      </x:c>
      <x:c r="C324" s="187" t="str">
        <x:v>GROWTH</x:v>
      </x:c>
      <x:c r="D324" s="217" t="n">
        <x:v>46357</x:v>
      </x:c>
      <x:c r="E324" s="187" t="str">
        <x:v>R_GB_FR_B_AIR</x:v>
      </x:c>
      <x:c r="F324" s="187" t="str">
        <x:v>GB</x:v>
      </x:c>
      <x:c r="G324" s="187" t="str">
        <x:v>FR_FC</x:v>
      </x:c>
      <x:c r="H324" s="187" t="str">
        <x:v>CARRIER_B</x:v>
      </x:c>
      <x:c r="I324" s="187" t="str">
        <x:v>AIR</x:v>
      </x:c>
      <x:c r="J324" s="232" t="n">
        <x:v>588.9312</x:v>
      </x:c>
      <x:c r="K324" s="232"/>
      <x:c r="L324" s="232"/>
      <x:c r="M324" s="241" t="n">
        <x:v>0.971</x:v>
      </x:c>
      <x:c r="N324" s="241"/>
      <x:c r="O324" s="244" t="n">
        <x:f>IF(K324="",M324,L324/K324)</x:f>
        <x:v>0.971</x:v>
      </x:c>
      <x:c r="P324" s="244" t="n">
        <x:f>O324-M324</x:f>
        <x:v>0</x:v>
      </x:c>
    </x:row>
    <x:row r="325">
      <x:c r="A325" s="187" t="str">
        <x:v>SCENARIO_COST_SAVING_2026_08</x:v>
      </x:c>
      <x:c r="B325" s="187" t="str">
        <x:v>SCENARIO</x:v>
      </x:c>
      <x:c r="C325" s="187" t="str">
        <x:v>COST_SAVING</x:v>
      </x:c>
      <x:c r="D325" s="217" t="n">
        <x:v>46266</x:v>
      </x:c>
      <x:c r="E325" s="187" t="str">
        <x:v>R_DE_DE_A_ROAD</x:v>
      </x:c>
      <x:c r="F325" s="187" t="str">
        <x:v>DE</x:v>
      </x:c>
      <x:c r="G325" s="187" t="str">
        <x:v>DE_FC</x:v>
      </x:c>
      <x:c r="H325" s="187" t="str">
        <x:v>CARRIER_A</x:v>
      </x:c>
      <x:c r="I325" s="187" t="str">
        <x:v>ROAD</x:v>
      </x:c>
      <x:c r="J325" s="232" t="n">
        <x:v>3783.9312</x:v>
      </x:c>
      <x:c r="K325" s="232"/>
      <x:c r="L325" s="232"/>
      <x:c r="M325" s="241" t="n">
        <x:v>0.965</x:v>
      </x:c>
      <x:c r="N325" s="241"/>
      <x:c r="O325" s="244" t="n">
        <x:f>IF(K325="",M325,L325/K325)</x:f>
        <x:v>0.965</x:v>
      </x:c>
      <x:c r="P325" s="244" t="n">
        <x:f>O325-M325</x:f>
        <x:v>0</x:v>
      </x:c>
    </x:row>
    <x:row r="326">
      <x:c r="A326" s="187" t="str">
        <x:v>SCENARIO_COST_SAVING_2026_08</x:v>
      </x:c>
      <x:c r="B326" s="187" t="str">
        <x:v>SCENARIO</x:v>
      </x:c>
      <x:c r="C326" s="187" t="str">
        <x:v>COST_SAVING</x:v>
      </x:c>
      <x:c r="D326" s="217" t="n">
        <x:v>46266</x:v>
      </x:c>
      <x:c r="E326" s="187" t="str">
        <x:v>R_DE_DE_B_ROAD</x:v>
      </x:c>
      <x:c r="F326" s="187" t="str">
        <x:v>DE</x:v>
      </x:c>
      <x:c r="G326" s="187" t="str">
        <x:v>DE_FC</x:v>
      </x:c>
      <x:c r="H326" s="187" t="str">
        <x:v>CARRIER_B</x:v>
      </x:c>
      <x:c r="I326" s="187" t="str">
        <x:v>ROAD</x:v>
      </x:c>
      <x:c r="J326" s="232" t="n">
        <x:v>2522.6208</x:v>
      </x:c>
      <x:c r="K326" s="232"/>
      <x:c r="L326" s="232"/>
      <x:c r="M326" s="241" t="n">
        <x:v>0.976</x:v>
      </x:c>
      <x:c r="N326" s="241"/>
      <x:c r="O326" s="244" t="n">
        <x:f>IF(K326="",M326,L326/K326)</x:f>
        <x:v>0.976</x:v>
      </x:c>
      <x:c r="P326" s="244" t="n">
        <x:f>O326-M326</x:f>
        <x:v>0</x:v>
      </x:c>
    </x:row>
    <x:row r="327">
      <x:c r="A327" s="187" t="str">
        <x:v>SCENARIO_COST_SAVING_2026_08</x:v>
      </x:c>
      <x:c r="B327" s="187" t="str">
        <x:v>SCENARIO</x:v>
      </x:c>
      <x:c r="C327" s="187" t="str">
        <x:v>COST_SAVING</x:v>
      </x:c>
      <x:c r="D327" s="217" t="n">
        <x:v>46266</x:v>
      </x:c>
      <x:c r="E327" s="187" t="str">
        <x:v>R_DE_FR_B_ROAD</x:v>
      </x:c>
      <x:c r="F327" s="187" t="str">
        <x:v>DE</x:v>
      </x:c>
      <x:c r="G327" s="187" t="str">
        <x:v>FR_FC</x:v>
      </x:c>
      <x:c r="H327" s="187" t="str">
        <x:v>CARRIER_B</x:v>
      </x:c>
      <x:c r="I327" s="187" t="str">
        <x:v>ROAD</x:v>
      </x:c>
      <x:c r="J327" s="232" t="n">
        <x:v>200.6208</x:v>
      </x:c>
      <x:c r="K327" s="232"/>
      <x:c r="L327" s="232"/>
      <x:c r="M327" s="241" t="n">
        <x:v>0.968</x:v>
      </x:c>
      <x:c r="N327" s="241"/>
      <x:c r="O327" s="244" t="n">
        <x:f>IF(K327="",M327,L327/K327)</x:f>
        <x:v>0.968</x:v>
      </x:c>
      <x:c r="P327" s="244" t="n">
        <x:f>O327-M327</x:f>
        <x:v>0</x:v>
      </x:c>
    </x:row>
    <x:row r="328">
      <x:c r="A328" s="187" t="str">
        <x:v>SCENARIO_COST_SAVING_2026_08</x:v>
      </x:c>
      <x:c r="B328" s="187" t="str">
        <x:v>SCENARIO</x:v>
      </x:c>
      <x:c r="C328" s="187" t="str">
        <x:v>COST_SAVING</x:v>
      </x:c>
      <x:c r="D328" s="217" t="n">
        <x:v>46266</x:v>
      </x:c>
      <x:c r="E328" s="187" t="str">
        <x:v>R_FR_FR_A_ROAD</x:v>
      </x:c>
      <x:c r="F328" s="187" t="str">
        <x:v>FR</x:v>
      </x:c>
      <x:c r="G328" s="187" t="str">
        <x:v>FR_FC</x:v>
      </x:c>
      <x:c r="H328" s="187" t="str">
        <x:v>CARRIER_A</x:v>
      </x:c>
      <x:c r="I328" s="187" t="str">
        <x:v>ROAD</x:v>
      </x:c>
      <x:c r="J328" s="232" t="n">
        <x:v>1914.36</x:v>
      </x:c>
      <x:c r="K328" s="232"/>
      <x:c r="L328" s="232"/>
      <x:c r="M328" s="241" t="n">
        <x:v>0.961</x:v>
      </x:c>
      <x:c r="N328" s="241"/>
      <x:c r="O328" s="244" t="n">
        <x:f>IF(K328="",M328,L328/K328)</x:f>
        <x:v>0.961</x:v>
      </x:c>
      <x:c r="P328" s="244" t="n">
        <x:f>O328-M328</x:f>
        <x:v>0</x:v>
      </x:c>
    </x:row>
    <x:row r="329">
      <x:c r="A329" s="187" t="str">
        <x:v>SCENARIO_COST_SAVING_2026_08</x:v>
      </x:c>
      <x:c r="B329" s="187" t="str">
        <x:v>SCENARIO</x:v>
      </x:c>
      <x:c r="C329" s="187" t="str">
        <x:v>COST_SAVING</x:v>
      </x:c>
      <x:c r="D329" s="217" t="n">
        <x:v>46266</x:v>
      </x:c>
      <x:c r="E329" s="187" t="str">
        <x:v>R_FR_FR_B_ROAD</x:v>
      </x:c>
      <x:c r="F329" s="187" t="str">
        <x:v>FR</x:v>
      </x:c>
      <x:c r="G329" s="187" t="str">
        <x:v>FR_FC</x:v>
      </x:c>
      <x:c r="H329" s="187" t="str">
        <x:v>CARRIER_B</x:v>
      </x:c>
      <x:c r="I329" s="187" t="str">
        <x:v>ROAD</x:v>
      </x:c>
      <x:c r="J329" s="232" t="n">
        <x:v>3555.24</x:v>
      </x:c>
      <x:c r="K329" s="232"/>
      <x:c r="L329" s="232"/>
      <x:c r="M329" s="241" t="n">
        <x:v>0.973</x:v>
      </x:c>
      <x:c r="N329" s="241"/>
      <x:c r="O329" s="244" t="n">
        <x:f>IF(K329="",M329,L329/K329)</x:f>
        <x:v>0.973</x:v>
      </x:c>
      <x:c r="P329" s="244" t="n">
        <x:f>O329-M329</x:f>
        <x:v>0</x:v>
      </x:c>
    </x:row>
    <x:row r="330">
      <x:c r="A330" s="187" t="str">
        <x:v>SCENARIO_COST_SAVING_2026_08</x:v>
      </x:c>
      <x:c r="B330" s="187" t="str">
        <x:v>SCENARIO</x:v>
      </x:c>
      <x:c r="C330" s="187" t="str">
        <x:v>COST_SAVING</x:v>
      </x:c>
      <x:c r="D330" s="217" t="n">
        <x:v>46266</x:v>
      </x:c>
      <x:c r="E330" s="187" t="str">
        <x:v>R_GB_DE_A_ROAD</x:v>
      </x:c>
      <x:c r="F330" s="187" t="str">
        <x:v>GB</x:v>
      </x:c>
      <x:c r="G330" s="187" t="str">
        <x:v>DE_FC</x:v>
      </x:c>
      <x:c r="H330" s="187" t="str">
        <x:v>CARRIER_A</x:v>
      </x:c>
      <x:c r="I330" s="187" t="str">
        <x:v>ROAD</x:v>
      </x:c>
      <x:c r="J330" s="232" t="n">
        <x:v>2004.22656</x:v>
      </x:c>
      <x:c r="K330" s="232"/>
      <x:c r="L330" s="232"/>
      <x:c r="M330" s="241" t="n">
        <x:v>0.93</x:v>
      </x:c>
      <x:c r="N330" s="241"/>
      <x:c r="O330" s="244" t="n">
        <x:f>IF(K330="",M330,L330/K330)</x:f>
        <x:v>0.93</x:v>
      </x:c>
      <x:c r="P330" s="244" t="n">
        <x:f>O330-M330</x:f>
        <x:v>0</x:v>
      </x:c>
    </x:row>
    <x:row r="331">
      <x:c r="A331" s="187" t="str">
        <x:v>SCENARIO_COST_SAVING_2026_08</x:v>
      </x:c>
      <x:c r="B331" s="187" t="str">
        <x:v>SCENARIO</x:v>
      </x:c>
      <x:c r="C331" s="187" t="str">
        <x:v>COST_SAVING</x:v>
      </x:c>
      <x:c r="D331" s="217" t="n">
        <x:v>46266</x:v>
      </x:c>
      <x:c r="E331" s="187" t="str">
        <x:v>R_GB_DE_B_ROAD</x:v>
      </x:c>
      <x:c r="F331" s="187" t="str">
        <x:v>GB</x:v>
      </x:c>
      <x:c r="G331" s="187" t="str">
        <x:v>DE_FC</x:v>
      </x:c>
      <x:c r="H331" s="187" t="str">
        <x:v>CARRIER_B</x:v>
      </x:c>
      <x:c r="I331" s="187" t="str">
        <x:v>ROAD</x:v>
      </x:c>
      <x:c r="J331" s="232" t="n">
        <x:v>1135.728384</x:v>
      </x:c>
      <x:c r="K331" s="232"/>
      <x:c r="L331" s="232"/>
      <x:c r="M331" s="241" t="n">
        <x:v>0.95</x:v>
      </x:c>
      <x:c r="N331" s="241"/>
      <x:c r="O331" s="244" t="n">
        <x:f>IF(K331="",M331,L331/K331)</x:f>
        <x:v>0.95</x:v>
      </x:c>
      <x:c r="P331" s="244" t="n">
        <x:f>O331-M331</x:f>
        <x:v>0</x:v>
      </x:c>
    </x:row>
    <x:row r="332">
      <x:c r="A332" s="187" t="str">
        <x:v>SCENARIO_COST_SAVING_2026_08</x:v>
      </x:c>
      <x:c r="B332" s="187" t="str">
        <x:v>SCENARIO</x:v>
      </x:c>
      <x:c r="C332" s="187" t="str">
        <x:v>COST_SAVING</x:v>
      </x:c>
      <x:c r="D332" s="217" t="n">
        <x:v>46266</x:v>
      </x:c>
      <x:c r="E332" s="187" t="str">
        <x:v>R_GB_DE_B_AIR</x:v>
      </x:c>
      <x:c r="F332" s="187" t="str">
        <x:v>GB</x:v>
      </x:c>
      <x:c r="G332" s="187" t="str">
        <x:v>DE_FC</x:v>
      </x:c>
      <x:c r="H332" s="187" t="str">
        <x:v>CARRIER_B</x:v>
      </x:c>
      <x:c r="I332" s="187" t="str">
        <x:v>AIR</x:v>
      </x:c>
      <x:c r="J332" s="232" t="n">
        <x:v>1670.1888</x:v>
      </x:c>
      <x:c r="K332" s="232"/>
      <x:c r="L332" s="232"/>
      <x:c r="M332" s="241" t="n">
        <x:v>0.974</x:v>
      </x:c>
      <x:c r="N332" s="241"/>
      <x:c r="O332" s="244" t="n">
        <x:f>IF(K332="",M332,L332/K332)</x:f>
        <x:v>0.974</x:v>
      </x:c>
      <x:c r="P332" s="244" t="n">
        <x:f>O332-M332</x:f>
        <x:v>0</x:v>
      </x:c>
    </x:row>
    <x:row r="333">
      <x:c r="A333" s="187" t="str">
        <x:v>SCENARIO_COST_SAVING_2026_08</x:v>
      </x:c>
      <x:c r="B333" s="187" t="str">
        <x:v>SCENARIO</x:v>
      </x:c>
      <x:c r="C333" s="187" t="str">
        <x:v>COST_SAVING</x:v>
      </x:c>
      <x:c r="D333" s="217" t="n">
        <x:v>46266</x:v>
      </x:c>
      <x:c r="E333" s="187" t="str">
        <x:v>R_GB_DE_C_AIR</x:v>
      </x:c>
      <x:c r="F333" s="187" t="str">
        <x:v>GB</x:v>
      </x:c>
      <x:c r="G333" s="187" t="str">
        <x:v>DE_FC</x:v>
      </x:c>
      <x:c r="H333" s="187" t="str">
        <x:v>CARRIER_C</x:v>
      </x:c>
      <x:c r="I333" s="187" t="str">
        <x:v>AIR</x:v>
      </x:c>
      <x:c r="J333" s="232" t="n">
        <x:v>1870.611456</x:v>
      </x:c>
      <x:c r="K333" s="232"/>
      <x:c r="L333" s="232"/>
      <x:c r="M333" s="241" t="n">
        <x:v>0.988</x:v>
      </x:c>
      <x:c r="N333" s="241"/>
      <x:c r="O333" s="244" t="n">
        <x:f>IF(K333="",M333,L333/K333)</x:f>
        <x:v>0.988</x:v>
      </x:c>
      <x:c r="P333" s="244" t="n">
        <x:f>O333-M333</x:f>
        <x:v>0</x:v>
      </x:c>
    </x:row>
    <x:row r="334">
      <x:c r="A334" s="187" t="str">
        <x:v>SCENARIO_COST_SAVING_2026_08</x:v>
      </x:c>
      <x:c r="B334" s="187" t="str">
        <x:v>SCENARIO</x:v>
      </x:c>
      <x:c r="C334" s="187" t="str">
        <x:v>COST_SAVING</x:v>
      </x:c>
      <x:c r="D334" s="217" t="n">
        <x:v>46266</x:v>
      </x:c>
      <x:c r="E334" s="187" t="str">
        <x:v>R_GB_FR_B_AIR</x:v>
      </x:c>
      <x:c r="F334" s="187" t="str">
        <x:v>GB</x:v>
      </x:c>
      <x:c r="G334" s="187" t="str">
        <x:v>FR_FC</x:v>
      </x:c>
      <x:c r="H334" s="187" t="str">
        <x:v>CARRIER_B</x:v>
      </x:c>
      <x:c r="I334" s="187" t="str">
        <x:v>AIR</x:v>
      </x:c>
      <x:c r="J334" s="232" t="n">
        <x:v>273.6864</x:v>
      </x:c>
      <x:c r="K334" s="232"/>
      <x:c r="L334" s="232"/>
      <x:c r="M334" s="241" t="n">
        <x:v>0.971</x:v>
      </x:c>
      <x:c r="N334" s="241"/>
      <x:c r="O334" s="244" t="n">
        <x:f>IF(K334="",M334,L334/K334)</x:f>
        <x:v>0.971</x:v>
      </x:c>
      <x:c r="P334" s="244" t="n">
        <x:f>O334-M334</x:f>
        <x:v>0</x:v>
      </x:c>
    </x:row>
    <x:row r="335">
      <x:c r="A335" s="187" t="str">
        <x:v>SCENARIO_COST_SAVING_2026_08</x:v>
      </x:c>
      <x:c r="B335" s="187" t="str">
        <x:v>SCENARIO</x:v>
      </x:c>
      <x:c r="C335" s="187" t="str">
        <x:v>COST_SAVING</x:v>
      </x:c>
      <x:c r="D335" s="217" t="n">
        <x:v>46296</x:v>
      </x:c>
      <x:c r="E335" s="187" t="str">
        <x:v>R_DE_DE_A_ROAD</x:v>
      </x:c>
      <x:c r="F335" s="187" t="str">
        <x:v>DE</x:v>
      </x:c>
      <x:c r="G335" s="187" t="str">
        <x:v>DE_FC</x:v>
      </x:c>
      <x:c r="H335" s="187" t="str">
        <x:v>CARRIER_A</x:v>
      </x:c>
      <x:c r="I335" s="187" t="str">
        <x:v>ROAD</x:v>
      </x:c>
      <x:c r="J335" s="232" t="n">
        <x:v>4051.593</x:v>
      </x:c>
      <x:c r="K335" s="232"/>
      <x:c r="L335" s="232"/>
      <x:c r="M335" s="241" t="n">
        <x:v>0.965</x:v>
      </x:c>
      <x:c r="N335" s="241"/>
      <x:c r="O335" s="244" t="n">
        <x:f>IF(K335="",M335,L335/K335)</x:f>
        <x:v>0.965</x:v>
      </x:c>
      <x:c r="P335" s="244" t="n">
        <x:f>O335-M335</x:f>
        <x:v>0</x:v>
      </x:c>
    </x:row>
    <x:row r="336">
      <x:c r="A336" s="187" t="str">
        <x:v>SCENARIO_COST_SAVING_2026_08</x:v>
      </x:c>
      <x:c r="B336" s="187" t="str">
        <x:v>SCENARIO</x:v>
      </x:c>
      <x:c r="C336" s="187" t="str">
        <x:v>COST_SAVING</x:v>
      </x:c>
      <x:c r="D336" s="217" t="n">
        <x:v>46296</x:v>
      </x:c>
      <x:c r="E336" s="187" t="str">
        <x:v>R_DE_DE_B_ROAD</x:v>
      </x:c>
      <x:c r="F336" s="187" t="str">
        <x:v>DE</x:v>
      </x:c>
      <x:c r="G336" s="187" t="str">
        <x:v>DE_FC</x:v>
      </x:c>
      <x:c r="H336" s="187" t="str">
        <x:v>CARRIER_B</x:v>
      </x:c>
      <x:c r="I336" s="187" t="str">
        <x:v>ROAD</x:v>
      </x:c>
      <x:c r="J336" s="232" t="n">
        <x:v>2701.062</x:v>
      </x:c>
      <x:c r="K336" s="232"/>
      <x:c r="L336" s="232"/>
      <x:c r="M336" s="241" t="n">
        <x:v>0.976</x:v>
      </x:c>
      <x:c r="N336" s="241"/>
      <x:c r="O336" s="244" t="n">
        <x:f>IF(K336="",M336,L336/K336)</x:f>
        <x:v>0.976</x:v>
      </x:c>
      <x:c r="P336" s="244" t="n">
        <x:f>O336-M336</x:f>
        <x:v>0</x:v>
      </x:c>
    </x:row>
    <x:row r="337">
      <x:c r="A337" s="187" t="str">
        <x:v>SCENARIO_COST_SAVING_2026_08</x:v>
      </x:c>
      <x:c r="B337" s="187" t="str">
        <x:v>SCENARIO</x:v>
      </x:c>
      <x:c r="C337" s="187" t="str">
        <x:v>COST_SAVING</x:v>
      </x:c>
      <x:c r="D337" s="217" t="n">
        <x:v>46296</x:v>
      </x:c>
      <x:c r="E337" s="187" t="str">
        <x:v>R_DE_FR_B_ROAD</x:v>
      </x:c>
      <x:c r="F337" s="187" t="str">
        <x:v>DE</x:v>
      </x:c>
      <x:c r="G337" s="187" t="str">
        <x:v>FR_FC</x:v>
      </x:c>
      <x:c r="H337" s="187" t="str">
        <x:v>CARRIER_B</x:v>
      </x:c>
      <x:c r="I337" s="187" t="str">
        <x:v>ROAD</x:v>
      </x:c>
      <x:c r="J337" s="232" t="n">
        <x:v>214.812</x:v>
      </x:c>
      <x:c r="K337" s="232"/>
      <x:c r="L337" s="232"/>
      <x:c r="M337" s="241" t="n">
        <x:v>0.968</x:v>
      </x:c>
      <x:c r="N337" s="241"/>
      <x:c r="O337" s="244" t="n">
        <x:f>IF(K337="",M337,L337/K337)</x:f>
        <x:v>0.968</x:v>
      </x:c>
      <x:c r="P337" s="244" t="n">
        <x:f>O337-M337</x:f>
        <x:v>0</x:v>
      </x:c>
    </x:row>
    <x:row r="338">
      <x:c r="A338" s="187" t="str">
        <x:v>SCENARIO_COST_SAVING_2026_08</x:v>
      </x:c>
      <x:c r="B338" s="187" t="str">
        <x:v>SCENARIO</x:v>
      </x:c>
      <x:c r="C338" s="187" t="str">
        <x:v>COST_SAVING</x:v>
      </x:c>
      <x:c r="D338" s="217" t="n">
        <x:v>46296</x:v>
      </x:c>
      <x:c r="E338" s="187" t="str">
        <x:v>R_FR_FR_A_ROAD</x:v>
      </x:c>
      <x:c r="F338" s="187" t="str">
        <x:v>FR</x:v>
      </x:c>
      <x:c r="G338" s="187" t="str">
        <x:v>FR_FC</x:v>
      </x:c>
      <x:c r="H338" s="187" t="str">
        <x:v>CARRIER_A</x:v>
      </x:c>
      <x:c r="I338" s="187" t="str">
        <x:v>ROAD</x:v>
      </x:c>
      <x:c r="J338" s="232" t="n">
        <x:v>2170.35</x:v>
      </x:c>
      <x:c r="K338" s="232"/>
      <x:c r="L338" s="232"/>
      <x:c r="M338" s="241" t="n">
        <x:v>0.961</x:v>
      </x:c>
      <x:c r="N338" s="241"/>
      <x:c r="O338" s="244" t="n">
        <x:f>IF(K338="",M338,L338/K338)</x:f>
        <x:v>0.961</x:v>
      </x:c>
      <x:c r="P338" s="244" t="n">
        <x:f>O338-M338</x:f>
        <x:v>0</x:v>
      </x:c>
    </x:row>
    <x:row r="339">
      <x:c r="A339" s="187" t="str">
        <x:v>SCENARIO_COST_SAVING_2026_08</x:v>
      </x:c>
      <x:c r="B339" s="187" t="str">
        <x:v>SCENARIO</x:v>
      </x:c>
      <x:c r="C339" s="187" t="str">
        <x:v>COST_SAVING</x:v>
      </x:c>
      <x:c r="D339" s="217" t="n">
        <x:v>46296</x:v>
      </x:c>
      <x:c r="E339" s="187" t="str">
        <x:v>R_FR_FR_B_ROAD</x:v>
      </x:c>
      <x:c r="F339" s="187" t="str">
        <x:v>FR</x:v>
      </x:c>
      <x:c r="G339" s="187" t="str">
        <x:v>FR_FC</x:v>
      </x:c>
      <x:c r="H339" s="187" t="str">
        <x:v>CARRIER_B</x:v>
      </x:c>
      <x:c r="I339" s="187" t="str">
        <x:v>ROAD</x:v>
      </x:c>
      <x:c r="J339" s="232" t="n">
        <x:v>4030.65</x:v>
      </x:c>
      <x:c r="K339" s="232"/>
      <x:c r="L339" s="232"/>
      <x:c r="M339" s="241" t="n">
        <x:v>0.973</x:v>
      </x:c>
      <x:c r="N339" s="241"/>
      <x:c r="O339" s="244" t="n">
        <x:f>IF(K339="",M339,L339/K339)</x:f>
        <x:v>0.973</x:v>
      </x:c>
      <x:c r="P339" s="244" t="n">
        <x:f>O339-M339</x:f>
        <x:v>0</x:v>
      </x:c>
    </x:row>
    <x:row r="340">
      <x:c r="A340" s="187" t="str">
        <x:v>SCENARIO_COST_SAVING_2026_08</x:v>
      </x:c>
      <x:c r="B340" s="187" t="str">
        <x:v>SCENARIO</x:v>
      </x:c>
      <x:c r="C340" s="187" t="str">
        <x:v>COST_SAVING</x:v>
      </x:c>
      <x:c r="D340" s="217" t="n">
        <x:v>46296</x:v>
      </x:c>
      <x:c r="E340" s="187" t="str">
        <x:v>R_GB_DE_A_ROAD</x:v>
      </x:c>
      <x:c r="F340" s="187" t="str">
        <x:v>GB</x:v>
      </x:c>
      <x:c r="G340" s="187" t="str">
        <x:v>DE_FC</x:v>
      </x:c>
      <x:c r="H340" s="187" t="str">
        <x:v>CARRIER_A</x:v>
      </x:c>
      <x:c r="I340" s="187" t="str">
        <x:v>ROAD</x:v>
      </x:c>
      <x:c r="J340" s="232" t="n">
        <x:v>3410.0352</x:v>
      </x:c>
      <x:c r="K340" s="232"/>
      <x:c r="L340" s="232"/>
      <x:c r="M340" s="241" t="n">
        <x:v>0.93</x:v>
      </x:c>
      <x:c r="N340" s="241"/>
      <x:c r="O340" s="244" t="n">
        <x:f>IF(K340="",M340,L340/K340)</x:f>
        <x:v>0.93</x:v>
      </x:c>
      <x:c r="P340" s="244" t="n">
        <x:f>O340-M340</x:f>
        <x:v>0</x:v>
      </x:c>
    </x:row>
    <x:row r="341">
      <x:c r="A341" s="187" t="str">
        <x:v>SCENARIO_COST_SAVING_2026_08</x:v>
      </x:c>
      <x:c r="B341" s="187" t="str">
        <x:v>SCENARIO</x:v>
      </x:c>
      <x:c r="C341" s="187" t="str">
        <x:v>COST_SAVING</x:v>
      </x:c>
      <x:c r="D341" s="217" t="n">
        <x:v>46296</x:v>
      </x:c>
      <x:c r="E341" s="187" t="str">
        <x:v>R_GB_DE_B_ROAD</x:v>
      </x:c>
      <x:c r="F341" s="187" t="str">
        <x:v>GB</x:v>
      </x:c>
      <x:c r="G341" s="187" t="str">
        <x:v>DE_FC</x:v>
      </x:c>
      <x:c r="H341" s="187" t="str">
        <x:v>CARRIER_B</x:v>
      </x:c>
      <x:c r="I341" s="187" t="str">
        <x:v>ROAD</x:v>
      </x:c>
      <x:c r="J341" s="232" t="n">
        <x:v>1860.0192</x:v>
      </x:c>
      <x:c r="K341" s="232"/>
      <x:c r="L341" s="232"/>
      <x:c r="M341" s="241" t="n">
        <x:v>0.95</x:v>
      </x:c>
      <x:c r="N341" s="241"/>
      <x:c r="O341" s="244" t="n">
        <x:f>IF(K341="",M341,L341/K341)</x:f>
        <x:v>0.95</x:v>
      </x:c>
      <x:c r="P341" s="244" t="n">
        <x:f>O341-M341</x:f>
        <x:v>0</x:v>
      </x:c>
    </x:row>
    <x:row r="342">
      <x:c r="A342" s="187" t="str">
        <x:v>SCENARIO_COST_SAVING_2026_08</x:v>
      </x:c>
      <x:c r="B342" s="187" t="str">
        <x:v>SCENARIO</x:v>
      </x:c>
      <x:c r="C342" s="187" t="str">
        <x:v>COST_SAVING</x:v>
      </x:c>
      <x:c r="D342" s="217" t="n">
        <x:v>46296</x:v>
      </x:c>
      <x:c r="E342" s="187" t="str">
        <x:v>R_GB_DE_B_AIR</x:v>
      </x:c>
      <x:c r="F342" s="187" t="str">
        <x:v>GB</x:v>
      </x:c>
      <x:c r="G342" s="187" t="str">
        <x:v>DE_FC</x:v>
      </x:c>
      <x:c r="H342" s="187" t="str">
        <x:v>CARRIER_B</x:v>
      </x:c>
      <x:c r="I342" s="187" t="str">
        <x:v>AIR</x:v>
      </x:c>
      <x:c r="J342" s="232" t="n">
        <x:v>1550.016</x:v>
      </x:c>
      <x:c r="K342" s="232"/>
      <x:c r="L342" s="232"/>
      <x:c r="M342" s="241" t="n">
        <x:v>0.974</x:v>
      </x:c>
      <x:c r="N342" s="241"/>
      <x:c r="O342" s="244" t="n">
        <x:f>IF(K342="",M342,L342/K342)</x:f>
        <x:v>0.974</x:v>
      </x:c>
      <x:c r="P342" s="244" t="n">
        <x:f>O342-M342</x:f>
        <x:v>0</x:v>
      </x:c>
    </x:row>
    <x:row r="343">
      <x:c r="A343" s="187" t="str">
        <x:v>SCENARIO_COST_SAVING_2026_08</x:v>
      </x:c>
      <x:c r="B343" s="187" t="str">
        <x:v>SCENARIO</x:v>
      </x:c>
      <x:c r="C343" s="187" t="str">
        <x:v>COST_SAVING</x:v>
      </x:c>
      <x:c r="D343" s="217" t="n">
        <x:v>46296</x:v>
      </x:c>
      <x:c r="E343" s="187" t="str">
        <x:v>R_GB_DE_C_AIR</x:v>
      </x:c>
      <x:c r="F343" s="187" t="str">
        <x:v>GB</x:v>
      </x:c>
      <x:c r="G343" s="187" t="str">
        <x:v>DE_FC</x:v>
      </x:c>
      <x:c r="H343" s="187" t="str">
        <x:v>CARRIER_C</x:v>
      </x:c>
      <x:c r="I343" s="187" t="str">
        <x:v>AIR</x:v>
      </x:c>
      <x:c r="J343" s="232" t="n">
        <x:v>930.0096</x:v>
      </x:c>
      <x:c r="K343" s="232"/>
      <x:c r="L343" s="232"/>
      <x:c r="M343" s="241" t="n">
        <x:v>0.988</x:v>
      </x:c>
      <x:c r="N343" s="241"/>
      <x:c r="O343" s="244" t="n">
        <x:f>IF(K343="",M343,L343/K343)</x:f>
        <x:v>0.988</x:v>
      </x:c>
      <x:c r="P343" s="244" t="n">
        <x:f>O343-M343</x:f>
        <x:v>0</x:v>
      </x:c>
    </x:row>
    <x:row r="344">
      <x:c r="A344" s="187" t="str">
        <x:v>SCENARIO_COST_SAVING_2026_08</x:v>
      </x:c>
      <x:c r="B344" s="187" t="str">
        <x:v>SCENARIO</x:v>
      </x:c>
      <x:c r="C344" s="187" t="str">
        <x:v>COST_SAVING</x:v>
      </x:c>
      <x:c r="D344" s="217" t="n">
        <x:v>46296</x:v>
      </x:c>
      <x:c r="E344" s="187" t="str">
        <x:v>R_GB_FR_B_AIR</x:v>
      </x:c>
      <x:c r="F344" s="187" t="str">
        <x:v>GB</x:v>
      </x:c>
      <x:c r="G344" s="187" t="str">
        <x:v>FR_FC</x:v>
      </x:c>
      <x:c r="H344" s="187" t="str">
        <x:v>CARRIER_B</x:v>
      </x:c>
      <x:c r="I344" s="187" t="str">
        <x:v>AIR</x:v>
      </x:c>
      <x:c r="J344" s="232" t="n">
        <x:v>328.536</x:v>
      </x:c>
      <x:c r="K344" s="232"/>
      <x:c r="L344" s="232"/>
      <x:c r="M344" s="241" t="n">
        <x:v>0.971</x:v>
      </x:c>
      <x:c r="N344" s="241"/>
      <x:c r="O344" s="244" t="n">
        <x:f>IF(K344="",M344,L344/K344)</x:f>
        <x:v>0.971</x:v>
      </x:c>
      <x:c r="P344" s="244" t="n">
        <x:f>O344-M344</x:f>
        <x:v>0</x:v>
      </x:c>
    </x:row>
    <x:row r="345">
      <x:c r="A345" s="187" t="str">
        <x:v>SCENARIO_COST_SAVING_2026_08</x:v>
      </x:c>
      <x:c r="B345" s="187" t="str">
        <x:v>SCENARIO</x:v>
      </x:c>
      <x:c r="C345" s="187" t="str">
        <x:v>COST_SAVING</x:v>
      </x:c>
      <x:c r="D345" s="217" t="n">
        <x:v>46327</x:v>
      </x:c>
      <x:c r="E345" s="187" t="str">
        <x:v>R_DE_DE_A_ROAD</x:v>
      </x:c>
      <x:c r="F345" s="187" t="str">
        <x:v>DE</x:v>
      </x:c>
      <x:c r="G345" s="187" t="str">
        <x:v>DE_FC</x:v>
      </x:c>
      <x:c r="H345" s="187" t="str">
        <x:v>CARRIER_A</x:v>
      </x:c>
      <x:c r="I345" s="187" t="str">
        <x:v>ROAD</x:v>
      </x:c>
      <x:c r="J345" s="232" t="n">
        <x:v>4849.6896</x:v>
      </x:c>
      <x:c r="K345" s="232"/>
      <x:c r="L345" s="232"/>
      <x:c r="M345" s="241" t="n">
        <x:v>0.965</x:v>
      </x:c>
      <x:c r="N345" s="241"/>
      <x:c r="O345" s="244" t="n">
        <x:f>IF(K345="",M345,L345/K345)</x:f>
        <x:v>0.965</x:v>
      </x:c>
      <x:c r="P345" s="244" t="n">
        <x:f>O345-M345</x:f>
        <x:v>0</x:v>
      </x:c>
    </x:row>
    <x:row r="346">
      <x:c r="A346" s="187" t="str">
        <x:v>SCENARIO_COST_SAVING_2026_08</x:v>
      </x:c>
      <x:c r="B346" s="187" t="str">
        <x:v>SCENARIO</x:v>
      </x:c>
      <x:c r="C346" s="187" t="str">
        <x:v>COST_SAVING</x:v>
      </x:c>
      <x:c r="D346" s="217" t="n">
        <x:v>46327</x:v>
      </x:c>
      <x:c r="E346" s="187" t="str">
        <x:v>R_DE_DE_B_ROAD</x:v>
      </x:c>
      <x:c r="F346" s="187" t="str">
        <x:v>DE</x:v>
      </x:c>
      <x:c r="G346" s="187" t="str">
        <x:v>DE_FC</x:v>
      </x:c>
      <x:c r="H346" s="187" t="str">
        <x:v>CARRIER_B</x:v>
      </x:c>
      <x:c r="I346" s="187" t="str">
        <x:v>ROAD</x:v>
      </x:c>
      <x:c r="J346" s="232" t="n">
        <x:v>3233.1264</x:v>
      </x:c>
      <x:c r="K346" s="232"/>
      <x:c r="L346" s="232"/>
      <x:c r="M346" s="241" t="n">
        <x:v>0.976</x:v>
      </x:c>
      <x:c r="N346" s="241"/>
      <x:c r="O346" s="244" t="n">
        <x:f>IF(K346="",M346,L346/K346)</x:f>
        <x:v>0.976</x:v>
      </x:c>
      <x:c r="P346" s="244" t="n">
        <x:f>O346-M346</x:f>
        <x:v>0</x:v>
      </x:c>
    </x:row>
    <x:row r="347">
      <x:c r="A347" s="187" t="str">
        <x:v>SCENARIO_COST_SAVING_2026_08</x:v>
      </x:c>
      <x:c r="B347" s="187" t="str">
        <x:v>SCENARIO</x:v>
      </x:c>
      <x:c r="C347" s="187" t="str">
        <x:v>COST_SAVING</x:v>
      </x:c>
      <x:c r="D347" s="217" t="n">
        <x:v>46327</x:v>
      </x:c>
      <x:c r="E347" s="187" t="str">
        <x:v>R_DE_FR_B_ROAD</x:v>
      </x:c>
      <x:c r="F347" s="187" t="str">
        <x:v>DE</x:v>
      </x:c>
      <x:c r="G347" s="187" t="str">
        <x:v>FR_FC</x:v>
      </x:c>
      <x:c r="H347" s="187" t="str">
        <x:v>CARRIER_B</x:v>
      </x:c>
      <x:c r="I347" s="187" t="str">
        <x:v>ROAD</x:v>
      </x:c>
      <x:c r="J347" s="232" t="n">
        <x:v>257.1264</x:v>
      </x:c>
      <x:c r="K347" s="232"/>
      <x:c r="L347" s="232"/>
      <x:c r="M347" s="241" t="n">
        <x:v>0.968</x:v>
      </x:c>
      <x:c r="N347" s="241"/>
      <x:c r="O347" s="244" t="n">
        <x:f>IF(K347="",M347,L347/K347)</x:f>
        <x:v>0.968</x:v>
      </x:c>
      <x:c r="P347" s="244" t="n">
        <x:f>O347-M347</x:f>
        <x:v>0</x:v>
      </x:c>
    </x:row>
    <x:row r="348">
      <x:c r="A348" s="187" t="str">
        <x:v>SCENARIO_COST_SAVING_2026_08</x:v>
      </x:c>
      <x:c r="B348" s="187" t="str">
        <x:v>SCENARIO</x:v>
      </x:c>
      <x:c r="C348" s="187" t="str">
        <x:v>COST_SAVING</x:v>
      </x:c>
      <x:c r="D348" s="217" t="n">
        <x:v>46327</x:v>
      </x:c>
      <x:c r="E348" s="187" t="str">
        <x:v>R_FR_FR_A_ROAD</x:v>
      </x:c>
      <x:c r="F348" s="187" t="str">
        <x:v>FR</x:v>
      </x:c>
      <x:c r="G348" s="187" t="str">
        <x:v>FR_FC</x:v>
      </x:c>
      <x:c r="H348" s="187" t="str">
        <x:v>CARRIER_A</x:v>
      </x:c>
      <x:c r="I348" s="187" t="str">
        <x:v>ROAD</x:v>
      </x:c>
      <x:c r="J348" s="232" t="n">
        <x:v>2668.232</x:v>
      </x:c>
      <x:c r="K348" s="232"/>
      <x:c r="L348" s="232"/>
      <x:c r="M348" s="241" t="n">
        <x:v>0.961</x:v>
      </x:c>
      <x:c r="N348" s="241"/>
      <x:c r="O348" s="244" t="n">
        <x:f>IF(K348="",M348,L348/K348)</x:f>
        <x:v>0.961</x:v>
      </x:c>
      <x:c r="P348" s="244" t="n">
        <x:f>O348-M348</x:f>
        <x:v>0</x:v>
      </x:c>
    </x:row>
    <x:row r="349">
      <x:c r="A349" s="187" t="str">
        <x:v>SCENARIO_COST_SAVING_2026_08</x:v>
      </x:c>
      <x:c r="B349" s="187" t="str">
        <x:v>SCENARIO</x:v>
      </x:c>
      <x:c r="C349" s="187" t="str">
        <x:v>COST_SAVING</x:v>
      </x:c>
      <x:c r="D349" s="217" t="n">
        <x:v>46327</x:v>
      </x:c>
      <x:c r="E349" s="187" t="str">
        <x:v>R_FR_FR_B_ROAD</x:v>
      </x:c>
      <x:c r="F349" s="187" t="str">
        <x:v>FR</x:v>
      </x:c>
      <x:c r="G349" s="187" t="str">
        <x:v>FR_FC</x:v>
      </x:c>
      <x:c r="H349" s="187" t="str">
        <x:v>CARRIER_B</x:v>
      </x:c>
      <x:c r="I349" s="187" t="str">
        <x:v>ROAD</x:v>
      </x:c>
      <x:c r="J349" s="232" t="n">
        <x:v>4955.288</x:v>
      </x:c>
      <x:c r="K349" s="232"/>
      <x:c r="L349" s="232"/>
      <x:c r="M349" s="241" t="n">
        <x:v>0.973</x:v>
      </x:c>
      <x:c r="N349" s="241"/>
      <x:c r="O349" s="244" t="n">
        <x:f>IF(K349="",M349,L349/K349)</x:f>
        <x:v>0.973</x:v>
      </x:c>
      <x:c r="P349" s="244" t="n">
        <x:f>O349-M349</x:f>
        <x:v>0</x:v>
      </x:c>
    </x:row>
    <x:row r="350">
      <x:c r="A350" s="187" t="str">
        <x:v>SCENARIO_COST_SAVING_2026_08</x:v>
      </x:c>
      <x:c r="B350" s="187" t="str">
        <x:v>SCENARIO</x:v>
      </x:c>
      <x:c r="C350" s="187" t="str">
        <x:v>COST_SAVING</x:v>
      </x:c>
      <x:c r="D350" s="217" t="n">
        <x:v>46327</x:v>
      </x:c>
      <x:c r="E350" s="187" t="str">
        <x:v>R_GB_DE_A_ROAD</x:v>
      </x:c>
      <x:c r="F350" s="187" t="str">
        <x:v>GB</x:v>
      </x:c>
      <x:c r="G350" s="187" t="str">
        <x:v>DE_FC</x:v>
      </x:c>
      <x:c r="H350" s="187" t="str">
        <x:v>CARRIER_A</x:v>
      </x:c>
      <x:c r="I350" s="187" t="str">
        <x:v>ROAD</x:v>
      </x:c>
      <x:c r="J350" s="232" t="n">
        <x:v>5770.70208</x:v>
      </x:c>
      <x:c r="K350" s="232"/>
      <x:c r="L350" s="232"/>
      <x:c r="M350" s="241" t="n">
        <x:v>0.93</x:v>
      </x:c>
      <x:c r="N350" s="241"/>
      <x:c r="O350" s="244" t="n">
        <x:f>IF(K350="",M350,L350/K350)</x:f>
        <x:v>0.93</x:v>
      </x:c>
      <x:c r="P350" s="244" t="n">
        <x:f>O350-M350</x:f>
        <x:v>0</x:v>
      </x:c>
    </x:row>
    <x:row r="351">
      <x:c r="A351" s="187" t="str">
        <x:v>SCENARIO_COST_SAVING_2026_08</x:v>
      </x:c>
      <x:c r="B351" s="187" t="str">
        <x:v>SCENARIO</x:v>
      </x:c>
      <x:c r="C351" s="187" t="str">
        <x:v>COST_SAVING</x:v>
      </x:c>
      <x:c r="D351" s="217" t="n">
        <x:v>46327</x:v>
      </x:c>
      <x:c r="E351" s="187" t="str">
        <x:v>R_GB_DE_B_ROAD</x:v>
      </x:c>
      <x:c r="F351" s="187" t="str">
        <x:v>GB</x:v>
      </x:c>
      <x:c r="G351" s="187" t="str">
        <x:v>DE_FC</x:v>
      </x:c>
      <x:c r="H351" s="187" t="str">
        <x:v>CARRIER_B</x:v>
      </x:c>
      <x:c r="I351" s="187" t="str">
        <x:v>ROAD</x:v>
      </x:c>
      <x:c r="J351" s="232" t="n">
        <x:v>2937.811968</x:v>
      </x:c>
      <x:c r="K351" s="232"/>
      <x:c r="L351" s="232"/>
      <x:c r="M351" s="241" t="n">
        <x:v>0.95</x:v>
      </x:c>
      <x:c r="N351" s="241"/>
      <x:c r="O351" s="244" t="n">
        <x:f>IF(K351="",M351,L351/K351)</x:f>
        <x:v>0.95</x:v>
      </x:c>
      <x:c r="P351" s="244" t="n">
        <x:f>O351-M351</x:f>
        <x:v>0</x:v>
      </x:c>
    </x:row>
    <x:row r="352">
      <x:c r="A352" s="187" t="str">
        <x:v>SCENARIO_COST_SAVING_2026_08</x:v>
      </x:c>
      <x:c r="B352" s="187" t="str">
        <x:v>SCENARIO</x:v>
      </x:c>
      <x:c r="C352" s="187" t="str">
        <x:v>COST_SAVING</x:v>
      </x:c>
      <x:c r="D352" s="217" t="n">
        <x:v>46327</x:v>
      </x:c>
      <x:c r="E352" s="187" t="str">
        <x:v>R_GB_DE_B_AIR</x:v>
      </x:c>
      <x:c r="F352" s="187" t="str">
        <x:v>GB</x:v>
      </x:c>
      <x:c r="G352" s="187" t="str">
        <x:v>DE_FC</x:v>
      </x:c>
      <x:c r="H352" s="187" t="str">
        <x:v>CARRIER_B</x:v>
      </x:c>
      <x:c r="I352" s="187" t="str">
        <x:v>AIR</x:v>
      </x:c>
      <x:c r="J352" s="232" t="n">
        <x:v>1363.984128</x:v>
      </x:c>
      <x:c r="K352" s="232"/>
      <x:c r="L352" s="232"/>
      <x:c r="M352" s="241" t="n">
        <x:v>0.974</x:v>
      </x:c>
      <x:c r="N352" s="241"/>
      <x:c r="O352" s="244" t="n">
        <x:f>IF(K352="",M352,L352/K352)</x:f>
        <x:v>0.974</x:v>
      </x:c>
      <x:c r="P352" s="244" t="n">
        <x:f>O352-M352</x:f>
        <x:v>0</x:v>
      </x:c>
    </x:row>
    <x:row r="353">
      <x:c r="A353" s="187" t="str">
        <x:v>SCENARIO_COST_SAVING_2026_08</x:v>
      </x:c>
      <x:c r="B353" s="187" t="str">
        <x:v>SCENARIO</x:v>
      </x:c>
      <x:c r="C353" s="187" t="str">
        <x:v>COST_SAVING</x:v>
      </x:c>
      <x:c r="D353" s="217" t="n">
        <x:v>46327</x:v>
      </x:c>
      <x:c r="E353" s="187" t="str">
        <x:v>R_GB_DE_C_AIR</x:v>
      </x:c>
      <x:c r="F353" s="187" t="str">
        <x:v>GB</x:v>
      </x:c>
      <x:c r="G353" s="187" t="str">
        <x:v>DE_FC</x:v>
      </x:c>
      <x:c r="H353" s="187" t="str">
        <x:v>CARRIER_C</x:v>
      </x:c>
      <x:c r="I353" s="187" t="str">
        <x:v>AIR</x:v>
      </x:c>
      <x:c r="J353" s="232" t="n">
        <x:v>419.687424</x:v>
      </x:c>
      <x:c r="K353" s="232"/>
      <x:c r="L353" s="232"/>
      <x:c r="M353" s="241" t="n">
        <x:v>0.988</x:v>
      </x:c>
      <x:c r="N353" s="241"/>
      <x:c r="O353" s="244" t="n">
        <x:f>IF(K353="",M353,L353/K353)</x:f>
        <x:v>0.988</x:v>
      </x:c>
      <x:c r="P353" s="244" t="n">
        <x:f>O353-M353</x:f>
        <x:v>0</x:v>
      </x:c>
    </x:row>
    <x:row r="354">
      <x:c r="A354" s="187" t="str">
        <x:v>SCENARIO_COST_SAVING_2026_08</x:v>
      </x:c>
      <x:c r="B354" s="187" t="str">
        <x:v>SCENARIO</x:v>
      </x:c>
      <x:c r="C354" s="187" t="str">
        <x:v>COST_SAVING</x:v>
      </x:c>
      <x:c r="D354" s="217" t="n">
        <x:v>46327</x:v>
      </x:c>
      <x:c r="E354" s="187" t="str">
        <x:v>R_GB_FR_B_AIR</x:v>
      </x:c>
      <x:c r="F354" s="187" t="str">
        <x:v>GB</x:v>
      </x:c>
      <x:c r="G354" s="187" t="str">
        <x:v>FR_FC</x:v>
      </x:c>
      <x:c r="H354" s="187" t="str">
        <x:v>CARRIER_B</x:v>
      </x:c>
      <x:c r="I354" s="187" t="str">
        <x:v>AIR</x:v>
      </x:c>
      <x:c r="J354" s="232" t="n">
        <x:v>452.6496</x:v>
      </x:c>
      <x:c r="K354" s="232"/>
      <x:c r="L354" s="232"/>
      <x:c r="M354" s="241" t="n">
        <x:v>0.971</x:v>
      </x:c>
      <x:c r="N354" s="241"/>
      <x:c r="O354" s="244" t="n">
        <x:f>IF(K354="",M354,L354/K354)</x:f>
        <x:v>0.971</x:v>
      </x:c>
      <x:c r="P354" s="244" t="n">
        <x:f>O354-M354</x:f>
        <x:v>0</x:v>
      </x:c>
    </x:row>
    <x:row r="355">
      <x:c r="A355" s="187" t="str">
        <x:v>SCENARIO_COST_SAVING_2026_08</x:v>
      </x:c>
      <x:c r="B355" s="187" t="str">
        <x:v>SCENARIO</x:v>
      </x:c>
      <x:c r="C355" s="187" t="str">
        <x:v>COST_SAVING</x:v>
      </x:c>
      <x:c r="D355" s="217" t="n">
        <x:v>46357</x:v>
      </x:c>
      <x:c r="E355" s="187" t="str">
        <x:v>R_DE_DE_A_ROAD</x:v>
      </x:c>
      <x:c r="F355" s="187" t="str">
        <x:v>DE</x:v>
      </x:c>
      <x:c r="G355" s="187" t="str">
        <x:v>DE_FC</x:v>
      </x:c>
      <x:c r="H355" s="187" t="str">
        <x:v>CARRIER_A</x:v>
      </x:c>
      <x:c r="I355" s="187" t="str">
        <x:v>ROAD</x:v>
      </x:c>
      <x:c r="J355" s="232" t="n">
        <x:v>5592.7872</x:v>
      </x:c>
      <x:c r="K355" s="232"/>
      <x:c r="L355" s="232"/>
      <x:c r="M355" s="241" t="n">
        <x:v>0.965</x:v>
      </x:c>
      <x:c r="N355" s="241"/>
      <x:c r="O355" s="244" t="n">
        <x:f>IF(K355="",M355,L355/K355)</x:f>
        <x:v>0.965</x:v>
      </x:c>
      <x:c r="P355" s="244" t="n">
        <x:f>O355-M355</x:f>
        <x:v>0</x:v>
      </x:c>
    </x:row>
    <x:row r="356">
      <x:c r="A356" s="187" t="str">
        <x:v>SCENARIO_COST_SAVING_2026_08</x:v>
      </x:c>
      <x:c r="B356" s="187" t="str">
        <x:v>SCENARIO</x:v>
      </x:c>
      <x:c r="C356" s="187" t="str">
        <x:v>COST_SAVING</x:v>
      </x:c>
      <x:c r="D356" s="217" t="n">
        <x:v>46357</x:v>
      </x:c>
      <x:c r="E356" s="187" t="str">
        <x:v>R_DE_DE_B_ROAD</x:v>
      </x:c>
      <x:c r="F356" s="187" t="str">
        <x:v>DE</x:v>
      </x:c>
      <x:c r="G356" s="187" t="str">
        <x:v>DE_FC</x:v>
      </x:c>
      <x:c r="H356" s="187" t="str">
        <x:v>CARRIER_B</x:v>
      </x:c>
      <x:c r="I356" s="187" t="str">
        <x:v>ROAD</x:v>
      </x:c>
      <x:c r="J356" s="232" t="n">
        <x:v>3728.5248</x:v>
      </x:c>
      <x:c r="K356" s="232"/>
      <x:c r="L356" s="232"/>
      <x:c r="M356" s="241" t="n">
        <x:v>0.976</x:v>
      </x:c>
      <x:c r="N356" s="241"/>
      <x:c r="O356" s="244" t="n">
        <x:f>IF(K356="",M356,L356/K356)</x:f>
        <x:v>0.976</x:v>
      </x:c>
      <x:c r="P356" s="244" t="n">
        <x:f>O356-M356</x:f>
        <x:v>0</x:v>
      </x:c>
    </x:row>
    <x:row r="357">
      <x:c r="A357" s="187" t="str">
        <x:v>SCENARIO_COST_SAVING_2026_08</x:v>
      </x:c>
      <x:c r="B357" s="187" t="str">
        <x:v>SCENARIO</x:v>
      </x:c>
      <x:c r="C357" s="187" t="str">
        <x:v>COST_SAVING</x:v>
      </x:c>
      <x:c r="D357" s="217" t="n">
        <x:v>46357</x:v>
      </x:c>
      <x:c r="E357" s="187" t="str">
        <x:v>R_DE_FR_B_ROAD</x:v>
      </x:c>
      <x:c r="F357" s="187" t="str">
        <x:v>DE</x:v>
      </x:c>
      <x:c r="G357" s="187" t="str">
        <x:v>FR_FC</x:v>
      </x:c>
      <x:c r="H357" s="187" t="str">
        <x:v>CARRIER_B</x:v>
      </x:c>
      <x:c r="I357" s="187" t="str">
        <x:v>ROAD</x:v>
      </x:c>
      <x:c r="J357" s="232" t="n">
        <x:v>296.5248</x:v>
      </x:c>
      <x:c r="K357" s="232"/>
      <x:c r="L357" s="232"/>
      <x:c r="M357" s="241" t="n">
        <x:v>0.968</x:v>
      </x:c>
      <x:c r="N357" s="241"/>
      <x:c r="O357" s="244" t="n">
        <x:f>IF(K357="",M357,L357/K357)</x:f>
        <x:v>0.968</x:v>
      </x:c>
      <x:c r="P357" s="244" t="n">
        <x:f>O357-M357</x:f>
        <x:v>0</x:v>
      </x:c>
    </x:row>
    <x:row r="358">
      <x:c r="A358" s="187" t="str">
        <x:v>SCENARIO_COST_SAVING_2026_08</x:v>
      </x:c>
      <x:c r="B358" s="187" t="str">
        <x:v>SCENARIO</x:v>
      </x:c>
      <x:c r="C358" s="187" t="str">
        <x:v>COST_SAVING</x:v>
      </x:c>
      <x:c r="D358" s="217" t="n">
        <x:v>46357</x:v>
      </x:c>
      <x:c r="E358" s="187" t="str">
        <x:v>R_FR_FR_A_ROAD</x:v>
      </x:c>
      <x:c r="F358" s="187" t="str">
        <x:v>FR</x:v>
      </x:c>
      <x:c r="G358" s="187" t="str">
        <x:v>FR_FC</x:v>
      </x:c>
      <x:c r="H358" s="187" t="str">
        <x:v>CARRIER_A</x:v>
      </x:c>
      <x:c r="I358" s="187" t="str">
        <x:v>ROAD</x:v>
      </x:c>
      <x:c r="J358" s="232" t="n">
        <x:v>2970.968</x:v>
      </x:c>
      <x:c r="K358" s="232"/>
      <x:c r="L358" s="232"/>
      <x:c r="M358" s="241" t="n">
        <x:v>0.961</x:v>
      </x:c>
      <x:c r="N358" s="241"/>
      <x:c r="O358" s="244" t="n">
        <x:f>IF(K358="",M358,L358/K358)</x:f>
        <x:v>0.961</x:v>
      </x:c>
      <x:c r="P358" s="244" t="n">
        <x:f>O358-M358</x:f>
        <x:v>0</x:v>
      </x:c>
    </x:row>
    <x:row r="359">
      <x:c r="A359" s="187" t="str">
        <x:v>SCENARIO_COST_SAVING_2026_08</x:v>
      </x:c>
      <x:c r="B359" s="187" t="str">
        <x:v>SCENARIO</x:v>
      </x:c>
      <x:c r="C359" s="187" t="str">
        <x:v>COST_SAVING</x:v>
      </x:c>
      <x:c r="D359" s="217" t="n">
        <x:v>46357</x:v>
      </x:c>
      <x:c r="E359" s="187" t="str">
        <x:v>R_FR_FR_B_ROAD</x:v>
      </x:c>
      <x:c r="F359" s="187" t="str">
        <x:v>FR</x:v>
      </x:c>
      <x:c r="G359" s="187" t="str">
        <x:v>FR_FC</x:v>
      </x:c>
      <x:c r="H359" s="187" t="str">
        <x:v>CARRIER_B</x:v>
      </x:c>
      <x:c r="I359" s="187" t="str">
        <x:v>ROAD</x:v>
      </x:c>
      <x:c r="J359" s="232" t="n">
        <x:v>5517.512</x:v>
      </x:c>
      <x:c r="K359" s="232"/>
      <x:c r="L359" s="232"/>
      <x:c r="M359" s="241" t="n">
        <x:v>0.973</x:v>
      </x:c>
      <x:c r="N359" s="241"/>
      <x:c r="O359" s="244" t="n">
        <x:f>IF(K359="",M359,L359/K359)</x:f>
        <x:v>0.973</x:v>
      </x:c>
      <x:c r="P359" s="244" t="n">
        <x:f>O359-M359</x:f>
        <x:v>0</x:v>
      </x:c>
    </x:row>
    <x:row r="360">
      <x:c r="A360" s="187" t="str">
        <x:v>SCENARIO_COST_SAVING_2026_08</x:v>
      </x:c>
      <x:c r="B360" s="187" t="str">
        <x:v>SCENARIO</x:v>
      </x:c>
      <x:c r="C360" s="187" t="str">
        <x:v>COST_SAVING</x:v>
      </x:c>
      <x:c r="D360" s="217" t="n">
        <x:v>46357</x:v>
      </x:c>
      <x:c r="E360" s="187" t="str">
        <x:v>R_GB_DE_A_ROAD</x:v>
      </x:c>
      <x:c r="F360" s="187" t="str">
        <x:v>GB</x:v>
      </x:c>
      <x:c r="G360" s="187" t="str">
        <x:v>DE_FC</x:v>
      </x:c>
      <x:c r="H360" s="187" t="str">
        <x:v>CARRIER_A</x:v>
      </x:c>
      <x:c r="I360" s="187" t="str">
        <x:v>ROAD</x:v>
      </x:c>
      <x:c r="J360" s="232" t="n">
        <x:v>7197.86496</x:v>
      </x:c>
      <x:c r="K360" s="232"/>
      <x:c r="L360" s="232"/>
      <x:c r="M360" s="241" t="n">
        <x:v>0.93</x:v>
      </x:c>
      <x:c r="N360" s="241"/>
      <x:c r="O360" s="244" t="n">
        <x:f>IF(K360="",M360,L360/K360)</x:f>
        <x:v>0.93</x:v>
      </x:c>
      <x:c r="P360" s="244" t="n">
        <x:f>O360-M360</x:f>
        <x:v>0</x:v>
      </x:c>
    </x:row>
    <x:row r="361">
      <x:c r="A361" s="187" t="str">
        <x:v>SCENARIO_COST_SAVING_2026_08</x:v>
      </x:c>
      <x:c r="B361" s="187" t="str">
        <x:v>SCENARIO</x:v>
      </x:c>
      <x:c r="C361" s="187" t="str">
        <x:v>COST_SAVING</x:v>
      </x:c>
      <x:c r="D361" s="217" t="n">
        <x:v>46357</x:v>
      </x:c>
      <x:c r="E361" s="187" t="str">
        <x:v>R_GB_DE_B_ROAD</x:v>
      </x:c>
      <x:c r="F361" s="187" t="str">
        <x:v>GB</x:v>
      </x:c>
      <x:c r="G361" s="187" t="str">
        <x:v>DE_FC</x:v>
      </x:c>
      <x:c r="H361" s="187" t="str">
        <x:v>CARRIER_B</x:v>
      </x:c>
      <x:c r="I361" s="187" t="str">
        <x:v>ROAD</x:v>
      </x:c>
      <x:c r="J361" s="232" t="n">
        <x:v>3474.83136</x:v>
      </x:c>
      <x:c r="K361" s="232"/>
      <x:c r="L361" s="232"/>
      <x:c r="M361" s="241" t="n">
        <x:v>0.95</x:v>
      </x:c>
      <x:c r="N361" s="241"/>
      <x:c r="O361" s="244" t="n">
        <x:f>IF(K361="",M361,L361/K361)</x:f>
        <x:v>0.95</x:v>
      </x:c>
      <x:c r="P361" s="244" t="n">
        <x:f>O361-M361</x:f>
        <x:v>0</x:v>
      </x:c>
    </x:row>
    <x:row r="362">
      <x:c r="A362" s="187" t="str">
        <x:v>SCENARIO_COST_SAVING_2026_08</x:v>
      </x:c>
      <x:c r="B362" s="187" t="str">
        <x:v>SCENARIO</x:v>
      </x:c>
      <x:c r="C362" s="187" t="str">
        <x:v>COST_SAVING</x:v>
      </x:c>
      <x:c r="D362" s="217" t="n">
        <x:v>46357</x:v>
      </x:c>
      <x:c r="E362" s="187" t="str">
        <x:v>R_GB_DE_B_AIR</x:v>
      </x:c>
      <x:c r="F362" s="187" t="str">
        <x:v>GB</x:v>
      </x:c>
      <x:c r="G362" s="187" t="str">
        <x:v>DE_FC</x:v>
      </x:c>
      <x:c r="H362" s="187" t="str">
        <x:v>CARRIER_B</x:v>
      </x:c>
      <x:c r="I362" s="187" t="str">
        <x:v>AIR</x:v>
      </x:c>
      <x:c r="J362" s="232" t="n">
        <x:v>1241.0112</x:v>
      </x:c>
      <x:c r="K362" s="232"/>
      <x:c r="L362" s="232"/>
      <x:c r="M362" s="241" t="n">
        <x:v>0.974</x:v>
      </x:c>
      <x:c r="N362" s="241"/>
      <x:c r="O362" s="244" t="n">
        <x:f>IF(K362="",M362,L362/K362)</x:f>
        <x:v>0.974</x:v>
      </x:c>
      <x:c r="P362" s="244" t="n">
        <x:f>O362-M362</x:f>
        <x:v>0</x:v>
      </x:c>
    </x:row>
    <x:row r="363">
      <x:c r="A363" s="187" t="str">
        <x:v>SCENARIO_COST_SAVING_2026_08</x:v>
      </x:c>
      <x:c r="B363" s="187" t="str">
        <x:v>SCENARIO</x:v>
      </x:c>
      <x:c r="C363" s="187" t="str">
        <x:v>COST_SAVING</x:v>
      </x:c>
      <x:c r="D363" s="217" t="n">
        <x:v>46357</x:v>
      </x:c>
      <x:c r="E363" s="187" t="str">
        <x:v>R_GB_DE_C_AIR</x:v>
      </x:c>
      <x:c r="F363" s="187" t="str">
        <x:v>GB</x:v>
      </x:c>
      <x:c r="G363" s="187" t="str">
        <x:v>DE_FC</x:v>
      </x:c>
      <x:c r="H363" s="187" t="str">
        <x:v>CARRIER_C</x:v>
      </x:c>
      <x:c r="I363" s="187" t="str">
        <x:v>AIR</x:v>
      </x:c>
      <x:c r="J363" s="232" t="n">
        <x:v>496.40448</x:v>
      </x:c>
      <x:c r="K363" s="232"/>
      <x:c r="L363" s="232"/>
      <x:c r="M363" s="241" t="n">
        <x:v>0.988</x:v>
      </x:c>
      <x:c r="N363" s="241"/>
      <x:c r="O363" s="244" t="n">
        <x:f>IF(K363="",M363,L363/K363)</x:f>
        <x:v>0.988</x:v>
      </x:c>
      <x:c r="P363" s="244" t="n">
        <x:f>O363-M363</x:f>
        <x:v>0</x:v>
      </x:c>
    </x:row>
    <x:row r="364">
      <x:c r="A364" s="188" t="str">
        <x:v>SCENARIO_COST_SAVING_2026_08</x:v>
      </x:c>
      <x:c r="B364" s="188" t="str">
        <x:v>SCENARIO</x:v>
      </x:c>
      <x:c r="C364" s="188" t="str">
        <x:v>COST_SAVING</x:v>
      </x:c>
      <x:c r="D364" s="218" t="n">
        <x:v>46357</x:v>
      </x:c>
      <x:c r="E364" s="188" t="str">
        <x:v>R_GB_FR_B_AIR</x:v>
      </x:c>
      <x:c r="F364" s="188" t="str">
        <x:v>GB</x:v>
      </x:c>
      <x:c r="G364" s="188" t="str">
        <x:v>FR_FC</x:v>
      </x:c>
      <x:c r="H364" s="188" t="str">
        <x:v>CARRIER_B</x:v>
      </x:c>
      <x:c r="I364" s="188" t="str">
        <x:v>AIR</x:v>
      </x:c>
      <x:c r="J364" s="233" t="n">
        <x:v>535.392</x:v>
      </x:c>
      <x:c r="K364" s="233"/>
      <x:c r="L364" s="233"/>
      <x:c r="M364" s="242" t="n">
        <x:v>0.971</x:v>
      </x:c>
      <x:c r="N364" s="242"/>
      <x:c r="O364" s="245" t="n">
        <x:f>IF(K364="",M364,L364/K364)</x:f>
        <x:v>0.971</x:v>
      </x:c>
      <x:c r="P364" s="245" t="n">
        <x:f>O364-M364</x:f>
        <x:v>0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1fd03bf46e2a4c8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2" customHeight="1">
      <x:c r="A1" s="3" t="str">
        <x:v>月度管理汇总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统一时间轴；Actual、Budget、Forecast、Latest Outlook 与三类情景使用同一指标口径。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0" customHeight="1">
      <x:c r="A4" s="179" t="str">
        <x:v>Series</x:v>
      </x:c>
      <x:c r="B4" s="180" t="str">
        <x:v>Month</x:v>
      </x:c>
      <x:c r="C4" s="180" t="str">
        <x:v>Orders</x:v>
      </x:c>
      <x:c r="D4" s="180" t="str">
        <x:v>Packages</x:v>
      </x:c>
      <x:c r="E4" s="180" t="str">
        <x:v>Chargeable Weight kg</x:v>
      </x:c>
      <x:c r="F4" s="180" t="str">
        <x:v>Variable Cost CNY</x:v>
      </x:c>
      <x:c r="G4" s="180" t="str">
        <x:v>Fixed Cost CNY</x:v>
      </x:c>
      <x:c r="H4" s="180" t="str">
        <x:v>Source Total Cost CNY</x:v>
      </x:c>
      <x:c r="I4" s="180" t="str">
        <x:v>Recalc Total Cost CNY</x:v>
      </x:c>
      <x:c r="J4" s="180" t="str">
        <x:v>Delta</x:v>
      </x:c>
      <x:c r="K4" s="180" t="str">
        <x:v>GMV CNY</x:v>
      </x:c>
      <x:c r="L4" s="180" t="str">
        <x:v>Company Total Cost Rate</x:v>
      </x:c>
      <x:c r="M4" s="180" t="str">
        <x:v>Unit Variable/Order</x:v>
      </x:c>
      <x:c r="N4" s="180" t="str">
        <x:v>Transport Cost/kg</x:v>
      </x:c>
      <x:c r="O4" s="180" t="str">
        <x:v>On-time Rate</x:v>
      </x:c>
      <x:c r="P4" s="181" t="str">
        <x:v>Maturity Rate</x:v>
      </x:c>
    </x:row>
    <x:row r="5">
      <x:c r="A5" s="186" t="str">
        <x:v>BUDGET</x:v>
      </x:c>
      <x:c r="B5" s="216" t="n">
        <x:v>46023</x:v>
      </x:c>
      <x:c r="C5" s="231" t="n">
        <x:v>14000</x:v>
      </x:c>
      <x:c r="D5" s="231" t="n">
        <x:v>15009.26</x:v>
      </x:c>
      <x:c r="E5" s="231" t="n">
        <x:v>12674.1604192</x:v>
      </x:c>
      <x:c r="F5" s="234" t="n">
        <x:v>559244.9786</x:v>
      </x:c>
      <x:c r="G5" s="234" t="n">
        <x:v>635000</x:v>
      </x:c>
      <x:c r="H5" s="234" t="n">
        <x:v>1194244.9786</x:v>
      </x:c>
      <x:c r="I5" s="237" t="n">
        <x:f>F5+G5</x:f>
        <x:v>1194244.9786</x:v>
      </x:c>
      <x:c r="J5" s="237" t="n">
        <x:f>ROUND(I5-H5,4)</x:f>
        <x:v>0</x:v>
      </x:c>
      <x:c r="K5" s="234" t="n">
        <x:v>9321312</x:v>
      </x:c>
      <x:c r="L5" s="246" t="n">
        <x:f>I5/K5</x:f>
        <x:v>0.12811983748639677</x:v>
      </x:c>
      <x:c r="M5" s="225" t="n">
        <x:f>F5/C5</x:f>
        <x:v>39.946069900000005</x:v>
      </x:c>
      <x:c r="N5" s="231" t="n">
        <x:v>28.15743628333929</x:v>
      </x:c>
      <x:c r="O5" s="228" t="n">
        <x:v>0.9614971342331334</x:v>
      </x:c>
      <x:c r="P5" s="228" t="n">
        <x:v>1</x:v>
      </x:c>
    </x:row>
    <x:row r="6">
      <x:c r="A6" s="187" t="str">
        <x:v>BUDGET</x:v>
      </x:c>
      <x:c r="B6" s="217" t="n">
        <x:v>46054</x:v>
      </x:c>
      <x:c r="C6" s="232" t="n">
        <x:v>13500</x:v>
      </x:c>
      <x:c r="D6" s="232" t="n">
        <x:v>14473.215</x:v>
      </x:c>
      <x:c r="E6" s="232" t="n">
        <x:v>12221.5118328</x:v>
      </x:c>
      <x:c r="F6" s="235" t="n">
        <x:v>539271.9436</x:v>
      </x:c>
      <x:c r="G6" s="235" t="n">
        <x:v>635000</x:v>
      </x:c>
      <x:c r="H6" s="235" t="n">
        <x:v>1174271.9436</x:v>
      </x:c>
      <x:c r="I6" s="238" t="n">
        <x:f>F6+G6</x:f>
        <x:v>1174271.9435999999</x:v>
      </x:c>
      <x:c r="J6" s="238" t="n">
        <x:f>ROUND(I6-H6,4)</x:f>
        <x:v>0</x:v>
      </x:c>
      <x:c r="K6" s="235" t="n">
        <x:v>8988408</x:v>
      </x:c>
      <x:c r="L6" s="247" t="n">
        <x:f>I6/K6</x:f>
        <x:v>0.13064292849189754</x:v>
      </x:c>
      <x:c r="M6" s="226" t="n">
        <x:f>F6/C6</x:f>
        <x:v>39.946069896296294</x:v>
      </x:c>
      <x:c r="N6" s="232" t="n">
        <x:v>28.15743628333929</x:v>
      </x:c>
      <x:c r="O6" s="229" t="n">
        <x:v>0.9614971342331334</x:v>
      </x:c>
      <x:c r="P6" s="229" t="n">
        <x:v>1</x:v>
      </x:c>
    </x:row>
    <x:row r="7">
      <x:c r="A7" s="187" t="str">
        <x:v>BUDGET</x:v>
      </x:c>
      <x:c r="B7" s="217" t="n">
        <x:v>46082</x:v>
      </x:c>
      <x:c r="C7" s="232" t="n">
        <x:v>15000</x:v>
      </x:c>
      <x:c r="D7" s="232" t="n">
        <x:v>16102.44</x:v>
      </x:c>
      <x:c r="E7" s="232" t="n">
        <x:v>13667.369376</x:v>
      </x:c>
      <x:c r="F7" s="235" t="n">
        <x:v>609596.958</x:v>
      </x:c>
      <x:c r="G7" s="235" t="n">
        <x:v>635000</x:v>
      </x:c>
      <x:c r="H7" s="235" t="n">
        <x:v>1244596.958</x:v>
      </x:c>
      <x:c r="I7" s="238" t="n">
        <x:f>F7+G7</x:f>
        <x:v>1244596.958</x:v>
      </x:c>
      <x:c r="J7" s="238" t="n">
        <x:f>ROUND(I7-H7,4)</x:f>
        <x:v>0</x:v>
      </x:c>
      <x:c r="K7" s="235" t="n">
        <x:v>10005840</x:v>
      </x:c>
      <x:c r="L7" s="247" t="n">
        <x:f>I7/K7</x:f>
        <x:v>0.12438705376060381</x:v>
      </x:c>
      <x:c r="M7" s="226" t="n">
        <x:f>F7/C7</x:f>
        <x:v>40.6397972</x:v>
      </x:c>
      <x:c r="N7" s="232" t="n">
        <x:v>28.680863891265332</x:v>
      </x:c>
      <x:c r="O7" s="229" t="n">
        <x:v>0.9609171621692116</x:v>
      </x:c>
      <x:c r="P7" s="229" t="n">
        <x:v>1</x:v>
      </x:c>
    </x:row>
    <x:row r="8">
      <x:c r="A8" s="187" t="str">
        <x:v>BUDGET</x:v>
      </x:c>
      <x:c r="B8" s="217" t="n">
        <x:v>46113</x:v>
      </x:c>
      <x:c r="C8" s="232" t="n">
        <x:v>15500</x:v>
      </x:c>
      <x:c r="D8" s="232" t="n">
        <x:v>16639.188</x:v>
      </x:c>
      <x:c r="E8" s="232" t="n">
        <x:v>14122.9483552</x:v>
      </x:c>
      <x:c r="F8" s="235" t="n">
        <x:v>629916.8566</x:v>
      </x:c>
      <x:c r="G8" s="235" t="n">
        <x:v>635000</x:v>
      </x:c>
      <x:c r="H8" s="235" t="n">
        <x:v>1264916.8566</x:v>
      </x:c>
      <x:c r="I8" s="238" t="n">
        <x:f>F8+G8</x:f>
        <x:v>1264916.8566</x:v>
      </x:c>
      <x:c r="J8" s="238" t="n">
        <x:f>ROUND(I8-H8,4)</x:f>
        <x:v>0</x:v>
      </x:c>
      <x:c r="K8" s="235" t="n">
        <x:v>10339368</x:v>
      </x:c>
      <x:c r="L8" s="247" t="n">
        <x:f>I8/K8</x:f>
        <x:v>0.12233986222368717</x:v>
      </x:c>
      <x:c r="M8" s="226" t="n">
        <x:f>F8/C8</x:f>
        <x:v>40.639797200000004</x:v>
      </x:c>
      <x:c r="N8" s="232" t="n">
        <x:v>28.680863891265332</x:v>
      </x:c>
      <x:c r="O8" s="229" t="n">
        <x:v>0.9609171621692116</x:v>
      </x:c>
      <x:c r="P8" s="229" t="n">
        <x:v>1</x:v>
      </x:c>
    </x:row>
    <x:row r="9">
      <x:c r="A9" s="187" t="str">
        <x:v>BUDGET</x:v>
      </x:c>
      <x:c r="B9" s="217" t="n">
        <x:v>46143</x:v>
      </x:c>
      <x:c r="C9" s="232" t="n">
        <x:v>16000</x:v>
      </x:c>
      <x:c r="D9" s="232" t="n">
        <x:v>17187.184</x:v>
      </x:c>
      <x:c r="E9" s="232" t="n">
        <x:v>14625.4136192</x:v>
      </x:c>
      <x:c r="F9" s="235" t="n">
        <x:v>655786.5736</x:v>
      </x:c>
      <x:c r="G9" s="235" t="n">
        <x:v>635000</x:v>
      </x:c>
      <x:c r="H9" s="235" t="n">
        <x:v>1290786.5736</x:v>
      </x:c>
      <x:c r="I9" s="238" t="n">
        <x:f>F9+G9</x:f>
        <x:v>1290786.5736</x:v>
      </x:c>
      <x:c r="J9" s="238" t="n">
        <x:f>ROUND(I9-H9,4)</x:f>
        <x:v>0</x:v>
      </x:c>
      <x:c r="K9" s="235" t="n">
        <x:v>10682880</x:v>
      </x:c>
      <x:c r="L9" s="247" t="n">
        <x:f>I9/K9</x:f>
        <x:v>0.12082758334831056</x:v>
      </x:c>
      <x:c r="M9" s="226" t="n">
        <x:f>F9/C9</x:f>
        <x:v>40.98666085</x:v>
      </x:c>
      <x:c r="N9" s="232" t="n">
        <x:v>28.940060681706235</x:v>
      </x:c>
      <x:c r="O9" s="229" t="n">
        <x:v>0.9606277454736041</x:v>
      </x:c>
      <x:c r="P9" s="229" t="n">
        <x:v>1</x:v>
      </x:c>
    </x:row>
    <x:row r="10">
      <x:c r="A10" s="187" t="str">
        <x:v>BUDGET</x:v>
      </x:c>
      <x:c r="B10" s="217" t="n">
        <x:v>46174</x:v>
      </x:c>
      <x:c r="C10" s="232" t="n">
        <x:v>16500</x:v>
      </x:c>
      <x:c r="D10" s="232" t="n">
        <x:v>17724.2835</x:v>
      </x:c>
      <x:c r="E10" s="232" t="n">
        <x:v>15082.4577948</x:v>
      </x:c>
      <x:c r="F10" s="235" t="n">
        <x:v>676279.9041</x:v>
      </x:c>
      <x:c r="G10" s="235" t="n">
        <x:v>635000</x:v>
      </x:c>
      <x:c r="H10" s="235" t="n">
        <x:v>1311279.9041</x:v>
      </x:c>
      <x:c r="I10" s="238" t="n">
        <x:f>F10+G10</x:f>
        <x:v>1311279.9041</x:v>
      </x:c>
      <x:c r="J10" s="238" t="n">
        <x:f>ROUND(I10-H10,4)</x:f>
        <x:v>0</x:v>
      </x:c>
      <x:c r="K10" s="235" t="n">
        <x:v>11016720</x:v>
      </x:c>
      <x:c r="L10" s="247" t="n">
        <x:f>I10/K10</x:f>
        <x:v>0.11902634396626219</x:v>
      </x:c>
      <x:c r="M10" s="226" t="n">
        <x:f>F10/C10</x:f>
        <x:v>40.986660854545455</x:v>
      </x:c>
      <x:c r="N10" s="232" t="n">
        <x:v>28.940060681706235</x:v>
      </x:c>
      <x:c r="O10" s="229" t="n">
        <x:v>0.9606277454736041</x:v>
      </x:c>
      <x:c r="P10" s="229" t="n">
        <x:v>1</x:v>
      </x:c>
    </x:row>
    <x:row r="11">
      <x:c r="A11" s="187" t="str">
        <x:v>BUDGET</x:v>
      </x:c>
      <x:c r="B11" s="217" t="n">
        <x:v>46204</x:v>
      </x:c>
      <x:c r="C11" s="232" t="n">
        <x:v>17000</x:v>
      </x:c>
      <x:c r="D11" s="232" t="n">
        <x:v>18273.334</x:v>
      </x:c>
      <x:c r="E11" s="232" t="n">
        <x:v>15589.318648</x:v>
      </x:c>
      <x:c r="F11" s="235" t="n">
        <x:v>702669.9166</x:v>
      </x:c>
      <x:c r="G11" s="235" t="n">
        <x:v>635000</x:v>
      </x:c>
      <x:c r="H11" s="235" t="n">
        <x:v>1337669.9166</x:v>
      </x:c>
      <x:c r="I11" s="238" t="n">
        <x:f>F11+G11</x:f>
        <x:v>1337669.9166</x:v>
      </x:c>
      <x:c r="J11" s="238" t="n">
        <x:f>ROUND(I11-H11,4)</x:f>
        <x:v>0</x:v>
      </x:c>
      <x:c r="K11" s="235" t="n">
        <x:v>11361168</x:v>
      </x:c>
      <x:c r="L11" s="247" t="n">
        <x:f>I11/K11</x:f>
        <x:v>0.11774052778728385</x:v>
      </x:c>
      <x:c r="M11" s="226" t="n">
        <x:f>F11/C11</x:f>
        <x:v>41.33352450588235</x:v>
      </x:c>
      <x:c r="N11" s="232" t="n">
        <x:v>29.197600911878418</x:v>
      </x:c>
      <x:c r="O11" s="229" t="n">
        <x:v>0.9603387073426228</x:v>
      </x:c>
      <x:c r="P11" s="229" t="n">
        <x:v>1</x:v>
      </x:c>
    </x:row>
    <x:row r="12">
      <x:c r="A12" s="187" t="str">
        <x:v>BUDGET</x:v>
      </x:c>
      <x:c r="B12" s="217" t="n">
        <x:v>46235</x:v>
      </x:c>
      <x:c r="C12" s="232" t="n">
        <x:v>16000</x:v>
      </x:c>
      <x:c r="D12" s="232" t="n">
        <x:v>17198.432</x:v>
      </x:c>
      <x:c r="E12" s="232" t="n">
        <x:v>14672.299904</x:v>
      </x:c>
      <x:c r="F12" s="235" t="n">
        <x:v>661336.3921</x:v>
      </x:c>
      <x:c r="G12" s="235" t="n">
        <x:v>635000</x:v>
      </x:c>
      <x:c r="H12" s="235" t="n">
        <x:v>1296336.3921</x:v>
      </x:c>
      <x:c r="I12" s="238" t="n">
        <x:f>F12+G12</x:f>
        <x:v>1296336.3921</x:v>
      </x:c>
      <x:c r="J12" s="238" t="n">
        <x:f>ROUND(I12-H12,4)</x:f>
        <x:v>0</x:v>
      </x:c>
      <x:c r="K12" s="235" t="n">
        <x:v>10692864</x:v>
      </x:c>
      <x:c r="L12" s="247" t="n">
        <x:f>I12/K12</x:f>
        <x:v>0.12123378657953567</x:v>
      </x:c>
      <x:c r="M12" s="226" t="n">
        <x:f>F12/C12</x:f>
        <x:v>41.33352450625</x:v>
      </x:c>
      <x:c r="N12" s="232" t="n">
        <x:v>29.197600911878418</x:v>
      </x:c>
      <x:c r="O12" s="229" t="n">
        <x:v>0.9603387073426228</x:v>
      </x:c>
      <x:c r="P12" s="229" t="n">
        <x:v>1</x:v>
      </x:c>
    </x:row>
    <x:row r="13">
      <x:c r="A13" s="187" t="str">
        <x:v>BUDGET</x:v>
      </x:c>
      <x:c r="B13" s="217" t="n">
        <x:v>46266</x:v>
      </x:c>
      <x:c r="C13" s="232" t="n">
        <x:v>16000</x:v>
      </x:c>
      <x:c r="D13" s="232" t="n">
        <x:v>17208.224</x:v>
      </x:c>
      <x:c r="E13" s="232" t="n">
        <x:v>14719.8537088</x:v>
      </x:c>
      <x:c r="F13" s="235" t="n">
        <x:v>667117.664</x:v>
      </x:c>
      <x:c r="G13" s="235" t="n">
        <x:v>635000</x:v>
      </x:c>
      <x:c r="H13" s="235" t="n">
        <x:v>1302117.664</x:v>
      </x:c>
      <x:c r="I13" s="238" t="n">
        <x:f>F13+G13</x:f>
        <x:v>1302117.6639999999</x:v>
      </x:c>
      <x:c r="J13" s="238" t="n">
        <x:f>ROUND(I13-H13,4)</x:f>
        <x:v>0</x:v>
      </x:c>
      <x:c r="K13" s="235" t="n">
        <x:v>10697856</x:v>
      </x:c>
      <x:c r="L13" s="247" t="n">
        <x:f>I13/K13</x:f>
        <x:v>0.12171762865381623</x:v>
      </x:c>
      <x:c r="M13" s="226" t="n">
        <x:f>F13/C13</x:f>
        <x:v>41.694854</x:v>
      </x:c>
      <x:c r="N13" s="232" t="n">
        <x:v>29.45573891529049</x:v>
      </x:c>
      <x:c r="O13" s="229" t="n">
        <x:v>0.960054747627646</x:v>
      </x:c>
      <x:c r="P13" s="229" t="n">
        <x:v>1</x:v>
      </x:c>
    </x:row>
    <x:row r="14">
      <x:c r="A14" s="187" t="str">
        <x:v>BUDGET</x:v>
      </x:c>
      <x:c r="B14" s="217" t="n">
        <x:v>46296</x:v>
      </x:c>
      <x:c r="C14" s="232" t="n">
        <x:v>18000</x:v>
      </x:c>
      <x:c r="D14" s="232" t="n">
        <x:v>19384.56</x:v>
      </x:c>
      <x:c r="E14" s="232" t="n">
        <x:v>16831.982858832</x:v>
      </x:c>
      <x:c r="F14" s="235" t="n">
        <x:v>767987.8363</x:v>
      </x:c>
      <x:c r="G14" s="235" t="n">
        <x:v>635000</x:v>
      </x:c>
      <x:c r="H14" s="235" t="n">
        <x:v>1402987.8363</x:v>
      </x:c>
      <x:c r="I14" s="238" t="n">
        <x:f>F14+G14</x:f>
        <x:v>1402987.8363</x:v>
      </x:c>
      <x:c r="J14" s="238" t="n">
        <x:f>ROUND(I14-H14,4)</x:f>
        <x:v>0</x:v>
      </x:c>
      <x:c r="K14" s="235" t="n">
        <x:v>12057552</x:v>
      </x:c>
      <x:c r="L14" s="247" t="n">
        <x:f>I14/K14</x:f>
        <x:v>0.11635760196597121</x:v>
      </x:c>
      <x:c r="M14" s="226" t="n">
        <x:f>F14/C14</x:f>
        <x:v>42.66599090555555</x:v>
      </x:c>
      <x:c r="N14" s="232" t="n">
        <x:v>29.962641031942507</x:v>
      </x:c>
      <x:c r="O14" s="229" t="n">
        <x:v>0.9594785026928648</x:v>
      </x:c>
      <x:c r="P14" s="229" t="n">
        <x:v>1</x:v>
      </x:c>
    </x:row>
    <x:row r="15">
      <x:c r="A15" s="187" t="str">
        <x:v>BUDGET</x:v>
      </x:c>
      <x:c r="B15" s="217" t="n">
        <x:v>46327</x:v>
      </x:c>
      <x:c r="C15" s="232" t="n">
        <x:v>22000</x:v>
      </x:c>
      <x:c r="D15" s="232" t="n">
        <x:v>23736.636</x:v>
      </x:c>
      <x:c r="E15" s="232" t="n">
        <x:v>20768.690496576</x:v>
      </x:c>
      <x:c r="F15" s="235" t="n">
        <x:v>962075.6164</x:v>
      </x:c>
      <x:c r="G15" s="235" t="n">
        <x:v>635000</x:v>
      </x:c>
      <x:c r="H15" s="235" t="n">
        <x:v>1597075.6164</x:v>
      </x:c>
      <x:c r="I15" s="238" t="n">
        <x:f>F15+G15</x:f>
        <x:v>1597075.6164000002</x:v>
      </x:c>
      <x:c r="J15" s="238" t="n">
        <x:f>ROUND(I15-H15,4)</x:f>
        <x:v>0</x:v>
      </x:c>
      <x:c r="K15" s="235" t="n">
        <x:v>15214467.84</x:v>
      </x:c>
      <x:c r="L15" s="247" t="n">
        <x:f>I15/K15</x:f>
        <x:v>0.10497084966725988</x:v>
      </x:c>
      <x:c r="M15" s="226" t="n">
        <x:f>F15/C15</x:f>
        <x:v>43.73070983636364</x:v>
      </x:c>
      <x:c r="N15" s="232" t="n">
        <x:v>30.713221681762942</x:v>
      </x:c>
      <x:c r="O15" s="229" t="n">
        <x:v>0.9586215158238935</x:v>
      </x:c>
      <x:c r="P15" s="229" t="n">
        <x:v>1</x:v>
      </x:c>
    </x:row>
    <x:row r="16">
      <x:c r="A16" s="187" t="str">
        <x:v>BUDGET</x:v>
      </x:c>
      <x:c r="B16" s="217" t="n">
        <x:v>46357</x:v>
      </x:c>
      <x:c r="C16" s="232" t="n">
        <x:v>26000</x:v>
      </x:c>
      <x:c r="D16" s="232" t="n">
        <x:v>28068.3</x:v>
      </x:c>
      <x:c r="E16" s="232" t="n">
        <x:v>24622.863723536</x:v>
      </x:c>
      <x:c r="F16" s="235" t="n">
        <x:v>1146477.3311</x:v>
      </x:c>
      <x:c r="G16" s="235" t="n">
        <x:v>635000</x:v>
      </x:c>
      <x:c r="H16" s="235" t="n">
        <x:v>1781477.3311</x:v>
      </x:c>
      <x:c r="I16" s="238" t="n">
        <x:f>F16+G16</x:f>
        <x:v>1781477.3311</x:v>
      </x:c>
      <x:c r="J16" s="238" t="n">
        <x:f>ROUND(I16-H16,4)</x:f>
        <x:v>0</x:v>
      </x:c>
      <x:c r="K16" s="235" t="n">
        <x:v>17989090.08</x:v>
      </x:c>
      <x:c r="L16" s="247" t="n">
        <x:f>I16/K16</x:f>
        <x:v>0.09903098617981906</x:v>
      </x:c>
      <x:c r="M16" s="226" t="n">
        <x:f>F16/C16</x:f>
        <x:v>44.095281965384615</x:v>
      </x:c>
      <x:c r="N16" s="232" t="n">
        <x:v>30.961692170557644</x:v>
      </x:c>
      <x:c r="O16" s="229" t="n">
        <x:v>0.9583395912000371</x:v>
      </x:c>
      <x:c r="P16" s="229" t="n">
        <x:v>1</x:v>
      </x:c>
    </x:row>
    <x:row r="17">
      <x:c r="A17" s="187" t="str">
        <x:v>ACTUAL</x:v>
      </x:c>
      <x:c r="B17" s="217" t="n">
        <x:v>46023</x:v>
      </x:c>
      <x:c r="C17" s="232" t="n">
        <x:v>13850</x:v>
      </x:c>
      <x:c r="D17" s="232" t="n">
        <x:v>14848.320465</x:v>
      </x:c>
      <x:c r="E17" s="232" t="n">
        <x:v>12590.9987427498</x:v>
      </x:c>
      <x:c r="F17" s="235" t="n">
        <x:v>558784.2145</x:v>
      </x:c>
      <x:c r="G17" s="235" t="n">
        <x:v>634450.25</x:v>
      </x:c>
      <x:c r="H17" s="235" t="n">
        <x:v>1193234.4645</x:v>
      </x:c>
      <x:c r="I17" s="238" t="n">
        <x:f>F17+G17</x:f>
        <x:v>1193234.4645</x:v>
      </x:c>
      <x:c r="J17" s="238" t="n">
        <x:f>ROUND(I17-H17,4)</x:f>
        <x:v>0</x:v>
      </x:c>
      <x:c r="K17" s="235" t="n">
        <x:v>9247852.3345</x:v>
      </x:c>
      <x:c r="L17" s="247" t="n">
        <x:f>I17/K17</x:f>
        <x:v>0.12902827827911184</x:v>
      </x:c>
      <x:c r="M17" s="226" t="n">
        <x:f>F17/C17</x:f>
        <x:v>40.3454306498195</x:v>
      </x:c>
      <x:c r="N17" s="232" t="n">
        <x:v>28.472183555548447</x:v>
      </x:c>
      <x:c r="O17" s="229" t="n">
        <x:v>0.962878322484805</x:v>
      </x:c>
      <x:c r="P17" s="229" t="n">
        <x:v>1</x:v>
      </x:c>
    </x:row>
    <x:row r="18">
      <x:c r="A18" s="187" t="str">
        <x:v>ACTUAL</x:v>
      </x:c>
      <x:c r="B18" s="217" t="n">
        <x:v>46054</x:v>
      </x:c>
      <x:c r="C18" s="232" t="n">
        <x:v>13680</x:v>
      </x:c>
      <x:c r="D18" s="232" t="n">
        <x:v>14684.119225776</x:v>
      </x:c>
      <x:c r="E18" s="232" t="n">
        <x:v>12460.642110331808</x:v>
      </x:c>
      <x:c r="F18" s="235" t="n">
        <x:v>553302.694</x:v>
      </x:c>
      <x:c r="G18" s="235" t="n">
        <x:v>633896</x:v>
      </x:c>
      <x:c r="H18" s="235" t="n">
        <x:v>1187198.694</x:v>
      </x:c>
      <x:c r="I18" s="238" t="n">
        <x:f>F18+G18</x:f>
        <x:v>1187198.6940000001</x:v>
      </x:c>
      <x:c r="J18" s="238" t="n">
        <x:f>ROUND(I18-H18,4)</x:f>
        <x:v>0</x:v>
      </x:c>
      <x:c r="K18" s="235" t="n">
        <x:v>9112571.6688</x:v>
      </x:c>
      <x:c r="L18" s="247" t="n">
        <x:f>I18/K18</x:f>
        <x:v>0.1302814109067345</x:v>
      </x:c>
      <x:c r="M18" s="226" t="n">
        <x:f>F18/C18</x:f>
        <x:v>40.4461033625731</x:v>
      </x:c>
      <x:c r="N18" s="232" t="n">
        <x:v>28.529652032161277</x:v>
      </x:c>
      <x:c r="O18" s="229" t="n">
        <x:v>0.9627936008099013</x:v>
      </x:c>
      <x:c r="P18" s="229" t="n">
        <x:v>1</x:v>
      </x:c>
    </x:row>
    <x:row r="19">
      <x:c r="A19" s="187" t="str">
        <x:v>ACTUAL</x:v>
      </x:c>
      <x:c r="B19" s="217" t="n">
        <x:v>46082</x:v>
      </x:c>
      <x:c r="C19" s="232" t="n">
        <x:v>15300</x:v>
      </x:c>
      <x:c r="D19" s="232" t="n">
        <x:v>16461.50923386</x:v>
      </x:c>
      <x:c r="E19" s="232" t="n">
        <x:v>14044.33294376592</x:v>
      </x:c>
      <x:c r="F19" s="235" t="n">
        <x:v>636858.6753</x:v>
      </x:c>
      <x:c r="G19" s="235" t="n">
        <x:v>639364.25</x:v>
      </x:c>
      <x:c r="H19" s="235" t="n">
        <x:v>1276222.9253</x:v>
      </x:c>
      <x:c r="I19" s="238" t="n">
        <x:f>F19+G19</x:f>
        <x:v>1276222.9253</x:v>
      </x:c>
      <x:c r="J19" s="238" t="n">
        <x:f>ROUND(I19-H19,4)</x:f>
        <x:v>0</x:v>
      </x:c>
      <x:c r="K19" s="235" t="n">
        <x:v>10281897.279</x:v>
      </x:c>
      <x:c r="L19" s="247" t="n">
        <x:f>I19/K19</x:f>
        <x:v>0.12412329073804201</x:v>
      </x:c>
      <x:c r="M19" s="226" t="n">
        <x:f>F19/C19</x:f>
        <x:v>41.624750019607845</x:v>
      </x:c>
      <x:c r="N19" s="232" t="n">
        <x:v>29.37257120458517</x:v>
      </x:c>
      <x:c r="O19" s="229" t="n">
        <x:v>0.9622170201405685</x:v>
      </x:c>
      <x:c r="P19" s="229" t="n">
        <x:v>1</x:v>
      </x:c>
    </x:row>
    <x:row r="20">
      <x:c r="A20" s="187" t="str">
        <x:v>ACTUAL</x:v>
      </x:c>
      <x:c r="B20" s="217" t="n">
        <x:v>46113</x:v>
      </x:c>
      <x:c r="C20" s="232" t="n">
        <x:v>15800</x:v>
      </x:c>
      <x:c r="D20" s="232" t="n">
        <x:v>17013.37879396</x:v>
      </x:c>
      <x:c r="E20" s="232" t="n">
        <x:v>14503.771709140825</x:v>
      </x:c>
      <x:c r="F20" s="235" t="n">
        <x:v>659595.8328</x:v>
      </x:c>
      <x:c r="G20" s="235" t="n">
        <x:v>641828</x:v>
      </x:c>
      <x:c r="H20" s="235" t="n">
        <x:v>1301423.8328</x:v>
      </x:c>
      <x:c r="I20" s="238" t="n">
        <x:f>F20+G20</x:f>
        <x:v>1301423.8328</x:v>
      </x:c>
      <x:c r="J20" s="238" t="n">
        <x:f>ROUND(I20-H20,4)</x:f>
        <x:v>0</x:v>
      </x:c>
      <x:c r="K20" s="235" t="n">
        <x:v>10645866.042</x:v>
      </x:c>
      <x:c r="L20" s="247" t="n">
        <x:f>I20/K20</x:f>
        <x:v>0.12224687288621061</x:v>
      </x:c>
      <x:c r="M20" s="226" t="n">
        <x:f>F20/C20</x:f>
        <x:v>41.74657169620253</x:v>
      </x:c>
      <x:c r="N20" s="232" t="n">
        <x:v>29.437745639863714</x:v>
      </x:c>
      <x:c r="O20" s="229" t="n">
        <x:v>0.962298606260911</x:v>
      </x:c>
      <x:c r="P20" s="229" t="n">
        <x:v>1</x:v>
      </x:c>
    </x:row>
    <x:row r="21">
      <x:c r="A21" s="187" t="str">
        <x:v>ACTUAL</x:v>
      </x:c>
      <x:c r="B21" s="217" t="n">
        <x:v>46143</x:v>
      </x:c>
      <x:c r="C21" s="232" t="n">
        <x:v>16600</x:v>
      </x:c>
      <x:c r="D21" s="232" t="n">
        <x:v>17908.73678896</x:v>
      </x:c>
      <x:c r="E21" s="232" t="n">
        <x:v>15321.533291644959</x:v>
      </x:c>
      <x:c r="F21" s="235" t="n">
        <x:v>705747.6821</x:v>
      </x:c>
      <x:c r="G21" s="235" t="n">
        <x:v>645051.875</x:v>
      </x:c>
      <x:c r="H21" s="235" t="n">
        <x:v>1350799.5571</x:v>
      </x:c>
      <x:c r="I21" s="238" t="n">
        <x:f>F21+G21</x:f>
        <x:v>1350799.5570999999</x:v>
      </x:c>
      <x:c r="J21" s="238" t="n">
        <x:f>ROUND(I21-H21,4)</x:f>
        <x:v>0</x:v>
      </x:c>
      <x:c r="K21" s="235" t="n">
        <x:v>11233018.393</x:v>
      </x:c>
      <x:c r="L21" s="247" t="n">
        <x:f>I21/K21</x:f>
        <x:v>0.12025259016238841</x:v>
      </x:c>
      <x:c r="M21" s="226" t="n">
        <x:f>F21/C21</x:f>
        <x:v>42.514920608433734</x:v>
      </x:c>
      <x:c r="N21" s="232" t="n">
        <x:v>29.972136573977565</x:v>
      </x:c>
      <x:c r="O21" s="229" t="n">
        <x:v>0.9619146172683528</x:v>
      </x:c>
      <x:c r="P21" s="229" t="n">
        <x:v>1</x:v>
      </x:c>
    </x:row>
    <x:row r="22">
      <x:c r="A22" s="187" t="str">
        <x:v>ACTUAL</x:v>
      </x:c>
      <x:c r="B22" s="217" t="n">
        <x:v>46174</x:v>
      </x:c>
      <x:c r="C22" s="232" t="n">
        <x:v>17200</x:v>
      </x:c>
      <x:c r="D22" s="232" t="n">
        <x:v>18583.6150764</x:v>
      </x:c>
      <x:c r="E22" s="232" t="n">
        <x:v>15931.76355327425</x:v>
      </x:c>
      <x:c r="F22" s="235" t="n">
        <x:v>740538.9147</x:v>
      </x:c>
      <x:c r="G22" s="235" t="n">
        <x:v>647525.75</x:v>
      </x:c>
      <x:c r="H22" s="235" t="n">
        <x:v>1388064.6647</x:v>
      </x:c>
      <x:c r="I22" s="238" t="n">
        <x:f>F22+G22</x:f>
        <x:v>1388064.6647</x:v>
      </x:c>
      <x:c r="J22" s="238" t="n">
        <x:f>ROUND(I22-H22,4)</x:f>
        <x:v>0</x:v>
      </x:c>
      <x:c r="K22" s="235" t="n">
        <x:v>11676307.29</x:v>
      </x:c>
      <x:c r="L22" s="247" t="n">
        <x:f>I22/K22</x:f>
        <x:v>0.11887873710627568</x:v>
      </x:c>
      <x:c r="M22" s="226" t="n">
        <x:f>F22/C22</x:f>
        <x:v>43.05458806395349</x:v>
      </x:c>
      <x:c r="N22" s="232" t="n">
        <x:v>30.342899525736495</x:v>
      </x:c>
      <x:c r="O22" s="229" t="n">
        <x:v>0.9616968639994107</x:v>
      </x:c>
      <x:c r="P22" s="229" t="n">
        <x:v>1</x:v>
      </x:c>
    </x:row>
    <x:row r="23">
      <x:c r="A23" s="187" t="str">
        <x:v>ACTUAL</x:v>
      </x:c>
      <x:c r="B23" s="217" t="n">
        <x:v>46204</x:v>
      </x:c>
      <x:c r="C23" s="232" t="n">
        <x:v>18000</x:v>
      </x:c>
      <x:c r="D23" s="232" t="n">
        <x:v>19500.043446</x:v>
      </x:c>
      <x:c r="E23" s="232" t="n">
        <x:v>16808.2021175472</x:v>
      </x:c>
      <x:c r="F23" s="235" t="n">
        <x:v>803529.9959</x:v>
      </x:c>
      <x:c r="G23" s="235" t="n">
        <x:v>650004.125</x:v>
      </x:c>
      <x:c r="H23" s="235" t="n">
        <x:v>1453534.1209</x:v>
      </x:c>
      <x:c r="I23" s="238" t="n">
        <x:f>F23+G23</x:f>
        <x:v>1453534.1209</x:v>
      </x:c>
      <x:c r="J23" s="238" t="n">
        <x:f>ROUND(I23-H23,4)</x:f>
        <x:v>0</x:v>
      </x:c>
      <x:c r="K23" s="235" t="n">
        <x:v>12268490.85</x:v>
      </x:c>
      <x:c r="L23" s="247" t="n">
        <x:f>I23/K23</x:f>
        <x:v>0.1184770106341156</x:v>
      </x:c>
      <x:c r="M23" s="226" t="n">
        <x:f>F23/C23</x:f>
        <x:v>44.640555327777776</x:v>
      </x:c>
      <x:c r="N23" s="232" t="n">
        <x:v>31.63363150348167</x:v>
      </x:c>
      <x:c r="O23" s="229" t="n">
        <x:v>0.9576999272617189</x:v>
      </x:c>
      <x:c r="P23" s="229" t="n">
        <x:v>0.995</x:v>
      </x:c>
    </x:row>
    <x:row r="24">
      <x:c r="A24" s="187" t="str">
        <x:v>ACTUAL</x:v>
      </x:c>
      <x:c r="B24" s="217" t="n">
        <x:v>46235</x:v>
      </x:c>
      <x:c r="C24" s="232" t="n">
        <x:v>20300</x:v>
      </x:c>
      <x:c r="D24" s="232" t="n">
        <x:v>22879.1353</x:v>
      </x:c>
      <x:c r="E24" s="232" t="n">
        <x:v>20135.8390341136</x:v>
      </x:c>
      <x:c r="F24" s="235" t="n">
        <x:v>1240626.9975</x:v>
      </x:c>
      <x:c r="G24" s="235" t="n">
        <x:v>676265</x:v>
      </x:c>
      <x:c r="H24" s="235" t="n">
        <x:v>1916891.9975</x:v>
      </x:c>
      <x:c r="I24" s="238" t="n">
        <x:f>F24+G24</x:f>
        <x:v>1916891.9975</x:v>
      </x:c>
      <x:c r="J24" s="238" t="n">
        <x:f>ROUND(I24-H24,4)</x:f>
        <x:v>0</x:v>
      </x:c>
      <x:c r="K24" s="235" t="n">
        <x:v>13571805.555</x:v>
      </x:c>
      <x:c r="L24" s="247" t="n">
        <x:f>I24/K24</x:f>
        <x:v>0.14124075015161092</x:v>
      </x:c>
      <x:c r="M24" s="226" t="n">
        <x:f>F24/C24</x:f>
        <x:v>61.114630418719216</x:v>
      </x:c>
      <x:c r="N24" s="232" t="n">
        <x:v>45.24920170748331</x:v>
      </x:c>
      <x:c r="O24" s="229" t="n">
        <x:v>0.9639724265184095</x:v>
      </x:c>
      <x:c r="P24" s="229" t="n">
        <x:v>0.92</x:v>
      </x:c>
    </x:row>
    <x:row r="25">
      <x:c r="A25" s="187" t="str">
        <x:v>FORECAST</x:v>
      </x:c>
      <x:c r="B25" s="217" t="n">
        <x:v>46266</x:v>
      </x:c>
      <x:c r="C25" s="232" t="n">
        <x:v>17200</x:v>
      </x:c>
      <x:c r="D25" s="232" t="n">
        <x:v>18931.2144</x:v>
      </x:c>
      <x:c r="E25" s="232" t="n">
        <x:v>16257.2932556544</x:v>
      </x:c>
      <x:c r="F25" s="235" t="n">
        <x:v>885353.0285</x:v>
      </x:c>
      <x:c r="G25" s="235" t="n">
        <x:v>669848</x:v>
      </x:c>
      <x:c r="H25" s="235" t="n">
        <x:v>1555201.0285</x:v>
      </x:c>
      <x:c r="I25" s="238" t="n">
        <x:f>F25+G25</x:f>
        <x:v>1555201.0285</x:v>
      </x:c>
      <x:c r="J25" s="238" t="n">
        <x:f>ROUND(I25-H25,4)</x:f>
        <x:v>0</x:v>
      </x:c>
      <x:c r="K25" s="235" t="n">
        <x:v>11692518.72</x:v>
      </x:c>
      <x:c r="L25" s="247" t="n">
        <x:f>I25/K25</x:f>
        <x:v>0.1330082136913611</x:v>
      </x:c>
      <x:c r="M25" s="226" t="n">
        <x:f>F25/C25</x:f>
        <x:v>51.474013284883725</x:v>
      </x:c>
      <x:c r="N25" s="232" t="n">
        <x:v>37.77952591873535</x:v>
      </x:c>
      <x:c r="O25" s="229" t="n">
        <x:v>0.9661435714830846</x:v>
      </x:c>
      <x:c r="P25" s="229"/>
    </x:row>
    <x:row r="26">
      <x:c r="A26" s="187" t="str">
        <x:v>FORECAST</x:v>
      </x:c>
      <x:c r="B26" s="217" t="n">
        <x:v>46296</x:v>
      </x:c>
      <x:c r="C26" s="232" t="n">
        <x:v>19500</x:v>
      </x:c>
      <x:c r="D26" s="232" t="n">
        <x:v>21381.867</x:v>
      </x:c>
      <x:c r="E26" s="232" t="n">
        <x:v>18682.05066496704</x:v>
      </x:c>
      <x:c r="F26" s="235" t="n">
        <x:v>997276.4262</x:v>
      </x:c>
      <x:c r="G26" s="235" t="n">
        <x:v>668285</x:v>
      </x:c>
      <x:c r="H26" s="235" t="n">
        <x:v>1665561.4262</x:v>
      </x:c>
      <x:c r="I26" s="238" t="n">
        <x:f>F26+G26</x:f>
        <x:v>1665561.4262</x:v>
      </x:c>
      <x:c r="J26" s="238" t="n">
        <x:f>ROUND(I26-H26,4)</x:f>
        <x:v>0</x:v>
      </x:c>
      <x:c r="K26" s="235" t="n">
        <x:v>13223028</x:v>
      </x:c>
      <x:c r="L26" s="247" t="n">
        <x:f>I26/K26</x:f>
        <x:v>0.12595915445388153</x:v>
      </x:c>
      <x:c r="M26" s="226" t="n">
        <x:f>F26/C26</x:f>
        <x:v>51.14238083076923</x:v>
      </x:c>
      <x:c r="N26" s="232" t="n">
        <x:v>37.0027527874803</x:v>
      </x:c>
      <x:c r="O26" s="229" t="n">
        <x:v>0.9643540758737298</x:v>
      </x:c>
      <x:c r="P26" s="229"/>
    </x:row>
    <x:row r="27">
      <x:c r="A27" s="187" t="str">
        <x:v>FORECAST</x:v>
      </x:c>
      <x:c r="B27" s="217" t="n">
        <x:v>46327</x:v>
      </x:c>
      <x:c r="C27" s="232" t="n">
        <x:v>24800</x:v>
      </x:c>
      <x:c r="D27" s="232" t="n">
        <x:v>27279.7024</x:v>
      </x:c>
      <x:c r="E27" s="232" t="n">
        <x:v>24099.495857110785</x:v>
      </x:c>
      <x:c r="F27" s="235" t="n">
        <x:v>1273840.3787</x:v>
      </x:c>
      <x:c r="G27" s="235" t="n">
        <x:v>658842</x:v>
      </x:c>
      <x:c r="H27" s="235" t="n">
        <x:v>1932682.3787</x:v>
      </x:c>
      <x:c r="I27" s="238" t="n">
        <x:f>F27+G27</x:f>
        <x:v>1932682.3787</x:v>
      </x:c>
      <x:c r="J27" s="238" t="n">
        <x:f>ROUND(I27-H27,4)</x:f>
        <x:v>0</x:v>
      </x:c>
      <x:c r="K27" s="235" t="n">
        <x:v>16773410.56</x:v>
      </x:c>
      <x:c r="L27" s="247" t="n">
        <x:f>I27/K27</x:f>
        <x:v>0.11522298174164528</x:v>
      </x:c>
      <x:c r="M27" s="226" t="n">
        <x:f>F27/C27</x:f>
        <x:v>51.364531399193545</x:v>
      </x:c>
      <x:c r="N27" s="232" t="n">
        <x:v>36.633308510841005</x:v>
      </x:c>
      <x:c r="O27" s="229" t="n">
        <x:v>0.9622447984523468</x:v>
      </x:c>
      <x:c r="P27" s="229"/>
    </x:row>
    <x:row r="28">
      <x:c r="A28" s="187" t="str">
        <x:v>FORECAST</x:v>
      </x:c>
      <x:c r="B28" s="217" t="n">
        <x:v>46357</x:v>
      </x:c>
      <x:c r="C28" s="232" t="n">
        <x:v>28600</x:v>
      </x:c>
      <x:c r="D28" s="232" t="n">
        <x:v>31491.1168</x:v>
      </x:c>
      <x:c r="E28" s="232" t="n">
        <x:v>27984.46280060288</x:v>
      </x:c>
      <x:c r="F28" s="235" t="n">
        <x:v>1449348.848</x:v>
      </x:c>
      <x:c r="G28" s="235" t="n">
        <x:v>657299</x:v>
      </x:c>
      <x:c r="H28" s="235" t="n">
        <x:v>2106647.848</x:v>
      </x:c>
      <x:c r="I28" s="238" t="n">
        <x:f>F28+G28</x:f>
        <x:v>2106647.848</x:v>
      </x:c>
      <x:c r="J28" s="238" t="n">
        <x:f>ROUND(I28-H28,4)</x:f>
        <x:v>0</x:v>
      </x:c>
      <x:c r="K28" s="235" t="n">
        <x:v>19271572.32</x:v>
      </x:c>
      <x:c r="L28" s="247" t="n">
        <x:f>I28/K28</x:f>
        <x:v>0.10931375048281479</x:v>
      </x:c>
      <x:c r="M28" s="226" t="n">
        <x:f>F28/C28</x:f>
        <x:v>50.676533146853146</x:v>
      </x:c>
      <x:c r="N28" s="232" t="n">
        <x:v>35.672669889456536</x:v>
      </x:c>
      <x:c r="O28" s="229" t="n">
        <x:v>0.960520387108024</x:v>
      </x:c>
      <x:c r="P28" s="229"/>
    </x:row>
    <x:row r="29">
      <x:c r="A29" s="187" t="str">
        <x:v>SCENARIO_BASE</x:v>
      </x:c>
      <x:c r="B29" s="217" t="n">
        <x:v>46266</x:v>
      </x:c>
      <x:c r="C29" s="232" t="n">
        <x:v>17200</x:v>
      </x:c>
      <x:c r="D29" s="232" t="n">
        <x:v>18931.2144</x:v>
      </x:c>
      <x:c r="E29" s="232" t="n">
        <x:v>16257.2932556544</x:v>
      </x:c>
      <x:c r="F29" s="235" t="n">
        <x:v>885353.0285</x:v>
      </x:c>
      <x:c r="G29" s="235" t="n">
        <x:v>669848</x:v>
      </x:c>
      <x:c r="H29" s="235" t="n">
        <x:v>1555201.0285</x:v>
      </x:c>
      <x:c r="I29" s="238" t="n">
        <x:f>F29+G29</x:f>
        <x:v>1555201.0285</x:v>
      </x:c>
      <x:c r="J29" s="238" t="n">
        <x:f>ROUND(I29-H29,4)</x:f>
        <x:v>0</x:v>
      </x:c>
      <x:c r="K29" s="235" t="n">
        <x:v>11692518.72</x:v>
      </x:c>
      <x:c r="L29" s="247" t="n">
        <x:f>I29/K29</x:f>
        <x:v>0.1330082136913611</x:v>
      </x:c>
      <x:c r="M29" s="226" t="n">
        <x:f>F29/C29</x:f>
        <x:v>51.474013284883725</x:v>
      </x:c>
      <x:c r="N29" s="232" t="n">
        <x:v>37.77952591873535</x:v>
      </x:c>
      <x:c r="O29" s="229" t="n">
        <x:v>0.9661435714830846</x:v>
      </x:c>
      <x:c r="P29" s="229"/>
    </x:row>
    <x:row r="30">
      <x:c r="A30" s="187" t="str">
        <x:v>SCENARIO_BASE</x:v>
      </x:c>
      <x:c r="B30" s="217" t="n">
        <x:v>46296</x:v>
      </x:c>
      <x:c r="C30" s="232" t="n">
        <x:v>19500</x:v>
      </x:c>
      <x:c r="D30" s="232" t="n">
        <x:v>21381.867</x:v>
      </x:c>
      <x:c r="E30" s="232" t="n">
        <x:v>18682.05066496704</x:v>
      </x:c>
      <x:c r="F30" s="235" t="n">
        <x:v>997276.4262</x:v>
      </x:c>
      <x:c r="G30" s="235" t="n">
        <x:v>668285</x:v>
      </x:c>
      <x:c r="H30" s="235" t="n">
        <x:v>1665561.4262</x:v>
      </x:c>
      <x:c r="I30" s="238" t="n">
        <x:f>F30+G30</x:f>
        <x:v>1665561.4262</x:v>
      </x:c>
      <x:c r="J30" s="238" t="n">
        <x:f>ROUND(I30-H30,4)</x:f>
        <x:v>0</x:v>
      </x:c>
      <x:c r="K30" s="235" t="n">
        <x:v>13223028</x:v>
      </x:c>
      <x:c r="L30" s="247" t="n">
        <x:f>I30/K30</x:f>
        <x:v>0.12595915445388153</x:v>
      </x:c>
      <x:c r="M30" s="226" t="n">
        <x:f>F30/C30</x:f>
        <x:v>51.14238083076923</x:v>
      </x:c>
      <x:c r="N30" s="232" t="n">
        <x:v>37.0027527874803</x:v>
      </x:c>
      <x:c r="O30" s="229" t="n">
        <x:v>0.9643540758737298</x:v>
      </x:c>
      <x:c r="P30" s="229"/>
    </x:row>
    <x:row r="31">
      <x:c r="A31" s="187" t="str">
        <x:v>SCENARIO_BASE</x:v>
      </x:c>
      <x:c r="B31" s="217" t="n">
        <x:v>46327</x:v>
      </x:c>
      <x:c r="C31" s="232" t="n">
        <x:v>24800</x:v>
      </x:c>
      <x:c r="D31" s="232" t="n">
        <x:v>27279.7024</x:v>
      </x:c>
      <x:c r="E31" s="232" t="n">
        <x:v>24099.495857110785</x:v>
      </x:c>
      <x:c r="F31" s="235" t="n">
        <x:v>1273840.3787</x:v>
      </x:c>
      <x:c r="G31" s="235" t="n">
        <x:v>658842</x:v>
      </x:c>
      <x:c r="H31" s="235" t="n">
        <x:v>1932682.3787</x:v>
      </x:c>
      <x:c r="I31" s="238" t="n">
        <x:f>F31+G31</x:f>
        <x:v>1932682.3787</x:v>
      </x:c>
      <x:c r="J31" s="238" t="n">
        <x:f>ROUND(I31-H31,4)</x:f>
        <x:v>0</x:v>
      </x:c>
      <x:c r="K31" s="235" t="n">
        <x:v>16773410.56</x:v>
      </x:c>
      <x:c r="L31" s="247" t="n">
        <x:f>I31/K31</x:f>
        <x:v>0.11522298174164528</x:v>
      </x:c>
      <x:c r="M31" s="226" t="n">
        <x:f>F31/C31</x:f>
        <x:v>51.364531399193545</x:v>
      </x:c>
      <x:c r="N31" s="232" t="n">
        <x:v>36.633308510841005</x:v>
      </x:c>
      <x:c r="O31" s="229" t="n">
        <x:v>0.9622447984523468</x:v>
      </x:c>
      <x:c r="P31" s="229"/>
    </x:row>
    <x:row r="32">
      <x:c r="A32" s="187" t="str">
        <x:v>SCENARIO_BASE</x:v>
      </x:c>
      <x:c r="B32" s="217" t="n">
        <x:v>46357</x:v>
      </x:c>
      <x:c r="C32" s="232" t="n">
        <x:v>28600</x:v>
      </x:c>
      <x:c r="D32" s="232" t="n">
        <x:v>31491.1168</x:v>
      </x:c>
      <x:c r="E32" s="232" t="n">
        <x:v>27984.46280060288</x:v>
      </x:c>
      <x:c r="F32" s="235" t="n">
        <x:v>1449348.848</x:v>
      </x:c>
      <x:c r="G32" s="235" t="n">
        <x:v>657299</x:v>
      </x:c>
      <x:c r="H32" s="235" t="n">
        <x:v>2106647.848</x:v>
      </x:c>
      <x:c r="I32" s="238" t="n">
        <x:f>F32+G32</x:f>
        <x:v>2106647.848</x:v>
      </x:c>
      <x:c r="J32" s="238" t="n">
        <x:f>ROUND(I32-H32,4)</x:f>
        <x:v>0</x:v>
      </x:c>
      <x:c r="K32" s="235" t="n">
        <x:v>19271572.32</x:v>
      </x:c>
      <x:c r="L32" s="247" t="n">
        <x:f>I32/K32</x:f>
        <x:v>0.10931375048281479</x:v>
      </x:c>
      <x:c r="M32" s="226" t="n">
        <x:f>F32/C32</x:f>
        <x:v>50.676533146853146</x:v>
      </x:c>
      <x:c r="N32" s="232" t="n">
        <x:v>35.672669889456536</x:v>
      </x:c>
      <x:c r="O32" s="229" t="n">
        <x:v>0.960520387108024</x:v>
      </x:c>
      <x:c r="P32" s="229"/>
    </x:row>
    <x:row r="33">
      <x:c r="A33" s="187" t="str">
        <x:v>SCENARIO_GROWTH</x:v>
      </x:c>
      <x:c r="B33" s="217" t="n">
        <x:v>46266</x:v>
      </x:c>
      <x:c r="C33" s="232" t="n">
        <x:v>17784.8</x:v>
      </x:c>
      <x:c r="D33" s="232" t="n">
        <x:v>19626.65856</x:v>
      </x:c>
      <x:c r="E33" s="232" t="n">
        <x:v>16942.45757481984</x:v>
      </x:c>
      <x:c r="F33" s="235" t="n">
        <x:v>937198.0529</x:v>
      </x:c>
      <x:c r="G33" s="235" t="n">
        <x:v>669848</x:v>
      </x:c>
      <x:c r="H33" s="235" t="n">
        <x:v>1607046.0529</x:v>
      </x:c>
      <x:c r="I33" s="238" t="n">
        <x:f>F33+G33</x:f>
        <x:v>1607046.0529</x:v>
      </x:c>
      <x:c r="J33" s="238" t="n">
        <x:f>ROUND(I33-H33,4)</x:f>
        <x:v>0</x:v>
      </x:c>
      <x:c r="K33" s="235" t="n">
        <x:v>12099188.64</x:v>
      </x:c>
      <x:c r="L33" s="247" t="n">
        <x:f>I33/K33</x:f>
        <x:v>0.13282262974122866</x:v>
      </x:c>
      <x:c r="M33" s="226" t="n">
        <x:f>F33/C33</x:f>
        <x:v>52.696575328370294</x:v>
      </x:c>
      <x:c r="N33" s="232" t="n">
        <x:v>38.67116625959212</x:v>
      </x:c>
      <x:c r="O33" s="229" t="n">
        <x:v>0.9659630064864592</x:v>
      </x:c>
      <x:c r="P33" s="229"/>
    </x:row>
    <x:row r="34">
      <x:c r="A34" s="187" t="str">
        <x:v>SCENARIO_GROWTH</x:v>
      </x:c>
      <x:c r="B34" s="217" t="n">
        <x:v>46296</x:v>
      </x:c>
      <x:c r="C34" s="232" t="n">
        <x:v>20202</x:v>
      </x:c>
      <x:c r="D34" s="232" t="n">
        <x:v>22203.207</x:v>
      </x:c>
      <x:c r="E34" s="232" t="n">
        <x:v>19505.965225503744</x:v>
      </x:c>
      <x:c r="F34" s="235" t="n">
        <x:v>1056573.0663</x:v>
      </x:c>
      <x:c r="G34" s="235" t="n">
        <x:v>668285</x:v>
      </x:c>
      <x:c r="H34" s="235" t="n">
        <x:v>1724858.0663</x:v>
      </x:c>
      <x:c r="I34" s="238" t="n">
        <x:f>F34+G34</x:f>
        <x:v>1724858.0663</x:v>
      </x:c>
      <x:c r="J34" s="238" t="n">
        <x:f>ROUND(I34-H34,4)</x:f>
        <x:v>0</x:v>
      </x:c>
      <x:c r="K34" s="235" t="n">
        <x:v>13708531.2</x:v>
      </x:c>
      <x:c r="L34" s="247" t="n">
        <x:f>I34/K34</x:f>
        <x:v>0.12582369629067192</x:v>
      </x:c>
      <x:c r="M34" s="226" t="n">
        <x:f>F34/C34</x:f>
        <x:v>52.30041908226909</x:v>
      </x:c>
      <x:c r="N34" s="232" t="n">
        <x:v>37.824215306187874</x:v>
      </x:c>
      <x:c r="O34" s="229" t="n">
        <x:v>0.9640729194239372</x:v>
      </x:c>
      <x:c r="P34" s="229"/>
    </x:row>
    <x:row r="35">
      <x:c r="A35" s="187" t="str">
        <x:v>SCENARIO_GROWTH</x:v>
      </x:c>
      <x:c r="B35" s="217" t="n">
        <x:v>46327</x:v>
      </x:c>
      <x:c r="C35" s="232" t="n">
        <x:v>25767.2</x:v>
      </x:c>
      <x:c r="D35" s="232" t="n">
        <x:v>28411.3264</x:v>
      </x:c>
      <x:c r="E35" s="232" t="n">
        <x:v>25243.620366069863</x:v>
      </x:c>
      <x:c r="F35" s="235" t="n">
        <x:v>1352354.268</x:v>
      </x:c>
      <x:c r="G35" s="235" t="n">
        <x:v>658842</x:v>
      </x:c>
      <x:c r="H35" s="235" t="n">
        <x:v>2011196.268</x:v>
      </x:c>
      <x:c r="I35" s="238" t="n">
        <x:f>F35+G35</x:f>
        <x:v>2011196.268</x:v>
      </x:c>
      <x:c r="J35" s="238" t="n">
        <x:f>ROUND(I35-H35,4)</x:f>
        <x:v>0</x:v>
      </x:c>
      <x:c r="K35" s="235" t="n">
        <x:v>17438650.72</x:v>
      </x:c>
      <x:c r="L35" s="247" t="n">
        <x:f>I35/K35</x:f>
        <x:v>0.11532980964481408</x:v>
      </x:c>
      <x:c r="M35" s="226" t="n">
        <x:f>F35/C35</x:f>
        <x:v>52.4835553727219</x:v>
      </x:c>
      <x:c r="N35" s="232" t="n">
        <x:v>37.38704673739211</x:v>
      </x:c>
      <x:c r="O35" s="229" t="n">
        <x:v>0.9618601360104327</x:v>
      </x:c>
      <x:c r="P35" s="229"/>
    </x:row>
    <x:row r="36">
      <x:c r="A36" s="187" t="str">
        <x:v>SCENARIO_GROWTH</x:v>
      </x:c>
      <x:c r="B36" s="217" t="n">
        <x:v>46357</x:v>
      </x:c>
      <x:c r="C36" s="232" t="n">
        <x:v>29744</x:v>
      </x:c>
      <x:c r="D36" s="232" t="n">
        <x:v>32829.5968</x:v>
      </x:c>
      <x:c r="E36" s="232" t="n">
        <x:v>29346.994570919167</x:v>
      </x:c>
      <x:c r="F36" s="235" t="n">
        <x:v>1538967.1323</x:v>
      </x:c>
      <x:c r="G36" s="235" t="n">
        <x:v>657299</x:v>
      </x:c>
      <x:c r="H36" s="235" t="n">
        <x:v>2196266.1323</x:v>
      </x:c>
      <x:c r="I36" s="238" t="n">
        <x:f>F36+G36</x:f>
        <x:v>2196266.1322999997</x:v>
      </x:c>
      <x:c r="J36" s="238" t="n">
        <x:f>ROUND(I36-H36,4)</x:f>
        <x:v>0</x:v>
      </x:c>
      <x:c r="K36" s="235" t="n">
        <x:v>20054068.32</x:v>
      </x:c>
      <x:c r="L36" s="247" t="n">
        <x:f>I36/K36</x:f>
        <x:v>0.10951723596701099</x:v>
      </x:c>
      <x:c r="M36" s="226" t="n">
        <x:f>F36/C36</x:f>
        <x:v>51.74042268356643</x:v>
      </x:c>
      <x:c r="N36" s="232" t="n">
        <x:v>36.3636795321053</x:v>
      </x:c>
      <x:c r="O36" s="229" t="n">
        <x:v>0.9600474331990577</x:v>
      </x:c>
      <x:c r="P36" s="229"/>
    </x:row>
    <x:row r="37">
      <x:c r="A37" s="187" t="str">
        <x:v>SCENARIO_COST_SAVING</x:v>
      </x:c>
      <x:c r="B37" s="217" t="n">
        <x:v>46266</x:v>
      </x:c>
      <x:c r="C37" s="232" t="n">
        <x:v>17200</x:v>
      </x:c>
      <x:c r="D37" s="232" t="n">
        <x:v>18931.2144</x:v>
      </x:c>
      <x:c r="E37" s="232" t="n">
        <x:v>16257.2932556544</x:v>
      </x:c>
      <x:c r="F37" s="235" t="n">
        <x:v>885353.0285</x:v>
      </x:c>
      <x:c r="G37" s="235" t="n">
        <x:v>669848</x:v>
      </x:c>
      <x:c r="H37" s="235" t="n">
        <x:v>1555201.0285</x:v>
      </x:c>
      <x:c r="I37" s="238" t="n">
        <x:f>F37+G37</x:f>
        <x:v>1555201.0285</x:v>
      </x:c>
      <x:c r="J37" s="238" t="n">
        <x:f>ROUND(I37-H37,4)</x:f>
        <x:v>0</x:v>
      </x:c>
      <x:c r="K37" s="235" t="n">
        <x:v>11692518.72</x:v>
      </x:c>
      <x:c r="L37" s="247" t="n">
        <x:f>I37/K37</x:f>
        <x:v>0.1330082136913611</x:v>
      </x:c>
      <x:c r="M37" s="226" t="n">
        <x:f>F37/C37</x:f>
        <x:v>51.474013284883725</x:v>
      </x:c>
      <x:c r="N37" s="232" t="n">
        <x:v>37.77952591873535</x:v>
      </x:c>
      <x:c r="O37" s="229" t="n">
        <x:v>0.9661435714830846</x:v>
      </x:c>
      <x:c r="P37" s="229"/>
    </x:row>
    <x:row r="38">
      <x:c r="A38" s="187" t="str">
        <x:v>SCENARIO_COST_SAVING</x:v>
      </x:c>
      <x:c r="B38" s="217" t="n">
        <x:v>46296</x:v>
      </x:c>
      <x:c r="C38" s="232" t="n">
        <x:v>19500</x:v>
      </x:c>
      <x:c r="D38" s="232" t="n">
        <x:v>21247.083</x:v>
      </x:c>
      <x:c r="E38" s="232" t="n">
        <x:v>18629.4525891552</x:v>
      </x:c>
      <x:c r="F38" s="235" t="n">
        <x:v>963379.0864</x:v>
      </x:c>
      <x:c r="G38" s="235" t="n">
        <x:v>668285</x:v>
      </x:c>
      <x:c r="H38" s="235" t="n">
        <x:v>1631664.0864</x:v>
      </x:c>
      <x:c r="I38" s="238" t="n">
        <x:f>F38+G38</x:f>
        <x:v>1631664.0864</x:v>
      </x:c>
      <x:c r="J38" s="238" t="n">
        <x:f>ROUND(I38-H38,4)</x:f>
        <x:v>0</x:v>
      </x:c>
      <x:c r="K38" s="235" t="n">
        <x:v>13223028</x:v>
      </x:c>
      <x:c r="L38" s="247" t="n">
        <x:f>I38/K38</x:f>
        <x:v>0.12339564632246108</x:v>
      </x:c>
      <x:c r="M38" s="226" t="n">
        <x:f>F38/C38</x:f>
        <x:v>49.404055712820515</x:v>
      </x:c>
      <x:c r="N38" s="232" t="n">
        <x:v>35.319181912187986</x:v>
      </x:c>
      <x:c r="O38" s="229" t="n">
        <x:v>0.9623634017808468</x:v>
      </x:c>
      <x:c r="P38" s="229"/>
    </x:row>
    <x:row r="39">
      <x:c r="A39" s="187" t="str">
        <x:v>SCENARIO_COST_SAVING</x:v>
      </x:c>
      <x:c r="B39" s="217" t="n">
        <x:v>46327</x:v>
      </x:c>
      <x:c r="C39" s="232" t="n">
        <x:v>24800</x:v>
      </x:c>
      <x:c r="D39" s="232" t="n">
        <x:v>26908.2976</x:v>
      </x:c>
      <x:c r="E39" s="232" t="n">
        <x:v>23886.988028768</x:v>
      </x:c>
      <x:c r="F39" s="235" t="n">
        <x:v>1203002.6629</x:v>
      </x:c>
      <x:c r="G39" s="235" t="n">
        <x:v>658842</x:v>
      </x:c>
      <x:c r="H39" s="235" t="n">
        <x:v>1861844.6629</x:v>
      </x:c>
      <x:c r="I39" s="238" t="n">
        <x:f>F39+G39</x:f>
        <x:v>1861844.6629</x:v>
      </x:c>
      <x:c r="J39" s="238" t="n">
        <x:f>ROUND(I39-H39,4)</x:f>
        <x:v>0</x:v>
      </x:c>
      <x:c r="K39" s="235" t="n">
        <x:v>16773410.56</x:v>
      </x:c>
      <x:c r="L39" s="247" t="n">
        <x:f>I39/K39</x:f>
        <x:v>0.11099976693708259</x:v>
      </x:c>
      <x:c r="M39" s="226" t="n">
        <x:f>F39/C39</x:f>
        <x:v>48.50817189112904</x:v>
      </x:c>
      <x:c r="N39" s="232" t="n">
        <x:v>34.06604128812083</x:v>
      </x:c>
      <x:c r="O39" s="229" t="n">
        <x:v>0.9591991112356361</x:v>
      </x:c>
      <x:c r="P39" s="229"/>
    </x:row>
    <x:row r="40">
      <x:c r="A40" s="187" t="str">
        <x:v>SCENARIO_COST_SAVING</x:v>
      </x:c>
      <x:c r="B40" s="217" t="n">
        <x:v>46357</x:v>
      </x:c>
      <x:c r="C40" s="232" t="n">
        <x:v>28600</x:v>
      </x:c>
      <x:c r="D40" s="232" t="n">
        <x:v>31051.8208</x:v>
      </x:c>
      <x:c r="E40" s="232" t="n">
        <x:v>27671.13098811776</x:v>
      </x:c>
      <x:c r="F40" s="235" t="n">
        <x:v>1385729.4789</x:v>
      </x:c>
      <x:c r="G40" s="235" t="n">
        <x:v>657299</x:v>
      </x:c>
      <x:c r="H40" s="235" t="n">
        <x:v>2043028.4789</x:v>
      </x:c>
      <x:c r="I40" s="238" t="n">
        <x:f>F40+G40</x:f>
        <x:v>2043028.4789</x:v>
      </x:c>
      <x:c r="J40" s="238" t="n">
        <x:f>ROUND(I40-H40,4)</x:f>
        <x:v>0</x:v>
      </x:c>
      <x:c r="K40" s="235" t="n">
        <x:v>19271572.32</x:v>
      </x:c>
      <x:c r="L40" s="247" t="n">
        <x:f>I40/K40</x:f>
        <x:v>0.10601254765184619</x:v>
      </x:c>
      <x:c r="M40" s="226" t="n">
        <x:f>F40/C40</x:f>
        <x:v>48.452079681818184</x:v>
      </x:c>
      <x:c r="N40" s="232" t="n">
        <x:v>33.85489250687606</x:v>
      </x:c>
      <x:c r="O40" s="229" t="n">
        <x:v>0.958427457337381</x:v>
      </x:c>
      <x:c r="P40" s="229"/>
    </x:row>
    <x:row r="41">
      <x:c r="A41" s="187" t="str">
        <x:v>LATEST_OUTLOOK</x:v>
      </x:c>
      <x:c r="B41" s="217" t="n">
        <x:v>46023</x:v>
      </x:c>
      <x:c r="C41" s="232" t="n">
        <x:v>13850</x:v>
      </x:c>
      <x:c r="D41" s="232" t="n">
        <x:v>14848.320465</x:v>
      </x:c>
      <x:c r="E41" s="232" t="n">
        <x:v>12590.9987427498</x:v>
      </x:c>
      <x:c r="F41" s="235" t="n">
        <x:v>558784.2145</x:v>
      </x:c>
      <x:c r="G41" s="235" t="n">
        <x:v>634450.25</x:v>
      </x:c>
      <x:c r="H41" s="235" t="n">
        <x:v>1193234.4645</x:v>
      </x:c>
      <x:c r="I41" s="238" t="n">
        <x:f>F41+G41</x:f>
        <x:v>1193234.4645</x:v>
      </x:c>
      <x:c r="J41" s="238" t="n">
        <x:f>ROUND(I41-H41,4)</x:f>
        <x:v>0</x:v>
      </x:c>
      <x:c r="K41" s="235" t="n">
        <x:v>9247852.3345</x:v>
      </x:c>
      <x:c r="L41" s="247" t="n">
        <x:f>I41/K41</x:f>
        <x:v>0.12902827827911184</x:v>
      </x:c>
      <x:c r="M41" s="226" t="n">
        <x:f>F41/C41</x:f>
        <x:v>40.3454306498195</x:v>
      </x:c>
      <x:c r="N41" s="232" t="n">
        <x:v>28.472183555548447</x:v>
      </x:c>
      <x:c r="O41" s="229" t="n">
        <x:v>0.962878322484805</x:v>
      </x:c>
      <x:c r="P41" s="229" t="n">
        <x:v>1</x:v>
      </x:c>
    </x:row>
    <x:row r="42">
      <x:c r="A42" s="187" t="str">
        <x:v>LATEST_OUTLOOK</x:v>
      </x:c>
      <x:c r="B42" s="217" t="n">
        <x:v>46054</x:v>
      </x:c>
      <x:c r="C42" s="232" t="n">
        <x:v>13680</x:v>
      </x:c>
      <x:c r="D42" s="232" t="n">
        <x:v>14684.119225776</x:v>
      </x:c>
      <x:c r="E42" s="232" t="n">
        <x:v>12460.642110331808</x:v>
      </x:c>
      <x:c r="F42" s="235" t="n">
        <x:v>553302.694</x:v>
      </x:c>
      <x:c r="G42" s="235" t="n">
        <x:v>633896</x:v>
      </x:c>
      <x:c r="H42" s="235" t="n">
        <x:v>1187198.694</x:v>
      </x:c>
      <x:c r="I42" s="238" t="n">
        <x:f>F42+G42</x:f>
        <x:v>1187198.6940000001</x:v>
      </x:c>
      <x:c r="J42" s="238" t="n">
        <x:f>ROUND(I42-H42,4)</x:f>
        <x:v>0</x:v>
      </x:c>
      <x:c r="K42" s="235" t="n">
        <x:v>9112571.6688</x:v>
      </x:c>
      <x:c r="L42" s="247" t="n">
        <x:f>I42/K42</x:f>
        <x:v>0.1302814109067345</x:v>
      </x:c>
      <x:c r="M42" s="226" t="n">
        <x:f>F42/C42</x:f>
        <x:v>40.4461033625731</x:v>
      </x:c>
      <x:c r="N42" s="232" t="n">
        <x:v>28.529652032161277</x:v>
      </x:c>
      <x:c r="O42" s="229" t="n">
        <x:v>0.9627936008099013</x:v>
      </x:c>
      <x:c r="P42" s="229" t="n">
        <x:v>1</x:v>
      </x:c>
    </x:row>
    <x:row r="43">
      <x:c r="A43" s="187" t="str">
        <x:v>LATEST_OUTLOOK</x:v>
      </x:c>
      <x:c r="B43" s="217" t="n">
        <x:v>46082</x:v>
      </x:c>
      <x:c r="C43" s="232" t="n">
        <x:v>15300</x:v>
      </x:c>
      <x:c r="D43" s="232" t="n">
        <x:v>16461.50923386</x:v>
      </x:c>
      <x:c r="E43" s="232" t="n">
        <x:v>14044.33294376592</x:v>
      </x:c>
      <x:c r="F43" s="235" t="n">
        <x:v>636858.6753</x:v>
      </x:c>
      <x:c r="G43" s="235" t="n">
        <x:v>639364.25</x:v>
      </x:c>
      <x:c r="H43" s="235" t="n">
        <x:v>1276222.9253</x:v>
      </x:c>
      <x:c r="I43" s="238" t="n">
        <x:f>F43+G43</x:f>
        <x:v>1276222.9253</x:v>
      </x:c>
      <x:c r="J43" s="238" t="n">
        <x:f>ROUND(I43-H43,4)</x:f>
        <x:v>0</x:v>
      </x:c>
      <x:c r="K43" s="235" t="n">
        <x:v>10281897.279</x:v>
      </x:c>
      <x:c r="L43" s="247" t="n">
        <x:f>I43/K43</x:f>
        <x:v>0.12412329073804201</x:v>
      </x:c>
      <x:c r="M43" s="226" t="n">
        <x:f>F43/C43</x:f>
        <x:v>41.624750019607845</x:v>
      </x:c>
      <x:c r="N43" s="232" t="n">
        <x:v>29.37257120458517</x:v>
      </x:c>
      <x:c r="O43" s="229" t="n">
        <x:v>0.9622170201405685</x:v>
      </x:c>
      <x:c r="P43" s="229" t="n">
        <x:v>1</x:v>
      </x:c>
    </x:row>
    <x:row r="44">
      <x:c r="A44" s="187" t="str">
        <x:v>LATEST_OUTLOOK</x:v>
      </x:c>
      <x:c r="B44" s="217" t="n">
        <x:v>46113</x:v>
      </x:c>
      <x:c r="C44" s="232" t="n">
        <x:v>15800</x:v>
      </x:c>
      <x:c r="D44" s="232" t="n">
        <x:v>17013.37879396</x:v>
      </x:c>
      <x:c r="E44" s="232" t="n">
        <x:v>14503.771709140825</x:v>
      </x:c>
      <x:c r="F44" s="235" t="n">
        <x:v>659595.8328</x:v>
      </x:c>
      <x:c r="G44" s="235" t="n">
        <x:v>641828</x:v>
      </x:c>
      <x:c r="H44" s="235" t="n">
        <x:v>1301423.8328</x:v>
      </x:c>
      <x:c r="I44" s="238" t="n">
        <x:f>F44+G44</x:f>
        <x:v>1301423.8328</x:v>
      </x:c>
      <x:c r="J44" s="238" t="n">
        <x:f>ROUND(I44-H44,4)</x:f>
        <x:v>0</x:v>
      </x:c>
      <x:c r="K44" s="235" t="n">
        <x:v>10645866.042</x:v>
      </x:c>
      <x:c r="L44" s="247" t="n">
        <x:f>I44/K44</x:f>
        <x:v>0.12224687288621061</x:v>
      </x:c>
      <x:c r="M44" s="226" t="n">
        <x:f>F44/C44</x:f>
        <x:v>41.74657169620253</x:v>
      </x:c>
      <x:c r="N44" s="232" t="n">
        <x:v>29.437745639863714</x:v>
      </x:c>
      <x:c r="O44" s="229" t="n">
        <x:v>0.962298606260911</x:v>
      </x:c>
      <x:c r="P44" s="229" t="n">
        <x:v>1</x:v>
      </x:c>
    </x:row>
    <x:row r="45">
      <x:c r="A45" s="187" t="str">
        <x:v>LATEST_OUTLOOK</x:v>
      </x:c>
      <x:c r="B45" s="217" t="n">
        <x:v>46143</x:v>
      </x:c>
      <x:c r="C45" s="232" t="n">
        <x:v>16600</x:v>
      </x:c>
      <x:c r="D45" s="232" t="n">
        <x:v>17908.73678896</x:v>
      </x:c>
      <x:c r="E45" s="232" t="n">
        <x:v>15321.533291644959</x:v>
      </x:c>
      <x:c r="F45" s="235" t="n">
        <x:v>705747.6821</x:v>
      </x:c>
      <x:c r="G45" s="235" t="n">
        <x:v>645051.875</x:v>
      </x:c>
      <x:c r="H45" s="235" t="n">
        <x:v>1350799.5571</x:v>
      </x:c>
      <x:c r="I45" s="238" t="n">
        <x:f>F45+G45</x:f>
        <x:v>1350799.5570999999</x:v>
      </x:c>
      <x:c r="J45" s="238" t="n">
        <x:f>ROUND(I45-H45,4)</x:f>
        <x:v>0</x:v>
      </x:c>
      <x:c r="K45" s="235" t="n">
        <x:v>11233018.393</x:v>
      </x:c>
      <x:c r="L45" s="247" t="n">
        <x:f>I45/K45</x:f>
        <x:v>0.12025259016238841</x:v>
      </x:c>
      <x:c r="M45" s="226" t="n">
        <x:f>F45/C45</x:f>
        <x:v>42.514920608433734</x:v>
      </x:c>
      <x:c r="N45" s="232" t="n">
        <x:v>29.972136573977565</x:v>
      </x:c>
      <x:c r="O45" s="229" t="n">
        <x:v>0.9619146172683528</x:v>
      </x:c>
      <x:c r="P45" s="229" t="n">
        <x:v>1</x:v>
      </x:c>
    </x:row>
    <x:row r="46">
      <x:c r="A46" s="187" t="str">
        <x:v>LATEST_OUTLOOK</x:v>
      </x:c>
      <x:c r="B46" s="217" t="n">
        <x:v>46174</x:v>
      </x:c>
      <x:c r="C46" s="232" t="n">
        <x:v>17200</x:v>
      </x:c>
      <x:c r="D46" s="232" t="n">
        <x:v>18583.6150764</x:v>
      </x:c>
      <x:c r="E46" s="232" t="n">
        <x:v>15931.76355327425</x:v>
      </x:c>
      <x:c r="F46" s="235" t="n">
        <x:v>740538.9147</x:v>
      </x:c>
      <x:c r="G46" s="235" t="n">
        <x:v>647525.75</x:v>
      </x:c>
      <x:c r="H46" s="235" t="n">
        <x:v>1388064.6647</x:v>
      </x:c>
      <x:c r="I46" s="238" t="n">
        <x:f>F46+G46</x:f>
        <x:v>1388064.6647</x:v>
      </x:c>
      <x:c r="J46" s="238" t="n">
        <x:f>ROUND(I46-H46,4)</x:f>
        <x:v>0</x:v>
      </x:c>
      <x:c r="K46" s="235" t="n">
        <x:v>11676307.29</x:v>
      </x:c>
      <x:c r="L46" s="247" t="n">
        <x:f>I46/K46</x:f>
        <x:v>0.11887873710627568</x:v>
      </x:c>
      <x:c r="M46" s="226" t="n">
        <x:f>F46/C46</x:f>
        <x:v>43.05458806395349</x:v>
      </x:c>
      <x:c r="N46" s="232" t="n">
        <x:v>30.342899525736495</x:v>
      </x:c>
      <x:c r="O46" s="229" t="n">
        <x:v>0.9616968639994107</x:v>
      </x:c>
      <x:c r="P46" s="229" t="n">
        <x:v>1</x:v>
      </x:c>
    </x:row>
    <x:row r="47">
      <x:c r="A47" s="187" t="str">
        <x:v>LATEST_OUTLOOK</x:v>
      </x:c>
      <x:c r="B47" s="217" t="n">
        <x:v>46204</x:v>
      </x:c>
      <x:c r="C47" s="232" t="n">
        <x:v>18000</x:v>
      </x:c>
      <x:c r="D47" s="232" t="n">
        <x:v>19500.043446</x:v>
      </x:c>
      <x:c r="E47" s="232" t="n">
        <x:v>16808.2021175472</x:v>
      </x:c>
      <x:c r="F47" s="235" t="n">
        <x:v>803529.9959</x:v>
      </x:c>
      <x:c r="G47" s="235" t="n">
        <x:v>650004.125</x:v>
      </x:c>
      <x:c r="H47" s="235" t="n">
        <x:v>1453534.1209</x:v>
      </x:c>
      <x:c r="I47" s="238" t="n">
        <x:f>F47+G47</x:f>
        <x:v>1453534.1209</x:v>
      </x:c>
      <x:c r="J47" s="238" t="n">
        <x:f>ROUND(I47-H47,4)</x:f>
        <x:v>0</x:v>
      </x:c>
      <x:c r="K47" s="235" t="n">
        <x:v>12268490.85</x:v>
      </x:c>
      <x:c r="L47" s="247" t="n">
        <x:f>I47/K47</x:f>
        <x:v>0.1184770106341156</x:v>
      </x:c>
      <x:c r="M47" s="226" t="n">
        <x:f>F47/C47</x:f>
        <x:v>44.640555327777776</x:v>
      </x:c>
      <x:c r="N47" s="232" t="n">
        <x:v>31.63363150348167</x:v>
      </x:c>
      <x:c r="O47" s="229" t="n">
        <x:v>0.9576999272617189</x:v>
      </x:c>
      <x:c r="P47" s="229" t="n">
        <x:v>0.995</x:v>
      </x:c>
    </x:row>
    <x:row r="48">
      <x:c r="A48" s="187" t="str">
        <x:v>LATEST_OUTLOOK</x:v>
      </x:c>
      <x:c r="B48" s="217" t="n">
        <x:v>46235</x:v>
      </x:c>
      <x:c r="C48" s="232" t="n">
        <x:v>20300</x:v>
      </x:c>
      <x:c r="D48" s="232" t="n">
        <x:v>22879.1353</x:v>
      </x:c>
      <x:c r="E48" s="232" t="n">
        <x:v>20135.8390341136</x:v>
      </x:c>
      <x:c r="F48" s="235" t="n">
        <x:v>1240626.9975</x:v>
      </x:c>
      <x:c r="G48" s="235" t="n">
        <x:v>676265</x:v>
      </x:c>
      <x:c r="H48" s="235" t="n">
        <x:v>1916891.9975</x:v>
      </x:c>
      <x:c r="I48" s="238" t="n">
        <x:f>F48+G48</x:f>
        <x:v>1916891.9975</x:v>
      </x:c>
      <x:c r="J48" s="238" t="n">
        <x:f>ROUND(I48-H48,4)</x:f>
        <x:v>0</x:v>
      </x:c>
      <x:c r="K48" s="235" t="n">
        <x:v>13571805.555</x:v>
      </x:c>
      <x:c r="L48" s="247" t="n">
        <x:f>I48/K48</x:f>
        <x:v>0.14124075015161092</x:v>
      </x:c>
      <x:c r="M48" s="226" t="n">
        <x:f>F48/C48</x:f>
        <x:v>61.114630418719216</x:v>
      </x:c>
      <x:c r="N48" s="232" t="n">
        <x:v>45.24920170748331</x:v>
      </x:c>
      <x:c r="O48" s="229" t="n">
        <x:v>0.9639724265184095</x:v>
      </x:c>
      <x:c r="P48" s="229" t="n">
        <x:v>0.92</x:v>
      </x:c>
    </x:row>
    <x:row r="49">
      <x:c r="A49" s="187" t="str">
        <x:v>LATEST_OUTLOOK</x:v>
      </x:c>
      <x:c r="B49" s="217" t="n">
        <x:v>46266</x:v>
      </x:c>
      <x:c r="C49" s="232" t="n">
        <x:v>17200</x:v>
      </x:c>
      <x:c r="D49" s="232" t="n">
        <x:v>18931.2144</x:v>
      </x:c>
      <x:c r="E49" s="232" t="n">
        <x:v>16257.2932556544</x:v>
      </x:c>
      <x:c r="F49" s="235" t="n">
        <x:v>885353.0285</x:v>
      </x:c>
      <x:c r="G49" s="235" t="n">
        <x:v>669848</x:v>
      </x:c>
      <x:c r="H49" s="235" t="n">
        <x:v>1555201.0285</x:v>
      </x:c>
      <x:c r="I49" s="238" t="n">
        <x:f>F49+G49</x:f>
        <x:v>1555201.0285</x:v>
      </x:c>
      <x:c r="J49" s="238" t="n">
        <x:f>ROUND(I49-H49,4)</x:f>
        <x:v>0</x:v>
      </x:c>
      <x:c r="K49" s="235" t="n">
        <x:v>11692518.72</x:v>
      </x:c>
      <x:c r="L49" s="247" t="n">
        <x:f>I49/K49</x:f>
        <x:v>0.1330082136913611</x:v>
      </x:c>
      <x:c r="M49" s="226" t="n">
        <x:f>F49/C49</x:f>
        <x:v>51.474013284883725</x:v>
      </x:c>
      <x:c r="N49" s="232" t="n">
        <x:v>37.77952591873535</x:v>
      </x:c>
      <x:c r="O49" s="229" t="n">
        <x:v>0.9661435714830846</x:v>
      </x:c>
      <x:c r="P49" s="229"/>
    </x:row>
    <x:row r="50">
      <x:c r="A50" s="187" t="str">
        <x:v>LATEST_OUTLOOK</x:v>
      </x:c>
      <x:c r="B50" s="217" t="n">
        <x:v>46296</x:v>
      </x:c>
      <x:c r="C50" s="232" t="n">
        <x:v>19500</x:v>
      </x:c>
      <x:c r="D50" s="232" t="n">
        <x:v>21381.867</x:v>
      </x:c>
      <x:c r="E50" s="232" t="n">
        <x:v>18682.05066496704</x:v>
      </x:c>
      <x:c r="F50" s="235" t="n">
        <x:v>997276.4262</x:v>
      </x:c>
      <x:c r="G50" s="235" t="n">
        <x:v>668285</x:v>
      </x:c>
      <x:c r="H50" s="235" t="n">
        <x:v>1665561.4262</x:v>
      </x:c>
      <x:c r="I50" s="238" t="n">
        <x:f>F50+G50</x:f>
        <x:v>1665561.4262</x:v>
      </x:c>
      <x:c r="J50" s="238" t="n">
        <x:f>ROUND(I50-H50,4)</x:f>
        <x:v>0</x:v>
      </x:c>
      <x:c r="K50" s="235" t="n">
        <x:v>13223028</x:v>
      </x:c>
      <x:c r="L50" s="247" t="n">
        <x:f>I50/K50</x:f>
        <x:v>0.12595915445388153</x:v>
      </x:c>
      <x:c r="M50" s="226" t="n">
        <x:f>F50/C50</x:f>
        <x:v>51.14238083076923</x:v>
      </x:c>
      <x:c r="N50" s="232" t="n">
        <x:v>37.0027527874803</x:v>
      </x:c>
      <x:c r="O50" s="229" t="n">
        <x:v>0.9643540758737298</x:v>
      </x:c>
      <x:c r="P50" s="229"/>
    </x:row>
    <x:row r="51">
      <x:c r="A51" s="187" t="str">
        <x:v>LATEST_OUTLOOK</x:v>
      </x:c>
      <x:c r="B51" s="217" t="n">
        <x:v>46327</x:v>
      </x:c>
      <x:c r="C51" s="232" t="n">
        <x:v>24800</x:v>
      </x:c>
      <x:c r="D51" s="232" t="n">
        <x:v>27279.7024</x:v>
      </x:c>
      <x:c r="E51" s="232" t="n">
        <x:v>24099.495857110785</x:v>
      </x:c>
      <x:c r="F51" s="235" t="n">
        <x:v>1273840.3787</x:v>
      </x:c>
      <x:c r="G51" s="235" t="n">
        <x:v>658842</x:v>
      </x:c>
      <x:c r="H51" s="235" t="n">
        <x:v>1932682.3787</x:v>
      </x:c>
      <x:c r="I51" s="238" t="n">
        <x:f>F51+G51</x:f>
        <x:v>1932682.3787</x:v>
      </x:c>
      <x:c r="J51" s="238" t="n">
        <x:f>ROUND(I51-H51,4)</x:f>
        <x:v>0</x:v>
      </x:c>
      <x:c r="K51" s="235" t="n">
        <x:v>16773410.56</x:v>
      </x:c>
      <x:c r="L51" s="247" t="n">
        <x:f>I51/K51</x:f>
        <x:v>0.11522298174164528</x:v>
      </x:c>
      <x:c r="M51" s="226" t="n">
        <x:f>F51/C51</x:f>
        <x:v>51.364531399193545</x:v>
      </x:c>
      <x:c r="N51" s="232" t="n">
        <x:v>36.633308510841005</x:v>
      </x:c>
      <x:c r="O51" s="229" t="n">
        <x:v>0.9622447984523468</x:v>
      </x:c>
      <x:c r="P51" s="229"/>
    </x:row>
    <x:row r="52">
      <x:c r="A52" s="188" t="str">
        <x:v>LATEST_OUTLOOK</x:v>
      </x:c>
      <x:c r="B52" s="218" t="n">
        <x:v>46357</x:v>
      </x:c>
      <x:c r="C52" s="233" t="n">
        <x:v>28600</x:v>
      </x:c>
      <x:c r="D52" s="233" t="n">
        <x:v>31491.1168</x:v>
      </x:c>
      <x:c r="E52" s="233" t="n">
        <x:v>27984.46280060288</x:v>
      </x:c>
      <x:c r="F52" s="236" t="n">
        <x:v>1449348.848</x:v>
      </x:c>
      <x:c r="G52" s="236" t="n">
        <x:v>657299</x:v>
      </x:c>
      <x:c r="H52" s="236" t="n">
        <x:v>2106647.848</x:v>
      </x:c>
      <x:c r="I52" s="239" t="n">
        <x:f>F52+G52</x:f>
        <x:v>2106647.848</x:v>
      </x:c>
      <x:c r="J52" s="239" t="n">
        <x:f>ROUND(I52-H52,4)</x:f>
        <x:v>0</x:v>
      </x:c>
      <x:c r="K52" s="236" t="n">
        <x:v>19271572.32</x:v>
      </x:c>
      <x:c r="L52" s="248" t="n">
        <x:f>I52/K52</x:f>
        <x:v>0.10931375048281479</x:v>
      </x:c>
      <x:c r="M52" s="227" t="n">
        <x:f>F52/C52</x:f>
        <x:v>50.676533146853146</x:v>
      </x:c>
      <x:c r="N52" s="233" t="n">
        <x:v>35.672669889456536</x:v>
      </x:c>
      <x:c r="O52" s="230" t="n">
        <x:v>0.960520387108024</x:v>
      </x:c>
      <x:c r="P52" s="230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f16dbda8658c4b1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25" hidden="0" customWidth="1"/>
  </x:cols>
  <x:sheetData>
    <x:row r="1" ht="32" customHeight="1">
      <x:c r="A1" s="3" t="str">
        <x:v>目的国管理汇总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目的国层只展示履约变动成本率；固定成本不分摊到目的国。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179" t="str">
        <x:v>Series</x:v>
      </x:c>
      <x:c r="B4" s="180" t="str">
        <x:v>Month</x:v>
      </x:c>
      <x:c r="C4" s="180" t="str">
        <x:v>Destination</x:v>
      </x:c>
      <x:c r="D4" s="180" t="str">
        <x:v>Orders</x:v>
      </x:c>
      <x:c r="E4" s="180" t="str">
        <x:v>Packages</x:v>
      </x:c>
      <x:c r="F4" s="180" t="str">
        <x:v>Variable Cost CNY</x:v>
      </x:c>
      <x:c r="G4" s="180" t="str">
        <x:v>GMV CNY</x:v>
      </x:c>
      <x:c r="H4" s="180" t="str">
        <x:v>Variable Cost Rate</x:v>
      </x:c>
      <x:c r="I4" s="180" t="str">
        <x:v>Air Package Share</x:v>
      </x:c>
      <x:c r="J4" s="180" t="str">
        <x:v>Carrier C Share</x:v>
      </x:c>
      <x:c r="K4" s="180" t="str">
        <x:v>On-time Rate</x:v>
      </x:c>
      <x:c r="L4" s="180" t="str">
        <x:v>Maturity Rate</x:v>
      </x:c>
      <x:c r="M4" s="180" t="str">
        <x:v>Variable Cost/Order</x:v>
      </x:c>
      <x:c r="N4" s="181" t="str">
        <x:v>Note</x:v>
      </x:c>
    </x:row>
    <x:row r="5">
      <x:c r="A5" s="186" t="str">
        <x:v>BUDGET</x:v>
      </x:c>
      <x:c r="B5" s="216" t="n">
        <x:v>46023</x:v>
      </x:c>
      <x:c r="C5" s="186" t="str">
        <x:v>DE</x:v>
      </x:c>
      <x:c r="D5" s="231" t="n">
        <x:v>5880</x:v>
      </x:c>
      <x:c r="E5" s="231" t="n">
        <x:v>6179.292</x:v>
      </x:c>
      <x:c r="F5" s="231" t="n">
        <x:v>184576.2696</x:v>
      </x:c>
      <x:c r="G5" s="231" t="n">
        <x:v>3760848</x:v>
      </x:c>
      <x:c r="H5" s="228" t="n">
        <x:v>0.049078364658536586</x:v>
      </x:c>
      <x:c r="I5" s="228" t="n">
        <x:v>0</x:v>
      </x:c>
      <x:c r="J5" s="228" t="n">
        <x:v>0</x:v>
      </x:c>
      <x:c r="K5" s="228" t="n">
        <x:v>0.9693568369968598</x:v>
      </x:c>
      <x:c r="L5" s="228" t="n">
        <x:v>1</x:v>
      </x:c>
      <x:c r="M5" s="225" t="n">
        <x:f>F5/D5</x:f>
        <x:v>31.390522040816325</x:v>
      </x:c>
      <x:c r="N5" s="186"/>
    </x:row>
    <x:row r="6">
      <x:c r="A6" s="187" t="str">
        <x:v>BUDGET</x:v>
      </x:c>
      <x:c r="B6" s="217" t="n">
        <x:v>46023</x:v>
      </x:c>
      <x:c r="C6" s="187" t="str">
        <x:v>FR</x:v>
      </x:c>
      <x:c r="D6" s="232" t="n">
        <x:v>4480</x:v>
      </x:c>
      <x:c r="E6" s="232" t="n">
        <x:v>4748.8</x:v>
      </x:c>
      <x:c r="F6" s="232" t="n">
        <x:v>134148.8398</x:v>
      </x:c>
      <x:c r="G6" s="232" t="n">
        <x:v>3005184</x:v>
      </x:c>
      <x:c r="H6" s="229" t="n">
        <x:v>0.04463914348837209</x:v>
      </x:c>
      <x:c r="I6" s="229" t="n">
        <x:v>0</x:v>
      </x:c>
      <x:c r="J6" s="229" t="n">
        <x:v>0</x:v>
      </x:c>
      <x:c r="K6" s="229" t="n">
        <x:v>0.9688</x:v>
      </x:c>
      <x:c r="L6" s="229" t="n">
        <x:v>1</x:v>
      </x:c>
      <x:c r="M6" s="226" t="n">
        <x:f>F6/D6</x:f>
        <x:v>29.94393745535714</x:v>
      </x:c>
      <x:c r="N6" s="187"/>
    </x:row>
    <x:row r="7">
      <x:c r="A7" s="187" t="str">
        <x:v>BUDGET</x:v>
      </x:c>
      <x:c r="B7" s="217" t="n">
        <x:v>46023</x:v>
      </x:c>
      <x:c r="C7" s="187" t="str">
        <x:v>GB</x:v>
      </x:c>
      <x:c r="D7" s="232" t="n">
        <x:v>3640</x:v>
      </x:c>
      <x:c r="E7" s="232" t="n">
        <x:v>4081.168</x:v>
      </x:c>
      <x:c r="F7" s="232" t="n">
        <x:v>240519.8692</x:v>
      </x:c>
      <x:c r="G7" s="232" t="n">
        <x:v>2555280</x:v>
      </x:c>
      <x:c r="H7" s="229" t="n">
        <x:v>0.09412661987623931</x:v>
      </x:c>
      <x:c r="I7" s="229" t="n">
        <x:v>0.13692472351052443</x:v>
      </x:c>
      <x:c r="J7" s="229" t="n">
        <x:v>0.028769175882982518</x:v>
      </x:c>
      <x:c r="K7" s="229" t="n">
        <x:v>0.9410992365322869</x:v>
      </x:c>
      <x:c r="L7" s="229" t="n">
        <x:v>1</x:v>
      </x:c>
      <x:c r="M7" s="226" t="n">
        <x:f>F7/D7</x:f>
        <x:v>66.07688714285715</x:v>
      </x:c>
      <x:c r="N7" s="187"/>
    </x:row>
    <x:row r="8">
      <x:c r="A8" s="187" t="str">
        <x:v>BUDGET</x:v>
      </x:c>
      <x:c r="B8" s="217" t="n">
        <x:v>46054</x:v>
      </x:c>
      <x:c r="C8" s="187" t="str">
        <x:v>DE</x:v>
      </x:c>
      <x:c r="D8" s="232" t="n">
        <x:v>5670</x:v>
      </x:c>
      <x:c r="E8" s="232" t="n">
        <x:v>5958.603</x:v>
      </x:c>
      <x:c r="F8" s="232" t="n">
        <x:v>177984.2599</x:v>
      </x:c>
      <x:c r="G8" s="232" t="n">
        <x:v>3626532</x:v>
      </x:c>
      <x:c r="H8" s="229" t="n">
        <x:v>0.049078364658536586</x:v>
      </x:c>
      <x:c r="I8" s="229" t="n">
        <x:v>0</x:v>
      </x:c>
      <x:c r="J8" s="229" t="n">
        <x:v>0</x:v>
      </x:c>
      <x:c r="K8" s="229" t="n">
        <x:v>0.9693568369968598</x:v>
      </x:c>
      <x:c r="L8" s="229" t="n">
        <x:v>1</x:v>
      </x:c>
      <x:c r="M8" s="226" t="n">
        <x:f>F8/D8</x:f>
        <x:v>31.390522028218697</x:v>
      </x:c>
      <x:c r="N8" s="187"/>
    </x:row>
    <x:row r="9">
      <x:c r="A9" s="187" t="str">
        <x:v>BUDGET</x:v>
      </x:c>
      <x:c r="B9" s="217" t="n">
        <x:v>46054</x:v>
      </x:c>
      <x:c r="C9" s="187" t="str">
        <x:v>FR</x:v>
      </x:c>
      <x:c r="D9" s="232" t="n">
        <x:v>4320</x:v>
      </x:c>
      <x:c r="E9" s="232" t="n">
        <x:v>4579.2</x:v>
      </x:c>
      <x:c r="F9" s="232" t="n">
        <x:v>129357.8098</x:v>
      </x:c>
      <x:c r="G9" s="232" t="n">
        <x:v>2897856</x:v>
      </x:c>
      <x:c r="H9" s="229" t="n">
        <x:v>0.04463914348837209</x:v>
      </x:c>
      <x:c r="I9" s="229" t="n">
        <x:v>0</x:v>
      </x:c>
      <x:c r="J9" s="229" t="n">
        <x:v>0</x:v>
      </x:c>
      <x:c r="K9" s="229" t="n">
        <x:v>0.9688</x:v>
      </x:c>
      <x:c r="L9" s="229" t="n">
        <x:v>1</x:v>
      </x:c>
      <x:c r="M9" s="226" t="n">
        <x:f>F9/D9</x:f>
        <x:v>29.943937453703704</x:v>
      </x:c>
      <x:c r="N9" s="187"/>
    </x:row>
    <x:row r="10">
      <x:c r="A10" s="187" t="str">
        <x:v>BUDGET</x:v>
      </x:c>
      <x:c r="B10" s="217" t="n">
        <x:v>46054</x:v>
      </x:c>
      <x:c r="C10" s="187" t="str">
        <x:v>GB</x:v>
      </x:c>
      <x:c r="D10" s="232" t="n">
        <x:v>3510</x:v>
      </x:c>
      <x:c r="E10" s="232" t="n">
        <x:v>3935.412</x:v>
      </x:c>
      <x:c r="F10" s="232" t="n">
        <x:v>231929.8739</x:v>
      </x:c>
      <x:c r="G10" s="232" t="n">
        <x:v>2464020</x:v>
      </x:c>
      <x:c r="H10" s="229" t="n">
        <x:v>0.09412661987623931</x:v>
      </x:c>
      <x:c r="I10" s="229" t="n">
        <x:v>0.13692472351052443</x:v>
      </x:c>
      <x:c r="J10" s="229" t="n">
        <x:v>0.028769175882982518</x:v>
      </x:c>
      <x:c r="K10" s="229" t="n">
        <x:v>0.9410992365322869</x:v>
      </x:c>
      <x:c r="L10" s="229" t="n">
        <x:v>1</x:v>
      </x:c>
      <x:c r="M10" s="226" t="n">
        <x:f>F10/D10</x:f>
        <x:v>66.07688715099715</x:v>
      </x:c>
      <x:c r="N10" s="187"/>
    </x:row>
    <x:row r="11">
      <x:c r="A11" s="187" t="str">
        <x:v>BUDGET</x:v>
      </x:c>
      <x:c r="B11" s="217" t="n">
        <x:v>46082</x:v>
      </x:c>
      <x:c r="C11" s="187" t="str">
        <x:v>DE</x:v>
      </x:c>
      <x:c r="D11" s="232" t="n">
        <x:v>6000</x:v>
      </x:c>
      <x:c r="E11" s="232" t="n">
        <x:v>6305.4</x:v>
      </x:c>
      <x:c r="F11" s="232" t="n">
        <x:v>188343.1322</x:v>
      </x:c>
      <x:c r="G11" s="232" t="n">
        <x:v>3837600</x:v>
      </x:c>
      <x:c r="H11" s="229" t="n">
        <x:v>0.049078364658536586</x:v>
      </x:c>
      <x:c r="I11" s="229" t="n">
        <x:v>0</x:v>
      </x:c>
      <x:c r="J11" s="229" t="n">
        <x:v>0</x:v>
      </x:c>
      <x:c r="K11" s="229" t="n">
        <x:v>0.9693568369968598</x:v>
      </x:c>
      <x:c r="L11" s="229" t="n">
        <x:v>1</x:v>
      </x:c>
      <x:c r="M11" s="226" t="n">
        <x:f>F11/D11</x:f>
        <x:v>31.390522033333333</x:v>
      </x:c>
      <x:c r="N11" s="187"/>
    </x:row>
    <x:row r="12">
      <x:c r="A12" s="187" t="str">
        <x:v>BUDGET</x:v>
      </x:c>
      <x:c r="B12" s="217" t="n">
        <x:v>46082</x:v>
      </x:c>
      <x:c r="C12" s="187" t="str">
        <x:v>FR</x:v>
      </x:c>
      <x:c r="D12" s="232" t="n">
        <x:v>4800</x:v>
      </x:c>
      <x:c r="E12" s="232" t="n">
        <x:v>5088</x:v>
      </x:c>
      <x:c r="F12" s="232" t="n">
        <x:v>143730.8998</x:v>
      </x:c>
      <x:c r="G12" s="232" t="n">
        <x:v>3219840</x:v>
      </x:c>
      <x:c r="H12" s="229" t="n">
        <x:v>0.04463914348837209</x:v>
      </x:c>
      <x:c r="I12" s="229" t="n">
        <x:v>0</x:v>
      </x:c>
      <x:c r="J12" s="229" t="n">
        <x:v>0</x:v>
      </x:c>
      <x:c r="K12" s="229" t="n">
        <x:v>0.9688</x:v>
      </x:c>
      <x:c r="L12" s="229" t="n">
        <x:v>1</x:v>
      </x:c>
      <x:c r="M12" s="226" t="n">
        <x:f>F12/D12</x:f>
        <x:v>29.943937458333338</x:v>
      </x:c>
      <x:c r="N12" s="187"/>
    </x:row>
    <x:row r="13">
      <x:c r="A13" s="187" t="str">
        <x:v>BUDGET</x:v>
      </x:c>
      <x:c r="B13" s="217" t="n">
        <x:v>46082</x:v>
      </x:c>
      <x:c r="C13" s="187" t="str">
        <x:v>GB</x:v>
      </x:c>
      <x:c r="D13" s="232" t="n">
        <x:v>4200</x:v>
      </x:c>
      <x:c r="E13" s="232" t="n">
        <x:v>4709.04</x:v>
      </x:c>
      <x:c r="F13" s="232" t="n">
        <x:v>277522.926</x:v>
      </x:c>
      <x:c r="G13" s="232" t="n">
        <x:v>2948400</x:v>
      </x:c>
      <x:c r="H13" s="229" t="n">
        <x:v>0.09412661987623931</x:v>
      </x:c>
      <x:c r="I13" s="229" t="n">
        <x:v>0.13692472351052443</x:v>
      </x:c>
      <x:c r="J13" s="229" t="n">
        <x:v>0.028769175882982518</x:v>
      </x:c>
      <x:c r="K13" s="229" t="n">
        <x:v>0.9410992365322869</x:v>
      </x:c>
      <x:c r="L13" s="229" t="n">
        <x:v>1</x:v>
      </x:c>
      <x:c r="M13" s="226" t="n">
        <x:f>F13/D13</x:f>
        <x:v>66.07688714285713</x:v>
      </x:c>
      <x:c r="N13" s="187"/>
    </x:row>
    <x:row r="14">
      <x:c r="A14" s="187" t="str">
        <x:v>BUDGET</x:v>
      </x:c>
      <x:c r="B14" s="217" t="n">
        <x:v>46113</x:v>
      </x:c>
      <x:c r="C14" s="187" t="str">
        <x:v>DE</x:v>
      </x:c>
      <x:c r="D14" s="232" t="n">
        <x:v>6200</x:v>
      </x:c>
      <x:c r="E14" s="232" t="n">
        <x:v>6515.58</x:v>
      </x:c>
      <x:c r="F14" s="232" t="n">
        <x:v>194621.2366</x:v>
      </x:c>
      <x:c r="G14" s="232" t="n">
        <x:v>3965520</x:v>
      </x:c>
      <x:c r="H14" s="229" t="n">
        <x:v>0.049078364658536586</x:v>
      </x:c>
      <x:c r="I14" s="229" t="n">
        <x:v>0</x:v>
      </x:c>
      <x:c r="J14" s="229" t="n">
        <x:v>0</x:v>
      </x:c>
      <x:c r="K14" s="229" t="n">
        <x:v>0.9693568369968598</x:v>
      </x:c>
      <x:c r="L14" s="229" t="n">
        <x:v>1</x:v>
      </x:c>
      <x:c r="M14" s="226" t="n">
        <x:f>F14/D14</x:f>
        <x:v>31.390522032258065</x:v>
      </x:c>
      <x:c r="N14" s="187"/>
    </x:row>
    <x:row r="15">
      <x:c r="A15" s="187" t="str">
        <x:v>BUDGET</x:v>
      </x:c>
      <x:c r="B15" s="217" t="n">
        <x:v>46113</x:v>
      </x:c>
      <x:c r="C15" s="187" t="str">
        <x:v>FR</x:v>
      </x:c>
      <x:c r="D15" s="232" t="n">
        <x:v>4960</x:v>
      </x:c>
      <x:c r="E15" s="232" t="n">
        <x:v>5257.6</x:v>
      </x:c>
      <x:c r="F15" s="232" t="n">
        <x:v>148521.9298</x:v>
      </x:c>
      <x:c r="G15" s="232" t="n">
        <x:v>3327168</x:v>
      </x:c>
      <x:c r="H15" s="229" t="n">
        <x:v>0.04463914348837209</x:v>
      </x:c>
      <x:c r="I15" s="229" t="n">
        <x:v>0</x:v>
      </x:c>
      <x:c r="J15" s="229" t="n">
        <x:v>0</x:v>
      </x:c>
      <x:c r="K15" s="229" t="n">
        <x:v>0.9688</x:v>
      </x:c>
      <x:c r="L15" s="229" t="n">
        <x:v>1</x:v>
      </x:c>
      <x:c r="M15" s="226" t="n">
        <x:f>F15/D15</x:f>
        <x:v>29.94393745967742</x:v>
      </x:c>
      <x:c r="N15" s="187"/>
    </x:row>
    <x:row r="16">
      <x:c r="A16" s="187" t="str">
        <x:v>BUDGET</x:v>
      </x:c>
      <x:c r="B16" s="217" t="n">
        <x:v>46113</x:v>
      </x:c>
      <x:c r="C16" s="187" t="str">
        <x:v>GB</x:v>
      </x:c>
      <x:c r="D16" s="232" t="n">
        <x:v>4340</x:v>
      </x:c>
      <x:c r="E16" s="232" t="n">
        <x:v>4866.008</x:v>
      </x:c>
      <x:c r="F16" s="232" t="n">
        <x:v>286773.6902</x:v>
      </x:c>
      <x:c r="G16" s="232" t="n">
        <x:v>3046680</x:v>
      </x:c>
      <x:c r="H16" s="229" t="n">
        <x:v>0.09412661987623931</x:v>
      </x:c>
      <x:c r="I16" s="229" t="n">
        <x:v>0.13692472351052443</x:v>
      </x:c>
      <x:c r="J16" s="229" t="n">
        <x:v>0.028769175882982518</x:v>
      </x:c>
      <x:c r="K16" s="229" t="n">
        <x:v>0.9410992365322869</x:v>
      </x:c>
      <x:c r="L16" s="229" t="n">
        <x:v>1</x:v>
      </x:c>
      <x:c r="M16" s="226" t="n">
        <x:f>F16/D16</x:f>
        <x:v>66.07688714285715</x:v>
      </x:c>
      <x:c r="N16" s="187"/>
    </x:row>
    <x:row r="17">
      <x:c r="A17" s="187" t="str">
        <x:v>BUDGET</x:v>
      </x:c>
      <x:c r="B17" s="217" t="n">
        <x:v>46143</x:v>
      </x:c>
      <x:c r="C17" s="187" t="str">
        <x:v>DE</x:v>
      </x:c>
      <x:c r="D17" s="232" t="n">
        <x:v>6240</x:v>
      </x:c>
      <x:c r="E17" s="232" t="n">
        <x:v>6557.616</x:v>
      </x:c>
      <x:c r="F17" s="232" t="n">
        <x:v>195876.8575</x:v>
      </x:c>
      <x:c r="G17" s="232" t="n">
        <x:v>3991104</x:v>
      </x:c>
      <x:c r="H17" s="229" t="n">
        <x:v>0.049078364658536586</x:v>
      </x:c>
      <x:c r="I17" s="229" t="n">
        <x:v>0</x:v>
      </x:c>
      <x:c r="J17" s="229" t="n">
        <x:v>0</x:v>
      </x:c>
      <x:c r="K17" s="229" t="n">
        <x:v>0.9693568369968598</x:v>
      </x:c>
      <x:c r="L17" s="229" t="n">
        <x:v>1</x:v>
      </x:c>
      <x:c r="M17" s="226" t="n">
        <x:f>F17/D17</x:f>
        <x:v>31.390522035256414</x:v>
      </x:c>
      <x:c r="N17" s="187"/>
    </x:row>
    <x:row r="18">
      <x:c r="A18" s="187" t="str">
        <x:v>BUDGET</x:v>
      </x:c>
      <x:c r="B18" s="217" t="n">
        <x:v>46143</x:v>
      </x:c>
      <x:c r="C18" s="187" t="str">
        <x:v>FR</x:v>
      </x:c>
      <x:c r="D18" s="232" t="n">
        <x:v>5120</x:v>
      </x:c>
      <x:c r="E18" s="232" t="n">
        <x:v>5427.2</x:v>
      </x:c>
      <x:c r="F18" s="232" t="n">
        <x:v>153312.9598</x:v>
      </x:c>
      <x:c r="G18" s="232" t="n">
        <x:v>3434496</x:v>
      </x:c>
      <x:c r="H18" s="229" t="n">
        <x:v>0.04463914348837209</x:v>
      </x:c>
      <x:c r="I18" s="229" t="n">
        <x:v>0</x:v>
      </x:c>
      <x:c r="J18" s="229" t="n">
        <x:v>0</x:v>
      </x:c>
      <x:c r="K18" s="229" t="n">
        <x:v>0.9688</x:v>
      </x:c>
      <x:c r="L18" s="229" t="n">
        <x:v>1</x:v>
      </x:c>
      <x:c r="M18" s="226" t="n">
        <x:f>F18/D18</x:f>
        <x:v>29.9439374609375</x:v>
      </x:c>
      <x:c r="N18" s="187"/>
    </x:row>
    <x:row r="19">
      <x:c r="A19" s="187" t="str">
        <x:v>BUDGET</x:v>
      </x:c>
      <x:c r="B19" s="217" t="n">
        <x:v>46143</x:v>
      </x:c>
      <x:c r="C19" s="187" t="str">
        <x:v>GB</x:v>
      </x:c>
      <x:c r="D19" s="232" t="n">
        <x:v>4640</x:v>
      </x:c>
      <x:c r="E19" s="232" t="n">
        <x:v>5202.368</x:v>
      </x:c>
      <x:c r="F19" s="232" t="n">
        <x:v>306596.7564</x:v>
      </x:c>
      <x:c r="G19" s="232" t="n">
        <x:v>3257280</x:v>
      </x:c>
      <x:c r="H19" s="229" t="n">
        <x:v>0.09412661987623931</x:v>
      </x:c>
      <x:c r="I19" s="229" t="n">
        <x:v>0.13692472351052443</x:v>
      </x:c>
      <x:c r="J19" s="229" t="n">
        <x:v>0.028769175882982518</x:v>
      </x:c>
      <x:c r="K19" s="229" t="n">
        <x:v>0.9410992365322869</x:v>
      </x:c>
      <x:c r="L19" s="229" t="n">
        <x:v>1</x:v>
      </x:c>
      <x:c r="M19" s="226" t="n">
        <x:f>F19/D19</x:f>
        <x:v>66.07688715517241</x:v>
      </x:c>
      <x:c r="N19" s="187"/>
    </x:row>
    <x:row r="20">
      <x:c r="A20" s="187" t="str">
        <x:v>BUDGET</x:v>
      </x:c>
      <x:c r="B20" s="217" t="n">
        <x:v>46174</x:v>
      </x:c>
      <x:c r="C20" s="187" t="str">
        <x:v>DE</x:v>
      </x:c>
      <x:c r="D20" s="232" t="n">
        <x:v>6435</x:v>
      </x:c>
      <x:c r="E20" s="232" t="n">
        <x:v>6762.5415</x:v>
      </x:c>
      <x:c r="F20" s="232" t="n">
        <x:v>201998.0093</x:v>
      </x:c>
      <x:c r="G20" s="232" t="n">
        <x:v>4115826</x:v>
      </x:c>
      <x:c r="H20" s="229" t="n">
        <x:v>0.049078364658536586</x:v>
      </x:c>
      <x:c r="I20" s="229" t="n">
        <x:v>0</x:v>
      </x:c>
      <x:c r="J20" s="229" t="n">
        <x:v>0</x:v>
      </x:c>
      <x:c r="K20" s="229" t="n">
        <x:v>0.9693568369968598</x:v>
      </x:c>
      <x:c r="L20" s="229" t="n">
        <x:v>1</x:v>
      </x:c>
      <x:c r="M20" s="226" t="n">
        <x:f>F20/D20</x:f>
        <x:v>31.390522035742038</x:v>
      </x:c>
      <x:c r="N20" s="187"/>
    </x:row>
    <x:row r="21">
      <x:c r="A21" s="187" t="str">
        <x:v>BUDGET</x:v>
      </x:c>
      <x:c r="B21" s="217" t="n">
        <x:v>46174</x:v>
      </x:c>
      <x:c r="C21" s="187" t="str">
        <x:v>FR</x:v>
      </x:c>
      <x:c r="D21" s="232" t="n">
        <x:v>5280</x:v>
      </x:c>
      <x:c r="E21" s="232" t="n">
        <x:v>5596.8</x:v>
      </x:c>
      <x:c r="F21" s="232" t="n">
        <x:v>158103.9897</x:v>
      </x:c>
      <x:c r="G21" s="232" t="n">
        <x:v>3541824</x:v>
      </x:c>
      <x:c r="H21" s="229" t="n">
        <x:v>0.04463914348837209</x:v>
      </x:c>
      <x:c r="I21" s="229" t="n">
        <x:v>0</x:v>
      </x:c>
      <x:c r="J21" s="229" t="n">
        <x:v>0</x:v>
      </x:c>
      <x:c r="K21" s="229" t="n">
        <x:v>0.9688</x:v>
      </x:c>
      <x:c r="L21" s="229" t="n">
        <x:v>1</x:v>
      </x:c>
      <x:c r="M21" s="226" t="n">
        <x:f>F21/D21</x:f>
        <x:v>29.94393744318182</x:v>
      </x:c>
      <x:c r="N21" s="187"/>
    </x:row>
    <x:row r="22">
      <x:c r="A22" s="187" t="str">
        <x:v>BUDGET</x:v>
      </x:c>
      <x:c r="B22" s="217" t="n">
        <x:v>46174</x:v>
      </x:c>
      <x:c r="C22" s="187" t="str">
        <x:v>GB</x:v>
      </x:c>
      <x:c r="D22" s="232" t="n">
        <x:v>4785</x:v>
      </x:c>
      <x:c r="E22" s="232" t="n">
        <x:v>5364.942</x:v>
      </x:c>
      <x:c r="F22" s="232" t="n">
        <x:v>316177.905</x:v>
      </x:c>
      <x:c r="G22" s="232" t="n">
        <x:v>3359070</x:v>
      </x:c>
      <x:c r="H22" s="229" t="n">
        <x:v>0.09412661987623931</x:v>
      </x:c>
      <x:c r="I22" s="229" t="n">
        <x:v>0.13692472351052443</x:v>
      </x:c>
      <x:c r="J22" s="229" t="n">
        <x:v>0.028769175882982518</x:v>
      </x:c>
      <x:c r="K22" s="229" t="n">
        <x:v>0.9410992365322869</x:v>
      </x:c>
      <x:c r="L22" s="229" t="n">
        <x:v>1</x:v>
      </x:c>
      <x:c r="M22" s="226" t="n">
        <x:f>F22/D22</x:f>
        <x:v>66.07688714733543</x:v>
      </x:c>
      <x:c r="N22" s="187"/>
    </x:row>
    <x:row r="23">
      <x:c r="A23" s="187" t="str">
        <x:v>BUDGET</x:v>
      </x:c>
      <x:c r="B23" s="217" t="n">
        <x:v>46204</x:v>
      </x:c>
      <x:c r="C23" s="187" t="str">
        <x:v>DE</x:v>
      </x:c>
      <x:c r="D23" s="232" t="n">
        <x:v>6460</x:v>
      </x:c>
      <x:c r="E23" s="232" t="n">
        <x:v>6788.814</x:v>
      </x:c>
      <x:c r="F23" s="232" t="n">
        <x:v>202782.7723</x:v>
      </x:c>
      <x:c r="G23" s="232" t="n">
        <x:v>4131816</x:v>
      </x:c>
      <x:c r="H23" s="229" t="n">
        <x:v>0.049078364658536586</x:v>
      </x:c>
      <x:c r="I23" s="229" t="n">
        <x:v>0</x:v>
      </x:c>
      <x:c r="J23" s="229" t="n">
        <x:v>0</x:v>
      </x:c>
      <x:c r="K23" s="229" t="n">
        <x:v>0.9693568369968598</x:v>
      </x:c>
      <x:c r="L23" s="229" t="n">
        <x:v>1</x:v>
      </x:c>
      <x:c r="M23" s="226" t="n">
        <x:f>F23/D23</x:f>
        <x:v>31.390522027863778</x:v>
      </x:c>
      <x:c r="N23" s="187"/>
    </x:row>
    <x:row r="24">
      <x:c r="A24" s="187" t="str">
        <x:v>BUDGET</x:v>
      </x:c>
      <x:c r="B24" s="217" t="n">
        <x:v>46204</x:v>
      </x:c>
      <x:c r="C24" s="187" t="str">
        <x:v>FR</x:v>
      </x:c>
      <x:c r="D24" s="232" t="n">
        <x:v>5440</x:v>
      </x:c>
      <x:c r="E24" s="232" t="n">
        <x:v>5766.4</x:v>
      </x:c>
      <x:c r="F24" s="232" t="n">
        <x:v>162895.0197</x:v>
      </x:c>
      <x:c r="G24" s="232" t="n">
        <x:v>3649152</x:v>
      </x:c>
      <x:c r="H24" s="229" t="n">
        <x:v>0.04463914348837209</x:v>
      </x:c>
      <x:c r="I24" s="229" t="n">
        <x:v>0</x:v>
      </x:c>
      <x:c r="J24" s="229" t="n">
        <x:v>0</x:v>
      </x:c>
      <x:c r="K24" s="229" t="n">
        <x:v>0.9688</x:v>
      </x:c>
      <x:c r="L24" s="229" t="n">
        <x:v>1</x:v>
      </x:c>
      <x:c r="M24" s="226" t="n">
        <x:f>F24/D24</x:f>
        <x:v>29.943937444852942</x:v>
      </x:c>
      <x:c r="N24" s="187"/>
    </x:row>
    <x:row r="25">
      <x:c r="A25" s="187" t="str">
        <x:v>BUDGET</x:v>
      </x:c>
      <x:c r="B25" s="217" t="n">
        <x:v>46204</x:v>
      </x:c>
      <x:c r="C25" s="187" t="str">
        <x:v>GB</x:v>
      </x:c>
      <x:c r="D25" s="232" t="n">
        <x:v>5100</x:v>
      </x:c>
      <x:c r="E25" s="232" t="n">
        <x:v>5718.12</x:v>
      </x:c>
      <x:c r="F25" s="232" t="n">
        <x:v>336992.1245</x:v>
      </x:c>
      <x:c r="G25" s="232" t="n">
        <x:v>3580200</x:v>
      </x:c>
      <x:c r="H25" s="229" t="n">
        <x:v>0.09412661987623931</x:v>
      </x:c>
      <x:c r="I25" s="229" t="n">
        <x:v>0.13692472351052443</x:v>
      </x:c>
      <x:c r="J25" s="229" t="n">
        <x:v>0.028769175882982518</x:v>
      </x:c>
      <x:c r="K25" s="229" t="n">
        <x:v>0.9410992365322869</x:v>
      </x:c>
      <x:c r="L25" s="229" t="n">
        <x:v>1</x:v>
      </x:c>
      <x:c r="M25" s="226" t="n">
        <x:f>F25/D25</x:f>
        <x:v>66.07688715686274</x:v>
      </x:c>
      <x:c r="N25" s="187"/>
    </x:row>
    <x:row r="26">
      <x:c r="A26" s="187" t="str">
        <x:v>BUDGET</x:v>
      </x:c>
      <x:c r="B26" s="217" t="n">
        <x:v>46235</x:v>
      </x:c>
      <x:c r="C26" s="187" t="str">
        <x:v>DE</x:v>
      </x:c>
      <x:c r="D26" s="232" t="n">
        <x:v>6080</x:v>
      </x:c>
      <x:c r="E26" s="232" t="n">
        <x:v>6389.472</x:v>
      </x:c>
      <x:c r="F26" s="232" t="n">
        <x:v>190854.374</x:v>
      </x:c>
      <x:c r="G26" s="232" t="n">
        <x:v>3888768</x:v>
      </x:c>
      <x:c r="H26" s="229" t="n">
        <x:v>0.049078364658536586</x:v>
      </x:c>
      <x:c r="I26" s="229" t="n">
        <x:v>0</x:v>
      </x:c>
      <x:c r="J26" s="229" t="n">
        <x:v>0</x:v>
      </x:c>
      <x:c r="K26" s="229" t="n">
        <x:v>0.9693568369968598</x:v>
      </x:c>
      <x:c r="L26" s="229" t="n">
        <x:v>1</x:v>
      </x:c>
      <x:c r="M26" s="226" t="n">
        <x:f>F26/D26</x:f>
        <x:v>31.390522039473687</x:v>
      </x:c>
      <x:c r="N26" s="187"/>
    </x:row>
    <x:row r="27">
      <x:c r="A27" s="187" t="str">
        <x:v>BUDGET</x:v>
      </x:c>
      <x:c r="B27" s="217" t="n">
        <x:v>46235</x:v>
      </x:c>
      <x:c r="C27" s="187" t="str">
        <x:v>FR</x:v>
      </x:c>
      <x:c r="D27" s="232" t="n">
        <x:v>5120</x:v>
      </x:c>
      <x:c r="E27" s="232" t="n">
        <x:v>5427.2</x:v>
      </x:c>
      <x:c r="F27" s="232" t="n">
        <x:v>153312.9598</x:v>
      </x:c>
      <x:c r="G27" s="232" t="n">
        <x:v>3434496</x:v>
      </x:c>
      <x:c r="H27" s="229" t="n">
        <x:v>0.04463914348837209</x:v>
      </x:c>
      <x:c r="I27" s="229" t="n">
        <x:v>0</x:v>
      </x:c>
      <x:c r="J27" s="229" t="n">
        <x:v>0</x:v>
      </x:c>
      <x:c r="K27" s="229" t="n">
        <x:v>0.9688</x:v>
      </x:c>
      <x:c r="L27" s="229" t="n">
        <x:v>1</x:v>
      </x:c>
      <x:c r="M27" s="226" t="n">
        <x:f>F27/D27</x:f>
        <x:v>29.9439374609375</x:v>
      </x:c>
      <x:c r="N27" s="187"/>
    </x:row>
    <x:row r="28">
      <x:c r="A28" s="187" t="str">
        <x:v>BUDGET</x:v>
      </x:c>
      <x:c r="B28" s="217" t="n">
        <x:v>46235</x:v>
      </x:c>
      <x:c r="C28" s="187" t="str">
        <x:v>GB</x:v>
      </x:c>
      <x:c r="D28" s="232" t="n">
        <x:v>4800</x:v>
      </x:c>
      <x:c r="E28" s="232" t="n">
        <x:v>5381.76</x:v>
      </x:c>
      <x:c r="F28" s="232" t="n">
        <x:v>317169.0583</x:v>
      </x:c>
      <x:c r="G28" s="232" t="n">
        <x:v>3369600</x:v>
      </x:c>
      <x:c r="H28" s="229" t="n">
        <x:v>0.09412661987623931</x:v>
      </x:c>
      <x:c r="I28" s="229" t="n">
        <x:v>0.13692472351052443</x:v>
      </x:c>
      <x:c r="J28" s="229" t="n">
        <x:v>0.028769175882982518</x:v>
      </x:c>
      <x:c r="K28" s="229" t="n">
        <x:v>0.9410992365322869</x:v>
      </x:c>
      <x:c r="L28" s="229" t="n">
        <x:v>1</x:v>
      </x:c>
      <x:c r="M28" s="226" t="n">
        <x:f>F28/D28</x:f>
        <x:v>66.07688714583333</x:v>
      </x:c>
      <x:c r="N28" s="187" t="str">
        <x:v>核心异常范围</x:v>
      </x:c>
    </x:row>
    <x:row r="29">
      <x:c r="A29" s="187" t="str">
        <x:v>BUDGET</x:v>
      </x:c>
      <x:c r="B29" s="217" t="n">
        <x:v>46266</x:v>
      </x:c>
      <x:c r="C29" s="187" t="str">
        <x:v>DE</x:v>
      </x:c>
      <x:c r="D29" s="232" t="n">
        <x:v>6080</x:v>
      </x:c>
      <x:c r="E29" s="232" t="n">
        <x:v>6389.472</x:v>
      </x:c>
      <x:c r="F29" s="232" t="n">
        <x:v>190854.374</x:v>
      </x:c>
      <x:c r="G29" s="232" t="n">
        <x:v>3888768</x:v>
      </x:c>
      <x:c r="H29" s="229" t="n">
        <x:v>0.049078364658536586</x:v>
      </x:c>
      <x:c r="I29" s="229" t="n">
        <x:v>0</x:v>
      </x:c>
      <x:c r="J29" s="229" t="n">
        <x:v>0</x:v>
      </x:c>
      <x:c r="K29" s="229" t="n">
        <x:v>0.9693568369968598</x:v>
      </x:c>
      <x:c r="L29" s="229" t="n">
        <x:v>1</x:v>
      </x:c>
      <x:c r="M29" s="226" t="n">
        <x:f>F29/D29</x:f>
        <x:v>31.390522039473687</x:v>
      </x:c>
      <x:c r="N29" s="187"/>
    </x:row>
    <x:row r="30">
      <x:c r="A30" s="187" t="str">
        <x:v>BUDGET</x:v>
      </x:c>
      <x:c r="B30" s="217" t="n">
        <x:v>46266</x:v>
      </x:c>
      <x:c r="C30" s="187" t="str">
        <x:v>FR</x:v>
      </x:c>
      <x:c r="D30" s="232" t="n">
        <x:v>4960</x:v>
      </x:c>
      <x:c r="E30" s="232" t="n">
        <x:v>5257.6</x:v>
      </x:c>
      <x:c r="F30" s="232" t="n">
        <x:v>148521.9298</x:v>
      </x:c>
      <x:c r="G30" s="232" t="n">
        <x:v>3327168</x:v>
      </x:c>
      <x:c r="H30" s="229" t="n">
        <x:v>0.04463914348837209</x:v>
      </x:c>
      <x:c r="I30" s="229" t="n">
        <x:v>0</x:v>
      </x:c>
      <x:c r="J30" s="229" t="n">
        <x:v>0</x:v>
      </x:c>
      <x:c r="K30" s="229" t="n">
        <x:v>0.9688</x:v>
      </x:c>
      <x:c r="L30" s="229" t="n">
        <x:v>1</x:v>
      </x:c>
      <x:c r="M30" s="226" t="n">
        <x:f>F30/D30</x:f>
        <x:v>29.94393745967742</x:v>
      </x:c>
      <x:c r="N30" s="187"/>
    </x:row>
    <x:row r="31">
      <x:c r="A31" s="187" t="str">
        <x:v>BUDGET</x:v>
      </x:c>
      <x:c r="B31" s="217" t="n">
        <x:v>46266</x:v>
      </x:c>
      <x:c r="C31" s="187" t="str">
        <x:v>GB</x:v>
      </x:c>
      <x:c r="D31" s="232" t="n">
        <x:v>4960</x:v>
      </x:c>
      <x:c r="E31" s="232" t="n">
        <x:v>5561.152</x:v>
      </x:c>
      <x:c r="F31" s="232" t="n">
        <x:v>327741.3603</x:v>
      </x:c>
      <x:c r="G31" s="232" t="n">
        <x:v>3481920</x:v>
      </x:c>
      <x:c r="H31" s="229" t="n">
        <x:v>0.09412661987623931</x:v>
      </x:c>
      <x:c r="I31" s="229" t="n">
        <x:v>0.13692472351052443</x:v>
      </x:c>
      <x:c r="J31" s="229" t="n">
        <x:v>0.028769175882982518</x:v>
      </x:c>
      <x:c r="K31" s="229" t="n">
        <x:v>0.9410992365322869</x:v>
      </x:c>
      <x:c r="L31" s="229" t="n">
        <x:v>1</x:v>
      </x:c>
      <x:c r="M31" s="226" t="n">
        <x:f>F31/D31</x:f>
        <x:v>66.07688715725807</x:v>
      </x:c>
      <x:c r="N31" s="187"/>
    </x:row>
    <x:row r="32">
      <x:c r="A32" s="187" t="str">
        <x:v>BUDGET</x:v>
      </x:c>
      <x:c r="B32" s="217" t="n">
        <x:v>46296</x:v>
      </x:c>
      <x:c r="C32" s="187" t="str">
        <x:v>DE</x:v>
      </x:c>
      <x:c r="D32" s="232" t="n">
        <x:v>6480</x:v>
      </x:c>
      <x:c r="E32" s="232" t="n">
        <x:v>6809.832</x:v>
      </x:c>
      <x:c r="F32" s="232" t="n">
        <x:v>204528.4295</x:v>
      </x:c>
      <x:c r="G32" s="232" t="n">
        <x:v>4144608</x:v>
      </x:c>
      <x:c r="H32" s="229" t="n">
        <x:v>0.04934807574170732</x:v>
      </x:c>
      <x:c r="I32" s="229" t="n">
        <x:v>0</x:v>
      </x:c>
      <x:c r="J32" s="229" t="n">
        <x:v>0</x:v>
      </x:c>
      <x:c r="K32" s="229" t="n">
        <x:v>0.9693568369968598</x:v>
      </x:c>
      <x:c r="L32" s="229" t="n">
        <x:v>1</x:v>
      </x:c>
      <x:c r="M32" s="226" t="n">
        <x:f>F32/D32</x:f>
        <x:v>31.56302924382716</x:v>
      </x:c>
      <x:c r="N32" s="187"/>
    </x:row>
    <x:row r="33">
      <x:c r="A33" s="187" t="str">
        <x:v>BUDGET</x:v>
      </x:c>
      <x:c r="B33" s="217" t="n">
        <x:v>46296</x:v>
      </x:c>
      <x:c r="C33" s="187" t="str">
        <x:v>FR</x:v>
      </x:c>
      <x:c r="D33" s="232" t="n">
        <x:v>5580</x:v>
      </x:c>
      <x:c r="E33" s="232" t="n">
        <x:v>5914.8</x:v>
      </x:c>
      <x:c r="F33" s="232" t="n">
        <x:v>168031.413</x:v>
      </x:c>
      <x:c r="G33" s="232" t="n">
        <x:v>3743064</x:v>
      </x:c>
      <x:c r="H33" s="229" t="n">
        <x:v>0.044891407958139534</x:v>
      </x:c>
      <x:c r="I33" s="229" t="n">
        <x:v>0</x:v>
      </x:c>
      <x:c r="J33" s="229" t="n">
        <x:v>0</x:v>
      </x:c>
      <x:c r="K33" s="229" t="n">
        <x:v>0.9688</x:v>
      </x:c>
      <x:c r="L33" s="229" t="n">
        <x:v>1</x:v>
      </x:c>
      <x:c r="M33" s="226" t="n">
        <x:f>F33/D33</x:f>
        <x:v>30.1131564516129</x:v>
      </x:c>
      <x:c r="N33" s="187"/>
    </x:row>
    <x:row r="34">
      <x:c r="A34" s="187" t="str">
        <x:v>BUDGET</x:v>
      </x:c>
      <x:c r="B34" s="217" t="n">
        <x:v>46296</x:v>
      </x:c>
      <x:c r="C34" s="187" t="str">
        <x:v>GB</x:v>
      </x:c>
      <x:c r="D34" s="232" t="n">
        <x:v>5940</x:v>
      </x:c>
      <x:c r="E34" s="232" t="n">
        <x:v>6659.928</x:v>
      </x:c>
      <x:c r="F34" s="232" t="n">
        <x:v>395427.9938</x:v>
      </x:c>
      <x:c r="G34" s="232" t="n">
        <x:v>4169880</x:v>
      </x:c>
      <x:c r="H34" s="229" t="n">
        <x:v>0.094829585934147</x:v>
      </x:c>
      <x:c r="I34" s="229" t="n">
        <x:v>0.13692472351052443</x:v>
      </x:c>
      <x:c r="J34" s="229" t="n">
        <x:v>0.028769175882982518</x:v>
      </x:c>
      <x:c r="K34" s="229" t="n">
        <x:v>0.9410992365322869</x:v>
      </x:c>
      <x:c r="L34" s="229" t="n">
        <x:v>1</x:v>
      </x:c>
      <x:c r="M34" s="226" t="n">
        <x:f>F34/D34</x:f>
        <x:v>66.57036932659932</x:v>
      </x:c>
      <x:c r="N34" s="187"/>
    </x:row>
    <x:row r="35">
      <x:c r="A35" s="187" t="str">
        <x:v>BUDGET</x:v>
      </x:c>
      <x:c r="B35" s="217" t="n">
        <x:v>46327</x:v>
      </x:c>
      <x:c r="C35" s="187" t="str">
        <x:v>DE</x:v>
      </x:c>
      <x:c r="D35" s="232" t="n">
        <x:v>7480</x:v>
      </x:c>
      <x:c r="E35" s="232" t="n">
        <x:v>7860.732</x:v>
      </x:c>
      <x:c r="F35" s="232" t="n">
        <x:v>236091.4587</x:v>
      </x:c>
      <x:c r="G35" s="232" t="n">
        <x:v>4927734.24</x:v>
      </x:c>
      <x:c r="H35" s="229" t="n">
        <x:v>0.04791075314728866</x:v>
      </x:c>
      <x:c r="I35" s="229" t="n">
        <x:v>0</x:v>
      </x:c>
      <x:c r="J35" s="229" t="n">
        <x:v>0</x:v>
      </x:c>
      <x:c r="K35" s="229" t="n">
        <x:v>0.9693568369968598</x:v>
      </x:c>
      <x:c r="L35" s="229" t="n">
        <x:v>1</x:v>
      </x:c>
      <x:c r="M35" s="226" t="n">
        <x:f>F35/D35</x:f>
        <x:v>31.563029237967914</x:v>
      </x:c>
      <x:c r="N35" s="187"/>
    </x:row>
    <x:row r="36">
      <x:c r="A36" s="187" t="str">
        <x:v>BUDGET</x:v>
      </x:c>
      <x:c r="B36" s="217" t="n">
        <x:v>46327</x:v>
      </x:c>
      <x:c r="C36" s="187" t="str">
        <x:v>FR</x:v>
      </x:c>
      <x:c r="D36" s="232" t="n">
        <x:v>6600</x:v>
      </x:c>
      <x:c r="E36" s="232" t="n">
        <x:v>6996</x:v>
      </x:c>
      <x:c r="F36" s="232" t="n">
        <x:v>198746.8326</x:v>
      </x:c>
      <x:c r="G36" s="232" t="n">
        <x:v>4560098.4</x:v>
      </x:c>
      <x:c r="H36" s="229" t="n">
        <x:v>0.0435838912214947</x:v>
      </x:c>
      <x:c r="I36" s="229" t="n">
        <x:v>0</x:v>
      </x:c>
      <x:c r="J36" s="229" t="n">
        <x:v>0</x:v>
      </x:c>
      <x:c r="K36" s="229" t="n">
        <x:v>0.9688</x:v>
      </x:c>
      <x:c r="L36" s="229" t="n">
        <x:v>1</x:v>
      </x:c>
      <x:c r="M36" s="226" t="n">
        <x:f>F36/D36</x:f>
        <x:v>30.113156454545454</x:v>
      </x:c>
      <x:c r="N36" s="187"/>
    </x:row>
    <x:row r="37">
      <x:c r="A37" s="187" t="str">
        <x:v>BUDGET</x:v>
      </x:c>
      <x:c r="B37" s="217" t="n">
        <x:v>46327</x:v>
      </x:c>
      <x:c r="C37" s="187" t="str">
        <x:v>GB</x:v>
      </x:c>
      <x:c r="D37" s="232" t="n">
        <x:v>7920</x:v>
      </x:c>
      <x:c r="E37" s="232" t="n">
        <x:v>8879.904</x:v>
      </x:c>
      <x:c r="F37" s="232" t="n">
        <x:v>527237.3251</x:v>
      </x:c>
      <x:c r="G37" s="232" t="n">
        <x:v>5726635.2</x:v>
      </x:c>
      <x:c r="H37" s="229" t="n">
        <x:v>0.09206755915936603</x:v>
      </x:c>
      <x:c r="I37" s="229" t="n">
        <x:v>0.13692472351052443</x:v>
      </x:c>
      <x:c r="J37" s="229" t="n">
        <x:v>0.028769175882982518</x:v>
      </x:c>
      <x:c r="K37" s="229" t="n">
        <x:v>0.9410992365322869</x:v>
      </x:c>
      <x:c r="L37" s="229" t="n">
        <x:v>1</x:v>
      </x:c>
      <x:c r="M37" s="226" t="n">
        <x:f>F37/D37</x:f>
        <x:v>66.57036933080808</x:v>
      </x:c>
      <x:c r="N37" s="187"/>
    </x:row>
    <x:row r="38">
      <x:c r="A38" s="187" t="str">
        <x:v>BUDGET</x:v>
      </x:c>
      <x:c r="B38" s="217" t="n">
        <x:v>46357</x:v>
      </x:c>
      <x:c r="C38" s="187" t="str">
        <x:v>DE</x:v>
      </x:c>
      <x:c r="D38" s="232" t="n">
        <x:v>8840</x:v>
      </x:c>
      <x:c r="E38" s="232" t="n">
        <x:v>9289.956</x:v>
      </x:c>
      <x:c r="F38" s="232" t="n">
        <x:v>279017.1785</x:v>
      </x:c>
      <x:c r="G38" s="232" t="n">
        <x:v>5823685.92</x:v>
      </x:c>
      <x:c r="H38" s="229" t="n">
        <x:v>0.04791075314728866</x:v>
      </x:c>
      <x:c r="I38" s="229" t="n">
        <x:v>0</x:v>
      </x:c>
      <x:c r="J38" s="229" t="n">
        <x:v>0</x:v>
      </x:c>
      <x:c r="K38" s="229" t="n">
        <x:v>0.9693568369968598</x:v>
      </x:c>
      <x:c r="L38" s="229" t="n">
        <x:v>1</x:v>
      </x:c>
      <x:c r="M38" s="226" t="n">
        <x:f>F38/D38</x:f>
        <x:v>31.563029242081445</x:v>
      </x:c>
      <x:c r="N38" s="187"/>
    </x:row>
    <x:row r="39">
      <x:c r="A39" s="187" t="str">
        <x:v>BUDGET</x:v>
      </x:c>
      <x:c r="B39" s="217" t="n">
        <x:v>46357</x:v>
      </x:c>
      <x:c r="C39" s="187" t="str">
        <x:v>FR</x:v>
      </x:c>
      <x:c r="D39" s="232" t="n">
        <x:v>7540</x:v>
      </x:c>
      <x:c r="E39" s="232" t="n">
        <x:v>7992.4</x:v>
      </x:c>
      <x:c r="F39" s="232" t="n">
        <x:v>227053.1997</x:v>
      </x:c>
      <x:c r="G39" s="232" t="n">
        <x:v>5209566.96</x:v>
      </x:c>
      <x:c r="H39" s="229" t="n">
        <x:v>0.0435838912214947</x:v>
      </x:c>
      <x:c r="I39" s="229" t="n">
        <x:v>0</x:v>
      </x:c>
      <x:c r="J39" s="229" t="n">
        <x:v>0</x:v>
      </x:c>
      <x:c r="K39" s="229" t="n">
        <x:v>0.9688</x:v>
      </x:c>
      <x:c r="L39" s="229" t="n">
        <x:v>1</x:v>
      </x:c>
      <x:c r="M39" s="226" t="n">
        <x:f>F39/D39</x:f>
        <x:v>30.113156458885943</x:v>
      </x:c>
      <x:c r="N39" s="187"/>
    </x:row>
    <x:row r="40">
      <x:c r="A40" s="187" t="str">
        <x:v>BUDGET</x:v>
      </x:c>
      <x:c r="B40" s="217" t="n">
        <x:v>46357</x:v>
      </x:c>
      <x:c r="C40" s="187" t="str">
        <x:v>GB</x:v>
      </x:c>
      <x:c r="D40" s="232" t="n">
        <x:v>9620</x:v>
      </x:c>
      <x:c r="E40" s="232" t="n">
        <x:v>10785.944</x:v>
      </x:c>
      <x:c r="F40" s="232" t="n">
        <x:v>640406.9529</x:v>
      </x:c>
      <x:c r="G40" s="232" t="n">
        <x:v>6955837.2</x:v>
      </x:c>
      <x:c r="H40" s="229" t="n">
        <x:v>0.09206755915936603</x:v>
      </x:c>
      <x:c r="I40" s="229" t="n">
        <x:v>0.13692472351052443</x:v>
      </x:c>
      <x:c r="J40" s="229" t="n">
        <x:v>0.028769175882982518</x:v>
      </x:c>
      <x:c r="K40" s="229" t="n">
        <x:v>0.9410992365322869</x:v>
      </x:c>
      <x:c r="L40" s="229" t="n">
        <x:v>1</x:v>
      </x:c>
      <x:c r="M40" s="226" t="n">
        <x:f>F40/D40</x:f>
        <x:v>66.57036932432433</x:v>
      </x:c>
      <x:c r="N40" s="187"/>
    </x:row>
    <x:row r="41">
      <x:c r="A41" s="187" t="str">
        <x:v>ACTUAL</x:v>
      </x:c>
      <x:c r="B41" s="217" t="n">
        <x:v>46023</x:v>
      </x:c>
      <x:c r="C41" s="187" t="str">
        <x:v>DE</x:v>
      </x:c>
      <x:c r="D41" s="232" t="n">
        <x:v>5830.85</x:v>
      </x:c>
      <x:c r="E41" s="232" t="n">
        <x:v>6127.640265</x:v>
      </x:c>
      <x:c r="F41" s="232" t="n">
        <x:v>183473.451</x:v>
      </x:c>
      <x:c r="G41" s="232" t="n">
        <x:v>3765213.079</x:v>
      </x:c>
      <x:c r="H41" s="229" t="n">
        <x:v>0.04872857052025733</x:v>
      </x:c>
      <x:c r="I41" s="229" t="n">
        <x:v>0</x:v>
      </x:c>
      <x:c r="J41" s="229" t="n">
        <x:v>0</x:v>
      </x:c>
      <x:c r="K41" s="229" t="n">
        <x:v>0.9703568369968598</x:v>
      </x:c>
      <x:c r="L41" s="229" t="n">
        <x:v>1</x:v>
      </x:c>
      <x:c r="M41" s="226" t="n">
        <x:f>F41/D41</x:f>
        <x:v>31.465987120231183</x:v>
      </x:c>
      <x:c r="N41" s="187"/>
    </x:row>
    <x:row r="42">
      <x:c r="A42" s="187" t="str">
        <x:v>ACTUAL</x:v>
      </x:c>
      <x:c r="B42" s="217" t="n">
        <x:v>46023</x:v>
      </x:c>
      <x:c r="C42" s="187" t="str">
        <x:v>FR</x:v>
      </x:c>
      <x:c r="D42" s="232" t="n">
        <x:v>4418.15</x:v>
      </x:c>
      <x:c r="E42" s="232" t="n">
        <x:v>4683.239</x:v>
      </x:c>
      <x:c r="F42" s="232" t="n">
        <x:v>132624.0686</x:v>
      </x:c>
      <x:c r="G42" s="232" t="n">
        <x:v>2973282.4055</x:v>
      </x:c>
      <x:c r="H42" s="229" t="n">
        <x:v>0.04460527136777305</x:v>
      </x:c>
      <x:c r="I42" s="229" t="n">
        <x:v>0</x:v>
      </x:c>
      <x:c r="J42" s="229" t="n">
        <x:v>0</x:v>
      </x:c>
      <x:c r="K42" s="229" t="n">
        <x:v>0.9698</x:v>
      </x:c>
      <x:c r="L42" s="229" t="n">
        <x:v>1</x:v>
      </x:c>
      <x:c r="M42" s="226" t="n">
        <x:f>F42/D42</x:f>
        <x:v>30.018009483607393</x:v>
      </x:c>
      <x:c r="N42" s="187"/>
    </x:row>
    <x:row r="43">
      <x:c r="A43" s="187" t="str">
        <x:v>ACTUAL</x:v>
      </x:c>
      <x:c r="B43" s="217" t="n">
        <x:v>46023</x:v>
      </x:c>
      <x:c r="C43" s="187" t="str">
        <x:v>GB</x:v>
      </x:c>
      <x:c r="D43" s="232" t="n">
        <x:v>3601</x:v>
      </x:c>
      <x:c r="E43" s="232" t="n">
        <x:v>4037.4412</x:v>
      </x:c>
      <x:c r="F43" s="232" t="n">
        <x:v>242686.6949</x:v>
      </x:c>
      <x:c r="G43" s="232" t="n">
        <x:v>2509356.85</x:v>
      </x:c>
      <x:c r="H43" s="229" t="n">
        <x:v>0.09671270745817101</x:v>
      </x:c>
      <x:c r="I43" s="229" t="n">
        <x:v>0.16569389939350695</x:v>
      </x:c>
      <x:c r="J43" s="229" t="n">
        <x:v>0.03835890117731002</x:v>
      </x:c>
      <x:c r="K43" s="229" t="n">
        <x:v>0.9434993364252586</x:v>
      </x:c>
      <x:c r="L43" s="229" t="n">
        <x:v>1</x:v>
      </x:c>
      <x:c r="M43" s="226" t="n">
        <x:f>F43/D43</x:f>
        <x:v>67.39425018050541</x:v>
      </x:c>
      <x:c r="N43" s="187"/>
    </x:row>
    <x:row r="44">
      <x:c r="A44" s="187" t="str">
        <x:v>ACTUAL</x:v>
      </x:c>
      <x:c r="B44" s="217" t="n">
        <x:v>46054</x:v>
      </x:c>
      <x:c r="C44" s="187" t="str">
        <x:v>DE</x:v>
      </x:c>
      <x:c r="D44" s="232" t="n">
        <x:v>5663.52</x:v>
      </x:c>
      <x:c r="E44" s="232" t="n">
        <x:v>5957.744961168</x:v>
      </x:c>
      <x:c r="F44" s="232" t="n">
        <x:v>178232.8737</x:v>
      </x:c>
      <x:c r="G44" s="232" t="n">
        <x:v>3647759.9616</x:v>
      </x:c>
      <x:c r="H44" s="229" t="n">
        <x:v>0.0488609106951839</x:v>
      </x:c>
      <x:c r="I44" s="229" t="n">
        <x:v>0</x:v>
      </x:c>
      <x:c r="J44" s="229" t="n">
        <x:v>0</x:v>
      </x:c>
      <x:c r="K44" s="229" t="n">
        <x:v>0.9703568369968598</x:v>
      </x:c>
      <x:c r="L44" s="229" t="n">
        <x:v>1</x:v>
      </x:c>
      <x:c r="M44" s="226" t="n">
        <x:f>F44/D44</x:f>
        <x:v>31.470335356809898</x:v>
      </x:c>
      <x:c r="N44" s="187"/>
    </x:row>
    <x:row r="45">
      <x:c r="A45" s="187" t="str">
        <x:v>ACTUAL</x:v>
      </x:c>
      <x:c r="B45" s="217" t="n">
        <x:v>46054</x:v>
      </x:c>
      <x:c r="C45" s="187" t="str">
        <x:v>FR</x:v>
      </x:c>
      <x:c r="D45" s="232" t="n">
        <x:v>4418.64</x:v>
      </x:c>
      <x:c r="E45" s="232" t="n">
        <x:v>4688.4421584</x:v>
      </x:c>
      <x:c r="F45" s="232" t="n">
        <x:v>132655.7804</x:v>
      </x:c>
      <x:c r="G45" s="232" t="n">
        <x:v>2965967.9136</x:v>
      </x:c>
      <x:c r="H45" s="229" t="n">
        <x:v>0.044725966123754395</x:v>
      </x:c>
      <x:c r="I45" s="229" t="n">
        <x:v>0</x:v>
      </x:c>
      <x:c r="J45" s="229" t="n">
        <x:v>0</x:v>
      </x:c>
      <x:c r="K45" s="229" t="n">
        <x:v>0.9698</x:v>
      </x:c>
      <x:c r="L45" s="229" t="n">
        <x:v>1</x:v>
      </x:c>
      <x:c r="M45" s="226" t="n">
        <x:f>F45/D45</x:f>
        <x:v>30.021857494613723</x:v>
      </x:c>
      <x:c r="N45" s="187"/>
    </x:row>
    <x:row r="46">
      <x:c r="A46" s="187" t="str">
        <x:v>ACTUAL</x:v>
      </x:c>
      <x:c r="B46" s="217" t="n">
        <x:v>46054</x:v>
      </x:c>
      <x:c r="C46" s="187" t="str">
        <x:v>GB</x:v>
      </x:c>
      <x:c r="D46" s="232" t="n">
        <x:v>3597.84</x:v>
      </x:c>
      <x:c r="E46" s="232" t="n">
        <x:v>4037.932106208</x:v>
      </x:c>
      <x:c r="F46" s="232" t="n">
        <x:v>242414.0398</x:v>
      </x:c>
      <x:c r="G46" s="232" t="n">
        <x:v>2498843.7936</x:v>
      </x:c>
      <x:c r="H46" s="229" t="n">
        <x:v>0.0970104815829209</x:v>
      </x:c>
      <x:c r="I46" s="229" t="n">
        <x:v>0.16569389939350695</x:v>
      </x:c>
      <x:c r="J46" s="229" t="n">
        <x:v>0.03835890117731002</x:v>
      </x:c>
      <x:c r="K46" s="229" t="n">
        <x:v>0.9434993364252586</x:v>
      </x:c>
      <x:c r="L46" s="229" t="n">
        <x:v>1</x:v>
      </x:c>
      <x:c r="M46" s="226" t="n">
        <x:f>F46/D46</x:f>
        <x:v>67.377659873702</x:v>
      </x:c>
      <x:c r="N46" s="187"/>
    </x:row>
    <x:row r="47">
      <x:c r="A47" s="187" t="str">
        <x:v>ACTUAL</x:v>
      </x:c>
      <x:c r="B47" s="217" t="n">
        <x:v>46082</x:v>
      </x:c>
      <x:c r="C47" s="187" t="str">
        <x:v>DE</x:v>
      </x:c>
      <x:c r="D47" s="232" t="n">
        <x:v>6074.1</x:v>
      </x:c>
      <x:c r="E47" s="232" t="n">
        <x:v>6396.03823338</x:v>
      </x:c>
      <x:c r="F47" s="232" t="n">
        <x:v>193154.2739</x:v>
      </x:c>
      <x:c r="G47" s="232" t="n">
        <x:v>3942455.346</x:v>
      </x:c>
      <x:c r="H47" s="229" t="n">
        <x:v>0.048993395475334656</x:v>
      </x:c>
      <x:c r="I47" s="229" t="n">
        <x:v>0</x:v>
      </x:c>
      <x:c r="J47" s="229" t="n">
        <x:v>0</x:v>
      </x:c>
      <x:c r="K47" s="229" t="n">
        <x:v>0.9703568369968598</x:v>
      </x:c>
      <x:c r="L47" s="229" t="n">
        <x:v>1</x:v>
      </x:c>
      <x:c r="M47" s="226" t="n">
        <x:f>F47/D47</x:f>
        <x:v>31.799653265504354</x:v>
      </x:c>
      <x:c r="N47" s="187"/>
    </x:row>
    <x:row r="48">
      <x:c r="A48" s="187" t="str">
        <x:v>ACTUAL</x:v>
      </x:c>
      <x:c r="B48" s="217" t="n">
        <x:v>46082</x:v>
      </x:c>
      <x:c r="C48" s="187" t="str">
        <x:v>FR</x:v>
      </x:c>
      <x:c r="D48" s="232" t="n">
        <x:v>4880.7</x:v>
      </x:c>
      <x:c r="E48" s="232" t="n">
        <x:v>5183.889084</x:v>
      </x:c>
      <x:c r="F48" s="232" t="n">
        <x:v>148059.5185</x:v>
      </x:c>
      <x:c r="G48" s="232" t="n">
        <x:v>3301451.901</x:v>
      </x:c>
      <x:c r="H48" s="229" t="n">
        <x:v>0.04484678951574941</x:v>
      </x:c>
      <x:c r="I48" s="229" t="n">
        <x:v>0</x:v>
      </x:c>
      <x:c r="J48" s="229" t="n">
        <x:v>0</x:v>
      </x:c>
      <x:c r="K48" s="229" t="n">
        <x:v>0.9698</x:v>
      </x:c>
      <x:c r="L48" s="229" t="n">
        <x:v>1</x:v>
      </x:c>
      <x:c r="M48" s="226" t="n">
        <x:f>F48/D48</x:f>
        <x:v>30.335713832032294</x:v>
      </x:c>
      <x:c r="N48" s="187"/>
    </x:row>
    <x:row r="49">
      <x:c r="A49" s="187" t="str">
        <x:v>ACTUAL</x:v>
      </x:c>
      <x:c r="B49" s="217" t="n">
        <x:v>46082</x:v>
      </x:c>
      <x:c r="C49" s="187" t="str">
        <x:v>GB</x:v>
      </x:c>
      <x:c r="D49" s="232" t="n">
        <x:v>4345.2</x:v>
      </x:c>
      <x:c r="E49" s="232" t="n">
        <x:v>4881.58191648</x:v>
      </x:c>
      <x:c r="F49" s="232" t="n">
        <x:v>295644.8828</x:v>
      </x:c>
      <x:c r="G49" s="232" t="n">
        <x:v>3037990.032</x:v>
      </x:c>
      <x:c r="H49" s="229" t="n">
        <x:v>0.09731594894157891</x:v>
      </x:c>
      <x:c r="I49" s="229" t="n">
        <x:v>0.16569389939350695</x:v>
      </x:c>
      <x:c r="J49" s="229" t="n">
        <x:v>0.03835890117731002</x:v>
      </x:c>
      <x:c r="K49" s="229" t="n">
        <x:v>0.9434993364252586</x:v>
      </x:c>
      <x:c r="L49" s="229" t="n">
        <x:v>1</x:v>
      </x:c>
      <x:c r="M49" s="226" t="n">
        <x:f>F49/D49</x:f>
        <x:v>68.03941885298721</x:v>
      </x:c>
      <x:c r="N49" s="187"/>
    </x:row>
    <x:row r="50">
      <x:c r="A50" s="187" t="str">
        <x:v>ACTUAL</x:v>
      </x:c>
      <x:c r="B50" s="217" t="n">
        <x:v>46113</x:v>
      </x:c>
      <x:c r="C50" s="187" t="str">
        <x:v>DE</x:v>
      </x:c>
      <x:c r="D50" s="232" t="n">
        <x:v>6288.4</x:v>
      </x:c>
      <x:c r="E50" s="232" t="n">
        <x:v>6628.30499868</x:v>
      </x:c>
      <x:c r="F50" s="232" t="n">
        <x:v>201023.087</x:v>
      </x:c>
      <x:c r="G50" s="232" t="n">
        <x:v>4091987.648</x:v>
      </x:c>
      <x:c r="H50" s="229" t="n">
        <x:v>0.04912602488965986</x:v>
      </x:c>
      <x:c r="I50" s="229" t="n">
        <x:v>0</x:v>
      </x:c>
      <x:c r="J50" s="229" t="n">
        <x:v>0</x:v>
      </x:c>
      <x:c r="K50" s="229" t="n">
        <x:v>0.9703568369968598</x:v>
      </x:c>
      <x:c r="L50" s="229" t="n">
        <x:v>1</x:v>
      </x:c>
      <x:c r="M50" s="226" t="n">
        <x:f>F50/D50</x:f>
        <x:v>31.967286909229696</x:v>
      </x:c>
      <x:c r="N50" s="187"/>
    </x:row>
    <x:row r="51">
      <x:c r="A51" s="187" t="str">
        <x:v>ACTUAL</x:v>
      </x:c>
      <x:c r="B51" s="217" t="n">
        <x:v>46113</x:v>
      </x:c>
      <x:c r="C51" s="187" t="str">
        <x:v>FR</x:v>
      </x:c>
      <x:c r="D51" s="232" t="n">
        <x:v>5071.8</x:v>
      </x:c>
      <x:c r="E51" s="232" t="n">
        <x:v>5392.236324</x:v>
      </x:c>
      <x:c r="F51" s="232" t="n">
        <x:v>154666.1823</x:v>
      </x:c>
      <x:c r="G51" s="232" t="n">
        <x:v>3439491.888</x:v>
      </x:c>
      <x:c r="H51" s="229" t="n">
        <x:v>0.044967741558617824</x:v>
      </x:c>
      <x:c r="I51" s="229" t="n">
        <x:v>0</x:v>
      </x:c>
      <x:c r="J51" s="229" t="n">
        <x:v>0</x:v>
      </x:c>
      <x:c r="K51" s="229" t="n">
        <x:v>0.9698</x:v>
      </x:c>
      <x:c r="L51" s="229" t="n">
        <x:v>1</x:v>
      </x:c>
      <x:c r="M51" s="226" t="n">
        <x:f>F51/D51</x:f>
        <x:v>30.495323612918487</x:v>
      </x:c>
      <x:c r="N51" s="187"/>
    </x:row>
    <x:row r="52">
      <x:c r="A52" s="187" t="str">
        <x:v>ACTUAL</x:v>
      </x:c>
      <x:c r="B52" s="217" t="n">
        <x:v>46113</x:v>
      </x:c>
      <x:c r="C52" s="187" t="str">
        <x:v>GB</x:v>
      </x:c>
      <x:c r="D52" s="232" t="n">
        <x:v>4439.8</x:v>
      </x:c>
      <x:c r="E52" s="232" t="n">
        <x:v>4992.83747128</x:v>
      </x:c>
      <x:c r="F52" s="232" t="n">
        <x:v>303906.5635</x:v>
      </x:c>
      <x:c r="G52" s="232" t="n">
        <x:v>3114386.506</x:v>
      </x:c>
      <x:c r="H52" s="229" t="n">
        <x:v>0.09758151817926956</x:v>
      </x:c>
      <x:c r="I52" s="229" t="n">
        <x:v>0.16569389939350695</x:v>
      </x:c>
      <x:c r="J52" s="229" t="n">
        <x:v>0.03835890117731002</x:v>
      </x:c>
      <x:c r="K52" s="229" t="n">
        <x:v>0.9434993364252586</x:v>
      </x:c>
      <x:c r="L52" s="229" t="n">
        <x:v>1</x:v>
      </x:c>
      <x:c r="M52" s="226" t="n">
        <x:f>F52/D52</x:f>
        <x:v>68.45050756790846</x:v>
      </x:c>
      <x:c r="N52" s="187"/>
    </x:row>
    <x:row r="53">
      <x:c r="A53" s="187" t="str">
        <x:v>ACTUAL</x:v>
      </x:c>
      <x:c r="B53" s="217" t="n">
        <x:v>46143</x:v>
      </x:c>
      <x:c r="C53" s="187" t="str">
        <x:v>DE</x:v>
      </x:c>
      <x:c r="D53" s="232" t="n">
        <x:v>6407.6</x:v>
      </x:c>
      <x:c r="E53" s="232" t="n">
        <x:v>6760.68182736</x:v>
      </x:c>
      <x:c r="F53" s="232" t="n">
        <x:v>206173.1167</x:v>
      </x:c>
      <x:c r="G53" s="232" t="n">
        <x:v>4185508.396</x:v>
      </x:c>
      <x:c r="H53" s="229" t="n">
        <x:v>0.04925879896710975</x:v>
      </x:c>
      <x:c r="I53" s="229" t="n">
        <x:v>0</x:v>
      </x:c>
      <x:c r="J53" s="229" t="n">
        <x:v>0</x:v>
      </x:c>
      <x:c r="K53" s="229" t="n">
        <x:v>0.9703568369968598</x:v>
      </x:c>
      <x:c r="L53" s="229" t="n">
        <x:v>1</x:v>
      </x:c>
      <x:c r="M53" s="226" t="n">
        <x:f>F53/D53</x:f>
        <x:v>32.17634008052937</x:v>
      </x:c>
      <x:c r="N53" s="187"/>
    </x:row>
    <x:row r="54">
      <x:c r="A54" s="187" t="str">
        <x:v>ACTUAL</x:v>
      </x:c>
      <x:c r="B54" s="217" t="n">
        <x:v>46143</x:v>
      </x:c>
      <x:c r="C54" s="187" t="str">
        <x:v>FR</x:v>
      </x:c>
      <x:c r="D54" s="232" t="n">
        <x:v>5295.4</x:v>
      </x:c>
      <x:c r="E54" s="232" t="n">
        <x:v>5635.576496</x:v>
      </x:c>
      <x:c r="F54" s="232" t="n">
        <x:v>162539.3439</x:v>
      </x:c>
      <x:c r="G54" s="232" t="n">
        <x:v>3604870.027</x:v>
      </x:c>
      <x:c r="H54" s="229" t="n">
        <x:v>0.04508882226721934</x:v>
      </x:c>
      <x:c r="I54" s="229" t="n">
        <x:v>0</x:v>
      </x:c>
      <x:c r="J54" s="229" t="n">
        <x:v>0</x:v>
      </x:c>
      <x:c r="K54" s="229" t="n">
        <x:v>0.9698</x:v>
      </x:c>
      <x:c r="L54" s="229" t="n">
        <x:v>1</x:v>
      </x:c>
      <x:c r="M54" s="226" t="n">
        <x:f>F54/D54</x:f>
        <x:v>30.694441194244064</x:v>
      </x:c>
      <x:c r="N54" s="187"/>
    </x:row>
    <x:row r="55">
      <x:c r="A55" s="187" t="str">
        <x:v>ACTUAL</x:v>
      </x:c>
      <x:c r="B55" s="217" t="n">
        <x:v>46143</x:v>
      </x:c>
      <x:c r="C55" s="187" t="str">
        <x:v>GB</x:v>
      </x:c>
      <x:c r="D55" s="232" t="n">
        <x:v>4897</x:v>
      </x:c>
      <x:c r="E55" s="232" t="n">
        <x:v>5512.4784656</x:v>
      </x:c>
      <x:c r="F55" s="232" t="n">
        <x:v>337035.2215</x:v>
      </x:c>
      <x:c r="G55" s="232" t="n">
        <x:v>3442639.97</x:v>
      </x:c>
      <x:c r="H55" s="229" t="n">
        <x:v>0.09790022320819385</x:v>
      </x:c>
      <x:c r="I55" s="229" t="n">
        <x:v>0.16569389939350695</x:v>
      </x:c>
      <x:c r="J55" s="229" t="n">
        <x:v>0.03835890117731002</x:v>
      </x:c>
      <x:c r="K55" s="229" t="n">
        <x:v>0.9434993364252586</x:v>
      </x:c>
      <x:c r="L55" s="229" t="n">
        <x:v>1</x:v>
      </x:c>
      <x:c r="M55" s="226" t="n">
        <x:f>F55/D55</x:f>
        <x:v>68.82483591995098</x:v>
      </x:c>
      <x:c r="N55" s="187"/>
    </x:row>
    <x:row r="56">
      <x:c r="A56" s="187" t="str">
        <x:v>ACTUAL</x:v>
      </x:c>
      <x:c r="B56" s="217" t="n">
        <x:v>46174</x:v>
      </x:c>
      <x:c r="C56" s="187" t="str">
        <x:v>DE</x:v>
      </x:c>
      <x:c r="D56" s="232" t="n">
        <x:v>6570.4</x:v>
      </x:c>
      <x:c r="E56" s="232" t="n">
        <x:v>6939.3575268</x:v>
      </x:c>
      <x:c r="F56" s="232" t="n">
        <x:v>212520.6011</x:v>
      </x:c>
      <x:c r="G56" s="232" t="n">
        <x:v>4302757.848</x:v>
      </x:c>
      <x:c r="H56" s="229" t="n">
        <x:v>0.04939171773663461</x:v>
      </x:c>
      <x:c r="I56" s="229" t="n">
        <x:v>0</x:v>
      </x:c>
      <x:c r="J56" s="229" t="n">
        <x:v>0</x:v>
      </x:c>
      <x:c r="K56" s="229" t="n">
        <x:v>0.9703568369968598</x:v>
      </x:c>
      <x:c r="L56" s="229" t="n">
        <x:v>1</x:v>
      </x:c>
      <x:c r="M56" s="226" t="n">
        <x:f>F56/D56</x:f>
        <x:v>32.34515419152563</x:v>
      </x:c>
      <x:c r="N56" s="187"/>
    </x:row>
    <x:row r="57">
      <x:c r="A57" s="187" t="str">
        <x:v>ACTUAL</x:v>
      </x:c>
      <x:c r="B57" s="217" t="n">
        <x:v>46174</x:v>
      </x:c>
      <x:c r="C57" s="187" t="str">
        <x:v>FR</x:v>
      </x:c>
      <x:c r="D57" s="232" t="n">
        <x:v>5418</x:v>
      </x:c>
      <x:c r="E57" s="232" t="n">
        <x:v>5771.7954</x:v>
      </x:c>
      <x:c r="F57" s="232" t="n">
        <x:v>167173.3027</x:v>
      </x:c>
      <x:c r="G57" s="232" t="n">
        <x:v>3697703.73</x:v>
      </x:c>
      <x:c r="H57" s="229" t="n">
        <x:v>0.04521003165641368</x:v>
      </x:c>
      <x:c r="I57" s="229" t="n">
        <x:v>0</x:v>
      </x:c>
      <x:c r="J57" s="229" t="n">
        <x:v>0</x:v>
      </x:c>
      <x:c r="K57" s="229" t="n">
        <x:v>0.9698</x:v>
      </x:c>
      <x:c r="L57" s="229" t="n">
        <x:v>1</x:v>
      </x:c>
      <x:c r="M57" s="226" t="n">
        <x:f>F57/D57</x:f>
        <x:v>30.8551684569952</x:v>
      </x:c>
      <x:c r="N57" s="187"/>
    </x:row>
    <x:row r="58">
      <x:c r="A58" s="187" t="str">
        <x:v>ACTUAL</x:v>
      </x:c>
      <x:c r="B58" s="217" t="n">
        <x:v>46174</x:v>
      </x:c>
      <x:c r="C58" s="187" t="str">
        <x:v>GB</x:v>
      </x:c>
      <x:c r="D58" s="232" t="n">
        <x:v>5211.6</x:v>
      </x:c>
      <x:c r="E58" s="232" t="n">
        <x:v>5872.4621496</x:v>
      </x:c>
      <x:c r="F58" s="232" t="n">
        <x:v>360845.0109</x:v>
      </x:c>
      <x:c r="G58" s="232" t="n">
        <x:v>3675845.712</x:v>
      </x:c>
      <x:c r="H58" s="229" t="n">
        <x:v>0.09816652797801019</x:v>
      </x:c>
      <x:c r="I58" s="229" t="n">
        <x:v>0.16569389939350695</x:v>
      </x:c>
      <x:c r="J58" s="229" t="n">
        <x:v>0.03835890117731002</x:v>
      </x:c>
      <x:c r="K58" s="229" t="n">
        <x:v>0.9434993364252586</x:v>
      </x:c>
      <x:c r="L58" s="229" t="n">
        <x:v>1</x:v>
      </x:c>
      <x:c r="M58" s="226" t="n">
        <x:f>F58/D58</x:f>
        <x:v>69.23881550771355</x:v>
      </x:c>
      <x:c r="N58" s="187"/>
    </x:row>
    <x:row r="59">
      <x:c r="A59" s="187" t="str">
        <x:v>ACTUAL</x:v>
      </x:c>
      <x:c r="B59" s="217" t="n">
        <x:v>46204</x:v>
      </x:c>
      <x:c r="C59" s="187" t="str">
        <x:v>DE</x:v>
      </x:c>
      <x:c r="D59" s="232" t="n">
        <x:v>6570</x:v>
      </x:c>
      <x:c r="E59" s="232" t="n">
        <x:v>6945.839478</x:v>
      </x:c>
      <x:c r="F59" s="232" t="n">
        <x:v>213620.2953</x:v>
      </x:c>
      <x:c r="G59" s="232" t="n">
        <x:v>4313402.1</x:v>
      </x:c>
      <x:c r="H59" s="229" t="n">
        <x:v>0.049524781227184664</x:v>
      </x:c>
      <x:c r="I59" s="229" t="n">
        <x:v>0</x:v>
      </x:c>
      <x:c r="J59" s="229" t="n">
        <x:v>0</x:v>
      </x:c>
      <x:c r="K59" s="229" t="n">
        <x:v>0.9663568369968598</x:v>
      </x:c>
      <x:c r="L59" s="229" t="n">
        <x:v>0.995</x:v>
      </x:c>
      <x:c r="M59" s="226" t="n">
        <x:f>F59/D59</x:f>
        <x:v>32.51450461187215</x:v>
      </x:c>
      <x:c r="N59" s="187"/>
    </x:row>
    <x:row r="60">
      <x:c r="A60" s="187" t="str">
        <x:v>ACTUAL</x:v>
      </x:c>
      <x:c r="B60" s="217" t="n">
        <x:v>46204</x:v>
      </x:c>
      <x:c r="C60" s="187" t="str">
        <x:v>FR</x:v>
      </x:c>
      <x:c r="D60" s="232" t="n">
        <x:v>5490</x:v>
      </x:c>
      <x:c r="E60" s="232" t="n">
        <x:v>5854.3164</x:v>
      </x:c>
      <x:c r="F60" s="232" t="n">
        <x:v>170280.0533</x:v>
      </x:c>
      <x:c r="G60" s="232" t="n">
        <x:v>3756340.35</x:v>
      </x:c>
      <x:c r="H60" s="229" t="n">
        <x:v>0.045331369741060556</x:v>
      </x:c>
      <x:c r="I60" s="229" t="n">
        <x:v>0</x:v>
      </x:c>
      <x:c r="J60" s="229" t="n">
        <x:v>0</x:v>
      </x:c>
      <x:c r="K60" s="229" t="n">
        <x:v>0.9658</x:v>
      </x:c>
      <x:c r="L60" s="229" t="n">
        <x:v>0.995</x:v>
      </x:c>
      <x:c r="M60" s="226" t="n">
        <x:f>F60/D60</x:f>
        <x:v>31.016403151183972</x:v>
      </x:c>
      <x:c r="N60" s="187"/>
    </x:row>
    <x:row r="61">
      <x:c r="A61" s="187" t="str">
        <x:v>ACTUAL</x:v>
      </x:c>
      <x:c r="B61" s="217" t="n">
        <x:v>46204</x:v>
      </x:c>
      <x:c r="C61" s="187" t="str">
        <x:v>GB</x:v>
      </x:c>
      <x:c r="D61" s="232" t="n">
        <x:v>5940</x:v>
      </x:c>
      <x:c r="E61" s="232" t="n">
        <x:v>6699.887568</x:v>
      </x:c>
      <x:c r="F61" s="232" t="n">
        <x:v>419629.6473</x:v>
      </x:c>
      <x:c r="G61" s="232" t="n">
        <x:v>4198748.4</x:v>
      </x:c>
      <x:c r="H61" s="229" t="n">
        <x:v>0.09994160338109917</x:v>
      </x:c>
      <x:c r="I61" s="229" t="n">
        <x:v>0.20405280057081698</x:v>
      </x:c>
      <x:c r="J61" s="229" t="n">
        <x:v>0.057538351765965036</x:v>
      </x:c>
      <x:c r="K61" s="229" t="n">
        <x:v>0.941647434891188</x:v>
      </x:c>
      <x:c r="L61" s="229" t="n">
        <x:v>0.995</x:v>
      </x:c>
      <x:c r="M61" s="226" t="n">
        <x:f>F61/D61</x:f>
        <x:v>70.64472176767677</x:v>
      </x:c>
      <x:c r="N61" s="187"/>
    </x:row>
    <x:row r="62">
      <x:c r="A62" s="187" t="str">
        <x:v>ACTUAL</x:v>
      </x:c>
      <x:c r="B62" s="217" t="n">
        <x:v>46235</x:v>
      </x:c>
      <x:c r="C62" s="187" t="str">
        <x:v>DE</x:v>
      </x:c>
      <x:c r="D62" s="232" t="n">
        <x:v>6293</x:v>
      </x:c>
      <x:c r="E62" s="232" t="n">
        <x:v>6613.3137</x:v>
      </x:c>
      <x:c r="F62" s="232" t="n">
        <x:v>204641.8625</x:v>
      </x:c>
      <x:c r="G62" s="232" t="n">
        <x:v>4152436.05</x:v>
      </x:c>
      <x:c r="H62" s="229" t="n">
        <x:v>0.049282363420405206</x:v>
      </x:c>
      <x:c r="I62" s="229" t="n">
        <x:v>0</x:v>
      </x:c>
      <x:c r="J62" s="229" t="n">
        <x:v>0</x:v>
      </x:c>
      <x:c r="K62" s="229" t="n">
        <x:v>0.9663568369968598</x:v>
      </x:c>
      <x:c r="L62" s="229" t="n">
        <x:v>0.92</x:v>
      </x:c>
      <x:c r="M62" s="226" t="n">
        <x:f>F62/D62</x:f>
        <x:v>32.5189675035754</x:v>
      </x:c>
      <x:c r="N62" s="187"/>
    </x:row>
    <x:row r="63">
      <x:c r="A63" s="187" t="str">
        <x:v>ACTUAL</x:v>
      </x:c>
      <x:c r="B63" s="217" t="n">
        <x:v>46235</x:v>
      </x:c>
      <x:c r="C63" s="187" t="str">
        <x:v>FR</x:v>
      </x:c>
      <x:c r="D63" s="232" t="n">
        <x:v>5075</x:v>
      </x:c>
      <x:c r="E63" s="232" t="n">
        <x:v>5379.5</x:v>
      </x:c>
      <x:c r="F63" s="232" t="n">
        <x:v>157401.0536</x:v>
      </x:c>
      <x:c r="G63" s="232" t="n">
        <x:v>3489950.625</x:v>
      </x:c>
      <x:c r="H63" s="229" t="n">
        <x:v>0.04510122648361434</x:v>
      </x:c>
      <x:c r="I63" s="229" t="n">
        <x:v>0</x:v>
      </x:c>
      <x:c r="J63" s="229" t="n">
        <x:v>0</x:v>
      </x:c>
      <x:c r="K63" s="229" t="n">
        <x:v>0.9658</x:v>
      </x:c>
      <x:c r="L63" s="229" t="n">
        <x:v>0.92</x:v>
      </x:c>
      <x:c r="M63" s="226" t="n">
        <x:f>F63/D63</x:f>
        <x:v>31.014985931034484</x:v>
      </x:c>
      <x:c r="N63" s="187"/>
    </x:row>
    <x:row r="64">
      <x:c r="A64" s="187" t="str">
        <x:v>ACTUAL</x:v>
      </x:c>
      <x:c r="B64" s="217" t="n">
        <x:v>46235</x:v>
      </x:c>
      <x:c r="C64" s="187" t="str">
        <x:v>GB</x:v>
      </x:c>
      <x:c r="D64" s="232" t="n">
        <x:v>8932</x:v>
      </x:c>
      <x:c r="E64" s="232" t="n">
        <x:v>10886.3216</x:v>
      </x:c>
      <x:c r="F64" s="232" t="n">
        <x:v>878584.0815</x:v>
      </x:c>
      <x:c r="G64" s="232" t="n">
        <x:v>5929418.88</x:v>
      </x:c>
      <x:c r="H64" s="229" t="n">
        <x:v>0.14817372482432858</x:v>
      </x:c>
      <x:c r="I64" s="229" t="n">
        <x:v>0.6601657367902856</x:v>
      </x:c>
      <x:c r="J64" s="229" t="n">
        <x:v>0.3883820150968165</x:v>
      </x:c>
      <x:c r="K64" s="229" t="n">
        <x:v>0.9616208254020348</x:v>
      </x:c>
      <x:c r="L64" s="229" t="n">
        <x:v>0.92</x:v>
      </x:c>
      <x:c r="M64" s="226" t="n">
        <x:f>F64/D64</x:f>
        <x:v>98.36364548813255</x:v>
      </x:c>
      <x:c r="N64" s="187" t="str">
        <x:v>核心异常范围</x:v>
      </x:c>
    </x:row>
    <x:row r="65">
      <x:c r="A65" s="187" t="str">
        <x:v>FORECAST</x:v>
      </x:c>
      <x:c r="B65" s="217" t="n">
        <x:v>46266</x:v>
      </x:c>
      <x:c r="C65" s="187" t="str">
        <x:v>DE</x:v>
      </x:c>
      <x:c r="D65" s="232" t="n">
        <x:v>6192</x:v>
      </x:c>
      <x:c r="E65" s="232" t="n">
        <x:v>6507.1728</x:v>
      </x:c>
      <x:c r="F65" s="232" t="n">
        <x:v>204445.014</x:v>
      </x:c>
      <x:c r="G65" s="232" t="n">
        <x:v>4070373.12</x:v>
      </x:c>
      <x:c r="H65" s="229" t="n">
        <x:v>0.05022758552053554</x:v>
      </x:c>
      <x:c r="I65" s="229" t="n">
        <x:v>0</x:v>
      </x:c>
      <x:c r="J65" s="229" t="n">
        <x:v>0</x:v>
      </x:c>
      <x:c r="K65" s="229" t="n">
        <x:v>0.9693568369968598</x:v>
      </x:c>
      <x:c r="L65" s="229"/>
      <x:c r="M65" s="226" t="n">
        <x:f>F65/D65</x:f>
        <x:v>33.01760562015504</x:v>
      </x:c>
      <x:c r="N65" s="187"/>
    </x:row>
    <x:row r="66">
      <x:c r="A66" s="187" t="str">
        <x:v>FORECAST</x:v>
      </x:c>
      <x:c r="B66" s="217" t="n">
        <x:v>46266</x:v>
      </x:c>
      <x:c r="C66" s="187" t="str">
        <x:v>FR</x:v>
      </x:c>
      <x:c r="D66" s="232" t="n">
        <x:v>5160</x:v>
      </x:c>
      <x:c r="E66" s="232" t="n">
        <x:v>5469.6</x:v>
      </x:c>
      <x:c r="F66" s="232" t="n">
        <x:v>162457.7703</x:v>
      </x:c>
      <x:c r="G66" s="232" t="n">
        <x:v>3555446.4</x:v>
      </x:c>
      <x:c r="H66" s="229" t="n">
        <x:v>0.045692650667689655</x:v>
      </x:c>
      <x:c r="I66" s="229" t="n">
        <x:v>0</x:v>
      </x:c>
      <x:c r="J66" s="229" t="n">
        <x:v>0</x:v>
      </x:c>
      <x:c r="K66" s="229" t="n">
        <x:v>0.9688</x:v>
      </x:c>
      <x:c r="L66" s="229"/>
      <x:c r="M66" s="226" t="n">
        <x:f>F66/D66</x:f>
        <x:v>31.484064011627908</x:v>
      </x:c>
      <x:c r="N66" s="187"/>
    </x:row>
    <x:row r="67">
      <x:c r="A67" s="187" t="str">
        <x:v>FORECAST</x:v>
      </x:c>
      <x:c r="B67" s="217" t="n">
        <x:v>46266</x:v>
      </x:c>
      <x:c r="C67" s="187" t="str">
        <x:v>GB</x:v>
      </x:c>
      <x:c r="D67" s="232" t="n">
        <x:v>5848</x:v>
      </x:c>
      <x:c r="E67" s="232" t="n">
        <x:v>6954.4416</x:v>
      </x:c>
      <x:c r="F67" s="232" t="n">
        <x:v>518450.2442</x:v>
      </x:c>
      <x:c r="G67" s="232" t="n">
        <x:v>4066699.2</x:v>
      </x:c>
      <x:c r="H67" s="229" t="n">
        <x:v>0.12748674507414756</x:v>
      </x:c>
      <x:c r="I67" s="229" t="n">
        <x:v>0.5484964682139253</x:v>
      </x:c>
      <x:c r="J67" s="229" t="n">
        <x:v>0.26898082744702323</x:v>
      </x:c>
      <x:c r="K67" s="229" t="n">
        <x:v>0.9610477093844602</x:v>
      </x:c>
      <x:c r="L67" s="229"/>
      <x:c r="M67" s="226" t="n">
        <x:f>F67/D67</x:f>
        <x:v>88.65428252393981</x:v>
      </x:c>
      <x:c r="N67" s="187"/>
    </x:row>
    <x:row r="68">
      <x:c r="A68" s="187" t="str">
        <x:v>FORECAST</x:v>
      </x:c>
      <x:c r="B68" s="217" t="n">
        <x:v>46296</x:v>
      </x:c>
      <x:c r="C68" s="187" t="str">
        <x:v>DE</x:v>
      </x:c>
      <x:c r="D68" s="232" t="n">
        <x:v>6630</x:v>
      </x:c>
      <x:c r="E68" s="232" t="n">
        <x:v>6967.467</x:v>
      </x:c>
      <x:c r="F68" s="232" t="n">
        <x:v>219554.7501</x:v>
      </x:c>
      <x:c r="G68" s="232" t="n">
        <x:v>4347291</x:v>
      </x:c>
      <x:c r="H68" s="229" t="n">
        <x:v>0.05050380802083728</x:v>
      </x:c>
      <x:c r="I68" s="229" t="n">
        <x:v>0</x:v>
      </x:c>
      <x:c r="J68" s="229" t="n">
        <x:v>0</x:v>
      </x:c>
      <x:c r="K68" s="229" t="n">
        <x:v>0.9693568369968598</x:v>
      </x:c>
      <x:c r="L68" s="229"/>
      <x:c r="M68" s="226" t="n">
        <x:f>F68/D68</x:f>
        <x:v>33.11534692307692</x:v>
      </x:c>
      <x:c r="N68" s="187"/>
    </x:row>
    <x:row r="69">
      <x:c r="A69" s="187" t="str">
        <x:v>FORECAST</x:v>
      </x:c>
      <x:c r="B69" s="217" t="n">
        <x:v>46296</x:v>
      </x:c>
      <x:c r="C69" s="187" t="str">
        <x:v>FR</x:v>
      </x:c>
      <x:c r="D69" s="232" t="n">
        <x:v>5850</x:v>
      </x:c>
      <x:c r="E69" s="232" t="n">
        <x:v>6201</x:v>
      </x:c>
      <x:c r="F69" s="232" t="n">
        <x:v>184755.2756</x:v>
      </x:c>
      <x:c r="G69" s="232" t="n">
        <x:v>4020705</x:v>
      </x:c>
      <x:c r="H69" s="229" t="n">
        <x:v>0.04595096520695276</x:v>
      </x:c>
      <x:c r="I69" s="229" t="n">
        <x:v>0</x:v>
      </x:c>
      <x:c r="J69" s="229" t="n">
        <x:v>0</x:v>
      </x:c>
      <x:c r="K69" s="229" t="n">
        <x:v>0.9688</x:v>
      </x:c>
      <x:c r="L69" s="229"/>
      <x:c r="M69" s="226" t="n">
        <x:f>F69/D69</x:f>
        <x:v>31.582098393162394</x:v>
      </x:c>
      <x:c r="N69" s="187"/>
    </x:row>
    <x:row r="70">
      <x:c r="A70" s="187" t="str">
        <x:v>FORECAST</x:v>
      </x:c>
      <x:c r="B70" s="217" t="n">
        <x:v>46296</x:v>
      </x:c>
      <x:c r="C70" s="187" t="str">
        <x:v>GB</x:v>
      </x:c>
      <x:c r="D70" s="232" t="n">
        <x:v>7020</x:v>
      </x:c>
      <x:c r="E70" s="232" t="n">
        <x:v>8213.4</x:v>
      </x:c>
      <x:c r="F70" s="232" t="n">
        <x:v>592966.4006</x:v>
      </x:c>
      <x:c r="G70" s="232" t="n">
        <x:v>4855032</x:v>
      </x:c>
      <x:c r="H70" s="229" t="n">
        <x:v>0.12213439593961418</x:v>
      </x:c>
      <x:c r="I70" s="229" t="n">
        <x:v>0.4624</x:v>
      </x:c>
      <x:c r="J70" s="229" t="n">
        <x:v>0.192</x:v>
      </x:c>
      <x:c r="K70" s="229" t="n">
        <x:v>0.9567536</x:v>
      </x:c>
      <x:c r="L70" s="229"/>
      <x:c r="M70" s="226" t="n">
        <x:f>F70/D70</x:f>
        <x:v>84.46814823361824</x:v>
      </x:c>
      <x:c r="N70" s="187"/>
    </x:row>
    <x:row r="71">
      <x:c r="A71" s="187" t="str">
        <x:v>FORECAST</x:v>
      </x:c>
      <x:c r="B71" s="217" t="n">
        <x:v>46327</x:v>
      </x:c>
      <x:c r="C71" s="187" t="str">
        <x:v>DE</x:v>
      </x:c>
      <x:c r="D71" s="232" t="n">
        <x:v>7936</x:v>
      </x:c>
      <x:c r="E71" s="232" t="n">
        <x:v>8339.9424</x:v>
      </x:c>
      <x:c r="F71" s="232" t="n">
        <x:v>262138.0681</x:v>
      </x:c>
      <x:c r="G71" s="232" t="n">
        <x:v>5190461.44</x:v>
      </x:c>
      <x:c r="H71" s="229" t="n">
        <x:v>0.05050380802083728</x:v>
      </x:c>
      <x:c r="I71" s="229" t="n">
        <x:v>0</x:v>
      </x:c>
      <x:c r="J71" s="229" t="n">
        <x:v>0</x:v>
      </x:c>
      <x:c r="K71" s="229" t="n">
        <x:v>0.9693568369968598</x:v>
      </x:c>
      <x:c r="L71" s="229"/>
      <x:c r="M71" s="226" t="n">
        <x:f>F71/D71</x:f>
        <x:v>33.03151059727823</x:v>
      </x:c>
      <x:c r="N71" s="187"/>
    </x:row>
    <x:row r="72">
      <x:c r="A72" s="187" t="str">
        <x:v>FORECAST</x:v>
      </x:c>
      <x:c r="B72" s="217" t="n">
        <x:v>46327</x:v>
      </x:c>
      <x:c r="C72" s="187" t="str">
        <x:v>FR</x:v>
      </x:c>
      <x:c r="D72" s="232" t="n">
        <x:v>7192</x:v>
      </x:c>
      <x:c r="E72" s="232" t="n">
        <x:v>7623.52</x:v>
      </x:c>
      <x:c r="F72" s="232" t="n">
        <x:v>226563.4175</x:v>
      </x:c>
      <x:c r="G72" s="232" t="n">
        <x:v>4930547.52</x:v>
      </x:c>
      <x:c r="H72" s="229" t="n">
        <x:v>0.04595096520695276</x:v>
      </x:c>
      <x:c r="I72" s="229" t="n">
        <x:v>0</x:v>
      </x:c>
      <x:c r="J72" s="229" t="n">
        <x:v>0</x:v>
      </x:c>
      <x:c r="K72" s="229" t="n">
        <x:v>0.9688</x:v>
      </x:c>
      <x:c r="L72" s="229"/>
      <x:c r="M72" s="226" t="n">
        <x:f>F72/D72</x:f>
        <x:v>31.502143701334816</x:v>
      </x:c>
      <x:c r="N72" s="187"/>
    </x:row>
    <x:row r="73">
      <x:c r="A73" s="187" t="str">
        <x:v>FORECAST</x:v>
      </x:c>
      <x:c r="B73" s="217" t="n">
        <x:v>46327</x:v>
      </x:c>
      <x:c r="C73" s="187" t="str">
        <x:v>GB</x:v>
      </x:c>
      <x:c r="D73" s="232" t="n">
        <x:v>9672</x:v>
      </x:c>
      <x:c r="E73" s="232" t="n">
        <x:v>11316.24</x:v>
      </x:c>
      <x:c r="F73" s="232" t="n">
        <x:v>785138.893</x:v>
      </x:c>
      <x:c r="G73" s="232" t="n">
        <x:v>6652401.6</x:v>
      </x:c>
      <x:c r="H73" s="229" t="n">
        <x:v>0.11802337565088677</x:v>
      </x:c>
      <x:c r="I73" s="229" t="n">
        <x:v>0.376</x:v>
      </x:c>
      <x:c r="J73" s="229" t="n">
        <x:v>0.1248</x:v>
      </x:c>
      <x:c r="K73" s="229" t="n">
        <x:v>0.9525872</x:v>
      </x:c>
      <x:c r="L73" s="229"/>
      <x:c r="M73" s="226" t="n">
        <x:f>F73/D73</x:f>
        <x:v>81.17647777088503</x:v>
      </x:c>
      <x:c r="N73" s="187"/>
    </x:row>
    <x:row r="74">
      <x:c r="A74" s="187" t="str">
        <x:v>FORECAST</x:v>
      </x:c>
      <x:c r="B74" s="217" t="n">
        <x:v>46357</x:v>
      </x:c>
      <x:c r="C74" s="187" t="str">
        <x:v>DE</x:v>
      </x:c>
      <x:c r="D74" s="232" t="n">
        <x:v>9152</x:v>
      </x:c>
      <x:c r="E74" s="232" t="n">
        <x:v>9617.8368</x:v>
      </x:c>
      <x:c r="F74" s="232" t="n">
        <x:v>301537.115</x:v>
      </x:c>
      <x:c r="G74" s="232" t="n">
        <x:v>5970581.76</x:v>
      </x:c>
      <x:c r="H74" s="229" t="n">
        <x:v>0.05050380802083728</x:v>
      </x:c>
      <x:c r="I74" s="229" t="n">
        <x:v>0</x:v>
      </x:c>
      <x:c r="J74" s="229" t="n">
        <x:v>0</x:v>
      </x:c>
      <x:c r="K74" s="229" t="n">
        <x:v>0.9693568369968598</x:v>
      </x:c>
      <x:c r="L74" s="229"/>
      <x:c r="M74" s="226" t="n">
        <x:f>F74/D74</x:f>
        <x:v>32.94767427884615</x:v>
      </x:c>
      <x:c r="N74" s="187"/>
    </x:row>
    <x:row r="75">
      <x:c r="A75" s="187" t="str">
        <x:v>FORECAST</x:v>
      </x:c>
      <x:c r="B75" s="217" t="n">
        <x:v>46357</x:v>
      </x:c>
      <x:c r="C75" s="187" t="str">
        <x:v>FR</x:v>
      </x:c>
      <x:c r="D75" s="232" t="n">
        <x:v>8008</x:v>
      </x:c>
      <x:c r="E75" s="232" t="n">
        <x:v>8488.48</x:v>
      </x:c>
      <x:c r="F75" s="232" t="n">
        <x:v>251628.8897</x:v>
      </x:c>
      <x:c r="G75" s="232" t="n">
        <x:v>5476030.56</x:v>
      </x:c>
      <x:c r="H75" s="229" t="n">
        <x:v>0.04595096520695276</x:v>
      </x:c>
      <x:c r="I75" s="229" t="n">
        <x:v>0</x:v>
      </x:c>
      <x:c r="J75" s="229" t="n">
        <x:v>0</x:v>
      </x:c>
      <x:c r="K75" s="229" t="n">
        <x:v>0.9688</x:v>
      </x:c>
      <x:c r="L75" s="229"/>
      <x:c r="M75" s="226" t="n">
        <x:f>F75/D75</x:f>
        <x:v>31.422189023476523</x:v>
      </x:c>
      <x:c r="N75" s="187"/>
    </x:row>
    <x:row r="76">
      <x:c r="A76" s="187" t="str">
        <x:v>FORECAST</x:v>
      </x:c>
      <x:c r="B76" s="217" t="n">
        <x:v>46357</x:v>
      </x:c>
      <x:c r="C76" s="187" t="str">
        <x:v>GB</x:v>
      </x:c>
      <x:c r="D76" s="232" t="n">
        <x:v>11440</x:v>
      </x:c>
      <x:c r="E76" s="232" t="n">
        <x:v>13384.8</x:v>
      </x:c>
      <x:c r="F76" s="232" t="n">
        <x:v>896182.8433</x:v>
      </x:c>
      <x:c r="G76" s="232" t="n">
        <x:v>7824960</x:v>
      </x:c>
      <x:c r="H76" s="229" t="n">
        <x:v>0.11452874433438698</x:v>
      </x:c>
      <x:c r="I76" s="229" t="n">
        <x:v>0.2992</x:v>
      </x:c>
      <x:c r="J76" s="229" t="n">
        <x:v>0.0768</x:v>
      </x:c>
      <x:c r="K76" s="229" t="n">
        <x:v>0.94892</x:v>
      </x:c>
      <x:c r="L76" s="229"/>
      <x:c r="M76" s="226" t="n">
        <x:f>F76/D76</x:f>
        <x:v>78.33766112762237</x:v>
      </x:c>
      <x:c r="N76" s="187"/>
    </x:row>
    <x:row r="77">
      <x:c r="A77" s="187" t="str">
        <x:v>SCENARIO_BASE</x:v>
      </x:c>
      <x:c r="B77" s="217" t="n">
        <x:v>46266</x:v>
      </x:c>
      <x:c r="C77" s="187" t="str">
        <x:v>DE</x:v>
      </x:c>
      <x:c r="D77" s="232" t="n">
        <x:v>6192</x:v>
      </x:c>
      <x:c r="E77" s="232" t="n">
        <x:v>6507.1728</x:v>
      </x:c>
      <x:c r="F77" s="232" t="n">
        <x:v>204445.014</x:v>
      </x:c>
      <x:c r="G77" s="232" t="n">
        <x:v>4070373.12</x:v>
      </x:c>
      <x:c r="H77" s="229" t="n">
        <x:v>0.05022758552053554</x:v>
      </x:c>
      <x:c r="I77" s="229" t="n">
        <x:v>0</x:v>
      </x:c>
      <x:c r="J77" s="229" t="n">
        <x:v>0</x:v>
      </x:c>
      <x:c r="K77" s="229" t="n">
        <x:v>0.9693568369968598</x:v>
      </x:c>
      <x:c r="L77" s="229"/>
      <x:c r="M77" s="226" t="n">
        <x:f>F77/D77</x:f>
        <x:v>33.01760562015504</x:v>
      </x:c>
      <x:c r="N77" s="187"/>
    </x:row>
    <x:row r="78">
      <x:c r="A78" s="187" t="str">
        <x:v>SCENARIO_BASE</x:v>
      </x:c>
      <x:c r="B78" s="217" t="n">
        <x:v>46266</x:v>
      </x:c>
      <x:c r="C78" s="187" t="str">
        <x:v>FR</x:v>
      </x:c>
      <x:c r="D78" s="232" t="n">
        <x:v>5160</x:v>
      </x:c>
      <x:c r="E78" s="232" t="n">
        <x:v>5469.6</x:v>
      </x:c>
      <x:c r="F78" s="232" t="n">
        <x:v>162457.7703</x:v>
      </x:c>
      <x:c r="G78" s="232" t="n">
        <x:v>3555446.4</x:v>
      </x:c>
      <x:c r="H78" s="229" t="n">
        <x:v>0.045692650667689655</x:v>
      </x:c>
      <x:c r="I78" s="229" t="n">
        <x:v>0</x:v>
      </x:c>
      <x:c r="J78" s="229" t="n">
        <x:v>0</x:v>
      </x:c>
      <x:c r="K78" s="229" t="n">
        <x:v>0.9688</x:v>
      </x:c>
      <x:c r="L78" s="229"/>
      <x:c r="M78" s="226" t="n">
        <x:f>F78/D78</x:f>
        <x:v>31.484064011627908</x:v>
      </x:c>
      <x:c r="N78" s="187"/>
    </x:row>
    <x:row r="79">
      <x:c r="A79" s="187" t="str">
        <x:v>SCENARIO_BASE</x:v>
      </x:c>
      <x:c r="B79" s="217" t="n">
        <x:v>46266</x:v>
      </x:c>
      <x:c r="C79" s="187" t="str">
        <x:v>GB</x:v>
      </x:c>
      <x:c r="D79" s="232" t="n">
        <x:v>5848</x:v>
      </x:c>
      <x:c r="E79" s="232" t="n">
        <x:v>6954.4416</x:v>
      </x:c>
      <x:c r="F79" s="232" t="n">
        <x:v>518450.2442</x:v>
      </x:c>
      <x:c r="G79" s="232" t="n">
        <x:v>4066699.2</x:v>
      </x:c>
      <x:c r="H79" s="229" t="n">
        <x:v>0.12748674507414756</x:v>
      </x:c>
      <x:c r="I79" s="229" t="n">
        <x:v>0.5484964682139253</x:v>
      </x:c>
      <x:c r="J79" s="229" t="n">
        <x:v>0.26898082744702323</x:v>
      </x:c>
      <x:c r="K79" s="229" t="n">
        <x:v>0.9610477093844602</x:v>
      </x:c>
      <x:c r="L79" s="229"/>
      <x:c r="M79" s="226" t="n">
        <x:f>F79/D79</x:f>
        <x:v>88.65428252393981</x:v>
      </x:c>
      <x:c r="N79" s="187"/>
    </x:row>
    <x:row r="80">
      <x:c r="A80" s="187" t="str">
        <x:v>SCENARIO_BASE</x:v>
      </x:c>
      <x:c r="B80" s="217" t="n">
        <x:v>46296</x:v>
      </x:c>
      <x:c r="C80" s="187" t="str">
        <x:v>DE</x:v>
      </x:c>
      <x:c r="D80" s="232" t="n">
        <x:v>6630</x:v>
      </x:c>
      <x:c r="E80" s="232" t="n">
        <x:v>6967.467</x:v>
      </x:c>
      <x:c r="F80" s="232" t="n">
        <x:v>219554.7501</x:v>
      </x:c>
      <x:c r="G80" s="232" t="n">
        <x:v>4347291</x:v>
      </x:c>
      <x:c r="H80" s="229" t="n">
        <x:v>0.05050380802083728</x:v>
      </x:c>
      <x:c r="I80" s="229" t="n">
        <x:v>0</x:v>
      </x:c>
      <x:c r="J80" s="229" t="n">
        <x:v>0</x:v>
      </x:c>
      <x:c r="K80" s="229" t="n">
        <x:v>0.9693568369968598</x:v>
      </x:c>
      <x:c r="L80" s="229"/>
      <x:c r="M80" s="226" t="n">
        <x:f>F80/D80</x:f>
        <x:v>33.11534692307692</x:v>
      </x:c>
      <x:c r="N80" s="187"/>
    </x:row>
    <x:row r="81">
      <x:c r="A81" s="187" t="str">
        <x:v>SCENARIO_BASE</x:v>
      </x:c>
      <x:c r="B81" s="217" t="n">
        <x:v>46296</x:v>
      </x:c>
      <x:c r="C81" s="187" t="str">
        <x:v>FR</x:v>
      </x:c>
      <x:c r="D81" s="232" t="n">
        <x:v>5850</x:v>
      </x:c>
      <x:c r="E81" s="232" t="n">
        <x:v>6201</x:v>
      </x:c>
      <x:c r="F81" s="232" t="n">
        <x:v>184755.2756</x:v>
      </x:c>
      <x:c r="G81" s="232" t="n">
        <x:v>4020705</x:v>
      </x:c>
      <x:c r="H81" s="229" t="n">
        <x:v>0.04595096520695276</x:v>
      </x:c>
      <x:c r="I81" s="229" t="n">
        <x:v>0</x:v>
      </x:c>
      <x:c r="J81" s="229" t="n">
        <x:v>0</x:v>
      </x:c>
      <x:c r="K81" s="229" t="n">
        <x:v>0.9688</x:v>
      </x:c>
      <x:c r="L81" s="229"/>
      <x:c r="M81" s="226" t="n">
        <x:f>F81/D81</x:f>
        <x:v>31.582098393162394</x:v>
      </x:c>
      <x:c r="N81" s="187"/>
    </x:row>
    <x:row r="82">
      <x:c r="A82" s="187" t="str">
        <x:v>SCENARIO_BASE</x:v>
      </x:c>
      <x:c r="B82" s="217" t="n">
        <x:v>46296</x:v>
      </x:c>
      <x:c r="C82" s="187" t="str">
        <x:v>GB</x:v>
      </x:c>
      <x:c r="D82" s="232" t="n">
        <x:v>7020</x:v>
      </x:c>
      <x:c r="E82" s="232" t="n">
        <x:v>8213.4</x:v>
      </x:c>
      <x:c r="F82" s="232" t="n">
        <x:v>592966.4006</x:v>
      </x:c>
      <x:c r="G82" s="232" t="n">
        <x:v>4855032</x:v>
      </x:c>
      <x:c r="H82" s="229" t="n">
        <x:v>0.12213439593961418</x:v>
      </x:c>
      <x:c r="I82" s="229" t="n">
        <x:v>0.4624</x:v>
      </x:c>
      <x:c r="J82" s="229" t="n">
        <x:v>0.192</x:v>
      </x:c>
      <x:c r="K82" s="229" t="n">
        <x:v>0.9567536</x:v>
      </x:c>
      <x:c r="L82" s="229"/>
      <x:c r="M82" s="226" t="n">
        <x:f>F82/D82</x:f>
        <x:v>84.46814823361824</x:v>
      </x:c>
      <x:c r="N82" s="187"/>
    </x:row>
    <x:row r="83">
      <x:c r="A83" s="187" t="str">
        <x:v>SCENARIO_BASE</x:v>
      </x:c>
      <x:c r="B83" s="217" t="n">
        <x:v>46327</x:v>
      </x:c>
      <x:c r="C83" s="187" t="str">
        <x:v>DE</x:v>
      </x:c>
      <x:c r="D83" s="232" t="n">
        <x:v>7936</x:v>
      </x:c>
      <x:c r="E83" s="232" t="n">
        <x:v>8339.9424</x:v>
      </x:c>
      <x:c r="F83" s="232" t="n">
        <x:v>262138.0681</x:v>
      </x:c>
      <x:c r="G83" s="232" t="n">
        <x:v>5190461.44</x:v>
      </x:c>
      <x:c r="H83" s="229" t="n">
        <x:v>0.05050380802083728</x:v>
      </x:c>
      <x:c r="I83" s="229" t="n">
        <x:v>0</x:v>
      </x:c>
      <x:c r="J83" s="229" t="n">
        <x:v>0</x:v>
      </x:c>
      <x:c r="K83" s="229" t="n">
        <x:v>0.9693568369968598</x:v>
      </x:c>
      <x:c r="L83" s="229"/>
      <x:c r="M83" s="226" t="n">
        <x:f>F83/D83</x:f>
        <x:v>33.03151059727823</x:v>
      </x:c>
      <x:c r="N83" s="187"/>
    </x:row>
    <x:row r="84">
      <x:c r="A84" s="187" t="str">
        <x:v>SCENARIO_BASE</x:v>
      </x:c>
      <x:c r="B84" s="217" t="n">
        <x:v>46327</x:v>
      </x:c>
      <x:c r="C84" s="187" t="str">
        <x:v>FR</x:v>
      </x:c>
      <x:c r="D84" s="232" t="n">
        <x:v>7192</x:v>
      </x:c>
      <x:c r="E84" s="232" t="n">
        <x:v>7623.52</x:v>
      </x:c>
      <x:c r="F84" s="232" t="n">
        <x:v>226563.4175</x:v>
      </x:c>
      <x:c r="G84" s="232" t="n">
        <x:v>4930547.52</x:v>
      </x:c>
      <x:c r="H84" s="229" t="n">
        <x:v>0.04595096520695276</x:v>
      </x:c>
      <x:c r="I84" s="229" t="n">
        <x:v>0</x:v>
      </x:c>
      <x:c r="J84" s="229" t="n">
        <x:v>0</x:v>
      </x:c>
      <x:c r="K84" s="229" t="n">
        <x:v>0.9688</x:v>
      </x:c>
      <x:c r="L84" s="229"/>
      <x:c r="M84" s="226" t="n">
        <x:f>F84/D84</x:f>
        <x:v>31.502143701334816</x:v>
      </x:c>
      <x:c r="N84" s="187"/>
    </x:row>
    <x:row r="85">
      <x:c r="A85" s="187" t="str">
        <x:v>SCENARIO_BASE</x:v>
      </x:c>
      <x:c r="B85" s="217" t="n">
        <x:v>46327</x:v>
      </x:c>
      <x:c r="C85" s="187" t="str">
        <x:v>GB</x:v>
      </x:c>
      <x:c r="D85" s="232" t="n">
        <x:v>9672</x:v>
      </x:c>
      <x:c r="E85" s="232" t="n">
        <x:v>11316.24</x:v>
      </x:c>
      <x:c r="F85" s="232" t="n">
        <x:v>785138.893</x:v>
      </x:c>
      <x:c r="G85" s="232" t="n">
        <x:v>6652401.6</x:v>
      </x:c>
      <x:c r="H85" s="229" t="n">
        <x:v>0.11802337565088677</x:v>
      </x:c>
      <x:c r="I85" s="229" t="n">
        <x:v>0.376</x:v>
      </x:c>
      <x:c r="J85" s="229" t="n">
        <x:v>0.1248</x:v>
      </x:c>
      <x:c r="K85" s="229" t="n">
        <x:v>0.9525872</x:v>
      </x:c>
      <x:c r="L85" s="229"/>
      <x:c r="M85" s="226" t="n">
        <x:f>F85/D85</x:f>
        <x:v>81.17647777088503</x:v>
      </x:c>
      <x:c r="N85" s="187"/>
    </x:row>
    <x:row r="86">
      <x:c r="A86" s="187" t="str">
        <x:v>SCENARIO_BASE</x:v>
      </x:c>
      <x:c r="B86" s="217" t="n">
        <x:v>46357</x:v>
      </x:c>
      <x:c r="C86" s="187" t="str">
        <x:v>DE</x:v>
      </x:c>
      <x:c r="D86" s="232" t="n">
        <x:v>9152</x:v>
      </x:c>
      <x:c r="E86" s="232" t="n">
        <x:v>9617.8368</x:v>
      </x:c>
      <x:c r="F86" s="232" t="n">
        <x:v>301537.115</x:v>
      </x:c>
      <x:c r="G86" s="232" t="n">
        <x:v>5970581.76</x:v>
      </x:c>
      <x:c r="H86" s="229" t="n">
        <x:v>0.05050380802083728</x:v>
      </x:c>
      <x:c r="I86" s="229" t="n">
        <x:v>0</x:v>
      </x:c>
      <x:c r="J86" s="229" t="n">
        <x:v>0</x:v>
      </x:c>
      <x:c r="K86" s="229" t="n">
        <x:v>0.9693568369968598</x:v>
      </x:c>
      <x:c r="L86" s="229"/>
      <x:c r="M86" s="226" t="n">
        <x:f>F86/D86</x:f>
        <x:v>32.94767427884615</x:v>
      </x:c>
      <x:c r="N86" s="187"/>
    </x:row>
    <x:row r="87">
      <x:c r="A87" s="187" t="str">
        <x:v>SCENARIO_BASE</x:v>
      </x:c>
      <x:c r="B87" s="217" t="n">
        <x:v>46357</x:v>
      </x:c>
      <x:c r="C87" s="187" t="str">
        <x:v>FR</x:v>
      </x:c>
      <x:c r="D87" s="232" t="n">
        <x:v>8008</x:v>
      </x:c>
      <x:c r="E87" s="232" t="n">
        <x:v>8488.48</x:v>
      </x:c>
      <x:c r="F87" s="232" t="n">
        <x:v>251628.8897</x:v>
      </x:c>
      <x:c r="G87" s="232" t="n">
        <x:v>5476030.56</x:v>
      </x:c>
      <x:c r="H87" s="229" t="n">
        <x:v>0.04595096520695276</x:v>
      </x:c>
      <x:c r="I87" s="229" t="n">
        <x:v>0</x:v>
      </x:c>
      <x:c r="J87" s="229" t="n">
        <x:v>0</x:v>
      </x:c>
      <x:c r="K87" s="229" t="n">
        <x:v>0.9688</x:v>
      </x:c>
      <x:c r="L87" s="229"/>
      <x:c r="M87" s="226" t="n">
        <x:f>F87/D87</x:f>
        <x:v>31.422189023476523</x:v>
      </x:c>
      <x:c r="N87" s="187"/>
    </x:row>
    <x:row r="88">
      <x:c r="A88" s="187" t="str">
        <x:v>SCENARIO_BASE</x:v>
      </x:c>
      <x:c r="B88" s="217" t="n">
        <x:v>46357</x:v>
      </x:c>
      <x:c r="C88" s="187" t="str">
        <x:v>GB</x:v>
      </x:c>
      <x:c r="D88" s="232" t="n">
        <x:v>11440</x:v>
      </x:c>
      <x:c r="E88" s="232" t="n">
        <x:v>13384.8</x:v>
      </x:c>
      <x:c r="F88" s="232" t="n">
        <x:v>896182.8433</x:v>
      </x:c>
      <x:c r="G88" s="232" t="n">
        <x:v>7824960</x:v>
      </x:c>
      <x:c r="H88" s="229" t="n">
        <x:v>0.11452874433438698</x:v>
      </x:c>
      <x:c r="I88" s="229" t="n">
        <x:v>0.2992</x:v>
      </x:c>
      <x:c r="J88" s="229" t="n">
        <x:v>0.0768</x:v>
      </x:c>
      <x:c r="K88" s="229" t="n">
        <x:v>0.94892</x:v>
      </x:c>
      <x:c r="L88" s="229"/>
      <x:c r="M88" s="226" t="n">
        <x:f>F88/D88</x:f>
        <x:v>78.33766112762237</x:v>
      </x:c>
      <x:c r="N88" s="187"/>
    </x:row>
    <x:row r="89">
      <x:c r="A89" s="187" t="str">
        <x:v>SCENARIO_GROWTH</x:v>
      </x:c>
      <x:c r="B89" s="217" t="n">
        <x:v>46266</x:v>
      </x:c>
      <x:c r="C89" s="187" t="str">
        <x:v>DE</x:v>
      </x:c>
      <x:c r="D89" s="232" t="n">
        <x:v>6192</x:v>
      </x:c>
      <x:c r="E89" s="232" t="n">
        <x:v>6507.1728</x:v>
      </x:c>
      <x:c r="F89" s="232" t="n">
        <x:v>204445.014</x:v>
      </x:c>
      <x:c r="G89" s="232" t="n">
        <x:v>4070373.12</x:v>
      </x:c>
      <x:c r="H89" s="229" t="n">
        <x:v>0.05022758552053554</x:v>
      </x:c>
      <x:c r="I89" s="229" t="n">
        <x:v>0</x:v>
      </x:c>
      <x:c r="J89" s="229" t="n">
        <x:v>0</x:v>
      </x:c>
      <x:c r="K89" s="229" t="n">
        <x:v>0.9693568369968598</x:v>
      </x:c>
      <x:c r="L89" s="229"/>
      <x:c r="M89" s="226" t="n">
        <x:f>F89/D89</x:f>
        <x:v>33.01760562015504</x:v>
      </x:c>
      <x:c r="N89" s="187"/>
    </x:row>
    <x:row r="90">
      <x:c r="A90" s="187" t="str">
        <x:v>SCENARIO_GROWTH</x:v>
      </x:c>
      <x:c r="B90" s="217" t="n">
        <x:v>46266</x:v>
      </x:c>
      <x:c r="C90" s="187" t="str">
        <x:v>FR</x:v>
      </x:c>
      <x:c r="D90" s="232" t="n">
        <x:v>5160</x:v>
      </x:c>
      <x:c r="E90" s="232" t="n">
        <x:v>5469.6</x:v>
      </x:c>
      <x:c r="F90" s="232" t="n">
        <x:v>162457.7703</x:v>
      </x:c>
      <x:c r="G90" s="232" t="n">
        <x:v>3555446.4</x:v>
      </x:c>
      <x:c r="H90" s="229" t="n">
        <x:v>0.045692650667689655</x:v>
      </x:c>
      <x:c r="I90" s="229" t="n">
        <x:v>0</x:v>
      </x:c>
      <x:c r="J90" s="229" t="n">
        <x:v>0</x:v>
      </x:c>
      <x:c r="K90" s="229" t="n">
        <x:v>0.9688</x:v>
      </x:c>
      <x:c r="L90" s="229"/>
      <x:c r="M90" s="226" t="n">
        <x:f>F90/D90</x:f>
        <x:v>31.484064011627908</x:v>
      </x:c>
      <x:c r="N90" s="187"/>
    </x:row>
    <x:row r="91">
      <x:c r="A91" s="187" t="str">
        <x:v>SCENARIO_GROWTH</x:v>
      </x:c>
      <x:c r="B91" s="217" t="n">
        <x:v>46266</x:v>
      </x:c>
      <x:c r="C91" s="187" t="str">
        <x:v>GB</x:v>
      </x:c>
      <x:c r="D91" s="232" t="n">
        <x:v>6432.8</x:v>
      </x:c>
      <x:c r="E91" s="232" t="n">
        <x:v>7649.88576</x:v>
      </x:c>
      <x:c r="F91" s="232" t="n">
        <x:v>570295.2686</x:v>
      </x:c>
      <x:c r="G91" s="232" t="n">
        <x:v>4473369.12</x:v>
      </x:c>
      <x:c r="H91" s="229" t="n">
        <x:v>0.12748674507414756</x:v>
      </x:c>
      <x:c r="I91" s="229" t="n">
        <x:v>0.5484964682139253</x:v>
      </x:c>
      <x:c r="J91" s="229" t="n">
        <x:v>0.26898082744702323</x:v>
      </x:c>
      <x:c r="K91" s="229" t="n">
        <x:v>0.9610477093844602</x:v>
      </x:c>
      <x:c r="L91" s="229"/>
      <x:c r="M91" s="226" t="n">
        <x:f>F91/D91</x:f>
        <x:v>88.65428252083073</x:v>
      </x:c>
      <x:c r="N91" s="187"/>
    </x:row>
    <x:row r="92">
      <x:c r="A92" s="187" t="str">
        <x:v>SCENARIO_GROWTH</x:v>
      </x:c>
      <x:c r="B92" s="217" t="n">
        <x:v>46296</x:v>
      </x:c>
      <x:c r="C92" s="187" t="str">
        <x:v>DE</x:v>
      </x:c>
      <x:c r="D92" s="232" t="n">
        <x:v>6630</x:v>
      </x:c>
      <x:c r="E92" s="232" t="n">
        <x:v>6967.467</x:v>
      </x:c>
      <x:c r="F92" s="232" t="n">
        <x:v>219554.7501</x:v>
      </x:c>
      <x:c r="G92" s="232" t="n">
        <x:v>4347291</x:v>
      </x:c>
      <x:c r="H92" s="229" t="n">
        <x:v>0.05050380802083728</x:v>
      </x:c>
      <x:c r="I92" s="229" t="n">
        <x:v>0</x:v>
      </x:c>
      <x:c r="J92" s="229" t="n">
        <x:v>0</x:v>
      </x:c>
      <x:c r="K92" s="229" t="n">
        <x:v>0.9693568369968598</x:v>
      </x:c>
      <x:c r="L92" s="229"/>
      <x:c r="M92" s="226" t="n">
        <x:f>F92/D92</x:f>
        <x:v>33.11534692307692</x:v>
      </x:c>
      <x:c r="N92" s="187"/>
    </x:row>
    <x:row r="93">
      <x:c r="A93" s="187" t="str">
        <x:v>SCENARIO_GROWTH</x:v>
      </x:c>
      <x:c r="B93" s="217" t="n">
        <x:v>46296</x:v>
      </x:c>
      <x:c r="C93" s="187" t="str">
        <x:v>FR</x:v>
      </x:c>
      <x:c r="D93" s="232" t="n">
        <x:v>5850</x:v>
      </x:c>
      <x:c r="E93" s="232" t="n">
        <x:v>6201</x:v>
      </x:c>
      <x:c r="F93" s="232" t="n">
        <x:v>184755.2756</x:v>
      </x:c>
      <x:c r="G93" s="232" t="n">
        <x:v>4020705</x:v>
      </x:c>
      <x:c r="H93" s="229" t="n">
        <x:v>0.04595096520695276</x:v>
      </x:c>
      <x:c r="I93" s="229" t="n">
        <x:v>0</x:v>
      </x:c>
      <x:c r="J93" s="229" t="n">
        <x:v>0</x:v>
      </x:c>
      <x:c r="K93" s="229" t="n">
        <x:v>0.9688</x:v>
      </x:c>
      <x:c r="L93" s="229"/>
      <x:c r="M93" s="226" t="n">
        <x:f>F93/D93</x:f>
        <x:v>31.582098393162394</x:v>
      </x:c>
      <x:c r="N93" s="187"/>
    </x:row>
    <x:row r="94">
      <x:c r="A94" s="187" t="str">
        <x:v>SCENARIO_GROWTH</x:v>
      </x:c>
      <x:c r="B94" s="217" t="n">
        <x:v>46296</x:v>
      </x:c>
      <x:c r="C94" s="187" t="str">
        <x:v>GB</x:v>
      </x:c>
      <x:c r="D94" s="232" t="n">
        <x:v>7722</x:v>
      </x:c>
      <x:c r="E94" s="232" t="n">
        <x:v>9034.74</x:v>
      </x:c>
      <x:c r="F94" s="232" t="n">
        <x:v>652263.0406</x:v>
      </x:c>
      <x:c r="G94" s="232" t="n">
        <x:v>5340535.2</x:v>
      </x:c>
      <x:c r="H94" s="229" t="n">
        <x:v>0.12213439593961418</x:v>
      </x:c>
      <x:c r="I94" s="229" t="n">
        <x:v>0.4624</x:v>
      </x:c>
      <x:c r="J94" s="229" t="n">
        <x:v>0.192</x:v>
      </x:c>
      <x:c r="K94" s="229" t="n">
        <x:v>0.9567536</x:v>
      </x:c>
      <x:c r="L94" s="229"/>
      <x:c r="M94" s="226" t="n">
        <x:f>F94/D94</x:f>
        <x:v>84.46814822584822</x:v>
      </x:c>
      <x:c r="N94" s="187"/>
    </x:row>
    <x:row r="95">
      <x:c r="A95" s="187" t="str">
        <x:v>SCENARIO_GROWTH</x:v>
      </x:c>
      <x:c r="B95" s="217" t="n">
        <x:v>46327</x:v>
      </x:c>
      <x:c r="C95" s="187" t="str">
        <x:v>DE</x:v>
      </x:c>
      <x:c r="D95" s="232" t="n">
        <x:v>7936</x:v>
      </x:c>
      <x:c r="E95" s="232" t="n">
        <x:v>8339.9424</x:v>
      </x:c>
      <x:c r="F95" s="232" t="n">
        <x:v>262138.0681</x:v>
      </x:c>
      <x:c r="G95" s="232" t="n">
        <x:v>5190461.44</x:v>
      </x:c>
      <x:c r="H95" s="229" t="n">
        <x:v>0.05050380802083728</x:v>
      </x:c>
      <x:c r="I95" s="229" t="n">
        <x:v>0</x:v>
      </x:c>
      <x:c r="J95" s="229" t="n">
        <x:v>0</x:v>
      </x:c>
      <x:c r="K95" s="229" t="n">
        <x:v>0.9693568369968598</x:v>
      </x:c>
      <x:c r="L95" s="229"/>
      <x:c r="M95" s="226" t="n">
        <x:f>F95/D95</x:f>
        <x:v>33.03151059727823</x:v>
      </x:c>
      <x:c r="N95" s="187"/>
    </x:row>
    <x:row r="96">
      <x:c r="A96" s="187" t="str">
        <x:v>SCENARIO_GROWTH</x:v>
      </x:c>
      <x:c r="B96" s="217" t="n">
        <x:v>46327</x:v>
      </x:c>
      <x:c r="C96" s="187" t="str">
        <x:v>FR</x:v>
      </x:c>
      <x:c r="D96" s="232" t="n">
        <x:v>7192</x:v>
      </x:c>
      <x:c r="E96" s="232" t="n">
        <x:v>7623.52</x:v>
      </x:c>
      <x:c r="F96" s="232" t="n">
        <x:v>226563.4175</x:v>
      </x:c>
      <x:c r="G96" s="232" t="n">
        <x:v>4930547.52</x:v>
      </x:c>
      <x:c r="H96" s="229" t="n">
        <x:v>0.04595096520695276</x:v>
      </x:c>
      <x:c r="I96" s="229" t="n">
        <x:v>0</x:v>
      </x:c>
      <x:c r="J96" s="229" t="n">
        <x:v>0</x:v>
      </x:c>
      <x:c r="K96" s="229" t="n">
        <x:v>0.9688</x:v>
      </x:c>
      <x:c r="L96" s="229"/>
      <x:c r="M96" s="226" t="n">
        <x:f>F96/D96</x:f>
        <x:v>31.502143701334816</x:v>
      </x:c>
      <x:c r="N96" s="187"/>
    </x:row>
    <x:row r="97">
      <x:c r="A97" s="187" t="str">
        <x:v>SCENARIO_GROWTH</x:v>
      </x:c>
      <x:c r="B97" s="217" t="n">
        <x:v>46327</x:v>
      </x:c>
      <x:c r="C97" s="187" t="str">
        <x:v>GB</x:v>
      </x:c>
      <x:c r="D97" s="232" t="n">
        <x:v>10639.2</x:v>
      </x:c>
      <x:c r="E97" s="232" t="n">
        <x:v>12447.864</x:v>
      </x:c>
      <x:c r="F97" s="232" t="n">
        <x:v>863652.7823</x:v>
      </x:c>
      <x:c r="G97" s="232" t="n">
        <x:v>7317641.76</x:v>
      </x:c>
      <x:c r="H97" s="229" t="n">
        <x:v>0.11802337565088677</x:v>
      </x:c>
      <x:c r="I97" s="229" t="n">
        <x:v>0.376</x:v>
      </x:c>
      <x:c r="J97" s="229" t="n">
        <x:v>0.1248</x:v>
      </x:c>
      <x:c r="K97" s="229" t="n">
        <x:v>0.9525872</x:v>
      </x:c>
      <x:c r="L97" s="229"/>
      <x:c r="M97" s="226" t="n">
        <x:f>F97/D97</x:f>
        <x:v>81.17647777088501</x:v>
      </x:c>
      <x:c r="N97" s="187"/>
    </x:row>
    <x:row r="98">
      <x:c r="A98" s="187" t="str">
        <x:v>SCENARIO_GROWTH</x:v>
      </x:c>
      <x:c r="B98" s="217" t="n">
        <x:v>46357</x:v>
      </x:c>
      <x:c r="C98" s="187" t="str">
        <x:v>DE</x:v>
      </x:c>
      <x:c r="D98" s="232" t="n">
        <x:v>9152</x:v>
      </x:c>
      <x:c r="E98" s="232" t="n">
        <x:v>9617.8368</x:v>
      </x:c>
      <x:c r="F98" s="232" t="n">
        <x:v>301537.115</x:v>
      </x:c>
      <x:c r="G98" s="232" t="n">
        <x:v>5970581.76</x:v>
      </x:c>
      <x:c r="H98" s="229" t="n">
        <x:v>0.05050380802083728</x:v>
      </x:c>
      <x:c r="I98" s="229" t="n">
        <x:v>0</x:v>
      </x:c>
      <x:c r="J98" s="229" t="n">
        <x:v>0</x:v>
      </x:c>
      <x:c r="K98" s="229" t="n">
        <x:v>0.9693568369968598</x:v>
      </x:c>
      <x:c r="L98" s="229"/>
      <x:c r="M98" s="226" t="n">
        <x:f>F98/D98</x:f>
        <x:v>32.94767427884615</x:v>
      </x:c>
      <x:c r="N98" s="187"/>
    </x:row>
    <x:row r="99">
      <x:c r="A99" s="187" t="str">
        <x:v>SCENARIO_GROWTH</x:v>
      </x:c>
      <x:c r="B99" s="217" t="n">
        <x:v>46357</x:v>
      </x:c>
      <x:c r="C99" s="187" t="str">
        <x:v>FR</x:v>
      </x:c>
      <x:c r="D99" s="232" t="n">
        <x:v>8008</x:v>
      </x:c>
      <x:c r="E99" s="232" t="n">
        <x:v>8488.48</x:v>
      </x:c>
      <x:c r="F99" s="232" t="n">
        <x:v>251628.8897</x:v>
      </x:c>
      <x:c r="G99" s="232" t="n">
        <x:v>5476030.56</x:v>
      </x:c>
      <x:c r="H99" s="229" t="n">
        <x:v>0.04595096520695276</x:v>
      </x:c>
      <x:c r="I99" s="229" t="n">
        <x:v>0</x:v>
      </x:c>
      <x:c r="J99" s="229" t="n">
        <x:v>0</x:v>
      </x:c>
      <x:c r="K99" s="229" t="n">
        <x:v>0.9688</x:v>
      </x:c>
      <x:c r="L99" s="229"/>
      <x:c r="M99" s="226" t="n">
        <x:f>F99/D99</x:f>
        <x:v>31.422189023476523</x:v>
      </x:c>
      <x:c r="N99" s="187"/>
    </x:row>
    <x:row r="100">
      <x:c r="A100" s="187" t="str">
        <x:v>SCENARIO_GROWTH</x:v>
      </x:c>
      <x:c r="B100" s="217" t="n">
        <x:v>46357</x:v>
      </x:c>
      <x:c r="C100" s="187" t="str">
        <x:v>GB</x:v>
      </x:c>
      <x:c r="D100" s="232" t="n">
        <x:v>12584</x:v>
      </x:c>
      <x:c r="E100" s="232" t="n">
        <x:v>14723.28</x:v>
      </x:c>
      <x:c r="F100" s="232" t="n">
        <x:v>985801.1276</x:v>
      </x:c>
      <x:c r="G100" s="232" t="n">
        <x:v>8607456</x:v>
      </x:c>
      <x:c r="H100" s="229" t="n">
        <x:v>0.11452874433438698</x:v>
      </x:c>
      <x:c r="I100" s="229" t="n">
        <x:v>0.2992</x:v>
      </x:c>
      <x:c r="J100" s="229" t="n">
        <x:v>0.0768</x:v>
      </x:c>
      <x:c r="K100" s="229" t="n">
        <x:v>0.94892</x:v>
      </x:c>
      <x:c r="L100" s="229"/>
      <x:c r="M100" s="226" t="n">
        <x:f>F100/D100</x:f>
        <x:v>78.3376611252384</x:v>
      </x:c>
      <x:c r="N100" s="187"/>
    </x:row>
    <x:row r="101">
      <x:c r="A101" s="187" t="str">
        <x:v>SCENARIO_COST_SAVING</x:v>
      </x:c>
      <x:c r="B101" s="217" t="n">
        <x:v>46266</x:v>
      </x:c>
      <x:c r="C101" s="187" t="str">
        <x:v>DE</x:v>
      </x:c>
      <x:c r="D101" s="232" t="n">
        <x:v>6192</x:v>
      </x:c>
      <x:c r="E101" s="232" t="n">
        <x:v>6507.1728</x:v>
      </x:c>
      <x:c r="F101" s="232" t="n">
        <x:v>204445.014</x:v>
      </x:c>
      <x:c r="G101" s="232" t="n">
        <x:v>4070373.12</x:v>
      </x:c>
      <x:c r="H101" s="229" t="n">
        <x:v>0.05022758552053554</x:v>
      </x:c>
      <x:c r="I101" s="229" t="n">
        <x:v>0</x:v>
      </x:c>
      <x:c r="J101" s="229" t="n">
        <x:v>0</x:v>
      </x:c>
      <x:c r="K101" s="229" t="n">
        <x:v>0.9693568369968598</x:v>
      </x:c>
      <x:c r="L101" s="229"/>
      <x:c r="M101" s="226" t="n">
        <x:f>F101/D101</x:f>
        <x:v>33.01760562015504</x:v>
      </x:c>
      <x:c r="N101" s="187"/>
    </x:row>
    <x:row r="102">
      <x:c r="A102" s="187" t="str">
        <x:v>SCENARIO_COST_SAVING</x:v>
      </x:c>
      <x:c r="B102" s="217" t="n">
        <x:v>46266</x:v>
      </x:c>
      <x:c r="C102" s="187" t="str">
        <x:v>FR</x:v>
      </x:c>
      <x:c r="D102" s="232" t="n">
        <x:v>5160</x:v>
      </x:c>
      <x:c r="E102" s="232" t="n">
        <x:v>5469.6</x:v>
      </x:c>
      <x:c r="F102" s="232" t="n">
        <x:v>162457.7703</x:v>
      </x:c>
      <x:c r="G102" s="232" t="n">
        <x:v>3555446.4</x:v>
      </x:c>
      <x:c r="H102" s="229" t="n">
        <x:v>0.045692650667689655</x:v>
      </x:c>
      <x:c r="I102" s="229" t="n">
        <x:v>0</x:v>
      </x:c>
      <x:c r="J102" s="229" t="n">
        <x:v>0</x:v>
      </x:c>
      <x:c r="K102" s="229" t="n">
        <x:v>0.9688</x:v>
      </x:c>
      <x:c r="L102" s="229"/>
      <x:c r="M102" s="226" t="n">
        <x:f>F102/D102</x:f>
        <x:v>31.484064011627908</x:v>
      </x:c>
      <x:c r="N102" s="187"/>
    </x:row>
    <x:row r="103">
      <x:c r="A103" s="187" t="str">
        <x:v>SCENARIO_COST_SAVING</x:v>
      </x:c>
      <x:c r="B103" s="217" t="n">
        <x:v>46266</x:v>
      </x:c>
      <x:c r="C103" s="187" t="str">
        <x:v>GB</x:v>
      </x:c>
      <x:c r="D103" s="232" t="n">
        <x:v>5848</x:v>
      </x:c>
      <x:c r="E103" s="232" t="n">
        <x:v>6954.4416</x:v>
      </x:c>
      <x:c r="F103" s="232" t="n">
        <x:v>518450.2442</x:v>
      </x:c>
      <x:c r="G103" s="232" t="n">
        <x:v>4066699.2</x:v>
      </x:c>
      <x:c r="H103" s="229" t="n">
        <x:v>0.12748674507414756</x:v>
      </x:c>
      <x:c r="I103" s="229" t="n">
        <x:v>0.5484964682139253</x:v>
      </x:c>
      <x:c r="J103" s="229" t="n">
        <x:v>0.26898082744702323</x:v>
      </x:c>
      <x:c r="K103" s="229" t="n">
        <x:v>0.9610477093844602</x:v>
      </x:c>
      <x:c r="L103" s="229"/>
      <x:c r="M103" s="226" t="n">
        <x:f>F103/D103</x:f>
        <x:v>88.65428252393981</x:v>
      </x:c>
      <x:c r="N103" s="187"/>
    </x:row>
    <x:row r="104">
      <x:c r="A104" s="187" t="str">
        <x:v>SCENARIO_COST_SAVING</x:v>
      </x:c>
      <x:c r="B104" s="217" t="n">
        <x:v>46296</x:v>
      </x:c>
      <x:c r="C104" s="187" t="str">
        <x:v>DE</x:v>
      </x:c>
      <x:c r="D104" s="232" t="n">
        <x:v>6630</x:v>
      </x:c>
      <x:c r="E104" s="232" t="n">
        <x:v>6967.467</x:v>
      </x:c>
      <x:c r="F104" s="232" t="n">
        <x:v>219554.7501</x:v>
      </x:c>
      <x:c r="G104" s="232" t="n">
        <x:v>4347291</x:v>
      </x:c>
      <x:c r="H104" s="229" t="n">
        <x:v>0.05050380802083728</x:v>
      </x:c>
      <x:c r="I104" s="229" t="n">
        <x:v>0</x:v>
      </x:c>
      <x:c r="J104" s="229" t="n">
        <x:v>0</x:v>
      </x:c>
      <x:c r="K104" s="229" t="n">
        <x:v>0.9693568369968598</x:v>
      </x:c>
      <x:c r="L104" s="229"/>
      <x:c r="M104" s="226" t="n">
        <x:f>F104/D104</x:f>
        <x:v>33.11534692307692</x:v>
      </x:c>
      <x:c r="N104" s="187"/>
    </x:row>
    <x:row r="105">
      <x:c r="A105" s="187" t="str">
        <x:v>SCENARIO_COST_SAVING</x:v>
      </x:c>
      <x:c r="B105" s="217" t="n">
        <x:v>46296</x:v>
      </x:c>
      <x:c r="C105" s="187" t="str">
        <x:v>FR</x:v>
      </x:c>
      <x:c r="D105" s="232" t="n">
        <x:v>5850</x:v>
      </x:c>
      <x:c r="E105" s="232" t="n">
        <x:v>6201</x:v>
      </x:c>
      <x:c r="F105" s="232" t="n">
        <x:v>184755.2756</x:v>
      </x:c>
      <x:c r="G105" s="232" t="n">
        <x:v>4020705</x:v>
      </x:c>
      <x:c r="H105" s="229" t="n">
        <x:v>0.04595096520695276</x:v>
      </x:c>
      <x:c r="I105" s="229" t="n">
        <x:v>0</x:v>
      </x:c>
      <x:c r="J105" s="229" t="n">
        <x:v>0</x:v>
      </x:c>
      <x:c r="K105" s="229" t="n">
        <x:v>0.9688</x:v>
      </x:c>
      <x:c r="L105" s="229"/>
      <x:c r="M105" s="226" t="n">
        <x:f>F105/D105</x:f>
        <x:v>31.582098393162394</x:v>
      </x:c>
      <x:c r="N105" s="187"/>
    </x:row>
    <x:row r="106">
      <x:c r="A106" s="187" t="str">
        <x:v>SCENARIO_COST_SAVING</x:v>
      </x:c>
      <x:c r="B106" s="217" t="n">
        <x:v>46296</x:v>
      </x:c>
      <x:c r="C106" s="187" t="str">
        <x:v>GB</x:v>
      </x:c>
      <x:c r="D106" s="232" t="n">
        <x:v>7020</x:v>
      </x:c>
      <x:c r="E106" s="232" t="n">
        <x:v>8078.616</x:v>
      </x:c>
      <x:c r="F106" s="232" t="n">
        <x:v>559069.0608</x:v>
      </x:c>
      <x:c r="G106" s="232" t="n">
        <x:v>4855032</x:v>
      </x:c>
      <x:c r="H106" s="229" t="n">
        <x:v>0.11515249760622728</x:v>
      </x:c>
      <x:c r="I106" s="229" t="n">
        <x:v>0.34765380604796664</x:v>
      </x:c>
      <x:c r="J106" s="229" t="n">
        <x:v>0.1151199165797706</x:v>
      </x:c>
      <x:c r="K106" s="229" t="n">
        <x:v>0.9513912408759124</x:v>
      </x:c>
      <x:c r="L106" s="229"/>
      <x:c r="M106" s="226" t="n">
        <x:f>F106/D106</x:f>
        <x:v>79.63946735042735</x:v>
      </x:c>
      <x:c r="N106" s="187"/>
    </x:row>
    <x:row r="107">
      <x:c r="A107" s="187" t="str">
        <x:v>SCENARIO_COST_SAVING</x:v>
      </x:c>
      <x:c r="B107" s="217" t="n">
        <x:v>46327</x:v>
      </x:c>
      <x:c r="C107" s="187" t="str">
        <x:v>DE</x:v>
      </x:c>
      <x:c r="D107" s="232" t="n">
        <x:v>7936</x:v>
      </x:c>
      <x:c r="E107" s="232" t="n">
        <x:v>8339.9424</x:v>
      </x:c>
      <x:c r="F107" s="232" t="n">
        <x:v>262138.0681</x:v>
      </x:c>
      <x:c r="G107" s="232" t="n">
        <x:v>5190461.44</x:v>
      </x:c>
      <x:c r="H107" s="229" t="n">
        <x:v>0.05050380802083728</x:v>
      </x:c>
      <x:c r="I107" s="229" t="n">
        <x:v>0</x:v>
      </x:c>
      <x:c r="J107" s="229" t="n">
        <x:v>0</x:v>
      </x:c>
      <x:c r="K107" s="229" t="n">
        <x:v>0.9693568369968598</x:v>
      </x:c>
      <x:c r="L107" s="229"/>
      <x:c r="M107" s="226" t="n">
        <x:f>F107/D107</x:f>
        <x:v>33.03151059727823</x:v>
      </x:c>
      <x:c r="N107" s="187"/>
    </x:row>
    <x:row r="108">
      <x:c r="A108" s="187" t="str">
        <x:v>SCENARIO_COST_SAVING</x:v>
      </x:c>
      <x:c r="B108" s="217" t="n">
        <x:v>46327</x:v>
      </x:c>
      <x:c r="C108" s="187" t="str">
        <x:v>FR</x:v>
      </x:c>
      <x:c r="D108" s="232" t="n">
        <x:v>7192</x:v>
      </x:c>
      <x:c r="E108" s="232" t="n">
        <x:v>7623.52</x:v>
      </x:c>
      <x:c r="F108" s="232" t="n">
        <x:v>226563.4175</x:v>
      </x:c>
      <x:c r="G108" s="232" t="n">
        <x:v>4930547.52</x:v>
      </x:c>
      <x:c r="H108" s="229" t="n">
        <x:v>0.04595096520695276</x:v>
      </x:c>
      <x:c r="I108" s="229" t="n">
        <x:v>0</x:v>
      </x:c>
      <x:c r="J108" s="229" t="n">
        <x:v>0</x:v>
      </x:c>
      <x:c r="K108" s="229" t="n">
        <x:v>0.9688</x:v>
      </x:c>
      <x:c r="L108" s="229"/>
      <x:c r="M108" s="226" t="n">
        <x:f>F108/D108</x:f>
        <x:v>31.502143701334816</x:v>
      </x:c>
      <x:c r="N108" s="187"/>
    </x:row>
    <x:row r="109">
      <x:c r="A109" s="187" t="str">
        <x:v>SCENARIO_COST_SAVING</x:v>
      </x:c>
      <x:c r="B109" s="217" t="n">
        <x:v>46327</x:v>
      </x:c>
      <x:c r="C109" s="187" t="str">
        <x:v>GB</x:v>
      </x:c>
      <x:c r="D109" s="232" t="n">
        <x:v>9672</x:v>
      </x:c>
      <x:c r="E109" s="232" t="n">
        <x:v>10944.8352</x:v>
      </x:c>
      <x:c r="F109" s="232" t="n">
        <x:v>714301.1772</x:v>
      </x:c>
      <x:c r="G109" s="232" t="n">
        <x:v>6652401.6</x:v>
      </x:c>
      <x:c r="H109" s="229" t="n">
        <x:v>0.10737493317115372</x:v>
      </x:c>
      <x:c r="I109" s="229" t="n">
        <x:v>0.20432661717921527</x:v>
      </x:c>
      <x:c r="J109" s="229" t="n">
        <x:v>0.0383457051961824</x:v>
      </x:c>
      <x:c r="K109" s="229" t="n">
        <x:v>0.9447715376458112</x:v>
      </x:c>
      <x:c r="L109" s="229"/>
      <x:c r="M109" s="226" t="n">
        <x:f>F109/D109</x:f>
        <x:v>73.85247903225807</x:v>
      </x:c>
      <x:c r="N109" s="187"/>
    </x:row>
    <x:row r="110">
      <x:c r="A110" s="187" t="str">
        <x:v>SCENARIO_COST_SAVING</x:v>
      </x:c>
      <x:c r="B110" s="217" t="n">
        <x:v>46357</x:v>
      </x:c>
      <x:c r="C110" s="187" t="str">
        <x:v>DE</x:v>
      </x:c>
      <x:c r="D110" s="232" t="n">
        <x:v>9152</x:v>
      </x:c>
      <x:c r="E110" s="232" t="n">
        <x:v>9617.8368</x:v>
      </x:c>
      <x:c r="F110" s="232" t="n">
        <x:v>301537.115</x:v>
      </x:c>
      <x:c r="G110" s="232" t="n">
        <x:v>5970581.76</x:v>
      </x:c>
      <x:c r="H110" s="229" t="n">
        <x:v>0.05050380802083728</x:v>
      </x:c>
      <x:c r="I110" s="229" t="n">
        <x:v>0</x:v>
      </x:c>
      <x:c r="J110" s="229" t="n">
        <x:v>0</x:v>
      </x:c>
      <x:c r="K110" s="229" t="n">
        <x:v>0.9693568369968598</x:v>
      </x:c>
      <x:c r="L110" s="229"/>
      <x:c r="M110" s="226" t="n">
        <x:f>F110/D110</x:f>
        <x:v>32.94767427884615</x:v>
      </x:c>
      <x:c r="N110" s="187"/>
    </x:row>
    <x:row r="111">
      <x:c r="A111" s="187" t="str">
        <x:v>SCENARIO_COST_SAVING</x:v>
      </x:c>
      <x:c r="B111" s="217" t="n">
        <x:v>46357</x:v>
      </x:c>
      <x:c r="C111" s="187" t="str">
        <x:v>FR</x:v>
      </x:c>
      <x:c r="D111" s="232" t="n">
        <x:v>8008</x:v>
      </x:c>
      <x:c r="E111" s="232" t="n">
        <x:v>8488.48</x:v>
      </x:c>
      <x:c r="F111" s="232" t="n">
        <x:v>251628.8897</x:v>
      </x:c>
      <x:c r="G111" s="232" t="n">
        <x:v>5476030.56</x:v>
      </x:c>
      <x:c r="H111" s="229" t="n">
        <x:v>0.04595096520695276</x:v>
      </x:c>
      <x:c r="I111" s="229" t="n">
        <x:v>0</x:v>
      </x:c>
      <x:c r="J111" s="229" t="n">
        <x:v>0</x:v>
      </x:c>
      <x:c r="K111" s="229" t="n">
        <x:v>0.9688</x:v>
      </x:c>
      <x:c r="L111" s="229"/>
      <x:c r="M111" s="226" t="n">
        <x:f>F111/D111</x:f>
        <x:v>31.422189023476523</x:v>
      </x:c>
      <x:c r="N111" s="187"/>
    </x:row>
    <x:row r="112">
      <x:c r="A112" s="187" t="str">
        <x:v>SCENARIO_COST_SAVING</x:v>
      </x:c>
      <x:c r="B112" s="217" t="n">
        <x:v>46357</x:v>
      </x:c>
      <x:c r="C112" s="187" t="str">
        <x:v>GB</x:v>
      </x:c>
      <x:c r="D112" s="232" t="n">
        <x:v>11440</x:v>
      </x:c>
      <x:c r="E112" s="232" t="n">
        <x:v>12945.504</x:v>
      </x:c>
      <x:c r="F112" s="232" t="n">
        <x:v>832563.4742</x:v>
      </x:c>
      <x:c r="G112" s="232" t="n">
        <x:v>7824960</x:v>
      </x:c>
      <x:c r="H112" s="229" t="n">
        <x:v>0.10639843197057618</x:v>
      </x:c>
      <x:c r="I112" s="229" t="n">
        <x:v>0.17556733828207846</x:v>
      </x:c>
      <x:c r="J112" s="229" t="n">
        <x:v>0.0383457051961824</x:v>
      </x:c>
      <x:c r="K112" s="229" t="n">
        <x:v>0.9435061293743372</x:v>
      </x:c>
      <x:c r="L112" s="229"/>
      <x:c r="M112" s="226" t="n">
        <x:f>F112/D112</x:f>
        <x:v>72.77652746503497</x:v>
      </x:c>
      <x:c r="N112" s="187"/>
    </x:row>
    <x:row r="113">
      <x:c r="A113" s="187" t="str">
        <x:v>LATEST_OUTLOOK</x:v>
      </x:c>
      <x:c r="B113" s="217" t="n">
        <x:v>46023</x:v>
      </x:c>
      <x:c r="C113" s="187" t="str">
        <x:v>DE</x:v>
      </x:c>
      <x:c r="D113" s="232" t="n">
        <x:v>5830.85</x:v>
      </x:c>
      <x:c r="E113" s="232" t="n">
        <x:v>6127.640265</x:v>
      </x:c>
      <x:c r="F113" s="232" t="n">
        <x:v>183473.451</x:v>
      </x:c>
      <x:c r="G113" s="232" t="n">
        <x:v>3765213.079</x:v>
      </x:c>
      <x:c r="H113" s="229" t="n">
        <x:v>0.04872857052025733</x:v>
      </x:c>
      <x:c r="I113" s="229" t="n">
        <x:v>0</x:v>
      </x:c>
      <x:c r="J113" s="229" t="n">
        <x:v>0</x:v>
      </x:c>
      <x:c r="K113" s="229" t="n">
        <x:v>0.9703568369968598</x:v>
      </x:c>
      <x:c r="L113" s="229" t="n">
        <x:v>1</x:v>
      </x:c>
      <x:c r="M113" s="226" t="n">
        <x:f>F113/D113</x:f>
        <x:v>31.465987120231183</x:v>
      </x:c>
      <x:c r="N113" s="187"/>
    </x:row>
    <x:row r="114">
      <x:c r="A114" s="187" t="str">
        <x:v>LATEST_OUTLOOK</x:v>
      </x:c>
      <x:c r="B114" s="217" t="n">
        <x:v>46023</x:v>
      </x:c>
      <x:c r="C114" s="187" t="str">
        <x:v>FR</x:v>
      </x:c>
      <x:c r="D114" s="232" t="n">
        <x:v>4418.15</x:v>
      </x:c>
      <x:c r="E114" s="232" t="n">
        <x:v>4683.239</x:v>
      </x:c>
      <x:c r="F114" s="232" t="n">
        <x:v>132624.0686</x:v>
      </x:c>
      <x:c r="G114" s="232" t="n">
        <x:v>2973282.4055</x:v>
      </x:c>
      <x:c r="H114" s="229" t="n">
        <x:v>0.04460527136777305</x:v>
      </x:c>
      <x:c r="I114" s="229" t="n">
        <x:v>0</x:v>
      </x:c>
      <x:c r="J114" s="229" t="n">
        <x:v>0</x:v>
      </x:c>
      <x:c r="K114" s="229" t="n">
        <x:v>0.9698</x:v>
      </x:c>
      <x:c r="L114" s="229" t="n">
        <x:v>1</x:v>
      </x:c>
      <x:c r="M114" s="226" t="n">
        <x:f>F114/D114</x:f>
        <x:v>30.018009483607393</x:v>
      </x:c>
      <x:c r="N114" s="187"/>
    </x:row>
    <x:row r="115">
      <x:c r="A115" s="187" t="str">
        <x:v>LATEST_OUTLOOK</x:v>
      </x:c>
      <x:c r="B115" s="217" t="n">
        <x:v>46023</x:v>
      </x:c>
      <x:c r="C115" s="187" t="str">
        <x:v>GB</x:v>
      </x:c>
      <x:c r="D115" s="232" t="n">
        <x:v>3601</x:v>
      </x:c>
      <x:c r="E115" s="232" t="n">
        <x:v>4037.4412</x:v>
      </x:c>
      <x:c r="F115" s="232" t="n">
        <x:v>242686.6949</x:v>
      </x:c>
      <x:c r="G115" s="232" t="n">
        <x:v>2509356.85</x:v>
      </x:c>
      <x:c r="H115" s="229" t="n">
        <x:v>0.09671270745817101</x:v>
      </x:c>
      <x:c r="I115" s="229" t="n">
        <x:v>0.16569389939350695</x:v>
      </x:c>
      <x:c r="J115" s="229" t="n">
        <x:v>0.03835890117731002</x:v>
      </x:c>
      <x:c r="K115" s="229" t="n">
        <x:v>0.9434993364252586</x:v>
      </x:c>
      <x:c r="L115" s="229" t="n">
        <x:v>1</x:v>
      </x:c>
      <x:c r="M115" s="226" t="n">
        <x:f>F115/D115</x:f>
        <x:v>67.39425018050541</x:v>
      </x:c>
      <x:c r="N115" s="187"/>
    </x:row>
    <x:row r="116">
      <x:c r="A116" s="187" t="str">
        <x:v>LATEST_OUTLOOK</x:v>
      </x:c>
      <x:c r="B116" s="217" t="n">
        <x:v>46054</x:v>
      </x:c>
      <x:c r="C116" s="187" t="str">
        <x:v>DE</x:v>
      </x:c>
      <x:c r="D116" s="232" t="n">
        <x:v>5663.52</x:v>
      </x:c>
      <x:c r="E116" s="232" t="n">
        <x:v>5957.744961168</x:v>
      </x:c>
      <x:c r="F116" s="232" t="n">
        <x:v>178232.8737</x:v>
      </x:c>
      <x:c r="G116" s="232" t="n">
        <x:v>3647759.9616</x:v>
      </x:c>
      <x:c r="H116" s="229" t="n">
        <x:v>0.0488609106951839</x:v>
      </x:c>
      <x:c r="I116" s="229" t="n">
        <x:v>0</x:v>
      </x:c>
      <x:c r="J116" s="229" t="n">
        <x:v>0</x:v>
      </x:c>
      <x:c r="K116" s="229" t="n">
        <x:v>0.9703568369968598</x:v>
      </x:c>
      <x:c r="L116" s="229" t="n">
        <x:v>1</x:v>
      </x:c>
      <x:c r="M116" s="226" t="n">
        <x:f>F116/D116</x:f>
        <x:v>31.470335356809898</x:v>
      </x:c>
      <x:c r="N116" s="187"/>
    </x:row>
    <x:row r="117">
      <x:c r="A117" s="187" t="str">
        <x:v>LATEST_OUTLOOK</x:v>
      </x:c>
      <x:c r="B117" s="217" t="n">
        <x:v>46054</x:v>
      </x:c>
      <x:c r="C117" s="187" t="str">
        <x:v>FR</x:v>
      </x:c>
      <x:c r="D117" s="232" t="n">
        <x:v>4418.64</x:v>
      </x:c>
      <x:c r="E117" s="232" t="n">
        <x:v>4688.4421584</x:v>
      </x:c>
      <x:c r="F117" s="232" t="n">
        <x:v>132655.7804</x:v>
      </x:c>
      <x:c r="G117" s="232" t="n">
        <x:v>2965967.9136</x:v>
      </x:c>
      <x:c r="H117" s="229" t="n">
        <x:v>0.044725966123754395</x:v>
      </x:c>
      <x:c r="I117" s="229" t="n">
        <x:v>0</x:v>
      </x:c>
      <x:c r="J117" s="229" t="n">
        <x:v>0</x:v>
      </x:c>
      <x:c r="K117" s="229" t="n">
        <x:v>0.9698</x:v>
      </x:c>
      <x:c r="L117" s="229" t="n">
        <x:v>1</x:v>
      </x:c>
      <x:c r="M117" s="226" t="n">
        <x:f>F117/D117</x:f>
        <x:v>30.021857494613723</x:v>
      </x:c>
      <x:c r="N117" s="187"/>
    </x:row>
    <x:row r="118">
      <x:c r="A118" s="187" t="str">
        <x:v>LATEST_OUTLOOK</x:v>
      </x:c>
      <x:c r="B118" s="217" t="n">
        <x:v>46054</x:v>
      </x:c>
      <x:c r="C118" s="187" t="str">
        <x:v>GB</x:v>
      </x:c>
      <x:c r="D118" s="232" t="n">
        <x:v>3597.84</x:v>
      </x:c>
      <x:c r="E118" s="232" t="n">
        <x:v>4037.932106208</x:v>
      </x:c>
      <x:c r="F118" s="232" t="n">
        <x:v>242414.0398</x:v>
      </x:c>
      <x:c r="G118" s="232" t="n">
        <x:v>2498843.7936</x:v>
      </x:c>
      <x:c r="H118" s="229" t="n">
        <x:v>0.0970104815829209</x:v>
      </x:c>
      <x:c r="I118" s="229" t="n">
        <x:v>0.16569389939350695</x:v>
      </x:c>
      <x:c r="J118" s="229" t="n">
        <x:v>0.03835890117731002</x:v>
      </x:c>
      <x:c r="K118" s="229" t="n">
        <x:v>0.9434993364252586</x:v>
      </x:c>
      <x:c r="L118" s="229" t="n">
        <x:v>1</x:v>
      </x:c>
      <x:c r="M118" s="226" t="n">
        <x:f>F118/D118</x:f>
        <x:v>67.377659873702</x:v>
      </x:c>
      <x:c r="N118" s="187"/>
    </x:row>
    <x:row r="119">
      <x:c r="A119" s="187" t="str">
        <x:v>LATEST_OUTLOOK</x:v>
      </x:c>
      <x:c r="B119" s="217" t="n">
        <x:v>46082</x:v>
      </x:c>
      <x:c r="C119" s="187" t="str">
        <x:v>DE</x:v>
      </x:c>
      <x:c r="D119" s="232" t="n">
        <x:v>6074.1</x:v>
      </x:c>
      <x:c r="E119" s="232" t="n">
        <x:v>6396.03823338</x:v>
      </x:c>
      <x:c r="F119" s="232" t="n">
        <x:v>193154.2739</x:v>
      </x:c>
      <x:c r="G119" s="232" t="n">
        <x:v>3942455.346</x:v>
      </x:c>
      <x:c r="H119" s="229" t="n">
        <x:v>0.048993395475334656</x:v>
      </x:c>
      <x:c r="I119" s="229" t="n">
        <x:v>0</x:v>
      </x:c>
      <x:c r="J119" s="229" t="n">
        <x:v>0</x:v>
      </x:c>
      <x:c r="K119" s="229" t="n">
        <x:v>0.9703568369968598</x:v>
      </x:c>
      <x:c r="L119" s="229" t="n">
        <x:v>1</x:v>
      </x:c>
      <x:c r="M119" s="226" t="n">
        <x:f>F119/D119</x:f>
        <x:v>31.799653265504354</x:v>
      </x:c>
      <x:c r="N119" s="187"/>
    </x:row>
    <x:row r="120">
      <x:c r="A120" s="187" t="str">
        <x:v>LATEST_OUTLOOK</x:v>
      </x:c>
      <x:c r="B120" s="217" t="n">
        <x:v>46082</x:v>
      </x:c>
      <x:c r="C120" s="187" t="str">
        <x:v>FR</x:v>
      </x:c>
      <x:c r="D120" s="232" t="n">
        <x:v>4880.7</x:v>
      </x:c>
      <x:c r="E120" s="232" t="n">
        <x:v>5183.889084</x:v>
      </x:c>
      <x:c r="F120" s="232" t="n">
        <x:v>148059.5185</x:v>
      </x:c>
      <x:c r="G120" s="232" t="n">
        <x:v>3301451.901</x:v>
      </x:c>
      <x:c r="H120" s="229" t="n">
        <x:v>0.04484678951574941</x:v>
      </x:c>
      <x:c r="I120" s="229" t="n">
        <x:v>0</x:v>
      </x:c>
      <x:c r="J120" s="229" t="n">
        <x:v>0</x:v>
      </x:c>
      <x:c r="K120" s="229" t="n">
        <x:v>0.9698</x:v>
      </x:c>
      <x:c r="L120" s="229" t="n">
        <x:v>1</x:v>
      </x:c>
      <x:c r="M120" s="226" t="n">
        <x:f>F120/D120</x:f>
        <x:v>30.335713832032294</x:v>
      </x:c>
      <x:c r="N120" s="187"/>
    </x:row>
    <x:row r="121">
      <x:c r="A121" s="187" t="str">
        <x:v>LATEST_OUTLOOK</x:v>
      </x:c>
      <x:c r="B121" s="217" t="n">
        <x:v>46082</x:v>
      </x:c>
      <x:c r="C121" s="187" t="str">
        <x:v>GB</x:v>
      </x:c>
      <x:c r="D121" s="232" t="n">
        <x:v>4345.2</x:v>
      </x:c>
      <x:c r="E121" s="232" t="n">
        <x:v>4881.58191648</x:v>
      </x:c>
      <x:c r="F121" s="232" t="n">
        <x:v>295644.8828</x:v>
      </x:c>
      <x:c r="G121" s="232" t="n">
        <x:v>3037990.032</x:v>
      </x:c>
      <x:c r="H121" s="229" t="n">
        <x:v>0.09731594894157891</x:v>
      </x:c>
      <x:c r="I121" s="229" t="n">
        <x:v>0.16569389939350695</x:v>
      </x:c>
      <x:c r="J121" s="229" t="n">
        <x:v>0.03835890117731002</x:v>
      </x:c>
      <x:c r="K121" s="229" t="n">
        <x:v>0.9434993364252586</x:v>
      </x:c>
      <x:c r="L121" s="229" t="n">
        <x:v>1</x:v>
      </x:c>
      <x:c r="M121" s="226" t="n">
        <x:f>F121/D121</x:f>
        <x:v>68.03941885298721</x:v>
      </x:c>
      <x:c r="N121" s="187"/>
    </x:row>
    <x:row r="122">
      <x:c r="A122" s="187" t="str">
        <x:v>LATEST_OUTLOOK</x:v>
      </x:c>
      <x:c r="B122" s="217" t="n">
        <x:v>46113</x:v>
      </x:c>
      <x:c r="C122" s="187" t="str">
        <x:v>DE</x:v>
      </x:c>
      <x:c r="D122" s="232" t="n">
        <x:v>6288.4</x:v>
      </x:c>
      <x:c r="E122" s="232" t="n">
        <x:v>6628.30499868</x:v>
      </x:c>
      <x:c r="F122" s="232" t="n">
        <x:v>201023.087</x:v>
      </x:c>
      <x:c r="G122" s="232" t="n">
        <x:v>4091987.648</x:v>
      </x:c>
      <x:c r="H122" s="229" t="n">
        <x:v>0.04912602488965986</x:v>
      </x:c>
      <x:c r="I122" s="229" t="n">
        <x:v>0</x:v>
      </x:c>
      <x:c r="J122" s="229" t="n">
        <x:v>0</x:v>
      </x:c>
      <x:c r="K122" s="229" t="n">
        <x:v>0.9703568369968598</x:v>
      </x:c>
      <x:c r="L122" s="229" t="n">
        <x:v>1</x:v>
      </x:c>
      <x:c r="M122" s="226" t="n">
        <x:f>F122/D122</x:f>
        <x:v>31.967286909229696</x:v>
      </x:c>
      <x:c r="N122" s="187"/>
    </x:row>
    <x:row r="123">
      <x:c r="A123" s="187" t="str">
        <x:v>LATEST_OUTLOOK</x:v>
      </x:c>
      <x:c r="B123" s="217" t="n">
        <x:v>46113</x:v>
      </x:c>
      <x:c r="C123" s="187" t="str">
        <x:v>FR</x:v>
      </x:c>
      <x:c r="D123" s="232" t="n">
        <x:v>5071.8</x:v>
      </x:c>
      <x:c r="E123" s="232" t="n">
        <x:v>5392.236324</x:v>
      </x:c>
      <x:c r="F123" s="232" t="n">
        <x:v>154666.1823</x:v>
      </x:c>
      <x:c r="G123" s="232" t="n">
        <x:v>3439491.888</x:v>
      </x:c>
      <x:c r="H123" s="229" t="n">
        <x:v>0.044967741558617824</x:v>
      </x:c>
      <x:c r="I123" s="229" t="n">
        <x:v>0</x:v>
      </x:c>
      <x:c r="J123" s="229" t="n">
        <x:v>0</x:v>
      </x:c>
      <x:c r="K123" s="229" t="n">
        <x:v>0.9698</x:v>
      </x:c>
      <x:c r="L123" s="229" t="n">
        <x:v>1</x:v>
      </x:c>
      <x:c r="M123" s="226" t="n">
        <x:f>F123/D123</x:f>
        <x:v>30.495323612918487</x:v>
      </x:c>
      <x:c r="N123" s="187"/>
    </x:row>
    <x:row r="124">
      <x:c r="A124" s="187" t="str">
        <x:v>LATEST_OUTLOOK</x:v>
      </x:c>
      <x:c r="B124" s="217" t="n">
        <x:v>46113</x:v>
      </x:c>
      <x:c r="C124" s="187" t="str">
        <x:v>GB</x:v>
      </x:c>
      <x:c r="D124" s="232" t="n">
        <x:v>4439.8</x:v>
      </x:c>
      <x:c r="E124" s="232" t="n">
        <x:v>4992.83747128</x:v>
      </x:c>
      <x:c r="F124" s="232" t="n">
        <x:v>303906.5635</x:v>
      </x:c>
      <x:c r="G124" s="232" t="n">
        <x:v>3114386.506</x:v>
      </x:c>
      <x:c r="H124" s="229" t="n">
        <x:v>0.09758151817926956</x:v>
      </x:c>
      <x:c r="I124" s="229" t="n">
        <x:v>0.16569389939350695</x:v>
      </x:c>
      <x:c r="J124" s="229" t="n">
        <x:v>0.03835890117731002</x:v>
      </x:c>
      <x:c r="K124" s="229" t="n">
        <x:v>0.9434993364252586</x:v>
      </x:c>
      <x:c r="L124" s="229" t="n">
        <x:v>1</x:v>
      </x:c>
      <x:c r="M124" s="226" t="n">
        <x:f>F124/D124</x:f>
        <x:v>68.45050756790846</x:v>
      </x:c>
      <x:c r="N124" s="187"/>
    </x:row>
    <x:row r="125">
      <x:c r="A125" s="187" t="str">
        <x:v>LATEST_OUTLOOK</x:v>
      </x:c>
      <x:c r="B125" s="217" t="n">
        <x:v>46143</x:v>
      </x:c>
      <x:c r="C125" s="187" t="str">
        <x:v>DE</x:v>
      </x:c>
      <x:c r="D125" s="232" t="n">
        <x:v>6407.6</x:v>
      </x:c>
      <x:c r="E125" s="232" t="n">
        <x:v>6760.68182736</x:v>
      </x:c>
      <x:c r="F125" s="232" t="n">
        <x:v>206173.1167</x:v>
      </x:c>
      <x:c r="G125" s="232" t="n">
        <x:v>4185508.396</x:v>
      </x:c>
      <x:c r="H125" s="229" t="n">
        <x:v>0.04925879896710975</x:v>
      </x:c>
      <x:c r="I125" s="229" t="n">
        <x:v>0</x:v>
      </x:c>
      <x:c r="J125" s="229" t="n">
        <x:v>0</x:v>
      </x:c>
      <x:c r="K125" s="229" t="n">
        <x:v>0.9703568369968598</x:v>
      </x:c>
      <x:c r="L125" s="229" t="n">
        <x:v>1</x:v>
      </x:c>
      <x:c r="M125" s="226" t="n">
        <x:f>F125/D125</x:f>
        <x:v>32.17634008052937</x:v>
      </x:c>
      <x:c r="N125" s="187"/>
    </x:row>
    <x:row r="126">
      <x:c r="A126" s="187" t="str">
        <x:v>LATEST_OUTLOOK</x:v>
      </x:c>
      <x:c r="B126" s="217" t="n">
        <x:v>46143</x:v>
      </x:c>
      <x:c r="C126" s="187" t="str">
        <x:v>FR</x:v>
      </x:c>
      <x:c r="D126" s="232" t="n">
        <x:v>5295.4</x:v>
      </x:c>
      <x:c r="E126" s="232" t="n">
        <x:v>5635.576496</x:v>
      </x:c>
      <x:c r="F126" s="232" t="n">
        <x:v>162539.3439</x:v>
      </x:c>
      <x:c r="G126" s="232" t="n">
        <x:v>3604870.027</x:v>
      </x:c>
      <x:c r="H126" s="229" t="n">
        <x:v>0.04508882226721934</x:v>
      </x:c>
      <x:c r="I126" s="229" t="n">
        <x:v>0</x:v>
      </x:c>
      <x:c r="J126" s="229" t="n">
        <x:v>0</x:v>
      </x:c>
      <x:c r="K126" s="229" t="n">
        <x:v>0.9698</x:v>
      </x:c>
      <x:c r="L126" s="229" t="n">
        <x:v>1</x:v>
      </x:c>
      <x:c r="M126" s="226" t="n">
        <x:f>F126/D126</x:f>
        <x:v>30.694441194244064</x:v>
      </x:c>
      <x:c r="N126" s="187"/>
    </x:row>
    <x:row r="127">
      <x:c r="A127" s="187" t="str">
        <x:v>LATEST_OUTLOOK</x:v>
      </x:c>
      <x:c r="B127" s="217" t="n">
        <x:v>46143</x:v>
      </x:c>
      <x:c r="C127" s="187" t="str">
        <x:v>GB</x:v>
      </x:c>
      <x:c r="D127" s="232" t="n">
        <x:v>4897</x:v>
      </x:c>
      <x:c r="E127" s="232" t="n">
        <x:v>5512.4784656</x:v>
      </x:c>
      <x:c r="F127" s="232" t="n">
        <x:v>337035.2215</x:v>
      </x:c>
      <x:c r="G127" s="232" t="n">
        <x:v>3442639.97</x:v>
      </x:c>
      <x:c r="H127" s="229" t="n">
        <x:v>0.09790022320819385</x:v>
      </x:c>
      <x:c r="I127" s="229" t="n">
        <x:v>0.16569389939350695</x:v>
      </x:c>
      <x:c r="J127" s="229" t="n">
        <x:v>0.03835890117731002</x:v>
      </x:c>
      <x:c r="K127" s="229" t="n">
        <x:v>0.9434993364252586</x:v>
      </x:c>
      <x:c r="L127" s="229" t="n">
        <x:v>1</x:v>
      </x:c>
      <x:c r="M127" s="226" t="n">
        <x:f>F127/D127</x:f>
        <x:v>68.82483591995098</x:v>
      </x:c>
      <x:c r="N127" s="187"/>
    </x:row>
    <x:row r="128">
      <x:c r="A128" s="187" t="str">
        <x:v>LATEST_OUTLOOK</x:v>
      </x:c>
      <x:c r="B128" s="217" t="n">
        <x:v>46174</x:v>
      </x:c>
      <x:c r="C128" s="187" t="str">
        <x:v>DE</x:v>
      </x:c>
      <x:c r="D128" s="232" t="n">
        <x:v>6570.4</x:v>
      </x:c>
      <x:c r="E128" s="232" t="n">
        <x:v>6939.3575268</x:v>
      </x:c>
      <x:c r="F128" s="232" t="n">
        <x:v>212520.6011</x:v>
      </x:c>
      <x:c r="G128" s="232" t="n">
        <x:v>4302757.848</x:v>
      </x:c>
      <x:c r="H128" s="229" t="n">
        <x:v>0.04939171773663461</x:v>
      </x:c>
      <x:c r="I128" s="229" t="n">
        <x:v>0</x:v>
      </x:c>
      <x:c r="J128" s="229" t="n">
        <x:v>0</x:v>
      </x:c>
      <x:c r="K128" s="229" t="n">
        <x:v>0.9703568369968598</x:v>
      </x:c>
      <x:c r="L128" s="229" t="n">
        <x:v>1</x:v>
      </x:c>
      <x:c r="M128" s="226" t="n">
        <x:f>F128/D128</x:f>
        <x:v>32.34515419152563</x:v>
      </x:c>
      <x:c r="N128" s="187"/>
    </x:row>
    <x:row r="129">
      <x:c r="A129" s="187" t="str">
        <x:v>LATEST_OUTLOOK</x:v>
      </x:c>
      <x:c r="B129" s="217" t="n">
        <x:v>46174</x:v>
      </x:c>
      <x:c r="C129" s="187" t="str">
        <x:v>FR</x:v>
      </x:c>
      <x:c r="D129" s="232" t="n">
        <x:v>5418</x:v>
      </x:c>
      <x:c r="E129" s="232" t="n">
        <x:v>5771.7954</x:v>
      </x:c>
      <x:c r="F129" s="232" t="n">
        <x:v>167173.3027</x:v>
      </x:c>
      <x:c r="G129" s="232" t="n">
        <x:v>3697703.73</x:v>
      </x:c>
      <x:c r="H129" s="229" t="n">
        <x:v>0.04521003165641368</x:v>
      </x:c>
      <x:c r="I129" s="229" t="n">
        <x:v>0</x:v>
      </x:c>
      <x:c r="J129" s="229" t="n">
        <x:v>0</x:v>
      </x:c>
      <x:c r="K129" s="229" t="n">
        <x:v>0.9698</x:v>
      </x:c>
      <x:c r="L129" s="229" t="n">
        <x:v>1</x:v>
      </x:c>
      <x:c r="M129" s="226" t="n">
        <x:f>F129/D129</x:f>
        <x:v>30.8551684569952</x:v>
      </x:c>
      <x:c r="N129" s="187"/>
    </x:row>
    <x:row r="130">
      <x:c r="A130" s="187" t="str">
        <x:v>LATEST_OUTLOOK</x:v>
      </x:c>
      <x:c r="B130" s="217" t="n">
        <x:v>46174</x:v>
      </x:c>
      <x:c r="C130" s="187" t="str">
        <x:v>GB</x:v>
      </x:c>
      <x:c r="D130" s="232" t="n">
        <x:v>5211.6</x:v>
      </x:c>
      <x:c r="E130" s="232" t="n">
        <x:v>5872.4621496</x:v>
      </x:c>
      <x:c r="F130" s="232" t="n">
        <x:v>360845.0109</x:v>
      </x:c>
      <x:c r="G130" s="232" t="n">
        <x:v>3675845.712</x:v>
      </x:c>
      <x:c r="H130" s="229" t="n">
        <x:v>0.09816652797801019</x:v>
      </x:c>
      <x:c r="I130" s="229" t="n">
        <x:v>0.16569389939350695</x:v>
      </x:c>
      <x:c r="J130" s="229" t="n">
        <x:v>0.03835890117731002</x:v>
      </x:c>
      <x:c r="K130" s="229" t="n">
        <x:v>0.9434993364252586</x:v>
      </x:c>
      <x:c r="L130" s="229" t="n">
        <x:v>1</x:v>
      </x:c>
      <x:c r="M130" s="226" t="n">
        <x:f>F130/D130</x:f>
        <x:v>69.23881550771355</x:v>
      </x:c>
      <x:c r="N130" s="187"/>
    </x:row>
    <x:row r="131">
      <x:c r="A131" s="187" t="str">
        <x:v>LATEST_OUTLOOK</x:v>
      </x:c>
      <x:c r="B131" s="217" t="n">
        <x:v>46204</x:v>
      </x:c>
      <x:c r="C131" s="187" t="str">
        <x:v>DE</x:v>
      </x:c>
      <x:c r="D131" s="232" t="n">
        <x:v>6570</x:v>
      </x:c>
      <x:c r="E131" s="232" t="n">
        <x:v>6945.839478</x:v>
      </x:c>
      <x:c r="F131" s="232" t="n">
        <x:v>213620.2953</x:v>
      </x:c>
      <x:c r="G131" s="232" t="n">
        <x:v>4313402.1</x:v>
      </x:c>
      <x:c r="H131" s="229" t="n">
        <x:v>0.049524781227184664</x:v>
      </x:c>
      <x:c r="I131" s="229" t="n">
        <x:v>0</x:v>
      </x:c>
      <x:c r="J131" s="229" t="n">
        <x:v>0</x:v>
      </x:c>
      <x:c r="K131" s="229" t="n">
        <x:v>0.9663568369968598</x:v>
      </x:c>
      <x:c r="L131" s="229" t="n">
        <x:v>0.995</x:v>
      </x:c>
      <x:c r="M131" s="226" t="n">
        <x:f>F131/D131</x:f>
        <x:v>32.51450461187215</x:v>
      </x:c>
      <x:c r="N131" s="187"/>
    </x:row>
    <x:row r="132">
      <x:c r="A132" s="187" t="str">
        <x:v>LATEST_OUTLOOK</x:v>
      </x:c>
      <x:c r="B132" s="217" t="n">
        <x:v>46204</x:v>
      </x:c>
      <x:c r="C132" s="187" t="str">
        <x:v>FR</x:v>
      </x:c>
      <x:c r="D132" s="232" t="n">
        <x:v>5490</x:v>
      </x:c>
      <x:c r="E132" s="232" t="n">
        <x:v>5854.3164</x:v>
      </x:c>
      <x:c r="F132" s="232" t="n">
        <x:v>170280.0533</x:v>
      </x:c>
      <x:c r="G132" s="232" t="n">
        <x:v>3756340.35</x:v>
      </x:c>
      <x:c r="H132" s="229" t="n">
        <x:v>0.045331369741060556</x:v>
      </x:c>
      <x:c r="I132" s="229" t="n">
        <x:v>0</x:v>
      </x:c>
      <x:c r="J132" s="229" t="n">
        <x:v>0</x:v>
      </x:c>
      <x:c r="K132" s="229" t="n">
        <x:v>0.9658</x:v>
      </x:c>
      <x:c r="L132" s="229" t="n">
        <x:v>0.995</x:v>
      </x:c>
      <x:c r="M132" s="226" t="n">
        <x:f>F132/D132</x:f>
        <x:v>31.016403151183972</x:v>
      </x:c>
      <x:c r="N132" s="187"/>
    </x:row>
    <x:row r="133">
      <x:c r="A133" s="187" t="str">
        <x:v>LATEST_OUTLOOK</x:v>
      </x:c>
      <x:c r="B133" s="217" t="n">
        <x:v>46204</x:v>
      </x:c>
      <x:c r="C133" s="187" t="str">
        <x:v>GB</x:v>
      </x:c>
      <x:c r="D133" s="232" t="n">
        <x:v>5940</x:v>
      </x:c>
      <x:c r="E133" s="232" t="n">
        <x:v>6699.887568</x:v>
      </x:c>
      <x:c r="F133" s="232" t="n">
        <x:v>419629.6473</x:v>
      </x:c>
      <x:c r="G133" s="232" t="n">
        <x:v>4198748.4</x:v>
      </x:c>
      <x:c r="H133" s="229" t="n">
        <x:v>0.09994160338109917</x:v>
      </x:c>
      <x:c r="I133" s="229" t="n">
        <x:v>0.20405280057081698</x:v>
      </x:c>
      <x:c r="J133" s="229" t="n">
        <x:v>0.057538351765965036</x:v>
      </x:c>
      <x:c r="K133" s="229" t="n">
        <x:v>0.941647434891188</x:v>
      </x:c>
      <x:c r="L133" s="229" t="n">
        <x:v>0.995</x:v>
      </x:c>
      <x:c r="M133" s="226" t="n">
        <x:f>F133/D133</x:f>
        <x:v>70.64472176767677</x:v>
      </x:c>
      <x:c r="N133" s="187"/>
    </x:row>
    <x:row r="134">
      <x:c r="A134" s="187" t="str">
        <x:v>LATEST_OUTLOOK</x:v>
      </x:c>
      <x:c r="B134" s="217" t="n">
        <x:v>46235</x:v>
      </x:c>
      <x:c r="C134" s="187" t="str">
        <x:v>DE</x:v>
      </x:c>
      <x:c r="D134" s="232" t="n">
        <x:v>6293</x:v>
      </x:c>
      <x:c r="E134" s="232" t="n">
        <x:v>6613.3137</x:v>
      </x:c>
      <x:c r="F134" s="232" t="n">
        <x:v>204641.8625</x:v>
      </x:c>
      <x:c r="G134" s="232" t="n">
        <x:v>4152436.05</x:v>
      </x:c>
      <x:c r="H134" s="229" t="n">
        <x:v>0.049282363420405206</x:v>
      </x:c>
      <x:c r="I134" s="229" t="n">
        <x:v>0</x:v>
      </x:c>
      <x:c r="J134" s="229" t="n">
        <x:v>0</x:v>
      </x:c>
      <x:c r="K134" s="229" t="n">
        <x:v>0.9663568369968598</x:v>
      </x:c>
      <x:c r="L134" s="229" t="n">
        <x:v>0.92</x:v>
      </x:c>
      <x:c r="M134" s="226" t="n">
        <x:f>F134/D134</x:f>
        <x:v>32.5189675035754</x:v>
      </x:c>
      <x:c r="N134" s="187"/>
    </x:row>
    <x:row r="135">
      <x:c r="A135" s="187" t="str">
        <x:v>LATEST_OUTLOOK</x:v>
      </x:c>
      <x:c r="B135" s="217" t="n">
        <x:v>46235</x:v>
      </x:c>
      <x:c r="C135" s="187" t="str">
        <x:v>FR</x:v>
      </x:c>
      <x:c r="D135" s="232" t="n">
        <x:v>5075</x:v>
      </x:c>
      <x:c r="E135" s="232" t="n">
        <x:v>5379.5</x:v>
      </x:c>
      <x:c r="F135" s="232" t="n">
        <x:v>157401.0536</x:v>
      </x:c>
      <x:c r="G135" s="232" t="n">
        <x:v>3489950.625</x:v>
      </x:c>
      <x:c r="H135" s="229" t="n">
        <x:v>0.04510122648361434</x:v>
      </x:c>
      <x:c r="I135" s="229" t="n">
        <x:v>0</x:v>
      </x:c>
      <x:c r="J135" s="229" t="n">
        <x:v>0</x:v>
      </x:c>
      <x:c r="K135" s="229" t="n">
        <x:v>0.9658</x:v>
      </x:c>
      <x:c r="L135" s="229" t="n">
        <x:v>0.92</x:v>
      </x:c>
      <x:c r="M135" s="226" t="n">
        <x:f>F135/D135</x:f>
        <x:v>31.014985931034484</x:v>
      </x:c>
      <x:c r="N135" s="187"/>
    </x:row>
    <x:row r="136">
      <x:c r="A136" s="187" t="str">
        <x:v>LATEST_OUTLOOK</x:v>
      </x:c>
      <x:c r="B136" s="217" t="n">
        <x:v>46235</x:v>
      </x:c>
      <x:c r="C136" s="187" t="str">
        <x:v>GB</x:v>
      </x:c>
      <x:c r="D136" s="232" t="n">
        <x:v>8932</x:v>
      </x:c>
      <x:c r="E136" s="232" t="n">
        <x:v>10886.3216</x:v>
      </x:c>
      <x:c r="F136" s="232" t="n">
        <x:v>878584.0815</x:v>
      </x:c>
      <x:c r="G136" s="232" t="n">
        <x:v>5929418.88</x:v>
      </x:c>
      <x:c r="H136" s="229" t="n">
        <x:v>0.14817372482432858</x:v>
      </x:c>
      <x:c r="I136" s="229" t="n">
        <x:v>0.6601657367902856</x:v>
      </x:c>
      <x:c r="J136" s="229" t="n">
        <x:v>0.3883820150968165</x:v>
      </x:c>
      <x:c r="K136" s="229" t="n">
        <x:v>0.9616208254020348</x:v>
      </x:c>
      <x:c r="L136" s="229" t="n">
        <x:v>0.92</x:v>
      </x:c>
      <x:c r="M136" s="226" t="n">
        <x:f>F136/D136</x:f>
        <x:v>98.36364548813255</x:v>
      </x:c>
      <x:c r="N136" s="187" t="str">
        <x:v>核心异常范围</x:v>
      </x:c>
    </x:row>
    <x:row r="137">
      <x:c r="A137" s="187" t="str">
        <x:v>LATEST_OUTLOOK</x:v>
      </x:c>
      <x:c r="B137" s="217" t="n">
        <x:v>46266</x:v>
      </x:c>
      <x:c r="C137" s="187" t="str">
        <x:v>DE</x:v>
      </x:c>
      <x:c r="D137" s="232" t="n">
        <x:v>6192</x:v>
      </x:c>
      <x:c r="E137" s="232" t="n">
        <x:v>6507.1728</x:v>
      </x:c>
      <x:c r="F137" s="232" t="n">
        <x:v>204445.014</x:v>
      </x:c>
      <x:c r="G137" s="232" t="n">
        <x:v>4070373.12</x:v>
      </x:c>
      <x:c r="H137" s="229" t="n">
        <x:v>0.05022758552053554</x:v>
      </x:c>
      <x:c r="I137" s="229" t="n">
        <x:v>0</x:v>
      </x:c>
      <x:c r="J137" s="229" t="n">
        <x:v>0</x:v>
      </x:c>
      <x:c r="K137" s="229" t="n">
        <x:v>0.9693568369968598</x:v>
      </x:c>
      <x:c r="L137" s="229"/>
      <x:c r="M137" s="226" t="n">
        <x:f>F137/D137</x:f>
        <x:v>33.01760562015504</x:v>
      </x:c>
      <x:c r="N137" s="187"/>
    </x:row>
    <x:row r="138">
      <x:c r="A138" s="187" t="str">
        <x:v>LATEST_OUTLOOK</x:v>
      </x:c>
      <x:c r="B138" s="217" t="n">
        <x:v>46266</x:v>
      </x:c>
      <x:c r="C138" s="187" t="str">
        <x:v>FR</x:v>
      </x:c>
      <x:c r="D138" s="232" t="n">
        <x:v>5160</x:v>
      </x:c>
      <x:c r="E138" s="232" t="n">
        <x:v>5469.6</x:v>
      </x:c>
      <x:c r="F138" s="232" t="n">
        <x:v>162457.7703</x:v>
      </x:c>
      <x:c r="G138" s="232" t="n">
        <x:v>3555446.4</x:v>
      </x:c>
      <x:c r="H138" s="229" t="n">
        <x:v>0.045692650667689655</x:v>
      </x:c>
      <x:c r="I138" s="229" t="n">
        <x:v>0</x:v>
      </x:c>
      <x:c r="J138" s="229" t="n">
        <x:v>0</x:v>
      </x:c>
      <x:c r="K138" s="229" t="n">
        <x:v>0.9688</x:v>
      </x:c>
      <x:c r="L138" s="229"/>
      <x:c r="M138" s="226" t="n">
        <x:f>F138/D138</x:f>
        <x:v>31.484064011627908</x:v>
      </x:c>
      <x:c r="N138" s="187"/>
    </x:row>
    <x:row r="139">
      <x:c r="A139" s="187" t="str">
        <x:v>LATEST_OUTLOOK</x:v>
      </x:c>
      <x:c r="B139" s="217" t="n">
        <x:v>46266</x:v>
      </x:c>
      <x:c r="C139" s="187" t="str">
        <x:v>GB</x:v>
      </x:c>
      <x:c r="D139" s="232" t="n">
        <x:v>5848</x:v>
      </x:c>
      <x:c r="E139" s="232" t="n">
        <x:v>6954.4416</x:v>
      </x:c>
      <x:c r="F139" s="232" t="n">
        <x:v>518450.2442</x:v>
      </x:c>
      <x:c r="G139" s="232" t="n">
        <x:v>4066699.2</x:v>
      </x:c>
      <x:c r="H139" s="229" t="n">
        <x:v>0.12748674507414756</x:v>
      </x:c>
      <x:c r="I139" s="229" t="n">
        <x:v>0.5484964682139253</x:v>
      </x:c>
      <x:c r="J139" s="229" t="n">
        <x:v>0.26898082744702323</x:v>
      </x:c>
      <x:c r="K139" s="229" t="n">
        <x:v>0.9610477093844602</x:v>
      </x:c>
      <x:c r="L139" s="229"/>
      <x:c r="M139" s="226" t="n">
        <x:f>F139/D139</x:f>
        <x:v>88.65428252393981</x:v>
      </x:c>
      <x:c r="N139" s="187"/>
    </x:row>
    <x:row r="140">
      <x:c r="A140" s="187" t="str">
        <x:v>LATEST_OUTLOOK</x:v>
      </x:c>
      <x:c r="B140" s="217" t="n">
        <x:v>46296</x:v>
      </x:c>
      <x:c r="C140" s="187" t="str">
        <x:v>DE</x:v>
      </x:c>
      <x:c r="D140" s="232" t="n">
        <x:v>6630</x:v>
      </x:c>
      <x:c r="E140" s="232" t="n">
        <x:v>6967.467</x:v>
      </x:c>
      <x:c r="F140" s="232" t="n">
        <x:v>219554.7501</x:v>
      </x:c>
      <x:c r="G140" s="232" t="n">
        <x:v>4347291</x:v>
      </x:c>
      <x:c r="H140" s="229" t="n">
        <x:v>0.05050380802083728</x:v>
      </x:c>
      <x:c r="I140" s="229" t="n">
        <x:v>0</x:v>
      </x:c>
      <x:c r="J140" s="229" t="n">
        <x:v>0</x:v>
      </x:c>
      <x:c r="K140" s="229" t="n">
        <x:v>0.9693568369968598</x:v>
      </x:c>
      <x:c r="L140" s="229"/>
      <x:c r="M140" s="226" t="n">
        <x:f>F140/D140</x:f>
        <x:v>33.11534692307692</x:v>
      </x:c>
      <x:c r="N140" s="187"/>
    </x:row>
    <x:row r="141">
      <x:c r="A141" s="187" t="str">
        <x:v>LATEST_OUTLOOK</x:v>
      </x:c>
      <x:c r="B141" s="217" t="n">
        <x:v>46296</x:v>
      </x:c>
      <x:c r="C141" s="187" t="str">
        <x:v>FR</x:v>
      </x:c>
      <x:c r="D141" s="232" t="n">
        <x:v>5850</x:v>
      </x:c>
      <x:c r="E141" s="232" t="n">
        <x:v>6201</x:v>
      </x:c>
      <x:c r="F141" s="232" t="n">
        <x:v>184755.2756</x:v>
      </x:c>
      <x:c r="G141" s="232" t="n">
        <x:v>4020705</x:v>
      </x:c>
      <x:c r="H141" s="229" t="n">
        <x:v>0.04595096520695276</x:v>
      </x:c>
      <x:c r="I141" s="229" t="n">
        <x:v>0</x:v>
      </x:c>
      <x:c r="J141" s="229" t="n">
        <x:v>0</x:v>
      </x:c>
      <x:c r="K141" s="229" t="n">
        <x:v>0.9688</x:v>
      </x:c>
      <x:c r="L141" s="229"/>
      <x:c r="M141" s="226" t="n">
        <x:f>F141/D141</x:f>
        <x:v>31.582098393162394</x:v>
      </x:c>
      <x:c r="N141" s="187"/>
    </x:row>
    <x:row r="142">
      <x:c r="A142" s="187" t="str">
        <x:v>LATEST_OUTLOOK</x:v>
      </x:c>
      <x:c r="B142" s="217" t="n">
        <x:v>46296</x:v>
      </x:c>
      <x:c r="C142" s="187" t="str">
        <x:v>GB</x:v>
      </x:c>
      <x:c r="D142" s="232" t="n">
        <x:v>7020</x:v>
      </x:c>
      <x:c r="E142" s="232" t="n">
        <x:v>8213.4</x:v>
      </x:c>
      <x:c r="F142" s="232" t="n">
        <x:v>592966.4006</x:v>
      </x:c>
      <x:c r="G142" s="232" t="n">
        <x:v>4855032</x:v>
      </x:c>
      <x:c r="H142" s="229" t="n">
        <x:v>0.12213439593961418</x:v>
      </x:c>
      <x:c r="I142" s="229" t="n">
        <x:v>0.4624</x:v>
      </x:c>
      <x:c r="J142" s="229" t="n">
        <x:v>0.192</x:v>
      </x:c>
      <x:c r="K142" s="229" t="n">
        <x:v>0.9567536</x:v>
      </x:c>
      <x:c r="L142" s="229"/>
      <x:c r="M142" s="226" t="n">
        <x:f>F142/D142</x:f>
        <x:v>84.46814823361824</x:v>
      </x:c>
      <x:c r="N142" s="187"/>
    </x:row>
    <x:row r="143">
      <x:c r="A143" s="187" t="str">
        <x:v>LATEST_OUTLOOK</x:v>
      </x:c>
      <x:c r="B143" s="217" t="n">
        <x:v>46327</x:v>
      </x:c>
      <x:c r="C143" s="187" t="str">
        <x:v>DE</x:v>
      </x:c>
      <x:c r="D143" s="232" t="n">
        <x:v>7936</x:v>
      </x:c>
      <x:c r="E143" s="232" t="n">
        <x:v>8339.9424</x:v>
      </x:c>
      <x:c r="F143" s="232" t="n">
        <x:v>262138.0681</x:v>
      </x:c>
      <x:c r="G143" s="232" t="n">
        <x:v>5190461.44</x:v>
      </x:c>
      <x:c r="H143" s="229" t="n">
        <x:v>0.05050380802083728</x:v>
      </x:c>
      <x:c r="I143" s="229" t="n">
        <x:v>0</x:v>
      </x:c>
      <x:c r="J143" s="229" t="n">
        <x:v>0</x:v>
      </x:c>
      <x:c r="K143" s="229" t="n">
        <x:v>0.9693568369968598</x:v>
      </x:c>
      <x:c r="L143" s="229"/>
      <x:c r="M143" s="226" t="n">
        <x:f>F143/D143</x:f>
        <x:v>33.03151059727823</x:v>
      </x:c>
      <x:c r="N143" s="187"/>
    </x:row>
    <x:row r="144">
      <x:c r="A144" s="187" t="str">
        <x:v>LATEST_OUTLOOK</x:v>
      </x:c>
      <x:c r="B144" s="217" t="n">
        <x:v>46327</x:v>
      </x:c>
      <x:c r="C144" s="187" t="str">
        <x:v>FR</x:v>
      </x:c>
      <x:c r="D144" s="232" t="n">
        <x:v>7192</x:v>
      </x:c>
      <x:c r="E144" s="232" t="n">
        <x:v>7623.52</x:v>
      </x:c>
      <x:c r="F144" s="232" t="n">
        <x:v>226563.4175</x:v>
      </x:c>
      <x:c r="G144" s="232" t="n">
        <x:v>4930547.52</x:v>
      </x:c>
      <x:c r="H144" s="229" t="n">
        <x:v>0.04595096520695276</x:v>
      </x:c>
      <x:c r="I144" s="229" t="n">
        <x:v>0</x:v>
      </x:c>
      <x:c r="J144" s="229" t="n">
        <x:v>0</x:v>
      </x:c>
      <x:c r="K144" s="229" t="n">
        <x:v>0.9688</x:v>
      </x:c>
      <x:c r="L144" s="229"/>
      <x:c r="M144" s="226" t="n">
        <x:f>F144/D144</x:f>
        <x:v>31.502143701334816</x:v>
      </x:c>
      <x:c r="N144" s="187"/>
    </x:row>
    <x:row r="145">
      <x:c r="A145" s="187" t="str">
        <x:v>LATEST_OUTLOOK</x:v>
      </x:c>
      <x:c r="B145" s="217" t="n">
        <x:v>46327</x:v>
      </x:c>
      <x:c r="C145" s="187" t="str">
        <x:v>GB</x:v>
      </x:c>
      <x:c r="D145" s="232" t="n">
        <x:v>9672</x:v>
      </x:c>
      <x:c r="E145" s="232" t="n">
        <x:v>11316.24</x:v>
      </x:c>
      <x:c r="F145" s="232" t="n">
        <x:v>785138.893</x:v>
      </x:c>
      <x:c r="G145" s="232" t="n">
        <x:v>6652401.6</x:v>
      </x:c>
      <x:c r="H145" s="229" t="n">
        <x:v>0.11802337565088677</x:v>
      </x:c>
      <x:c r="I145" s="229" t="n">
        <x:v>0.376</x:v>
      </x:c>
      <x:c r="J145" s="229" t="n">
        <x:v>0.1248</x:v>
      </x:c>
      <x:c r="K145" s="229" t="n">
        <x:v>0.9525872</x:v>
      </x:c>
      <x:c r="L145" s="229"/>
      <x:c r="M145" s="226" t="n">
        <x:f>F145/D145</x:f>
        <x:v>81.17647777088503</x:v>
      </x:c>
      <x:c r="N145" s="187"/>
    </x:row>
    <x:row r="146">
      <x:c r="A146" s="187" t="str">
        <x:v>LATEST_OUTLOOK</x:v>
      </x:c>
      <x:c r="B146" s="217" t="n">
        <x:v>46357</x:v>
      </x:c>
      <x:c r="C146" s="187" t="str">
        <x:v>DE</x:v>
      </x:c>
      <x:c r="D146" s="232" t="n">
        <x:v>9152</x:v>
      </x:c>
      <x:c r="E146" s="232" t="n">
        <x:v>9617.8368</x:v>
      </x:c>
      <x:c r="F146" s="232" t="n">
        <x:v>301537.115</x:v>
      </x:c>
      <x:c r="G146" s="232" t="n">
        <x:v>5970581.76</x:v>
      </x:c>
      <x:c r="H146" s="229" t="n">
        <x:v>0.05050380802083728</x:v>
      </x:c>
      <x:c r="I146" s="229" t="n">
        <x:v>0</x:v>
      </x:c>
      <x:c r="J146" s="229" t="n">
        <x:v>0</x:v>
      </x:c>
      <x:c r="K146" s="229" t="n">
        <x:v>0.9693568369968598</x:v>
      </x:c>
      <x:c r="L146" s="229"/>
      <x:c r="M146" s="226" t="n">
        <x:f>F146/D146</x:f>
        <x:v>32.94767427884615</x:v>
      </x:c>
      <x:c r="N146" s="187"/>
    </x:row>
    <x:row r="147">
      <x:c r="A147" s="187" t="str">
        <x:v>LATEST_OUTLOOK</x:v>
      </x:c>
      <x:c r="B147" s="217" t="n">
        <x:v>46357</x:v>
      </x:c>
      <x:c r="C147" s="187" t="str">
        <x:v>FR</x:v>
      </x:c>
      <x:c r="D147" s="232" t="n">
        <x:v>8008</x:v>
      </x:c>
      <x:c r="E147" s="232" t="n">
        <x:v>8488.48</x:v>
      </x:c>
      <x:c r="F147" s="232" t="n">
        <x:v>251628.8897</x:v>
      </x:c>
      <x:c r="G147" s="232" t="n">
        <x:v>5476030.56</x:v>
      </x:c>
      <x:c r="H147" s="229" t="n">
        <x:v>0.04595096520695276</x:v>
      </x:c>
      <x:c r="I147" s="229" t="n">
        <x:v>0</x:v>
      </x:c>
      <x:c r="J147" s="229" t="n">
        <x:v>0</x:v>
      </x:c>
      <x:c r="K147" s="229" t="n">
        <x:v>0.9688</x:v>
      </x:c>
      <x:c r="L147" s="229"/>
      <x:c r="M147" s="226" t="n">
        <x:f>F147/D147</x:f>
        <x:v>31.422189023476523</x:v>
      </x:c>
      <x:c r="N147" s="187"/>
    </x:row>
    <x:row r="148">
      <x:c r="A148" s="188" t="str">
        <x:v>LATEST_OUTLOOK</x:v>
      </x:c>
      <x:c r="B148" s="218" t="n">
        <x:v>46357</x:v>
      </x:c>
      <x:c r="C148" s="188" t="str">
        <x:v>GB</x:v>
      </x:c>
      <x:c r="D148" s="233" t="n">
        <x:v>11440</x:v>
      </x:c>
      <x:c r="E148" s="233" t="n">
        <x:v>13384.8</x:v>
      </x:c>
      <x:c r="F148" s="233" t="n">
        <x:v>896182.8433</x:v>
      </x:c>
      <x:c r="G148" s="233" t="n">
        <x:v>7824960</x:v>
      </x:c>
      <x:c r="H148" s="230" t="n">
        <x:v>0.11452874433438698</x:v>
      </x:c>
      <x:c r="I148" s="230" t="n">
        <x:v>0.2992</x:v>
      </x:c>
      <x:c r="J148" s="230" t="n">
        <x:v>0.0768</x:v>
      </x:c>
      <x:c r="K148" s="230" t="n">
        <x:v>0.94892</x:v>
      </x:c>
      <x:c r="L148" s="230"/>
      <x:c r="M148" s="227" t="n">
        <x:f>F148/D148</x:f>
        <x:v>78.33766112762237</x:v>
      </x:c>
      <x:c r="N148" s="188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0d6a9bf8412144f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2" customHeight="1">
      <x:c r="A1" s="3" t="str">
        <x:v>五因素归因与 Shapley 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7" t="str">
        <x:v>正式口径为量→结构→效率→价→汇率连环替代；ALL 为公司层，国家行由同一原子归因向上汇总。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0" customHeight="1">
      <x:c r="A4" s="179" t="str">
        <x:v>Comparison</x:v>
      </x:c>
      <x:c r="B4" s="180" t="str">
        <x:v>Month</x:v>
      </x:c>
      <x:c r="C4" s="180" t="str">
        <x:v>Method</x:v>
      </x:c>
      <x:c r="D4" s="180" t="str">
        <x:v>Factor</x:v>
      </x:c>
      <x:c r="E4" s="180" t="str">
        <x:v>Destination</x:v>
      </x:c>
      <x:c r="F4" s="180" t="str">
        <x:v>High Precision CNY (text)</x:v>
      </x:c>
      <x:c r="G4" s="180" t="str">
        <x:v>Report CNY</x:v>
      </x:c>
      <x:c r="H4" s="180" t="str">
        <x:v>Shapley Difference</x:v>
      </x:c>
      <x:c r="I4" s="180" t="str">
        <x:v>Normalized Sensitivity</x:v>
      </x:c>
      <x:c r="J4" s="181" t="str">
        <x:v>Order Sensitive</x:v>
      </x:c>
      <x:c r="K4" s="179" t="str">
        <x:v>Comparison</x:v>
      </x:c>
      <x:c r="L4" s="180" t="str">
        <x:v>Month</x:v>
      </x:c>
      <x:c r="M4" s="180" t="str">
        <x:v>Expected Difference</x:v>
      </x:c>
      <x:c r="N4" s="180" t="str">
        <x:v>Chain Total</x:v>
      </x:c>
      <x:c r="O4" s="180" t="str">
        <x:v>Chain Delta</x:v>
      </x:c>
      <x:c r="P4" s="180" t="str">
        <x:v>Shapley Total</x:v>
      </x:c>
      <x:c r="Q4" s="180" t="str">
        <x:v>Shapley Delta</x:v>
      </x:c>
      <x:c r="R4" s="180" t="str">
        <x:v>Chain Status</x:v>
      </x:c>
      <x:c r="S4" s="181" t="str">
        <x:v>Shapley Status</x:v>
      </x:c>
    </x:row>
    <x:row r="5">
      <x:c r="A5" s="186" t="str">
        <x:v>ACTUAL_VS_BUDGET</x:v>
      </x:c>
      <x:c r="B5" s="216" t="n">
        <x:v>46023</x:v>
      </x:c>
      <x:c r="C5" s="186" t="str">
        <x:v>CHAIN</x:v>
      </x:c>
      <x:c r="D5" s="186" t="str">
        <x:v>EFFICIENCY</x:v>
      </x:c>
      <x:c r="E5" s="186" t="str">
        <x:v>ALL</x:v>
      </x:c>
      <x:c r="F5" s="186" t="str">
        <x:v>90.505101510096000000000000</x:v>
      </x:c>
      <x:c r="G5" s="234" t="n">
        <x:v>90.5051</x:v>
      </x:c>
      <x:c r="H5" s="234" t="n">
        <x:v>0.7593541569538568</x:v>
      </x:c>
      <x:c r="I5" s="228" t="n">
        <x:v>0.00006555836394879685</x:v>
      </x:c>
      <x:c r="J5" s="253" t="b">
        <x:v>0</x:v>
      </x:c>
      <x:c r="K5" s="186" t="str">
        <x:v>ACTUAL_VS_BUDGET</x:v>
      </x:c>
      <x:c r="L5" s="216" t="n">
        <x:v>46023</x:v>
      </x:c>
      <x:c r="M5" s="255" t="n">
        <x:v>-460.76405523800753</x:v>
      </x:c>
      <x:c r="N5" s="255" t="n">
        <x:v>-460.76405523800753</x:v>
      </x:c>
      <x:c r="O5" s="255" t="n">
        <x:v>0</x:v>
      </x:c>
      <x:c r="P5" s="255" t="n">
        <x:v>-460.76405523800753</x:v>
      </x:c>
      <x:c r="Q5" s="255" t="n">
        <x:v>0</x:v>
      </x:c>
      <x:c r="R5" s="186" t="str">
        <x:f>IF(ABS(O5)&lt;0.0001,"PASS","FAIL")</x:f>
        <x:v>PASS</x:v>
      </x:c>
      <x:c r="S5" s="186" t="str">
        <x:f>IF(ABS(Q5)&lt;0.0001,"PASS","FAIL")</x:f>
        <x:v>PASS</x:v>
      </x:c>
    </x:row>
    <x:row r="6">
      <x:c r="A6" s="187" t="str">
        <x:v>ACTUAL_VS_BUDGET</x:v>
      </x:c>
      <x:c r="B6" s="217" t="n">
        <x:v>46023</x:v>
      </x:c>
      <x:c r="C6" s="187" t="str">
        <x:v>CHAIN</x:v>
      </x:c>
      <x:c r="D6" s="187" t="str">
        <x:v>EFFICIENCY</x:v>
      </x:c>
      <x:c r="E6" s="187" t="str">
        <x:v>DE</x:v>
      </x:c>
      <x:c r="F6" s="187" t="str">
        <x:v>32.485012976052000000000000</x:v>
      </x:c>
      <x:c r="G6" s="235" t="n">
        <x:v>32.485</x:v>
      </x:c>
      <x:c r="H6" s="235"/>
      <x:c r="I6" s="229"/>
      <x:c r="J6" s="187"/>
      <x:c r="K6" s="187" t="str">
        <x:v>ACTUAL_VS_BUDGET</x:v>
      </x:c>
      <x:c r="L6" s="217" t="n">
        <x:v>46054</x:v>
      </x:c>
      <x:c r="M6" s="256" t="n">
        <x:v>14030.750324706944</x:v>
      </x:c>
      <x:c r="N6" s="256" t="n">
        <x:v>14030.750324706944</x:v>
      </x:c>
      <x:c r="O6" s="256" t="n">
        <x:v>0</x:v>
      </x:c>
      <x:c r="P6" s="256" t="n">
        <x:v>14030.750324706944</x:v>
      </x:c>
      <x:c r="Q6" s="256" t="n">
        <x:v>0</x:v>
      </x:c>
      <x:c r="R6" s="187" t="str">
        <x:f>IF(ABS(O6)&lt;0.0001,"PASS","FAIL")</x:f>
        <x:v>PASS</x:v>
      </x:c>
      <x:c r="S6" s="187" t="str">
        <x:f>IF(ABS(Q6)&lt;0.0001,"PASS","FAIL")</x:f>
        <x:v>PASS</x:v>
      </x:c>
    </x:row>
    <x:row r="7">
      <x:c r="A7" s="187" t="str">
        <x:v>ACTUAL_VS_BUDGET</x:v>
      </x:c>
      <x:c r="B7" s="217" t="n">
        <x:v>46023</x:v>
      </x:c>
      <x:c r="C7" s="187" t="str">
        <x:v>CHAIN</x:v>
      </x:c>
      <x:c r="D7" s="187" t="str">
        <x:v>EFFICIENCY</x:v>
      </x:c>
      <x:c r="E7" s="187" t="str">
        <x:v>FR</x:v>
      </x:c>
      <x:c r="F7" s="187" t="str">
        <x:v>25.2892096056600000000000</x:v>
      </x:c>
      <x:c r="G7" s="235" t="n">
        <x:v>25.2892</x:v>
      </x:c>
      <x:c r="H7" s="235"/>
      <x:c r="I7" s="229"/>
      <x:c r="J7" s="187"/>
      <x:c r="K7" s="187" t="str">
        <x:v>ACTUAL_VS_BUDGET</x:v>
      </x:c>
      <x:c r="L7" s="217" t="n">
        <x:v>46082</x:v>
      </x:c>
      <x:c r="M7" s="256" t="n">
        <x:v>27261.717223776785</x:v>
      </x:c>
      <x:c r="N7" s="256" t="n">
        <x:v>27261.717223776785</x:v>
      </x:c>
      <x:c r="O7" s="256" t="n">
        <x:v>0</x:v>
      </x:c>
      <x:c r="P7" s="256" t="n">
        <x:v>27261.717223776785</x:v>
      </x:c>
      <x:c r="Q7" s="256" t="n">
        <x:v>0</x:v>
      </x:c>
      <x:c r="R7" s="187" t="str">
        <x:f>IF(ABS(O7)&lt;0.0001,"PASS","FAIL")</x:f>
        <x:v>PASS</x:v>
      </x:c>
      <x:c r="S7" s="187" t="str">
        <x:f>IF(ABS(Q7)&lt;0.0001,"PASS","FAIL")</x:f>
        <x:v>PASS</x:v>
      </x:c>
    </x:row>
    <x:row r="8">
      <x:c r="A8" s="187" t="str">
        <x:v>ACTUAL_VS_BUDGET</x:v>
      </x:c>
      <x:c r="B8" s="217" t="n">
        <x:v>46023</x:v>
      </x:c>
      <x:c r="C8" s="187" t="str">
        <x:v>CHAIN</x:v>
      </x:c>
      <x:c r="D8" s="187" t="str">
        <x:v>EFFICIENCY</x:v>
      </x:c>
      <x:c r="E8" s="187" t="str">
        <x:v>GB</x:v>
      </x:c>
      <x:c r="F8" s="187" t="str">
        <x:v>32.730878928384000000000000</x:v>
      </x:c>
      <x:c r="G8" s="235" t="n">
        <x:v>32.7309</x:v>
      </x:c>
      <x:c r="H8" s="235"/>
      <x:c r="I8" s="229"/>
      <x:c r="J8" s="187"/>
      <x:c r="K8" s="187" t="str">
        <x:v>ACTUAL_VS_BUDGET</x:v>
      </x:c>
      <x:c r="L8" s="217" t="n">
        <x:v>46113</x:v>
      </x:c>
      <x:c r="M8" s="256" t="n">
        <x:v>29678.976181705202</x:v>
      </x:c>
      <x:c r="N8" s="256" t="n">
        <x:v>29678.976181705202</x:v>
      </x:c>
      <x:c r="O8" s="256" t="n">
        <x:v>0</x:v>
      </x:c>
      <x:c r="P8" s="256" t="n">
        <x:v>29678.976181705202</x:v>
      </x:c>
      <x:c r="Q8" s="256" t="n">
        <x:v>0</x:v>
      </x:c>
      <x:c r="R8" s="187" t="str">
        <x:f>IF(ABS(O8)&lt;0.0001,"PASS","FAIL")</x:f>
        <x:v>PASS</x:v>
      </x:c>
      <x:c r="S8" s="187" t="str">
        <x:f>IF(ABS(Q8)&lt;0.0001,"PASS","FAIL")</x:f>
        <x:v>PASS</x:v>
      </x:c>
    </x:row>
    <x:row r="9">
      <x:c r="A9" s="187" t="str">
        <x:v>ACTUAL_VS_BUDGET</x:v>
      </x:c>
      <x:c r="B9" s="217" t="n">
        <x:v>46023</x:v>
      </x:c>
      <x:c r="C9" s="187" t="str">
        <x:v>CHAIN</x:v>
      </x:c>
      <x:c r="D9" s="187" t="str">
        <x:v>FX</x:v>
      </x:c>
      <x:c r="E9" s="187" t="str">
        <x:v>ALL</x:v>
      </x:c>
      <x:c r="F9" s="187" t="str">
        <x:v>80.484203438191218817080000000000</x:v>
      </x:c>
      <x:c r="G9" s="235" t="n">
        <x:v>80.4842</x:v>
      </x:c>
      <x:c r="H9" s="235" t="n">
        <x:v>7.638211327926643</x:v>
      </x:c>
      <x:c r="I9" s="229" t="n">
        <x:v>0.0006594401750071231</x:v>
      </x:c>
      <x:c r="J9" s="254" t="b">
        <x:v>0</x:v>
      </x:c>
      <x:c r="K9" s="187" t="str">
        <x:v>ACTUAL_VS_BUDGET</x:v>
      </x:c>
      <x:c r="L9" s="217" t="n">
        <x:v>46143</x:v>
      </x:c>
      <x:c r="M9" s="256" t="n">
        <x:v>49961.10843913215</x:v>
      </x:c>
      <x:c r="N9" s="256" t="n">
        <x:v>49961.10843913215</x:v>
      </x:c>
      <x:c r="O9" s="256" t="n">
        <x:v>0</x:v>
      </x:c>
      <x:c r="P9" s="256" t="n">
        <x:v>49961.10843913215</x:v>
      </x:c>
      <x:c r="Q9" s="256" t="n">
        <x:v>0</x:v>
      </x:c>
      <x:c r="R9" s="187" t="str">
        <x:f>IF(ABS(O9)&lt;0.0001,"PASS","FAIL")</x:f>
        <x:v>PASS</x:v>
      </x:c>
      <x:c r="S9" s="187" t="str">
        <x:f>IF(ABS(Q9)&lt;0.0001,"PASS","FAIL")</x:f>
        <x:v>PASS</x:v>
      </x:c>
    </x:row>
    <x:row r="10">
      <x:c r="A10" s="187" t="str">
        <x:v>ACTUAL_VS_BUDGET</x:v>
      </x:c>
      <x:c r="B10" s="217" t="n">
        <x:v>46023</x:v>
      </x:c>
      <x:c r="C10" s="187" t="str">
        <x:v>CHAIN</x:v>
      </x:c>
      <x:c r="D10" s="187" t="str">
        <x:v>FX</x:v>
      </x:c>
      <x:c r="E10" s="187" t="str">
        <x:v>DE</x:v>
      </x:c>
      <x:c r="F10" s="187" t="str">
        <x:v>-471.654115793950477197480000000000</x:v>
      </x:c>
      <x:c r="G10" s="235" t="n">
        <x:v>-471.6541</x:v>
      </x:c>
      <x:c r="H10" s="235"/>
      <x:c r="I10" s="229"/>
      <x:c r="J10" s="187"/>
      <x:c r="K10" s="187" t="str">
        <x:v>ACTUAL_VS_BUDGET</x:v>
      </x:c>
      <x:c r="L10" s="217" t="n">
        <x:v>46174</x:v>
      </x:c>
      <x:c r="M10" s="256" t="n">
        <x:v>64259.010663415866</x:v>
      </x:c>
      <x:c r="N10" s="256" t="n">
        <x:v>64259.010663415866</x:v>
      </x:c>
      <x:c r="O10" s="256" t="n">
        <x:v>0</x:v>
      </x:c>
      <x:c r="P10" s="256" t="n">
        <x:v>64259.010663415866</x:v>
      </x:c>
      <x:c r="Q10" s="256" t="n">
        <x:v>0</x:v>
      </x:c>
      <x:c r="R10" s="187" t="str">
        <x:f>IF(ABS(O10)&lt;0.0001,"PASS","FAIL")</x:f>
        <x:v>PASS</x:v>
      </x:c>
      <x:c r="S10" s="187" t="str">
        <x:f>IF(ABS(Q10)&lt;0.0001,"PASS","FAIL")</x:f>
        <x:v>PASS</x:v>
      </x:c>
    </x:row>
    <x:row r="11">
      <x:c r="A11" s="187" t="str">
        <x:v>ACTUAL_VS_BUDGET</x:v>
      </x:c>
      <x:c r="B11" s="217" t="n">
        <x:v>46023</x:v>
      </x:c>
      <x:c r="C11" s="187" t="str">
        <x:v>CHAIN</x:v>
      </x:c>
      <x:c r="D11" s="187" t="str">
        <x:v>FX</x:v>
      </x:c>
      <x:c r="E11" s="187" t="str">
        <x:v>FR</x:v>
      </x:c>
      <x:c r="F11" s="187" t="str">
        <x:v>-340.9359088698008442744000000000</x:v>
      </x:c>
      <x:c r="G11" s="235" t="n">
        <x:v>-340.9359</x:v>
      </x:c>
      <x:c r="H11" s="235"/>
      <x:c r="I11" s="229"/>
      <x:c r="J11" s="187"/>
      <x:c r="K11" s="187" t="str">
        <x:v>ACTUAL_VS_BUDGET</x:v>
      </x:c>
      <x:c r="L11" s="217" t="n">
        <x:v>46204</x:v>
      </x:c>
      <x:c r="M11" s="256" t="n">
        <x:v>100860.07934655045</x:v>
      </x:c>
      <x:c r="N11" s="256" t="n">
        <x:v>100860.07934655045</x:v>
      </x:c>
      <x:c r="O11" s="256" t="n">
        <x:v>0</x:v>
      </x:c>
      <x:c r="P11" s="256" t="n">
        <x:v>100860.07934655045</x:v>
      </x:c>
      <x:c r="Q11" s="256" t="n">
        <x:v>0</x:v>
      </x:c>
      <x:c r="R11" s="187" t="str">
        <x:f>IF(ABS(O11)&lt;0.0001,"PASS","FAIL")</x:f>
        <x:v>PASS</x:v>
      </x:c>
      <x:c r="S11" s="187" t="str">
        <x:f>IF(ABS(Q11)&lt;0.0001,"PASS","FAIL")</x:f>
        <x:v>PASS</x:v>
      </x:c>
    </x:row>
    <x:row r="12">
      <x:c r="A12" s="187" t="str">
        <x:v>ACTUAL_VS_BUDGET</x:v>
      </x:c>
      <x:c r="B12" s="217" t="n">
        <x:v>46023</x:v>
      </x:c>
      <x:c r="C12" s="187" t="str">
        <x:v>CHAIN</x:v>
      </x:c>
      <x:c r="D12" s="187" t="str">
        <x:v>FX</x:v>
      </x:c>
      <x:c r="E12" s="187" t="str">
        <x:v>GB</x:v>
      </x:c>
      <x:c r="F12" s="187" t="str">
        <x:v>893.074228101942540288960000000000</x:v>
      </x:c>
      <x:c r="G12" s="235" t="n">
        <x:v>893.0742</x:v>
      </x:c>
      <x:c r="H12" s="235"/>
      <x:c r="I12" s="229"/>
      <x:c r="J12" s="187"/>
      <x:c r="K12" s="187" t="str">
        <x:v>ACTUAL_VS_BUDGET</x:v>
      </x:c>
      <x:c r="L12" s="217" t="n">
        <x:v>46235</x:v>
      </x:c>
      <x:c r="M12" s="256" t="n">
        <x:v>579290.6054784828</x:v>
      </x:c>
      <x:c r="N12" s="256" t="n">
        <x:v>579290.6054784828</x:v>
      </x:c>
      <x:c r="O12" s="256" t="n">
        <x:v>0</x:v>
      </x:c>
      <x:c r="P12" s="256" t="n">
        <x:v>579290.6054784828</x:v>
      </x:c>
      <x:c r="Q12" s="256" t="n">
        <x:v>0</x:v>
      </x:c>
      <x:c r="R12" s="187" t="str">
        <x:f>IF(ABS(O12)&lt;0.0001,"PASS","FAIL")</x:f>
        <x:v>PASS</x:v>
      </x:c>
      <x:c r="S12" s="187" t="str">
        <x:f>IF(ABS(Q12)&lt;0.0001,"PASS","FAIL")</x:f>
        <x:v>PASS</x:v>
      </x:c>
    </x:row>
    <x:row r="13">
      <x:c r="A13" s="187" t="str">
        <x:v>ACTUAL_VS_BUDGET</x:v>
      </x:c>
      <x:c r="B13" s="217" t="n">
        <x:v>46023</x:v>
      </x:c>
      <x:c r="C13" s="187" t="str">
        <x:v>CHAIN</x:v>
      </x:c>
      <x:c r="D13" s="187" t="str">
        <x:v>MIX</x:v>
      </x:c>
      <x:c r="E13" s="187" t="str">
        <x:v>ALL</x:v>
      </x:c>
      <x:c r="F13" s="187" t="str">
        <x:v>4208.595052119451500000000</x:v>
      </x:c>
      <x:c r="G13" s="235" t="n">
        <x:v>4208.5951</x:v>
      </x:c>
      <x:c r="H13" s="235" t="n">
        <x:v>34.900253036057734</x:v>
      </x:c>
      <x:c r="I13" s="229" t="n">
        <x:v>0.0030130914139211186</x:v>
      </x:c>
      <x:c r="J13" s="254" t="b">
        <x:v>0</x:v>
      </x:c>
      <x:c r="K13" s="187" t="str">
        <x:v>FORECAST_VS_BUDGET</x:v>
      </x:c>
      <x:c r="L13" s="217" t="n">
        <x:v>46266</x:v>
      </x:c>
      <x:c r="M13" s="256" t="n">
        <x:v>218235.36449398042</x:v>
      </x:c>
      <x:c r="N13" s="256" t="n">
        <x:v>218235.36449398042</x:v>
      </x:c>
      <x:c r="O13" s="256" t="n">
        <x:v>0</x:v>
      </x:c>
      <x:c r="P13" s="256" t="n">
        <x:v>218235.36449398042</x:v>
      </x:c>
      <x:c r="Q13" s="256" t="n">
        <x:v>0</x:v>
      </x:c>
      <x:c r="R13" s="187" t="str">
        <x:f>IF(ABS(O13)&lt;0.0001,"PASS","FAIL")</x:f>
        <x:v>PASS</x:v>
      </x:c>
      <x:c r="S13" s="187" t="str">
        <x:f>IF(ABS(Q13)&lt;0.0001,"PASS","FAIL")</x:f>
        <x:v>PASS</x:v>
      </x:c>
    </x:row>
    <x:row r="14">
      <x:c r="A14" s="187" t="str">
        <x:v>ACTUAL_VS_BUDGET</x:v>
      </x:c>
      <x:c r="B14" s="217" t="n">
        <x:v>46023</x:v>
      </x:c>
      <x:c r="C14" s="187" t="str">
        <x:v>CHAIN</x:v>
      </x:c>
      <x:c r="D14" s="187" t="str">
        <x:v>MIX</x:v>
      </x:c>
      <x:c r="E14" s="187" t="str">
        <x:v>DE</x:v>
      </x:c>
      <x:c r="F14" s="187" t="str">
        <x:v>937.690559397138300000000</x:v>
      </x:c>
      <x:c r="G14" s="235" t="n">
        <x:v>937.6906</x:v>
      </x:c>
      <x:c r="H14" s="235"/>
      <x:c r="I14" s="229"/>
      <x:c r="J14" s="187"/>
      <x:c r="K14" s="187" t="str">
        <x:v>FORECAST_VS_BUDGET</x:v>
      </x:c>
      <x:c r="L14" s="217" t="n">
        <x:v>46296</x:v>
      </x:c>
      <x:c r="M14" s="256" t="n">
        <x:v>229288.58988843902</x:v>
      </x:c>
      <x:c r="N14" s="256" t="n">
        <x:v>229288.58988843902</x:v>
      </x:c>
      <x:c r="O14" s="256" t="n">
        <x:v>0</x:v>
      </x:c>
      <x:c r="P14" s="256" t="n">
        <x:v>229288.58988843902</x:v>
      </x:c>
      <x:c r="Q14" s="256" t="n">
        <x:v>0</x:v>
      </x:c>
      <x:c r="R14" s="187" t="str">
        <x:f>IF(ABS(O14)&lt;0.0001,"PASS","FAIL")</x:f>
        <x:v>PASS</x:v>
      </x:c>
      <x:c r="S14" s="187" t="str">
        <x:f>IF(ABS(Q14)&lt;0.0001,"PASS","FAIL")</x:f>
        <x:v>PASS</x:v>
      </x:c>
    </x:row>
    <x:row r="15">
      <x:c r="A15" s="187" t="str">
        <x:v>ACTUAL_VS_BUDGET</x:v>
      </x:c>
      <x:c r="B15" s="217" t="n">
        <x:v>46023</x:v>
      </x:c>
      <x:c r="C15" s="187" t="str">
        <x:v>CHAIN</x:v>
      </x:c>
      <x:c r="D15" s="187" t="str">
        <x:v>MIX</x:v>
      </x:c>
      <x:c r="E15" s="187" t="str">
        <x:v>FR</x:v>
      </x:c>
      <x:c r="F15" s="187" t="str">
        <x:v>-40.9060573238460000000</x:v>
      </x:c>
      <x:c r="G15" s="235" t="n">
        <x:v>-40.9061</x:v>
      </x:c>
      <x:c r="H15" s="235"/>
      <x:c r="I15" s="229"/>
      <x:c r="J15" s="187"/>
      <x:c r="K15" s="187" t="str">
        <x:v>FORECAST_VS_BUDGET</x:v>
      </x:c>
      <x:c r="L15" s="217" t="n">
        <x:v>46327</x:v>
      </x:c>
      <x:c r="M15" s="256" t="n">
        <x:v>311764.76223232405</x:v>
      </x:c>
      <x:c r="N15" s="256" t="n">
        <x:v>311764.76223232405</x:v>
      </x:c>
      <x:c r="O15" s="256" t="n">
        <x:v>0</x:v>
      </x:c>
      <x:c r="P15" s="256" t="n">
        <x:v>311764.76223232405</x:v>
      </x:c>
      <x:c r="Q15" s="256" t="n">
        <x:v>0</x:v>
      </x:c>
      <x:c r="R15" s="187" t="str">
        <x:f>IF(ABS(O15)&lt;0.0001,"PASS","FAIL")</x:f>
        <x:v>PASS</x:v>
      </x:c>
      <x:c r="S15" s="187" t="str">
        <x:f>IF(ABS(Q15)&lt;0.0001,"PASS","FAIL")</x:f>
        <x:v>PASS</x:v>
      </x:c>
    </x:row>
    <x:row r="16">
      <x:c r="A16" s="187" t="str">
        <x:v>ACTUAL_VS_BUDGET</x:v>
      </x:c>
      <x:c r="B16" s="217" t="n">
        <x:v>46023</x:v>
      </x:c>
      <x:c r="C16" s="187" t="str">
        <x:v>CHAIN</x:v>
      </x:c>
      <x:c r="D16" s="187" t="str">
        <x:v>MIX</x:v>
      </x:c>
      <x:c r="E16" s="187" t="str">
        <x:v>GB</x:v>
      </x:c>
      <x:c r="F16" s="187" t="str">
        <x:v>3311.810550046159200000000</x:v>
      </x:c>
      <x:c r="G16" s="235" t="n">
        <x:v>3311.8106</x:v>
      </x:c>
      <x:c r="H16" s="235"/>
      <x:c r="I16" s="229"/>
      <x:c r="J16" s="187"/>
      <x:c r="K16" s="187" t="str">
        <x:v>FORECAST_VS_BUDGET</x:v>
      </x:c>
      <x:c r="L16" s="217" t="n">
        <x:v>46357</x:v>
      </x:c>
      <x:c r="M16" s="256" t="n">
        <x:v>302871.51685121516</x:v>
      </x:c>
      <x:c r="N16" s="256" t="n">
        <x:v>302871.51685121516</x:v>
      </x:c>
      <x:c r="O16" s="256" t="n">
        <x:v>0</x:v>
      </x:c>
      <x:c r="P16" s="256" t="n">
        <x:v>302871.51685121516</x:v>
      </x:c>
      <x:c r="Q16" s="256" t="n">
        <x:v>0</x:v>
      </x:c>
      <x:c r="R16" s="187" t="str">
        <x:f>IF(ABS(O16)&lt;0.0001,"PASS","FAIL")</x:f>
        <x:v>PASS</x:v>
      </x:c>
      <x:c r="S16" s="187" t="str">
        <x:f>IF(ABS(Q16)&lt;0.0001,"PASS","FAIL")</x:f>
        <x:v>PASS</x:v>
      </x:c>
    </x:row>
    <x:row r="17">
      <x:c r="A17" s="187" t="str">
        <x:v>ACTUAL_VS_BUDGET</x:v>
      </x:c>
      <x:c r="B17" s="217" t="n">
        <x:v>46023</x:v>
      </x:c>
      <x:c r="C17" s="187" t="str">
        <x:v>CHAIN</x:v>
      </x:c>
      <x:c r="D17" s="187" t="str">
        <x:v>PRICE</x:v>
      </x:c>
      <x:c r="E17" s="187" t="str">
        <x:v>ALL</x:v>
      </x:c>
      <x:c r="F17" s="187" t="str">
        <x:v>1151.562072604733763246000000000000</x:v>
      </x:c>
      <x:c r="G17" s="235" t="n">
        <x:v>1151.5621</x:v>
      </x:c>
      <x:c r="H17" s="235" t="n">
        <x:v>1.8862902692904215</x:v>
      </x:c>
      <x:c r="I17" s="229" t="n">
        <x:v>0.00016285168502044555</x:v>
      </x:c>
      <x:c r="J17" s="254" t="b">
        <x:v>0</x:v>
      </x:c>
      <x:c r="K17" s="187" t="str">
        <x:v>SCENARIO_COST_SAVING_VS_FORECAST</x:v>
      </x:c>
      <x:c r="L17" s="217" t="n">
        <x:v>46266</x:v>
      </x:c>
      <x:c r="M17" s="256" t="n">
        <x:v>0</x:v>
      </x:c>
      <x:c r="N17" s="256" t="n">
        <x:v>0</x:v>
      </x:c>
      <x:c r="O17" s="256" t="n">
        <x:v>0</x:v>
      </x:c>
      <x:c r="P17" s="256" t="n">
        <x:v>0</x:v>
      </x:c>
      <x:c r="Q17" s="256" t="n">
        <x:v>0</x:v>
      </x:c>
      <x:c r="R17" s="187" t="str">
        <x:f>IF(ABS(O17)&lt;0.0001,"PASS","FAIL")</x:f>
        <x:v>PASS</x:v>
      </x:c>
      <x:c r="S17" s="187" t="str">
        <x:f>IF(ABS(Q17)&lt;0.0001,"PASS","FAIL")</x:f>
        <x:v>PASS</x:v>
      </x:c>
    </x:row>
    <x:row r="18">
      <x:c r="A18" s="187" t="str">
        <x:v>ACTUAL_VS_BUDGET</x:v>
      </x:c>
      <x:c r="B18" s="217" t="n">
        <x:v>46023</x:v>
      </x:c>
      <x:c r="C18" s="187" t="str">
        <x:v>CHAIN</x:v>
      </x:c>
      <x:c r="D18" s="187" t="str">
        <x:v>PRICE</x:v>
      </x:c>
      <x:c r="E18" s="187" t="str">
        <x:v>DE</x:v>
      </x:c>
      <x:c r="F18" s="187" t="str">
        <x:v>376.262906182295807017200000000000</x:v>
      </x:c>
      <x:c r="G18" s="235" t="n">
        <x:v>376.2629</x:v>
      </x:c>
      <x:c r="H18" s="235"/>
      <x:c r="I18" s="229"/>
      <x:c r="J18" s="187"/>
      <x:c r="K18" s="187" t="str">
        <x:v>SCENARIO_COST_SAVING_VS_FORECAST</x:v>
      </x:c>
      <x:c r="L18" s="217" t="n">
        <x:v>46296</x:v>
      </x:c>
      <x:c r="M18" s="256" t="n">
        <x:v>-33897.33982934003</x:v>
      </x:c>
      <x:c r="N18" s="256" t="n">
        <x:v>-33897.33982934003</x:v>
      </x:c>
      <x:c r="O18" s="256" t="n">
        <x:v>0</x:v>
      </x:c>
      <x:c r="P18" s="256" t="n">
        <x:v>-33897.33982934003</x:v>
      </x:c>
      <x:c r="Q18" s="256" t="n">
        <x:v>0</x:v>
      </x:c>
      <x:c r="R18" s="187" t="str">
        <x:f>IF(ABS(O18)&lt;0.0001,"PASS","FAIL")</x:f>
        <x:v>PASS</x:v>
      </x:c>
      <x:c r="S18" s="187" t="str">
        <x:f>IF(ABS(Q18)&lt;0.0001,"PASS","FAIL")</x:f>
        <x:v>PASS</x:v>
      </x:c>
    </x:row>
    <x:row r="19">
      <x:c r="A19" s="187" t="str">
        <x:v>ACTUAL_VS_BUDGET</x:v>
      </x:c>
      <x:c r="B19" s="217" t="n">
        <x:v>46023</x:v>
      </x:c>
      <x:c r="C19" s="187" t="str">
        <x:v>CHAIN</x:v>
      </x:c>
      <x:c r="D19" s="187" t="str">
        <x:v>PRICE</x:v>
      </x:c>
      <x:c r="E19" s="187" t="str">
        <x:v>FR</x:v>
      </x:c>
      <x:c r="F19" s="187" t="str">
        <x:v>269.0905196765152670160000000000</x:v>
      </x:c>
      <x:c r="G19" s="235" t="n">
        <x:v>269.0905</x:v>
      </x:c>
      <x:c r="H19" s="235"/>
      <x:c r="I19" s="229"/>
      <x:c r="J19" s="187"/>
      <x:c r="K19" s="187" t="str">
        <x:v>SCENARIO_COST_SAVING_VS_FORECAST</x:v>
      </x:c>
      <x:c r="L19" s="217" t="n">
        <x:v>46327</x:v>
      </x:c>
      <x:c r="M19" s="256" t="n">
        <x:v>-70837.71578968414</x:v>
      </x:c>
      <x:c r="N19" s="256" t="n">
        <x:v>-70837.71578968414</x:v>
      </x:c>
      <x:c r="O19" s="256" t="n">
        <x:v>0</x:v>
      </x:c>
      <x:c r="P19" s="256" t="n">
        <x:v>-70837.71578968414</x:v>
      </x:c>
      <x:c r="Q19" s="256" t="n">
        <x:v>0</x:v>
      </x:c>
      <x:c r="R19" s="187" t="str">
        <x:f>IF(ABS(O19)&lt;0.0001,"PASS","FAIL")</x:f>
        <x:v>PASS</x:v>
      </x:c>
      <x:c r="S19" s="187" t="str">
        <x:f>IF(ABS(Q19)&lt;0.0001,"PASS","FAIL")</x:f>
        <x:v>PASS</x:v>
      </x:c>
    </x:row>
    <x:row r="20">
      <x:c r="A20" s="187" t="str">
        <x:v>ACTUAL_VS_BUDGET</x:v>
      </x:c>
      <x:c r="B20" s="217" t="n">
        <x:v>46023</x:v>
      </x:c>
      <x:c r="C20" s="187" t="str">
        <x:v>CHAIN</x:v>
      </x:c>
      <x:c r="D20" s="187" t="str">
        <x:v>PRICE</x:v>
      </x:c>
      <x:c r="E20" s="187" t="str">
        <x:v>GB</x:v>
      </x:c>
      <x:c r="F20" s="187" t="str">
        <x:v>506.208646745922689212800000000000</x:v>
      </x:c>
      <x:c r="G20" s="235" t="n">
        <x:v>506.2086</x:v>
      </x:c>
      <x:c r="H20" s="235"/>
      <x:c r="I20" s="229"/>
      <x:c r="J20" s="187"/>
      <x:c r="K20" s="187" t="str">
        <x:v>SCENARIO_COST_SAVING_VS_FORECAST</x:v>
      </x:c>
      <x:c r="L20" s="217" t="n">
        <x:v>46357</x:v>
      </x:c>
      <x:c r="M20" s="256" t="n">
        <x:v>-63619.36903432496</x:v>
      </x:c>
      <x:c r="N20" s="256" t="n">
        <x:v>-63619.36903432496</x:v>
      </x:c>
      <x:c r="O20" s="256" t="n">
        <x:v>0</x:v>
      </x:c>
      <x:c r="P20" s="256" t="n">
        <x:v>-63619.36903432496</x:v>
      </x:c>
      <x:c r="Q20" s="256" t="n">
        <x:v>0</x:v>
      </x:c>
      <x:c r="R20" s="187" t="str">
        <x:f>IF(ABS(O20)&lt;0.0001,"PASS","FAIL")</x:f>
        <x:v>PASS</x:v>
      </x:c>
      <x:c r="S20" s="187" t="str">
        <x:f>IF(ABS(Q20)&lt;0.0001,"PASS","FAIL")</x:f>
        <x:v>PASS</x:v>
      </x:c>
    </x:row>
    <x:row r="21">
      <x:c r="A21" s="187" t="str">
        <x:v>ACTUAL_VS_BUDGET</x:v>
      </x:c>
      <x:c r="B21" s="217" t="n">
        <x:v>46023</x:v>
      </x:c>
      <x:c r="C21" s="187" t="str">
        <x:v>CHAIN</x:v>
      </x:c>
      <x:c r="D21" s="187" t="str">
        <x:v>VOLUME</x:v>
      </x:c>
      <x:c r="E21" s="187" t="str">
        <x:v>ALL</x:v>
      </x:c>
      <x:c r="F21" s="187" t="str">
        <x:v>-5991.91048491048000000</x:v>
      </x:c>
      <x:c r="G21" s="235" t="n">
        <x:v>-5991.9105</x:v>
      </x:c>
      <x:c r="H21" s="235" t="n">
        <x:v>29.90768613437537</x:v>
      </x:c>
      <x:c r="I21" s="229" t="n">
        <x:v>0.0025820612878832377</x:v>
      </x:c>
      <x:c r="J21" s="254" t="b">
        <x:v>0</x:v>
      </x:c>
      <x:c r="K21" s="187" t="str">
        <x:v>SCENARIO_GROWTH_VS_FORECAST</x:v>
      </x:c>
      <x:c r="L21" s="217" t="n">
        <x:v>46266</x:v>
      </x:c>
      <x:c r="M21" s="256" t="n">
        <x:v>51845.024420363974</x:v>
      </x:c>
      <x:c r="N21" s="256" t="n">
        <x:v>51845.024420363974</x:v>
      </x:c>
      <x:c r="O21" s="256" t="n">
        <x:v>0</x:v>
      </x:c>
      <x:c r="P21" s="256" t="n">
        <x:v>51845.024420363974</x:v>
      </x:c>
      <x:c r="Q21" s="256" t="n">
        <x:v>0</x:v>
      </x:c>
      <x:c r="R21" s="187" t="str">
        <x:f>IF(ABS(O21)&lt;0.0001,"PASS","FAIL")</x:f>
        <x:v>PASS</x:v>
      </x:c>
      <x:c r="S21" s="187" t="str">
        <x:f>IF(ABS(Q21)&lt;0.0001,"PASS","FAIL")</x:f>
        <x:v>PASS</x:v>
      </x:c>
    </x:row>
    <x:row r="22">
      <x:c r="A22" s="187" t="str">
        <x:v>ACTUAL_VS_BUDGET</x:v>
      </x:c>
      <x:c r="B22" s="217" t="n">
        <x:v>46023</x:v>
      </x:c>
      <x:c r="C22" s="187" t="str">
        <x:v>CHAIN</x:v>
      </x:c>
      <x:c r="D22" s="187" t="str">
        <x:v>VOLUME</x:v>
      </x:c>
      <x:c r="E22" s="187" t="str">
        <x:v>DE</x:v>
      </x:c>
      <x:c r="F22" s="187" t="str">
        <x:v>-1977.60288824280000000</x:v>
      </x:c>
      <x:c r="G22" s="235" t="n">
        <x:v>-1977.6029</x:v>
      </x:c>
      <x:c r="H22" s="235"/>
      <x:c r="I22" s="229"/>
      <x:c r="J22" s="187"/>
      <x:c r="K22" s="187" t="str">
        <x:v>SCENARIO_GROWTH_VS_FORECAST</x:v>
      </x:c>
      <x:c r="L22" s="217" t="n">
        <x:v>46296</x:v>
      </x:c>
      <x:c r="M22" s="256" t="n">
        <x:v>59296.64005874969</x:v>
      </x:c>
      <x:c r="N22" s="256" t="n">
        <x:v>59296.64005874969</x:v>
      </x:c>
      <x:c r="O22" s="256" t="n">
        <x:v>0</x:v>
      </x:c>
      <x:c r="P22" s="256" t="n">
        <x:v>59296.64005874969</x:v>
      </x:c>
      <x:c r="Q22" s="256" t="n">
        <x:v>0</x:v>
      </x:c>
      <x:c r="R22" s="187" t="str">
        <x:f>IF(ABS(O22)&lt;0.0001,"PASS","FAIL")</x:f>
        <x:v>PASS</x:v>
      </x:c>
      <x:c r="S22" s="187" t="str">
        <x:f>IF(ABS(Q22)&lt;0.0001,"PASS","FAIL")</x:f>
        <x:v>PASS</x:v>
      </x:c>
    </x:row>
    <x:row r="23">
      <x:c r="A23" s="187" t="str">
        <x:v>ACTUAL_VS_BUDGET</x:v>
      </x:c>
      <x:c r="B23" s="217" t="n">
        <x:v>46023</x:v>
      </x:c>
      <x:c r="C23" s="187" t="str">
        <x:v>CHAIN</x:v>
      </x:c>
      <x:c r="D23" s="187" t="str">
        <x:v>VOLUME</x:v>
      </x:c>
      <x:c r="E23" s="187" t="str">
        <x:v>FR</x:v>
      </x:c>
      <x:c r="F23" s="187" t="str">
        <x:v>-1437.308997696000000</x:v>
      </x:c>
      <x:c r="G23" s="235" t="n">
        <x:v>-1437.309</x:v>
      </x:c>
      <x:c r="H23" s="235"/>
      <x:c r="I23" s="229"/>
      <x:c r="J23" s="187"/>
      <x:c r="K23" s="187" t="str">
        <x:v>SCENARIO_GROWTH_VS_FORECAST</x:v>
      </x:c>
      <x:c r="L23" s="217" t="n">
        <x:v>46327</x:v>
      </x:c>
      <x:c r="M23" s="256" t="n">
        <x:v>78513.88930173602</x:v>
      </x:c>
      <x:c r="N23" s="256" t="n">
        <x:v>78513.88930173602</x:v>
      </x:c>
      <x:c r="O23" s="256" t="n">
        <x:v>0</x:v>
      </x:c>
      <x:c r="P23" s="256" t="n">
        <x:v>78513.88930173602</x:v>
      </x:c>
      <x:c r="Q23" s="256" t="n">
        <x:v>0</x:v>
      </x:c>
      <x:c r="R23" s="187" t="str">
        <x:f>IF(ABS(O23)&lt;0.0001,"PASS","FAIL")</x:f>
        <x:v>PASS</x:v>
      </x:c>
      <x:c r="S23" s="187" t="str">
        <x:f>IF(ABS(Q23)&lt;0.0001,"PASS","FAIL")</x:f>
        <x:v>PASS</x:v>
      </x:c>
    </x:row>
    <x:row r="24">
      <x:c r="A24" s="187" t="str">
        <x:v>ACTUAL_VS_BUDGET</x:v>
      </x:c>
      <x:c r="B24" s="217" t="n">
        <x:v>46023</x:v>
      </x:c>
      <x:c r="C24" s="187" t="str">
        <x:v>CHAIN</x:v>
      </x:c>
      <x:c r="D24" s="187" t="str">
        <x:v>VOLUME</x:v>
      </x:c>
      <x:c r="E24" s="187" t="str">
        <x:v>GB</x:v>
      </x:c>
      <x:c r="F24" s="187" t="str">
        <x:v>-2576.99859897168000000</x:v>
      </x:c>
      <x:c r="G24" s="235" t="n">
        <x:v>-2576.9986</x:v>
      </x:c>
      <x:c r="H24" s="235"/>
      <x:c r="I24" s="229"/>
      <x:c r="J24" s="187"/>
      <x:c r="K24" s="188" t="str">
        <x:v>SCENARIO_GROWTH_VS_FORECAST</x:v>
      </x:c>
      <x:c r="L24" s="218" t="n">
        <x:v>46357</x:v>
      </x:c>
      <x:c r="M24" s="257" t="n">
        <x:v>89618.28432668047</x:v>
      </x:c>
      <x:c r="N24" s="257" t="n">
        <x:v>89618.28432668047</x:v>
      </x:c>
      <x:c r="O24" s="257" t="n">
        <x:v>0</x:v>
      </x:c>
      <x:c r="P24" s="257" t="n">
        <x:v>89618.28432668047</x:v>
      </x:c>
      <x:c r="Q24" s="257" t="n">
        <x:v>0</x:v>
      </x:c>
      <x:c r="R24" s="188" t="str">
        <x:f>IF(ABS(O24)&lt;0.0001,"PASS","FAIL")</x:f>
        <x:v>PASS</x:v>
      </x:c>
      <x:c r="S24" s="188" t="str">
        <x:f>IF(ABS(Q24)&lt;0.0001,"PASS","FAIL")</x:f>
        <x:v>PASS</x:v>
      </x:c>
    </x:row>
    <x:row r="25">
      <x:c r="A25" s="187" t="str">
        <x:v>ACTUAL_VS_BUDGET</x:v>
      </x:c>
      <x:c r="B25" s="217" t="n">
        <x:v>46023</x:v>
      </x:c>
      <x:c r="C25" s="187" t="str">
        <x:v>SHAPLEY</x:v>
      </x:c>
      <x:c r="D25" s="187" t="str">
        <x:v>EFFICIENCY</x:v>
      </x:c>
      <x:c r="E25" s="187" t="str">
        <x:v>ALL</x:v>
      </x:c>
      <x:c r="F25" s="187" t="str">
        <x:v>91.264455667049856800000000000000000000000000000000000000000000000000000000000000</x:v>
      </x:c>
      <x:c r="G25" s="235" t="n">
        <x:v>91.2645</x:v>
      </x:c>
      <x:c r="H25" s="235"/>
      <x:c r="I25" s="229"/>
      <x:c r="J25" s="187"/>
    </x:row>
    <x:row r="26">
      <x:c r="A26" s="187" t="str">
        <x:v>ACTUAL_VS_BUDGET</x:v>
      </x:c>
      <x:c r="B26" s="217" t="n">
        <x:v>46023</x:v>
      </x:c>
      <x:c r="C26" s="187" t="str">
        <x:v>SHAPLEY</x:v>
      </x:c>
      <x:c r="D26" s="187" t="str">
        <x:v>EFFICIENCY</x:v>
      </x:c>
      <x:c r="E26" s="187" t="str">
        <x:v>DE</x:v>
      </x:c>
      <x:c r="F26" s="187" t="str">
        <x:v>32.612821391265994480000000000000000000000000000000000000000000000000000000000000</x:v>
      </x:c>
      <x:c r="G26" s="235" t="n">
        <x:v>32.6128</x:v>
      </x:c>
      <x:c r="H26" s="235"/>
      <x:c r="I26" s="229"/>
      <x:c r="J26" s="187"/>
    </x:row>
    <x:row r="27">
      <x:c r="A27" s="187" t="str">
        <x:v>ACTUAL_VS_BUDGET</x:v>
      </x:c>
      <x:c r="B27" s="217" t="n">
        <x:v>46023</x:v>
      </x:c>
      <x:c r="C27" s="187" t="str">
        <x:v>SHAPLEY</x:v>
      </x:c>
      <x:c r="D27" s="187" t="str">
        <x:v>EFFICIENCY</x:v>
      </x:c>
      <x:c r="E27" s="187" t="str">
        <x:v>FR</x:v>
      </x:c>
      <x:c r="F27" s="187" t="str">
        <x:v>25.458869761853284400000000000000000000000000000000000000000000000000000000000000</x:v>
      </x:c>
      <x:c r="G27" s="235" t="n">
        <x:v>25.4589</x:v>
      </x:c>
      <x:c r="H27" s="235"/>
      <x:c r="I27" s="229"/>
      <x:c r="J27" s="187"/>
    </x:row>
    <x:row r="28">
      <x:c r="A28" s="187" t="str">
        <x:v>ACTUAL_VS_BUDGET</x:v>
      </x:c>
      <x:c r="B28" s="217" t="n">
        <x:v>46023</x:v>
      </x:c>
      <x:c r="C28" s="187" t="str">
        <x:v>SHAPLEY</x:v>
      </x:c>
      <x:c r="D28" s="187" t="str">
        <x:v>EFFICIENCY</x:v>
      </x:c>
      <x:c r="E28" s="187" t="str">
        <x:v>GB</x:v>
      </x:c>
      <x:c r="F28" s="187" t="str">
        <x:v>33.192764513930577920000000000000000000000000000000000000000000000000000000000000</x:v>
      </x:c>
      <x:c r="G28" s="235" t="n">
        <x:v>33.1928</x:v>
      </x:c>
      <x:c r="H28" s="235"/>
      <x:c r="I28" s="229"/>
      <x:c r="J28" s="187"/>
    </x:row>
    <x:row r="29">
      <x:c r="A29" s="187" t="str">
        <x:v>ACTUAL_VS_BUDGET</x:v>
      </x:c>
      <x:c r="B29" s="217" t="n">
        <x:v>46023</x:v>
      </x:c>
      <x:c r="C29" s="187" t="str">
        <x:v>SHAPLEY</x:v>
      </x:c>
      <x:c r="D29" s="187" t="str">
        <x:v>FX</x:v>
      </x:c>
      <x:c r="E29" s="187" t="str">
        <x:v>ALL</x:v>
      </x:c>
      <x:c r="F29" s="187" t="str">
        <x:v>72.845992110264575353203333333333333333333333333333333333333333333333333333333320</x:v>
      </x:c>
      <x:c r="G29" s="235" t="n">
        <x:v>72.846</x:v>
      </x:c>
      <x:c r="H29" s="235"/>
      <x:c r="I29" s="229"/>
      <x:c r="J29" s="187"/>
    </x:row>
    <x:row r="30">
      <x:c r="A30" s="187" t="str">
        <x:v>ACTUAL_VS_BUDGET</x:v>
      </x:c>
      <x:c r="B30" s="217" t="n">
        <x:v>46023</x:v>
      </x:c>
      <x:c r="C30" s="187" t="str">
        <x:v>SHAPLEY</x:v>
      </x:c>
      <x:c r="D30" s="187" t="str">
        <x:v>FX</x:v>
      </x:c>
      <x:c r="E30" s="187" t="str">
        <x:v>DE</x:v>
      </x:c>
      <x:c r="F30" s="187" t="str">
        <x:v>-472.46863705501198288830333333333333333333333333333333333333333333333333333333334</x:v>
      </x:c>
      <x:c r="G30" s="235" t="n">
        <x:v>-472.4686</x:v>
      </x:c>
      <x:c r="H30" s="235"/>
      <x:c r="I30" s="229"/>
      <x:c r="J30" s="187"/>
    </x:row>
    <x:row r="31">
      <x:c r="A31" s="187" t="str">
        <x:v>ACTUAL_VS_BUDGET</x:v>
      </x:c>
      <x:c r="B31" s="217" t="n">
        <x:v>46023</x:v>
      </x:c>
      <x:c r="C31" s="187" t="str">
        <x:v>SHAPLEY</x:v>
      </x:c>
      <x:c r="D31" s="187" t="str">
        <x:v>FX</x:v>
      </x:c>
      <x:c r="E31" s="187" t="str">
        <x:v>FR</x:v>
      </x:c>
      <x:c r="F31" s="187" t="str">
        <x:v>-342.45486419716748996993333333333333333333333333333333333333333333333333333333334</x:v>
      </x:c>
      <x:c r="G31" s="235" t="n">
        <x:v>-342.4549</x:v>
      </x:c>
      <x:c r="H31" s="235"/>
      <x:c r="I31" s="229"/>
      <x:c r="J31" s="187"/>
    </x:row>
    <x:row r="32">
      <x:c r="A32" s="187" t="str">
        <x:v>ACTUAL_VS_BUDGET</x:v>
      </x:c>
      <x:c r="B32" s="217" t="n">
        <x:v>46023</x:v>
      </x:c>
      <x:c r="C32" s="187" t="str">
        <x:v>SHAPLEY</x:v>
      </x:c>
      <x:c r="D32" s="187" t="str">
        <x:v>FX</x:v>
      </x:c>
      <x:c r="E32" s="187" t="str">
        <x:v>GB</x:v>
      </x:c>
      <x:c r="F32" s="187" t="str">
        <x:v>887.76949336244404821144000000000000000000000000000000000000000000000000000000000</x:v>
      </x:c>
      <x:c r="G32" s="235" t="n">
        <x:v>887.7695</x:v>
      </x:c>
      <x:c r="H32" s="235"/>
      <x:c r="I32" s="229"/>
      <x:c r="J32" s="187"/>
    </x:row>
    <x:row r="33">
      <x:c r="A33" s="187" t="str">
        <x:v>ACTUAL_VS_BUDGET</x:v>
      </x:c>
      <x:c r="B33" s="217" t="n">
        <x:v>46023</x:v>
      </x:c>
      <x:c r="C33" s="187" t="str">
        <x:v>SHAPLEY</x:v>
      </x:c>
      <x:c r="D33" s="187" t="str">
        <x:v>MIX</x:v>
      </x:c>
      <x:c r="E33" s="187" t="str">
        <x:v>ALL</x:v>
      </x:c>
      <x:c r="F33" s="187" t="str">
        <x:v>4243.4953051555092367098699999999999999999999999999999999999999999999999999999999</x:v>
      </x:c>
      <x:c r="G33" s="235" t="n">
        <x:v>4243.4953</x:v>
      </x:c>
      <x:c r="H33" s="235"/>
      <x:c r="I33" s="229"/>
      <x:c r="J33" s="187"/>
    </x:row>
    <x:row r="34">
      <x:c r="A34" s="187" t="str">
        <x:v>ACTUAL_VS_BUDGET</x:v>
      </x:c>
      <x:c r="B34" s="217" t="n">
        <x:v>46023</x:v>
      </x:c>
      <x:c r="C34" s="187" t="str">
        <x:v>SHAPLEY</x:v>
      </x:c>
      <x:c r="D34" s="187" t="str">
        <x:v>MIX</x:v>
      </x:c>
      <x:c r="E34" s="187" t="str">
        <x:v>DE</x:v>
      </x:c>
      <x:c r="F34" s="187" t="str">
        <x:v>942.57351935371036359209666666666666666666666666666666666666666666666666666666666</x:v>
      </x:c>
      <x:c r="G34" s="235" t="n">
        <x:v>942.5735</x:v>
      </x:c>
      <x:c r="H34" s="235"/>
      <x:c r="I34" s="229"/>
      <x:c r="J34" s="187"/>
    </x:row>
    <x:row r="35">
      <x:c r="A35" s="187" t="str">
        <x:v>ACTUAL_VS_BUDGET</x:v>
      </x:c>
      <x:c r="B35" s="217" t="n">
        <x:v>46023</x:v>
      </x:c>
      <x:c r="C35" s="187" t="str">
        <x:v>SHAPLEY</x:v>
      </x:c>
      <x:c r="D35" s="187" t="str">
        <x:v>MIX</x:v>
      </x:c>
      <x:c r="E35" s="187" t="str">
        <x:v>FR</x:v>
      </x:c>
      <x:c r="F35" s="187" t="str">
        <x:v>-41.152248453073925791266666666666666666666666666666666666666666666666666666666666</x:v>
      </x:c>
      <x:c r="G35" s="235" t="n">
        <x:v>-41.1522</x:v>
      </x:c>
      <x:c r="H35" s="235"/>
      <x:c r="I35" s="229"/>
      <x:c r="J35" s="187"/>
    </x:row>
    <x:row r="36">
      <x:c r="A36" s="187" t="str">
        <x:v>ACTUAL_VS_BUDGET</x:v>
      </x:c>
      <x:c r="B36" s="217" t="n">
        <x:v>46023</x:v>
      </x:c>
      <x:c r="C36" s="187" t="str">
        <x:v>SHAPLEY</x:v>
      </x:c>
      <x:c r="D36" s="187" t="str">
        <x:v>MIX</x:v>
      </x:c>
      <x:c r="E36" s="187" t="str">
        <x:v>GB</x:v>
      </x:c>
      <x:c r="F36" s="187" t="str">
        <x:v>3342.0740342548727989090400000000000000000000000000000000000000000000000000000000</x:v>
      </x:c>
      <x:c r="G36" s="235" t="n">
        <x:v>3342.074</x:v>
      </x:c>
      <x:c r="H36" s="235"/>
      <x:c r="I36" s="229"/>
      <x:c r="J36" s="187"/>
    </x:row>
    <x:row r="37">
      <x:c r="A37" s="187" t="str">
        <x:v>ACTUAL_VS_BUDGET</x:v>
      </x:c>
      <x:c r="B37" s="217" t="n">
        <x:v>46023</x:v>
      </x:c>
      <x:c r="C37" s="187" t="str">
        <x:v>SHAPLEY</x:v>
      </x:c>
      <x:c r="D37" s="187" t="str">
        <x:v>PRICE</x:v>
      </x:c>
      <x:c r="E37" s="187" t="str">
        <x:v>ALL</x:v>
      </x:c>
      <x:c r="F37" s="187" t="str">
        <x:v>1153.4483628740241846885366666666666666666666666666666666666666666666666666666667</x:v>
      </x:c>
      <x:c r="G37" s="235" t="n">
        <x:v>1153.4484</x:v>
      </x:c>
      <x:c r="H37" s="235"/>
      <x:c r="I37" s="229"/>
      <x:c r="J37" s="187"/>
    </x:row>
    <x:row r="38">
      <x:c r="A38" s="187" t="str">
        <x:v>ACTUAL_VS_BUDGET</x:v>
      </x:c>
      <x:c r="B38" s="217" t="n">
        <x:v>46023</x:v>
      </x:c>
      <x:c r="C38" s="187" t="str">
        <x:v>SHAPLEY</x:v>
      </x:c>
      <x:c r="D38" s="187" t="str">
        <x:v>PRICE</x:v>
      </x:c>
      <x:c r="E38" s="187" t="str">
        <x:v>DE</x:v>
      </x:c>
      <x:c r="F38" s="187" t="str">
        <x:v>376.80623237648650855209666666666666666666666666666666666666666666666666666666666</x:v>
      </x:c>
      <x:c r="G38" s="235" t="n">
        <x:v>376.8062</x:v>
      </x:c>
      <x:c r="H38" s="235"/>
      <x:c r="I38" s="229"/>
      <x:c r="J38" s="187"/>
    </x:row>
    <x:row r="39">
      <x:c r="A39" s="187" t="str">
        <x:v>ACTUAL_VS_BUDGET</x:v>
      </x:c>
      <x:c r="B39" s="217" t="n">
        <x:v>46023</x:v>
      </x:c>
      <x:c r="C39" s="187" t="str">
        <x:v>SHAPLEY</x:v>
      </x:c>
      <x:c r="D39" s="187" t="str">
        <x:v>PRICE</x:v>
      </x:c>
      <x:c r="E39" s="187" t="str">
        <x:v>FR</x:v>
      </x:c>
      <x:c r="F39" s="187" t="str">
        <x:v>270.21374390788476407540000000000000000000000000000000000000000000000000000000000</x:v>
      </x:c>
      <x:c r="G39" s="235" t="n">
        <x:v>270.2137</x:v>
      </x:c>
      <x:c r="H39" s="235"/>
      <x:c r="I39" s="229"/>
      <x:c r="J39" s="187"/>
    </x:row>
    <x:row r="40">
      <x:c r="A40" s="187" t="str">
        <x:v>ACTUAL_VS_BUDGET</x:v>
      </x:c>
      <x:c r="B40" s="217" t="n">
        <x:v>46023</x:v>
      </x:c>
      <x:c r="C40" s="187" t="str">
        <x:v>SHAPLEY</x:v>
      </x:c>
      <x:c r="D40" s="187" t="str">
        <x:v>PRICE</x:v>
      </x:c>
      <x:c r="E40" s="187" t="str">
        <x:v>GB</x:v>
      </x:c>
      <x:c r="F40" s="187" t="str">
        <x:v>506.42838658965291206104000000000000000000000000000000000000000000000000000000000</x:v>
      </x:c>
      <x:c r="G40" s="235" t="n">
        <x:v>506.4284</x:v>
      </x:c>
      <x:c r="H40" s="235"/>
      <x:c r="I40" s="229"/>
      <x:c r="J40" s="187"/>
    </x:row>
    <x:row r="41">
      <x:c r="A41" s="187" t="str">
        <x:v>ACTUAL_VS_BUDGET</x:v>
      </x:c>
      <x:c r="B41" s="217" t="n">
        <x:v>46023</x:v>
      </x:c>
      <x:c r="C41" s="187" t="str">
        <x:v>SHAPLEY</x:v>
      </x:c>
      <x:c r="D41" s="187" t="str">
        <x:v>VOLUME</x:v>
      </x:c>
      <x:c r="E41" s="187" t="str">
        <x:v>ALL</x:v>
      </x:c>
      <x:c r="F41" s="187" t="str">
        <x:v>-6021.8181710448553714885300000000000000000000000000000000000000000000000000000000</x:v>
      </x:c>
      <x:c r="G41" s="235" t="n">
        <x:v>-6021.8182</x:v>
      </x:c>
      <x:c r="H41" s="235"/>
      <x:c r="I41" s="229"/>
      <x:c r="J41" s="187"/>
    </x:row>
    <x:row r="42">
      <x:c r="A42" s="187" t="str">
        <x:v>ACTUAL_VS_BUDGET</x:v>
      </x:c>
      <x:c r="B42" s="217" t="n">
        <x:v>46023</x:v>
      </x:c>
      <x:c r="C42" s="187" t="str">
        <x:v>SHAPLEY</x:v>
      </x:c>
      <x:c r="D42" s="187" t="str">
        <x:v>VOLUME</x:v>
      </x:c>
      <x:c r="E42" s="187" t="str">
        <x:v>DE</x:v>
      </x:c>
      <x:c r="F42" s="187" t="str">
        <x:v>-1982.3424615477152539161700000000000000000000000000000000000000000000000000000000</x:v>
      </x:c>
      <x:c r="G42" s="235" t="n">
        <x:v>-1982.3425</x:v>
      </x:c>
      <x:c r="H42" s="235"/>
      <x:c r="I42" s="229"/>
      <x:c r="J42" s="187"/>
    </x:row>
    <x:row r="43">
      <x:c r="A43" s="187" t="str">
        <x:v>ACTUAL_VS_BUDGET</x:v>
      </x:c>
      <x:c r="B43" s="217" t="n">
        <x:v>46023</x:v>
      </x:c>
      <x:c r="C43" s="187" t="str">
        <x:v>SHAPLEY</x:v>
      </x:c>
      <x:c r="D43" s="187" t="str">
        <x:v>VOLUME</x:v>
      </x:c>
      <x:c r="E43" s="187" t="str">
        <x:v>FR</x:v>
      </x:c>
      <x:c r="F43" s="187" t="str">
        <x:v>-1436.8367356269682099726000000000000000000000000000000000000000000000000000000000</x:v>
      </x:c>
      <x:c r="G43" s="235" t="n">
        <x:v>-1436.8367</x:v>
      </x:c>
      <x:c r="H43" s="235"/>
      <x:c r="I43" s="229"/>
      <x:c r="J43" s="187"/>
    </x:row>
    <x:row r="44">
      <x:c r="A44" s="187" t="str">
        <x:v>ACTUAL_VS_BUDGET</x:v>
      </x:c>
      <x:c r="B44" s="217" t="n">
        <x:v>46023</x:v>
      </x:c>
      <x:c r="C44" s="187" t="str">
        <x:v>SHAPLEY</x:v>
      </x:c>
      <x:c r="D44" s="187" t="str">
        <x:v>VOLUME</x:v>
      </x:c>
      <x:c r="E44" s="187" t="str">
        <x:v>GB</x:v>
      </x:c>
      <x:c r="F44" s="187" t="str">
        <x:v>-2602.6389738701719075997600000000000000000000000000000000000000000000000000000000</x:v>
      </x:c>
      <x:c r="G44" s="235" t="n">
        <x:v>-2602.639</x:v>
      </x:c>
      <x:c r="H44" s="235"/>
      <x:c r="I44" s="229"/>
      <x:c r="J44" s="187"/>
    </x:row>
    <x:row r="45">
      <x:c r="A45" s="187" t="str">
        <x:v>ACTUAL_VS_BUDGET</x:v>
      </x:c>
      <x:c r="B45" s="217" t="n">
        <x:v>46054</x:v>
      </x:c>
      <x:c r="C45" s="187" t="str">
        <x:v>CHAIN</x:v>
      </x:c>
      <x:c r="D45" s="187" t="str">
        <x:v>EFFICIENCY</x:v>
      </x:c>
      <x:c r="E45" s="187" t="str">
        <x:v>ALL</x:v>
      </x:c>
      <x:c r="F45" s="187" t="str">
        <x:v>494.806807425506024448000000</x:v>
      </x:c>
      <x:c r="G45" s="235" t="n">
        <x:v>494.8068</x:v>
      </x:c>
      <x:c r="H45" s="235" t="n">
        <x:v>5.383039128590949</x:v>
      </x:c>
      <x:c r="I45" s="229" t="n">
        <x:v>0.0003173969150897063</x:v>
      </x:c>
      <x:c r="J45" s="254" t="b">
        <x:v>0</x:v>
      </x:c>
    </x:row>
    <x:row r="46">
      <x:c r="A46" s="187" t="str">
        <x:v>ACTUAL_VS_BUDGET</x:v>
      </x:c>
      <x:c r="B46" s="217" t="n">
        <x:v>46054</x:v>
      </x:c>
      <x:c r="C46" s="187" t="str">
        <x:v>CHAIN</x:v>
      </x:c>
      <x:c r="D46" s="187" t="str">
        <x:v>EFFICIENCY</x:v>
      </x:c>
      <x:c r="E46" s="187" t="str">
        <x:v>DE</x:v>
      </x:c>
      <x:c r="F46" s="187" t="str">
        <x:v>150.791095352256615360000000</x:v>
      </x:c>
      <x:c r="G46" s="235" t="n">
        <x:v>150.7911</x:v>
      </x:c>
      <x:c r="H46" s="235"/>
      <x:c r="I46" s="229"/>
      <x:c r="J46" s="187"/>
    </x:row>
    <x:row r="47">
      <x:c r="A47" s="187" t="str">
        <x:v>ACTUAL_VS_BUDGET</x:v>
      </x:c>
      <x:c r="B47" s="217" t="n">
        <x:v>46054</x:v>
      </x:c>
      <x:c r="C47" s="187" t="str">
        <x:v>CHAIN</x:v>
      </x:c>
      <x:c r="D47" s="187" t="str">
        <x:v>EFFICIENCY</x:v>
      </x:c>
      <x:c r="E47" s="187" t="str">
        <x:v>FR</x:v>
      </x:c>
      <x:c r="F47" s="187" t="str">
        <x:v>115.6102129067786784000000</x:v>
      </x:c>
      <x:c r="G47" s="235" t="n">
        <x:v>115.6102</x:v>
      </x:c>
      <x:c r="H47" s="235"/>
      <x:c r="I47" s="229"/>
      <x:c r="J47" s="187"/>
    </x:row>
    <x:row r="48">
      <x:c r="A48" s="187" t="str">
        <x:v>ACTUAL_VS_BUDGET</x:v>
      </x:c>
      <x:c r="B48" s="217" t="n">
        <x:v>46054</x:v>
      </x:c>
      <x:c r="C48" s="187" t="str">
        <x:v>CHAIN</x:v>
      </x:c>
      <x:c r="D48" s="187" t="str">
        <x:v>EFFICIENCY</x:v>
      </x:c>
      <x:c r="E48" s="187" t="str">
        <x:v>GB</x:v>
      </x:c>
      <x:c r="F48" s="187" t="str">
        <x:v>228.405499166470730688000000</x:v>
      </x:c>
      <x:c r="G48" s="235" t="n">
        <x:v>228.4055</x:v>
      </x:c>
      <x:c r="H48" s="235"/>
      <x:c r="I48" s="229"/>
      <x:c r="J48" s="187"/>
    </x:row>
    <x:row r="49">
      <x:c r="A49" s="187" t="str">
        <x:v>ACTUAL_VS_BUDGET</x:v>
      </x:c>
      <x:c r="B49" s="217" t="n">
        <x:v>46054</x:v>
      </x:c>
      <x:c r="C49" s="187" t="str">
        <x:v>CHAIN</x:v>
      </x:c>
      <x:c r="D49" s="187" t="str">
        <x:v>FX</x:v>
      </x:c>
      <x:c r="E49" s="187" t="str">
        <x:v>ALL</x:v>
      </x:c>
      <x:c r="F49" s="187" t="str">
        <x:v>-1472.309776446479351151532277760000</x:v>
      </x:c>
      <x:c r="G49" s="235" t="n">
        <x:v>-1472.3098</x:v>
      </x:c>
      <x:c r="H49" s="235" t="n">
        <x:v>7.704711094313393</x:v>
      </x:c>
      <x:c r="I49" s="229" t="n">
        <x:v>0.0004542882699856246</x:v>
      </x:c>
      <x:c r="J49" s="254" t="b">
        <x:v>0</x:v>
      </x:c>
    </x:row>
    <x:row r="50">
      <x:c r="A50" s="187" t="str">
        <x:v>ACTUAL_VS_BUDGET</x:v>
      </x:c>
      <x:c r="B50" s="217" t="n">
        <x:v>46054</x:v>
      </x:c>
      <x:c r="C50" s="187" t="str">
        <x:v>CHAIN</x:v>
      </x:c>
      <x:c r="D50" s="187" t="str">
        <x:v>FX</x:v>
      </x:c>
      <x:c r="E50" s="187" t="str">
        <x:v>DE</x:v>
      </x:c>
      <x:c r="F50" s="187" t="str">
        <x:v>-918.726153202087856618001408000000</x:v>
      </x:c>
      <x:c r="G50" s="235" t="n">
        <x:v>-918.7262</x:v>
      </x:c>
      <x:c r="H50" s="235"/>
      <x:c r="I50" s="229"/>
      <x:c r="J50" s="187"/>
    </x:row>
    <x:row r="51">
      <x:c r="A51" s="187" t="str">
        <x:v>ACTUAL_VS_BUDGET</x:v>
      </x:c>
      <x:c r="B51" s="217" t="n">
        <x:v>46054</x:v>
      </x:c>
      <x:c r="C51" s="187" t="str">
        <x:v>CHAIN</x:v>
      </x:c>
      <x:c r="D51" s="187" t="str">
        <x:v>FX</x:v>
      </x:c>
      <x:c r="E51" s="187" t="str">
        <x:v>FR</x:v>
      </x:c>
      <x:c r="F51" s="187" t="str">
        <x:v>-683.7926826176087586192691200000</x:v>
      </x:c>
      <x:c r="G51" s="235" t="n">
        <x:v>-683.7927</x:v>
      </x:c>
      <x:c r="H51" s="235"/>
      <x:c r="I51" s="229"/>
      <x:c r="J51" s="187"/>
    </x:row>
    <x:row r="52">
      <x:c r="A52" s="187" t="str">
        <x:v>ACTUAL_VS_BUDGET</x:v>
      </x:c>
      <x:c r="B52" s="217" t="n">
        <x:v>46054</x:v>
      </x:c>
      <x:c r="C52" s="187" t="str">
        <x:v>CHAIN</x:v>
      </x:c>
      <x:c r="D52" s="187" t="str">
        <x:v>FX</x:v>
      </x:c>
      <x:c r="E52" s="187" t="str">
        <x:v>GB</x:v>
      </x:c>
      <x:c r="F52" s="187" t="str">
        <x:v>130.209059373217264085738250240000</x:v>
      </x:c>
      <x:c r="G52" s="235" t="n">
        <x:v>130.2091</x:v>
      </x:c>
      <x:c r="H52" s="235"/>
      <x:c r="I52" s="229"/>
      <x:c r="J52" s="187"/>
    </x:row>
    <x:row r="53">
      <x:c r="A53" s="187" t="str">
        <x:v>ACTUAL_VS_BUDGET</x:v>
      </x:c>
      <x:c r="B53" s="217" t="n">
        <x:v>46054</x:v>
      </x:c>
      <x:c r="C53" s="187" t="str">
        <x:v>CHAIN</x:v>
      </x:c>
      <x:c r="D53" s="187" t="str">
        <x:v>MIX</x:v>
      </x:c>
      <x:c r="E53" s="187" t="str">
        <x:v>ALL</x:v>
      </x:c>
      <x:c r="F53" s="187" t="str">
        <x:v>5535.422865361375488000000</x:v>
      </x:c>
      <x:c r="G53" s="235" t="n">
        <x:v>5535.4229</x:v>
      </x:c>
      <x:c r="H53" s="235" t="n">
        <x:v>16.855764812055806</x:v>
      </x:c>
      <x:c r="I53" s="229" t="n">
        <x:v>0.000993856374628384</x:v>
      </x:c>
      <x:c r="J53" s="254" t="b">
        <x:v>0</x:v>
      </x:c>
    </x:row>
    <x:row r="54">
      <x:c r="A54" s="187" t="str">
        <x:v>ACTUAL_VS_BUDGET</x:v>
      </x:c>
      <x:c r="B54" s="217" t="n">
        <x:v>46054</x:v>
      </x:c>
      <x:c r="C54" s="187" t="str">
        <x:v>CHAIN</x:v>
      </x:c>
      <x:c r="D54" s="187" t="str">
        <x:v>MIX</x:v>
      </x:c>
      <x:c r="E54" s="187" t="str">
        <x:v>DE</x:v>
      </x:c>
      <x:c r="F54" s="187" t="str">
        <x:v>-2088.035035101887040000000</x:v>
      </x:c>
      <x:c r="G54" s="235" t="n">
        <x:v>-2088.035</x:v>
      </x:c>
      <x:c r="H54" s="235"/>
      <x:c r="I54" s="229"/>
      <x:c r="J54" s="187"/>
    </x:row>
    <x:row r="55">
      <x:c r="A55" s="187" t="str">
        <x:v>ACTUAL_VS_BUDGET</x:v>
      </x:c>
      <x:c r="B55" s="217" t="n">
        <x:v>46054</x:v>
      </x:c>
      <x:c r="C55" s="187" t="str">
        <x:v>CHAIN</x:v>
      </x:c>
      <x:c r="D55" s="187" t="str">
        <x:v>MIX</x:v>
      </x:c>
      <x:c r="E55" s="187" t="str">
        <x:v>FR</x:v>
      </x:c>
      <x:c r="F55" s="187" t="str">
        <x:v>1602.7581280729824000000</x:v>
      </x:c>
      <x:c r="G55" s="235" t="n">
        <x:v>1602.7581</x:v>
      </x:c>
      <x:c r="H55" s="235"/>
      <x:c r="I55" s="229"/>
      <x:c r="J55" s="187"/>
    </x:row>
    <x:row r="56">
      <x:c r="A56" s="187" t="str">
        <x:v>ACTUAL_VS_BUDGET</x:v>
      </x:c>
      <x:c r="B56" s="217" t="n">
        <x:v>46054</x:v>
      </x:c>
      <x:c r="C56" s="187" t="str">
        <x:v>CHAIN</x:v>
      </x:c>
      <x:c r="D56" s="187" t="str">
        <x:v>MIX</x:v>
      </x:c>
      <x:c r="E56" s="187" t="str">
        <x:v>GB</x:v>
      </x:c>
      <x:c r="F56" s="187" t="str">
        <x:v>6020.699772390280128000000</x:v>
      </x:c>
      <x:c r="G56" s="235" t="n">
        <x:v>6020.6998</x:v>
      </x:c>
      <x:c r="H56" s="235"/>
      <x:c r="I56" s="229"/>
      <x:c r="J56" s="187"/>
    </x:row>
    <x:row r="57">
      <x:c r="A57" s="187" t="str">
        <x:v>ACTUAL_VS_BUDGET</x:v>
      </x:c>
      <x:c r="B57" s="217" t="n">
        <x:v>46054</x:v>
      </x:c>
      <x:c r="C57" s="187" t="str">
        <x:v>CHAIN</x:v>
      </x:c>
      <x:c r="D57" s="187" t="str">
        <x:v>PRICE</x:v>
      </x:c>
      <x:c r="E57" s="187" t="str">
        <x:v>ALL</x:v>
      </x:c>
      <x:c r="F57" s="187" t="str">
        <x:v>2282.537846473965349924589568000000</x:v>
      </x:c>
      <x:c r="G57" s="235" t="n">
        <x:v>2282.5378</x:v>
      </x:c>
      <x:c r="H57" s="235" t="n">
        <x:v>30.393496919133185</x:v>
      </x:c>
      <x:c r="I57" s="229" t="n">
        <x:v>0.0017920735722845263</x:v>
      </x:c>
      <x:c r="J57" s="254" t="b">
        <x:v>0</x:v>
      </x:c>
    </x:row>
    <x:row r="58">
      <x:c r="A58" s="187" t="str">
        <x:v>ACTUAL_VS_BUDGET</x:v>
      </x:c>
      <x:c r="B58" s="217" t="n">
        <x:v>46054</x:v>
      </x:c>
      <x:c r="C58" s="187" t="str">
        <x:v>CHAIN</x:v>
      </x:c>
      <x:c r="D58" s="187" t="str">
        <x:v>PRICE</x:v>
      </x:c>
      <x:c r="E58" s="187" t="str">
        <x:v>DE</x:v>
      </x:c>
      <x:c r="F58" s="187" t="str">
        <x:v>731.460406413402465150274560000000</x:v>
      </x:c>
      <x:c r="G58" s="235" t="n">
        <x:v>731.4604</x:v>
      </x:c>
      <x:c r="H58" s="235"/>
      <x:c r="I58" s="229"/>
      <x:c r="J58" s="187"/>
    </x:row>
    <x:row r="59">
      <x:c r="A59" s="187" t="str">
        <x:v>ACTUAL_VS_BUDGET</x:v>
      </x:c>
      <x:c r="B59" s="217" t="n">
        <x:v>46054</x:v>
      </x:c>
      <x:c r="C59" s="187" t="str">
        <x:v>CHAIN</x:v>
      </x:c>
      <x:c r="D59" s="187" t="str">
        <x:v>PRICE</x:v>
      </x:c>
      <x:c r="E59" s="187" t="str">
        <x:v>FR</x:v>
      </x:c>
      <x:c r="F59" s="187" t="str">
        <x:v>538.6241795787468523574784000000</x:v>
      </x:c>
      <x:c r="G59" s="235" t="n">
        <x:v>538.6242</x:v>
      </x:c>
      <x:c r="H59" s="235"/>
      <x:c r="I59" s="229"/>
      <x:c r="J59" s="187"/>
    </x:row>
    <x:row r="60">
      <x:c r="A60" s="187" t="str">
        <x:v>ACTUAL_VS_BUDGET</x:v>
      </x:c>
      <x:c r="B60" s="217" t="n">
        <x:v>46054</x:v>
      </x:c>
      <x:c r="C60" s="187" t="str">
        <x:v>CHAIN</x:v>
      </x:c>
      <x:c r="D60" s="187" t="str">
        <x:v>PRICE</x:v>
      </x:c>
      <x:c r="E60" s="187" t="str">
        <x:v>GB</x:v>
      </x:c>
      <x:c r="F60" s="187" t="str">
        <x:v>1012.453260481816032416836608000000</x:v>
      </x:c>
      <x:c r="G60" s="235" t="n">
        <x:v>1012.4533</x:v>
      </x:c>
      <x:c r="H60" s="235"/>
      <x:c r="I60" s="229"/>
      <x:c r="J60" s="187"/>
    </x:row>
    <x:row r="61">
      <x:c r="A61" s="187" t="str">
        <x:v>ACTUAL_VS_BUDGET</x:v>
      </x:c>
      <x:c r="B61" s="217" t="n">
        <x:v>46054</x:v>
      </x:c>
      <x:c r="C61" s="187" t="str">
        <x:v>CHAIN</x:v>
      </x:c>
      <x:c r="D61" s="187" t="str">
        <x:v>VOLUME</x:v>
      </x:c>
      <x:c r="E61" s="187" t="str">
        <x:v>ALL</x:v>
      </x:c>
      <x:c r="F61" s="187" t="str">
        <x:v>7190.29258189257600000</x:v>
      </x:c>
      <x:c r="G61" s="235" t="n">
        <x:v>7190.2926</x:v>
      </x:c>
      <x:c r="H61" s="235" t="n">
        <x:v>44.92758976546655</x:v>
      </x:c>
      <x:c r="I61" s="229" t="n">
        <x:v>0.002649038592016992</x:v>
      </x:c>
      <x:c r="J61" s="254" t="b">
        <x:v>0</x:v>
      </x:c>
    </x:row>
    <x:row r="62">
      <x:c r="A62" s="187" t="str">
        <x:v>ACTUAL_VS_BUDGET</x:v>
      </x:c>
      <x:c r="B62" s="217" t="n">
        <x:v>46054</x:v>
      </x:c>
      <x:c r="C62" s="187" t="str">
        <x:v>CHAIN</x:v>
      </x:c>
      <x:c r="D62" s="187" t="str">
        <x:v>VOLUME</x:v>
      </x:c>
      <x:c r="E62" s="187" t="str">
        <x:v>DE</x:v>
      </x:c>
      <x:c r="F62" s="187" t="str">
        <x:v>2373.12346589136000000</x:v>
      </x:c>
      <x:c r="G62" s="235" t="n">
        <x:v>2373.1235</x:v>
      </x:c>
      <x:c r="H62" s="235"/>
      <x:c r="I62" s="229"/>
      <x:c r="J62" s="187"/>
    </x:row>
    <x:row r="63">
      <x:c r="A63" s="187" t="str">
        <x:v>ACTUAL_VS_BUDGET</x:v>
      </x:c>
      <x:c r="B63" s="217" t="n">
        <x:v>46054</x:v>
      </x:c>
      <x:c r="C63" s="187" t="str">
        <x:v>CHAIN</x:v>
      </x:c>
      <x:c r="D63" s="187" t="str">
        <x:v>VOLUME</x:v>
      </x:c>
      <x:c r="E63" s="187" t="str">
        <x:v>FR</x:v>
      </x:c>
      <x:c r="F63" s="187" t="str">
        <x:v>1724.770797235200000</x:v>
      </x:c>
      <x:c r="G63" s="235" t="n">
        <x:v>1724.7708</x:v>
      </x:c>
      <x:c r="H63" s="235"/>
      <x:c r="I63" s="229"/>
      <x:c r="J63" s="187"/>
    </x:row>
    <x:row r="64">
      <x:c r="A64" s="187" t="str">
        <x:v>ACTUAL_VS_BUDGET</x:v>
      </x:c>
      <x:c r="B64" s="217" t="n">
        <x:v>46054</x:v>
      </x:c>
      <x:c r="C64" s="187" t="str">
        <x:v>CHAIN</x:v>
      </x:c>
      <x:c r="D64" s="187" t="str">
        <x:v>VOLUME</x:v>
      </x:c>
      <x:c r="E64" s="187" t="str">
        <x:v>GB</x:v>
      </x:c>
      <x:c r="F64" s="187" t="str">
        <x:v>3092.39831876601600000</x:v>
      </x:c>
      <x:c r="G64" s="235" t="n">
        <x:v>3092.3983</x:v>
      </x:c>
      <x:c r="H64" s="235"/>
      <x:c r="I64" s="229"/>
      <x:c r="J64" s="187"/>
    </x:row>
    <x:row r="65">
      <x:c r="A65" s="187" t="str">
        <x:v>ACTUAL_VS_BUDGET</x:v>
      </x:c>
      <x:c r="B65" s="217" t="n">
        <x:v>46054</x:v>
      </x:c>
      <x:c r="C65" s="187" t="str">
        <x:v>SHAPLEY</x:v>
      </x:c>
      <x:c r="D65" s="187" t="str">
        <x:v>EFFICIENCY</x:v>
      </x:c>
      <x:c r="E65" s="187" t="str">
        <x:v>ALL</x:v>
      </x:c>
      <x:c r="F65" s="187" t="str">
        <x:v>489.42376829691507567278587084800000000000000000000000000000000000000000000000000</x:v>
      </x:c>
      <x:c r="G65" s="235" t="n">
        <x:v>489.4238</x:v>
      </x:c>
      <x:c r="H65" s="235"/>
      <x:c r="I65" s="229"/>
      <x:c r="J65" s="187"/>
    </x:row>
    <x:row r="66">
      <x:c r="A66" s="187" t="str">
        <x:v>ACTUAL_VS_BUDGET</x:v>
      </x:c>
      <x:c r="B66" s="217" t="n">
        <x:v>46054</x:v>
      </x:c>
      <x:c r="C66" s="187" t="str">
        <x:v>SHAPLEY</x:v>
      </x:c>
      <x:c r="D66" s="187" t="str">
        <x:v>EFFICIENCY</x:v>
      </x:c>
      <x:c r="E66" s="187" t="str">
        <x:v>DE</x:v>
      </x:c>
      <x:c r="F66" s="187" t="str">
        <x:v>150.55934180070025656443427840000000000000000000000000000000000000000000000000000</x:v>
      </x:c>
      <x:c r="G66" s="235" t="n">
        <x:v>150.5593</x:v>
      </x:c>
      <x:c r="H66" s="235"/>
      <x:c r="I66" s="229"/>
      <x:c r="J66" s="187"/>
    </x:row>
    <x:row r="67">
      <x:c r="A67" s="187" t="str">
        <x:v>ACTUAL_VS_BUDGET</x:v>
      </x:c>
      <x:c r="B67" s="217" t="n">
        <x:v>46054</x:v>
      </x:c>
      <x:c r="C67" s="187" t="str">
        <x:v>SHAPLEY</x:v>
      </x:c>
      <x:c r="D67" s="187" t="str">
        <x:v>EFFICIENCY</x:v>
      </x:c>
      <x:c r="E67" s="187" t="str">
        <x:v>FR</x:v>
      </x:c>
      <x:c r="F67" s="187" t="str">
        <x:v>114.07208518324540102255257600000000000000000000000000000000000000000000000000000</x:v>
      </x:c>
      <x:c r="G67" s="235" t="n">
        <x:v>114.0721</x:v>
      </x:c>
      <x:c r="H67" s="235"/>
      <x:c r="I67" s="229"/>
      <x:c r="J67" s="187"/>
    </x:row>
    <x:row r="68">
      <x:c r="A68" s="187" t="str">
        <x:v>ACTUAL_VS_BUDGET</x:v>
      </x:c>
      <x:c r="B68" s="217" t="n">
        <x:v>46054</x:v>
      </x:c>
      <x:c r="C68" s="187" t="str">
        <x:v>SHAPLEY</x:v>
      </x:c>
      <x:c r="D68" s="187" t="str">
        <x:v>EFFICIENCY</x:v>
      </x:c>
      <x:c r="E68" s="187" t="str">
        <x:v>GB</x:v>
      </x:c>
      <x:c r="F68" s="187" t="str">
        <x:v>224.79234131296941808579901644800000000000000000000000000000000000000000000000000</x:v>
      </x:c>
      <x:c r="G68" s="235" t="n">
        <x:v>224.7923</x:v>
      </x:c>
      <x:c r="H68" s="235"/>
      <x:c r="I68" s="229"/>
      <x:c r="J68" s="187"/>
    </x:row>
    <x:row r="69">
      <x:c r="A69" s="187" t="str">
        <x:v>ACTUAL_VS_BUDGET</x:v>
      </x:c>
      <x:c r="B69" s="217" t="n">
        <x:v>46054</x:v>
      </x:c>
      <x:c r="C69" s="187" t="str">
        <x:v>SHAPLEY</x:v>
      </x:c>
      <x:c r="D69" s="187" t="str">
        <x:v>FX</x:v>
      </x:c>
      <x:c r="E69" s="187" t="str">
        <x:v>ALL</x:v>
      </x:c>
      <x:c r="F69" s="187" t="str">
        <x:v>-1464.6050653521659576414277611520000000000000000000000000000000000000000000000000</x:v>
      </x:c>
      <x:c r="G69" s="235" t="n">
        <x:v>-1464.6051</x:v>
      </x:c>
      <x:c r="H69" s="235"/>
      <x:c r="I69" s="229"/>
      <x:c r="J69" s="187"/>
    </x:row>
    <x:row r="70">
      <x:c r="A70" s="187" t="str">
        <x:v>ACTUAL_VS_BUDGET</x:v>
      </x:c>
      <x:c r="B70" s="217" t="n">
        <x:v>46054</x:v>
      </x:c>
      <x:c r="C70" s="187" t="str">
        <x:v>SHAPLEY</x:v>
      </x:c>
      <x:c r="D70" s="187" t="str">
        <x:v>FX</x:v>
      </x:c>
      <x:c r="E70" s="187" t="str">
        <x:v>DE</x:v>
      </x:c>
      <x:c r="F70" s="187" t="str">
        <x:v>-915.75467877618127575594236160000000000000000000000000000000000000000000000000000</x:v>
      </x:c>
      <x:c r="G70" s="235" t="n">
        <x:v>-915.7547</x:v>
      </x:c>
      <x:c r="H70" s="235"/>
      <x:c r="I70" s="229"/>
      <x:c r="J70" s="187"/>
    </x:row>
    <x:row r="71">
      <x:c r="A71" s="187" t="str">
        <x:v>ACTUAL_VS_BUDGET</x:v>
      </x:c>
      <x:c r="B71" s="217" t="n">
        <x:v>46054</x:v>
      </x:c>
      <x:c r="C71" s="187" t="str">
        <x:v>SHAPLEY</x:v>
      </x:c>
      <x:c r="D71" s="187" t="str">
        <x:v>FX</x:v>
      </x:c>
      <x:c r="E71" s="187" t="str">
        <x:v>FR</x:v>
      </x:c>
      <x:c r="F71" s="187" t="str">
        <x:v>-673.55049020179450832033702400000000000000000000000000000000000000000000000000000</x:v>
      </x:c>
      <x:c r="G71" s="235" t="n">
        <x:v>-673.5505</x:v>
      </x:c>
      <x:c r="H71" s="235"/>
      <x:c r="I71" s="229"/>
      <x:c r="J71" s="187"/>
    </x:row>
    <x:row r="72">
      <x:c r="A72" s="187" t="str">
        <x:v>ACTUAL_VS_BUDGET</x:v>
      </x:c>
      <x:c r="B72" s="217" t="n">
        <x:v>46054</x:v>
      </x:c>
      <x:c r="C72" s="187" t="str">
        <x:v>SHAPLEY</x:v>
      </x:c>
      <x:c r="D72" s="187" t="str">
        <x:v>FX</x:v>
      </x:c>
      <x:c r="E72" s="187" t="str">
        <x:v>GB</x:v>
      </x:c>
      <x:c r="F72" s="187" t="str">
        <x:v>124.70010362580982643485162444800000000000000000000000000000000000000000000000000</x:v>
      </x:c>
      <x:c r="G72" s="235" t="n">
        <x:v>124.7001</x:v>
      </x:c>
      <x:c r="H72" s="235"/>
      <x:c r="I72" s="229"/>
      <x:c r="J72" s="187"/>
    </x:row>
    <x:row r="73">
      <x:c r="A73" s="187" t="str">
        <x:v>ACTUAL_VS_BUDGET</x:v>
      </x:c>
      <x:c r="B73" s="217" t="n">
        <x:v>46054</x:v>
      </x:c>
      <x:c r="C73" s="187" t="str">
        <x:v>SHAPLEY</x:v>
      </x:c>
      <x:c r="D73" s="187" t="str">
        <x:v>MIX</x:v>
      </x:c>
      <x:c r="E73" s="187" t="str">
        <x:v>ALL</x:v>
      </x:c>
      <x:c r="F73" s="187" t="str">
        <x:v>5518.5671005493196802987929108480000000000000000000000000000000000000000000000000</x:v>
      </x:c>
      <x:c r="G73" s="235" t="n">
        <x:v>5518.5671</x:v>
      </x:c>
      <x:c r="H73" s="235"/>
      <x:c r="I73" s="229"/>
      <x:c r="J73" s="187"/>
    </x:row>
    <x:row r="74">
      <x:c r="A74" s="187" t="str">
        <x:v>ACTUAL_VS_BUDGET</x:v>
      </x:c>
      <x:c r="B74" s="217" t="n">
        <x:v>46054</x:v>
      </x:c>
      <x:c r="C74" s="187" t="str">
        <x:v>SHAPLEY</x:v>
      </x:c>
      <x:c r="D74" s="187" t="str">
        <x:v>MIX</x:v>
      </x:c>
      <x:c r="E74" s="187" t="str">
        <x:v>DE</x:v>
      </x:c>
      <x:c r="F74" s="187" t="str">
        <x:v>-2074.0348723562962133514057216000000000000000000000000000000000000000000000000000</x:v>
      </x:c>
      <x:c r="G74" s="235" t="n">
        <x:v>-2074.0349</x:v>
      </x:c>
      <x:c r="H74" s="235"/>
      <x:c r="I74" s="229"/>
      <x:c r="J74" s="187"/>
    </x:row>
    <x:row r="75">
      <x:c r="A75" s="187" t="str">
        <x:v>ACTUAL_VS_BUDGET</x:v>
      </x:c>
      <x:c r="B75" s="217" t="n">
        <x:v>46054</x:v>
      </x:c>
      <x:c r="C75" s="187" t="str">
        <x:v>SHAPLEY</x:v>
      </x:c>
      <x:c r="D75" s="187" t="str">
        <x:v>MIX</x:v>
      </x:c>
      <x:c r="E75" s="187" t="str">
        <x:v>FR</x:v>
      </x:c>
      <x:c r="F75" s="187" t="str">
        <x:v>1592.0732749911299109867125760000000000000000000000000000000000000000000000000000</x:v>
      </x:c>
      <x:c r="G75" s="235" t="n">
        <x:v>1592.0733</x:v>
      </x:c>
      <x:c r="H75" s="235"/>
      <x:c r="I75" s="229"/>
      <x:c r="J75" s="187"/>
    </x:row>
    <x:row r="76">
      <x:c r="A76" s="187" t="str">
        <x:v>ACTUAL_VS_BUDGET</x:v>
      </x:c>
      <x:c r="B76" s="217" t="n">
        <x:v>46054</x:v>
      </x:c>
      <x:c r="C76" s="187" t="str">
        <x:v>SHAPLEY</x:v>
      </x:c>
      <x:c r="D76" s="187" t="str">
        <x:v>MIX</x:v>
      </x:c>
      <x:c r="E76" s="187" t="str">
        <x:v>GB</x:v>
      </x:c>
      <x:c r="F76" s="187" t="str">
        <x:v>6000.5286979144859826634860564480000000000000000000000000000000000000000000000000</x:v>
      </x:c>
      <x:c r="G76" s="235" t="n">
        <x:v>6000.5287</x:v>
      </x:c>
      <x:c r="H76" s="235"/>
      <x:c r="I76" s="229"/>
      <x:c r="J76" s="187"/>
    </x:row>
    <x:row r="77">
      <x:c r="A77" s="187" t="str">
        <x:v>ACTUAL_VS_BUDGET</x:v>
      </x:c>
      <x:c r="B77" s="217" t="n">
        <x:v>46054</x:v>
      </x:c>
      <x:c r="C77" s="187" t="str">
        <x:v>SHAPLEY</x:v>
      </x:c>
      <x:c r="D77" s="187" t="str">
        <x:v>PRICE</x:v>
      </x:c>
      <x:c r="E77" s="187" t="str">
        <x:v>ALL</x:v>
      </x:c>
      <x:c r="F77" s="187" t="str">
        <x:v>2252.1443495548321637359564308480000000000000000000000000000000000000000000000000</x:v>
      </x:c>
      <x:c r="G77" s="235" t="n">
        <x:v>2252.1443</x:v>
      </x:c>
      <x:c r="H77" s="235"/>
      <x:c r="I77" s="229"/>
      <x:c r="J77" s="187"/>
    </x:row>
    <x:row r="78">
      <x:c r="A78" s="187" t="str">
        <x:v>ACTUAL_VS_BUDGET</x:v>
      </x:c>
      <x:c r="B78" s="217" t="n">
        <x:v>46054</x:v>
      </x:c>
      <x:c r="C78" s="187" t="str">
        <x:v>SHAPLEY</x:v>
      </x:c>
      <x:c r="D78" s="187" t="str">
        <x:v>PRICE</x:v>
      </x:c>
      <x:c r="E78" s="187" t="str">
        <x:v>DE</x:v>
      </x:c>
      <x:c r="F78" s="187" t="str">
        <x:v>728.69013883142020653880227840000000000000000000000000000000000000000000000000000</x:v>
      </x:c>
      <x:c r="G78" s="235" t="n">
        <x:v>728.6901</x:v>
      </x:c>
      <x:c r="H78" s="235"/>
      <x:c r="I78" s="229"/>
      <x:c r="J78" s="187"/>
    </x:row>
    <x:row r="79">
      <x:c r="A79" s="187" t="str">
        <x:v>ACTUAL_VS_BUDGET</x:v>
      </x:c>
      <x:c r="B79" s="217" t="n">
        <x:v>46054</x:v>
      </x:c>
      <x:c r="C79" s="187" t="str">
        <x:v>SHAPLEY</x:v>
      </x:c>
      <x:c r="D79" s="187" t="str">
        <x:v>PRICE</x:v>
      </x:c>
      <x:c r="E79" s="187" t="str">
        <x:v>FR</x:v>
      </x:c>
      <x:c r="F79" s="187" t="str">
        <x:v>530.24803358677287342607257600000000000000000000000000000000000000000000000000000</x:v>
      </x:c>
      <x:c r="G79" s="235" t="n">
        <x:v>530.248</x:v>
      </x:c>
      <x:c r="H79" s="235"/>
      <x:c r="I79" s="229"/>
      <x:c r="J79" s="187"/>
    </x:row>
    <x:row r="80">
      <x:c r="A80" s="187" t="str">
        <x:v>ACTUAL_VS_BUDGET</x:v>
      </x:c>
      <x:c r="B80" s="217" t="n">
        <x:v>46054</x:v>
      </x:c>
      <x:c r="C80" s="187" t="str">
        <x:v>SHAPLEY</x:v>
      </x:c>
      <x:c r="D80" s="187" t="str">
        <x:v>PRICE</x:v>
      </x:c>
      <x:c r="E80" s="187" t="str">
        <x:v>GB</x:v>
      </x:c>
      <x:c r="F80" s="187" t="str">
        <x:v>993.20617713663908377108157644800000000000000000000000000000000000000000000000000</x:v>
      </x:c>
      <x:c r="G80" s="235" t="n">
        <x:v>993.2062</x:v>
      </x:c>
      <x:c r="H80" s="235"/>
      <x:c r="I80" s="229"/>
      <x:c r="J80" s="187"/>
    </x:row>
    <x:row r="81">
      <x:c r="A81" s="187" t="str">
        <x:v>ACTUAL_VS_BUDGET</x:v>
      </x:c>
      <x:c r="B81" s="217" t="n">
        <x:v>46054</x:v>
      </x:c>
      <x:c r="C81" s="187" t="str">
        <x:v>SHAPLEY</x:v>
      </x:c>
      <x:c r="D81" s="187" t="str">
        <x:v>VOLUME</x:v>
      </x:c>
      <x:c r="E81" s="187" t="str">
        <x:v>ALL</x:v>
      </x:c>
      <x:c r="F81" s="187" t="str">
        <x:v>7235.2201716580425491549498388480000000000000000000000000000000000000000000000000</x:v>
      </x:c>
      <x:c r="G81" s="235" t="n">
        <x:v>7235.2202</x:v>
      </x:c>
      <x:c r="H81" s="235"/>
      <x:c r="I81" s="229"/>
      <x:c r="J81" s="187"/>
    </x:row>
    <x:row r="82">
      <x:c r="A82" s="187" t="str">
        <x:v>ACTUAL_VS_BUDGET</x:v>
      </x:c>
      <x:c r="B82" s="217" t="n">
        <x:v>46054</x:v>
      </x:c>
      <x:c r="C82" s="187" t="str">
        <x:v>SHAPLEY</x:v>
      </x:c>
      <x:c r="D82" s="187" t="str">
        <x:v>VOLUME</x:v>
      </x:c>
      <x:c r="E82" s="187" t="str">
        <x:v>DE</x:v>
      </x:c>
      <x:c r="F82" s="187" t="str">
        <x:v>2359.1538498534012098963846784000000000000000000000000000000000000000000000000000</x:v>
      </x:c>
      <x:c r="G82" s="235" t="n">
        <x:v>2359.1538</x:v>
      </x:c>
      <x:c r="H82" s="235"/>
      <x:c r="I82" s="229"/>
      <x:c r="J82" s="187"/>
    </x:row>
    <x:row r="83">
      <x:c r="A83" s="187" t="str">
        <x:v>ACTUAL_VS_BUDGET</x:v>
      </x:c>
      <x:c r="B83" s="217" t="n">
        <x:v>46054</x:v>
      </x:c>
      <x:c r="C83" s="187" t="str">
        <x:v>SHAPLEY</x:v>
      </x:c>
      <x:c r="D83" s="187" t="str">
        <x:v>VOLUME</x:v>
      </x:c>
      <x:c r="E83" s="187" t="str">
        <x:v>FR</x:v>
      </x:c>
      <x:c r="F83" s="187" t="str">
        <x:v>1735.1277316167454950232085760000000000000000000000000000000000000000000000000000</x:v>
      </x:c>
      <x:c r="G83" s="235" t="n">
        <x:v>1735.1277</x:v>
      </x:c>
      <x:c r="H83" s="235"/>
      <x:c r="I83" s="229"/>
      <x:c r="J83" s="187"/>
    </x:row>
    <x:row r="84">
      <x:c r="A84" s="187" t="str">
        <x:v>ACTUAL_VS_BUDGET</x:v>
      </x:c>
      <x:c r="B84" s="217" t="n">
        <x:v>46054</x:v>
      </x:c>
      <x:c r="C84" s="187" t="str">
        <x:v>SHAPLEY</x:v>
      </x:c>
      <x:c r="D84" s="187" t="str">
        <x:v>VOLUME</x:v>
      </x:c>
      <x:c r="E84" s="187" t="str">
        <x:v>GB</x:v>
      </x:c>
      <x:c r="F84" s="187" t="str">
        <x:v>3140.9385901878958442353565844480000000000000000000000000000000000000000000000000</x:v>
      </x:c>
      <x:c r="G84" s="235" t="n">
        <x:v>3140.9386</x:v>
      </x:c>
      <x:c r="H84" s="235"/>
      <x:c r="I84" s="229"/>
      <x:c r="J84" s="187"/>
    </x:row>
    <x:row r="85">
      <x:c r="A85" s="187" t="str">
        <x:v>ACTUAL_VS_BUDGET</x:v>
      </x:c>
      <x:c r="B85" s="217" t="n">
        <x:v>46082</x:v>
      </x:c>
      <x:c r="C85" s="187" t="str">
        <x:v>CHAIN</x:v>
      </x:c>
      <x:c r="D85" s="187" t="str">
        <x:v>EFFICIENCY</x:v>
      </x:c>
      <x:c r="E85" s="187" t="str">
        <x:v>ALL</x:v>
      </x:c>
      <x:c r="F85" s="187" t="str">
        <x:v>1029.274515501920336880000000</x:v>
      </x:c>
      <x:c r="G85" s="235" t="n">
        <x:v>1029.2745</x:v>
      </x:c>
      <x:c r="H85" s="235" t="n">
        <x:v>10.924514712172352</x:v>
      </x:c>
      <x:c r="I85" s="229" t="n">
        <x:v>0.0004007273137821393</x:v>
      </x:c>
      <x:c r="J85" s="254" t="b">
        <x:v>0</x:v>
      </x:c>
    </x:row>
    <x:row r="86">
      <x:c r="A86" s="187" t="str">
        <x:v>ACTUAL_VS_BUDGET</x:v>
      </x:c>
      <x:c r="B86" s="217" t="n">
        <x:v>46082</x:v>
      </x:c>
      <x:c r="C86" s="187" t="str">
        <x:v>CHAIN</x:v>
      </x:c>
      <x:c r="D86" s="187" t="str">
        <x:v>EFFICIENCY</x:v>
      </x:c>
      <x:c r="E86" s="187" t="str">
        <x:v>DE</x:v>
      </x:c>
      <x:c r="F86" s="187" t="str">
        <x:v>289.605342685707687600000000</x:v>
      </x:c>
      <x:c r="G86" s="235" t="n">
        <x:v>289.6053</x:v>
      </x:c>
      <x:c r="H86" s="235"/>
      <x:c r="I86" s="229"/>
      <x:c r="J86" s="187"/>
    </x:row>
    <x:row r="87">
      <x:c r="A87" s="187" t="str">
        <x:v>ACTUAL_VS_BUDGET</x:v>
      </x:c>
      <x:c r="B87" s="217" t="n">
        <x:v>46082</x:v>
      </x:c>
      <x:c r="C87" s="187" t="str">
        <x:v>CHAIN</x:v>
      </x:c>
      <x:c r="D87" s="187" t="str">
        <x:v>EFFICIENCY</x:v>
      </x:c>
      <x:c r="E87" s="187" t="str">
        <x:v>FR</x:v>
      </x:c>
      <x:c r="F87" s="187" t="str">
        <x:v>227.4624766683537840000000</x:v>
      </x:c>
      <x:c r="G87" s="235" t="n">
        <x:v>227.4625</x:v>
      </x:c>
      <x:c r="H87" s="235"/>
      <x:c r="I87" s="229"/>
      <x:c r="J87" s="187"/>
    </x:row>
    <x:row r="88">
      <x:c r="A88" s="187" t="str">
        <x:v>ACTUAL_VS_BUDGET</x:v>
      </x:c>
      <x:c r="B88" s="217" t="n">
        <x:v>46082</x:v>
      </x:c>
      <x:c r="C88" s="187" t="str">
        <x:v>CHAIN</x:v>
      </x:c>
      <x:c r="D88" s="187" t="str">
        <x:v>EFFICIENCY</x:v>
      </x:c>
      <x:c r="E88" s="187" t="str">
        <x:v>GB</x:v>
      </x:c>
      <x:c r="F88" s="187" t="str">
        <x:v>512.206696147858865280000000</x:v>
      </x:c>
      <x:c r="G88" s="235" t="n">
        <x:v>512.2067</x:v>
      </x:c>
      <x:c r="H88" s="235"/>
      <x:c r="I88" s="229"/>
      <x:c r="J88" s="187"/>
    </x:row>
    <x:row r="89">
      <x:c r="A89" s="187" t="str">
        <x:v>ACTUAL_VS_BUDGET</x:v>
      </x:c>
      <x:c r="B89" s="217" t="n">
        <x:v>46082</x:v>
      </x:c>
      <x:c r="C89" s="187" t="str">
        <x:v>CHAIN</x:v>
      </x:c>
      <x:c r="D89" s="187" t="str">
        <x:v>FX</x:v>
      </x:c>
      <x:c r="E89" s="187" t="str">
        <x:v>ALL</x:v>
      </x:c>
      <x:c r="F89" s="187" t="str">
        <x:v>3055.988280737009037766315449600000</x:v>
      </x:c>
      <x:c r="G89" s="235" t="n">
        <x:v>3055.9883</x:v>
      </x:c>
      <x:c r="H89" s="235" t="n">
        <x:v>73.14144685386314</x:v>
      </x:c>
      <x:c r="I89" s="229" t="n">
        <x:v>0.002682936157450549</x:v>
      </x:c>
      <x:c r="J89" s="254" t="b">
        <x:v>0</x:v>
      </x:c>
    </x:row>
    <x:row r="90">
      <x:c r="A90" s="187" t="str">
        <x:v>ACTUAL_VS_BUDGET</x:v>
      </x:c>
      <x:c r="B90" s="217" t="n">
        <x:v>46082</x:v>
      </x:c>
      <x:c r="C90" s="187" t="str">
        <x:v>CHAIN</x:v>
      </x:c>
      <x:c r="D90" s="187" t="str">
        <x:v>FX</x:v>
      </x:c>
      <x:c r="E90" s="187" t="str">
        <x:v>DE</x:v>
      </x:c>
      <x:c r="F90" s="187" t="str">
        <x:v>494.000700538172174354305440000000</x:v>
      </x:c>
      <x:c r="G90" s="235" t="n">
        <x:v>494.0007</x:v>
      </x:c>
      <x:c r="H90" s="235"/>
      <x:c r="I90" s="229"/>
      <x:c r="J90" s="187"/>
    </x:row>
    <x:row r="91">
      <x:c r="A91" s="187" t="str">
        <x:v>ACTUAL_VS_BUDGET</x:v>
      </x:c>
      <x:c r="B91" s="217" t="n">
        <x:v>46082</x:v>
      </x:c>
      <x:c r="C91" s="187" t="str">
        <x:v>CHAIN</x:v>
      </x:c>
      <x:c r="D91" s="187" t="str">
        <x:v>FX</x:v>
      </x:c>
      <x:c r="E91" s="187" t="str">
        <x:v>FR</x:v>
      </x:c>
      <x:c r="F91" s="187" t="str">
        <x:v>378.6688452698664182071776000000</x:v>
      </x:c>
      <x:c r="G91" s="235" t="n">
        <x:v>378.6688</x:v>
      </x:c>
      <x:c r="H91" s="235"/>
      <x:c r="I91" s="229"/>
      <x:c r="J91" s="187"/>
    </x:row>
    <x:row r="92">
      <x:c r="A92" s="187" t="str">
        <x:v>ACTUAL_VS_BUDGET</x:v>
      </x:c>
      <x:c r="B92" s="217" t="n">
        <x:v>46082</x:v>
      </x:c>
      <x:c r="C92" s="187" t="str">
        <x:v>CHAIN</x:v>
      </x:c>
      <x:c r="D92" s="187" t="str">
        <x:v>FX</x:v>
      </x:c>
      <x:c r="E92" s="187" t="str">
        <x:v>GB</x:v>
      </x:c>
      <x:c r="F92" s="187" t="str">
        <x:v>2183.318734928970445204832409600000</x:v>
      </x:c>
      <x:c r="G92" s="235" t="n">
        <x:v>2183.3187</x:v>
      </x:c>
      <x:c r="H92" s="235"/>
      <x:c r="I92" s="229"/>
      <x:c r="J92" s="187"/>
    </x:row>
    <x:row r="93">
      <x:c r="A93" s="187" t="str">
        <x:v>ACTUAL_VS_BUDGET</x:v>
      </x:c>
      <x:c r="B93" s="217" t="n">
        <x:v>46082</x:v>
      </x:c>
      <x:c r="C93" s="187" t="str">
        <x:v>CHAIN</x:v>
      </x:c>
      <x:c r="D93" s="187" t="str">
        <x:v>MIX</x:v>
      </x:c>
      <x:c r="E93" s="187" t="str">
        <x:v>ALL</x:v>
      </x:c>
      <x:c r="F93" s="187" t="str">
        <x:v>7078.050175644539640000000</x:v>
      </x:c>
      <x:c r="G93" s="235" t="n">
        <x:v>7078.0502</x:v>
      </x:c>
      <x:c r="H93" s="235" t="n">
        <x:v>9.207888925652382</x:v>
      </x:c>
      <x:c r="I93" s="229" t="n">
        <x:v>0.000337758947834055</x:v>
      </x:c>
      <x:c r="J93" s="254" t="b">
        <x:v>0</x:v>
      </x:c>
    </x:row>
    <x:row r="94">
      <x:c r="A94" s="187" t="str">
        <x:v>ACTUAL_VS_BUDGET</x:v>
      </x:c>
      <x:c r="B94" s="217" t="n">
        <x:v>46082</x:v>
      </x:c>
      <x:c r="C94" s="187" t="str">
        <x:v>CHAIN</x:v>
      </x:c>
      <x:c r="D94" s="187" t="str">
        <x:v>MIX</x:v>
      </x:c>
      <x:c r="E94" s="187" t="str">
        <x:v>DE</x:v>
      </x:c>
      <x:c r="F94" s="187" t="str">
        <x:v>-916.911942960148200000000</x:v>
      </x:c>
      <x:c r="G94" s="235" t="n">
        <x:v>-916.9119</x:v>
      </x:c>
      <x:c r="H94" s="235"/>
      <x:c r="I94" s="229"/>
      <x:c r="J94" s="187"/>
    </x:row>
    <x:row r="95">
      <x:c r="A95" s="187" t="str">
        <x:v>ACTUAL_VS_BUDGET</x:v>
      </x:c>
      <x:c r="B95" s="217" t="n">
        <x:v>46082</x:v>
      </x:c>
      <x:c r="C95" s="187" t="str">
        <x:v>CHAIN</x:v>
      </x:c>
      <x:c r="D95" s="187" t="str">
        <x:v>MIX</x:v>
      </x:c>
      <x:c r="E95" s="187" t="str">
        <x:v>FR</x:v>
      </x:c>
      <x:c r="F95" s="187" t="str">
        <x:v>-45.1886409425880000000</x:v>
      </x:c>
      <x:c r="G95" s="235" t="n">
        <x:v>-45.1886</x:v>
      </x:c>
      <x:c r="H95" s="235"/>
      <x:c r="I95" s="229"/>
      <x:c r="J95" s="187"/>
    </x:row>
    <x:row r="96">
      <x:c r="A96" s="187" t="str">
        <x:v>ACTUAL_VS_BUDGET</x:v>
      </x:c>
      <x:c r="B96" s="217" t="n">
        <x:v>46082</x:v>
      </x:c>
      <x:c r="C96" s="187" t="str">
        <x:v>CHAIN</x:v>
      </x:c>
      <x:c r="D96" s="187" t="str">
        <x:v>MIX</x:v>
      </x:c>
      <x:c r="E96" s="187" t="str">
        <x:v>GB</x:v>
      </x:c>
      <x:c r="F96" s="187" t="str">
        <x:v>8040.150759547275840000000</x:v>
      </x:c>
      <x:c r="G96" s="235" t="n">
        <x:v>8040.1508</x:v>
      </x:c>
      <x:c r="H96" s="235"/>
      <x:c r="I96" s="229"/>
      <x:c r="J96" s="187"/>
    </x:row>
    <x:row r="97">
      <x:c r="A97" s="187" t="str">
        <x:v>ACTUAL_VS_BUDGET</x:v>
      </x:c>
      <x:c r="B97" s="217" t="n">
        <x:v>46082</x:v>
      </x:c>
      <x:c r="C97" s="187" t="str">
        <x:v>CHAIN</x:v>
      </x:c>
      <x:c r="D97" s="187" t="str">
        <x:v>PRICE</x:v>
      </x:c>
      <x:c r="E97" s="187" t="str">
        <x:v>ALL</x:v>
      </x:c>
      <x:c r="F97" s="187" t="str">
        <x:v>3906.465091367236623419071680000000</x:v>
      </x:c>
      <x:c r="G97" s="235" t="n">
        <x:v>3906.4651</x:v>
      </x:c>
      <x:c r="H97" s="235" t="n">
        <x:v>53.972014979802005</x:v>
      </x:c>
      <x:c r="I97" s="229" t="n">
        <x:v>0.0019797731205549065</x:v>
      </x:c>
      <x:c r="J97" s="254" t="b">
        <x:v>0</x:v>
      </x:c>
    </x:row>
    <x:row r="98">
      <x:c r="A98" s="187" t="str">
        <x:v>ACTUAL_VS_BUDGET</x:v>
      </x:c>
      <x:c r="B98" s="217" t="n">
        <x:v>46082</x:v>
      </x:c>
      <x:c r="C98" s="187" t="str">
        <x:v>CHAIN</x:v>
      </x:c>
      <x:c r="D98" s="187" t="str">
        <x:v>PRICE</x:v>
      </x:c>
      <x:c r="E98" s="187" t="str">
        <x:v>DE</x:v>
      </x:c>
      <x:c r="F98" s="187" t="str">
        <x:v>1177.584952289588510579121600000000</x:v>
      </x:c>
      <x:c r="G98" s="235" t="n">
        <x:v>1177.585</x:v>
      </x:c>
      <x:c r="H98" s="235"/>
      <x:c r="I98" s="229"/>
      <x:c r="J98" s="187"/>
    </x:row>
    <x:row r="99">
      <x:c r="A99" s="187" t="str">
        <x:v>ACTUAL_VS_BUDGET</x:v>
      </x:c>
      <x:c r="B99" s="217" t="n">
        <x:v>46082</x:v>
      </x:c>
      <x:c r="C99" s="187" t="str">
        <x:v>CHAIN</x:v>
      </x:c>
      <x:c r="D99" s="187" t="str">
        <x:v>PRICE</x:v>
      </x:c>
      <x:c r="E99" s="187" t="str">
        <x:v>FR</x:v>
      </x:c>
      <x:c r="F99" s="187" t="str">
        <x:v>893.0580545301373167992640000000</x:v>
      </x:c>
      <x:c r="G99" s="235" t="n">
        <x:v>893.0581</x:v>
      </x:c>
      <x:c r="H99" s="235"/>
      <x:c r="I99" s="229"/>
      <x:c r="J99" s="187"/>
    </x:row>
    <x:row r="100">
      <x:c r="A100" s="187" t="str">
        <x:v>ACTUAL_VS_BUDGET</x:v>
      </x:c>
      <x:c r="B100" s="217" t="n">
        <x:v>46082</x:v>
      </x:c>
      <x:c r="C100" s="187" t="str">
        <x:v>CHAIN</x:v>
      </x:c>
      <x:c r="D100" s="187" t="str">
        <x:v>PRICE</x:v>
      </x:c>
      <x:c r="E100" s="187" t="str">
        <x:v>GB</x:v>
      </x:c>
      <x:c r="F100" s="187" t="str">
        <x:v>1835.822084547510796040686080000000</x:v>
      </x:c>
      <x:c r="G100" s="235" t="n">
        <x:v>1835.8221</x:v>
      </x:c>
      <x:c r="H100" s="235"/>
      <x:c r="I100" s="229"/>
      <x:c r="J100" s="187"/>
    </x:row>
    <x:row r="101">
      <x:c r="A101" s="187" t="str">
        <x:v>ACTUAL_VS_BUDGET</x:v>
      </x:c>
      <x:c r="B101" s="217" t="n">
        <x:v>46082</x:v>
      </x:c>
      <x:c r="C101" s="187" t="str">
        <x:v>CHAIN</x:v>
      </x:c>
      <x:c r="D101" s="187" t="str">
        <x:v>VOLUME</x:v>
      </x:c>
      <x:c r="E101" s="187" t="str">
        <x:v>ALL</x:v>
      </x:c>
      <x:c r="F101" s="187" t="str">
        <x:v>12191.93916052608000000</x:v>
      </x:c>
      <x:c r="G101" s="235" t="n">
        <x:v>12191.9392</x:v>
      </x:c>
      <x:c r="H101" s="235" t="n">
        <x:v>147.24586547148988</x:v>
      </x:c>
      <x:c r="I101" s="229" t="n">
        <x:v>0.00540119553962165</x:v>
      </x:c>
      <x:c r="J101" s="254" t="b">
        <x:v>0</x:v>
      </x:c>
    </x:row>
    <x:row r="102">
      <x:c r="A102" s="187" t="str">
        <x:v>ACTUAL_VS_BUDGET</x:v>
      </x:c>
      <x:c r="B102" s="217" t="n">
        <x:v>46082</x:v>
      </x:c>
      <x:c r="C102" s="187" t="str">
        <x:v>CHAIN</x:v>
      </x:c>
      <x:c r="D102" s="187" t="str">
        <x:v>VOLUME</x:v>
      </x:c>
      <x:c r="E102" s="187" t="str">
        <x:v>DE</x:v>
      </x:c>
      <x:c r="F102" s="187" t="str">
        <x:v>3766.86264427200000000</x:v>
      </x:c>
      <x:c r="G102" s="235" t="n">
        <x:v>3766.8626</x:v>
      </x:c>
      <x:c r="H102" s="235"/>
      <x:c r="I102" s="229"/>
      <x:c r="J102" s="187"/>
    </x:row>
    <x:row r="103">
      <x:c r="A103" s="187" t="str">
        <x:v>ACTUAL_VS_BUDGET</x:v>
      </x:c>
      <x:c r="B103" s="217" t="n">
        <x:v>46082</x:v>
      </x:c>
      <x:c r="C103" s="187" t="str">
        <x:v>CHAIN</x:v>
      </x:c>
      <x:c r="D103" s="187" t="str">
        <x:v>VOLUME</x:v>
      </x:c>
      <x:c r="E103" s="187" t="str">
        <x:v>FR</x:v>
      </x:c>
      <x:c r="F103" s="187" t="str">
        <x:v>2874.617995392000000</x:v>
      </x:c>
      <x:c r="G103" s="235" t="n">
        <x:v>2874.618</x:v>
      </x:c>
      <x:c r="H103" s="235"/>
      <x:c r="I103" s="229"/>
      <x:c r="J103" s="187"/>
    </x:row>
    <x:row r="104">
      <x:c r="A104" s="187" t="str">
        <x:v>ACTUAL_VS_BUDGET</x:v>
      </x:c>
      <x:c r="B104" s="217" t="n">
        <x:v>46082</x:v>
      </x:c>
      <x:c r="C104" s="187" t="str">
        <x:v>CHAIN</x:v>
      </x:c>
      <x:c r="D104" s="187" t="str">
        <x:v>VOLUME</x:v>
      </x:c>
      <x:c r="E104" s="187" t="str">
        <x:v>GB</x:v>
      </x:c>
      <x:c r="F104" s="187" t="str">
        <x:v>5550.45852086208000000</x:v>
      </x:c>
      <x:c r="G104" s="235" t="n">
        <x:v>5550.4585</x:v>
      </x:c>
      <x:c r="H104" s="235"/>
      <x:c r="I104" s="229"/>
      <x:c r="J104" s="187"/>
    </x:row>
    <x:row r="105">
      <x:c r="A105" s="187" t="str">
        <x:v>ACTUAL_VS_BUDGET</x:v>
      </x:c>
      <x:c r="B105" s="217" t="n">
        <x:v>46082</x:v>
      </x:c>
      <x:c r="C105" s="187" t="str">
        <x:v>SHAPLEY</x:v>
      </x:c>
      <x:c r="D105" s="187" t="str">
        <x:v>EFFICIENCY</x:v>
      </x:c>
      <x:c r="E105" s="187" t="str">
        <x:v>ALL</x:v>
      </x:c>
      <x:c r="F105" s="187" t="str">
        <x:v>1018.3500007897479859510548339200000000000000000000000000000000000000000000000000</x:v>
      </x:c>
      <x:c r="G105" s="235" t="n">
        <x:v>1018.35</x:v>
      </x:c>
      <x:c r="H105" s="235"/>
      <x:c r="I105" s="229"/>
      <x:c r="J105" s="187"/>
    </x:row>
    <x:row r="106">
      <x:c r="A106" s="187" t="str">
        <x:v>ACTUAL_VS_BUDGET</x:v>
      </x:c>
      <x:c r="B106" s="217" t="n">
        <x:v>46082</x:v>
      </x:c>
      <x:c r="C106" s="187" t="str">
        <x:v>SHAPLEY</x:v>
      </x:c>
      <x:c r="D106" s="187" t="str">
        <x:v>EFFICIENCY</x:v>
      </x:c>
      <x:c r="E106" s="187" t="str">
        <x:v>DE</x:v>
      </x:c>
      <x:c r="F106" s="187" t="str">
        <x:v>288.58862307454016252110108800000000000000000000000000000000000000000000000000000</x:v>
      </x:c>
      <x:c r="G106" s="235" t="n">
        <x:v>288.5886</x:v>
      </x:c>
      <x:c r="H106" s="235"/>
      <x:c r="I106" s="229"/>
      <x:c r="J106" s="187"/>
    </x:row>
    <x:row r="107">
      <x:c r="A107" s="187" t="str">
        <x:v>ACTUAL_VS_BUDGET</x:v>
      </x:c>
      <x:c r="B107" s="217" t="n">
        <x:v>46082</x:v>
      </x:c>
      <x:c r="C107" s="187" t="str">
        <x:v>SHAPLEY</x:v>
      </x:c>
      <x:c r="D107" s="187" t="str">
        <x:v>EFFICIENCY</x:v>
      </x:c>
      <x:c r="E107" s="187" t="str">
        <x:v>FR</x:v>
      </x:c>
      <x:c r="F107" s="187" t="str">
        <x:v>226.15636009758874289711552000000000000000000000000000000000000000000000000000000</x:v>
      </x:c>
      <x:c r="G107" s="235" t="n">
        <x:v>226.1564</x:v>
      </x:c>
      <x:c r="H107" s="235"/>
      <x:c r="I107" s="229"/>
      <x:c r="J107" s="187"/>
    </x:row>
    <x:row r="108">
      <x:c r="A108" s="187" t="str">
        <x:v>ACTUAL_VS_BUDGET</x:v>
      </x:c>
      <x:c r="B108" s="217" t="n">
        <x:v>46082</x:v>
      </x:c>
      <x:c r="C108" s="187" t="str">
        <x:v>SHAPLEY</x:v>
      </x:c>
      <x:c r="D108" s="187" t="str">
        <x:v>EFFICIENCY</x:v>
      </x:c>
      <x:c r="E108" s="187" t="str">
        <x:v>GB</x:v>
      </x:c>
      <x:c r="F108" s="187" t="str">
        <x:v>503.60501761761908053283822592000000000000000000000000000000000000000000000000000</x:v>
      </x:c>
      <x:c r="G108" s="235" t="n">
        <x:v>503.605</x:v>
      </x:c>
      <x:c r="H108" s="235"/>
      <x:c r="I108" s="229"/>
      <x:c r="J108" s="187"/>
    </x:row>
    <x:row r="109">
      <x:c r="A109" s="187" t="str">
        <x:v>ACTUAL_VS_BUDGET</x:v>
      </x:c>
      <x:c r="B109" s="217" t="n">
        <x:v>46082</x:v>
      </x:c>
      <x:c r="C109" s="187" t="str">
        <x:v>SHAPLEY</x:v>
      </x:c>
      <x:c r="D109" s="187" t="str">
        <x:v>FX</x:v>
      </x:c>
      <x:c r="E109" s="187" t="str">
        <x:v>ALL</x:v>
      </x:c>
      <x:c r="F109" s="187" t="str">
        <x:v>2982.8468338831458958409861139200000000000000000000000000000000000000000000000000</x:v>
      </x:c>
      <x:c r="G109" s="235" t="n">
        <x:v>2982.8468</x:v>
      </x:c>
      <x:c r="H109" s="235"/>
      <x:c r="I109" s="229"/>
      <x:c r="J109" s="187"/>
    </x:row>
    <x:row r="110">
      <x:c r="A110" s="187" t="str">
        <x:v>ACTUAL_VS_BUDGET</x:v>
      </x:c>
      <x:c r="B110" s="217" t="n">
        <x:v>46082</x:v>
      </x:c>
      <x:c r="C110" s="187" t="str">
        <x:v>SHAPLEY</x:v>
      </x:c>
      <x:c r="D110" s="187" t="str">
        <x:v>FX</x:v>
      </x:c>
      <x:c r="E110" s="187" t="str">
        <x:v>DE</x:v>
      </x:c>
      <x:c r="F110" s="187" t="str">
        <x:v>488.46337346485799675636068800000000000000000000000000000000000000000000000000000</x:v>
      </x:c>
      <x:c r="G110" s="235" t="n">
        <x:v>488.4634</x:v>
      </x:c>
      <x:c r="H110" s="235"/>
      <x:c r="I110" s="229"/>
      <x:c r="J110" s="187"/>
    </x:row>
    <x:row r="111">
      <x:c r="A111" s="187" t="str">
        <x:v>ACTUAL_VS_BUDGET</x:v>
      </x:c>
      <x:c r="B111" s="217" t="n">
        <x:v>46082</x:v>
      </x:c>
      <x:c r="C111" s="187" t="str">
        <x:v>SHAPLEY</x:v>
      </x:c>
      <x:c r="D111" s="187" t="str">
        <x:v>FX</x:v>
      </x:c>
      <x:c r="E111" s="187" t="str">
        <x:v>FR</x:v>
      </x:c>
      <x:c r="F111" s="187" t="str">
        <x:v>373.59526442045811480689952000000000000000000000000000000000000000000000000000000</x:v>
      </x:c>
      <x:c r="G111" s="235" t="n">
        <x:v>373.5953</x:v>
      </x:c>
      <x:c r="H111" s="235"/>
      <x:c r="I111" s="229"/>
      <x:c r="J111" s="187"/>
    </x:row>
    <x:row r="112">
      <x:c r="A112" s="187" t="str">
        <x:v>ACTUAL_VS_BUDGET</x:v>
      </x:c>
      <x:c r="B112" s="217" t="n">
        <x:v>46082</x:v>
      </x:c>
      <x:c r="C112" s="187" t="str">
        <x:v>SHAPLEY</x:v>
      </x:c>
      <x:c r="D112" s="187" t="str">
        <x:v>FX</x:v>
      </x:c>
      <x:c r="E112" s="187" t="str">
        <x:v>GB</x:v>
      </x:c>
      <x:c r="F112" s="187" t="str">
        <x:v>2120.7881959978297842777259059200000000000000000000000000000000000000000000000000</x:v>
      </x:c>
      <x:c r="G112" s="235" t="n">
        <x:v>2120.7882</x:v>
      </x:c>
      <x:c r="H112" s="235"/>
      <x:c r="I112" s="229"/>
      <x:c r="J112" s="187"/>
    </x:row>
    <x:row r="113">
      <x:c r="A113" s="187" t="str">
        <x:v>ACTUAL_VS_BUDGET</x:v>
      </x:c>
      <x:c r="B113" s="217" t="n">
        <x:v>46082</x:v>
      </x:c>
      <x:c r="C113" s="187" t="str">
        <x:v>SHAPLEY</x:v>
      </x:c>
      <x:c r="D113" s="187" t="str">
        <x:v>MIX</x:v>
      </x:c>
      <x:c r="E113" s="187" t="str">
        <x:v>ALL</x:v>
      </x:c>
      <x:c r="F113" s="187" t="str">
        <x:v>7068.8422867188872579822892339200000000000000000000000000000000000000000000000000</x:v>
      </x:c>
      <x:c r="G113" s="235" t="n">
        <x:v>7068.8423</x:v>
      </x:c>
      <x:c r="H113" s="235"/>
      <x:c r="I113" s="229"/>
      <x:c r="J113" s="187"/>
    </x:row>
    <x:row r="114">
      <x:c r="A114" s="187" t="str">
        <x:v>ACTUAL_VS_BUDGET</x:v>
      </x:c>
      <x:c r="B114" s="217" t="n">
        <x:v>46082</x:v>
      </x:c>
      <x:c r="C114" s="187" t="str">
        <x:v>SHAPLEY</x:v>
      </x:c>
      <x:c r="D114" s="187" t="str">
        <x:v>MIX</x:v>
      </x:c>
      <x:c r="E114" s="187" t="str">
        <x:v>DE</x:v>
      </x:c>
      <x:c r="F114" s="187" t="str">
        <x:v>-912.43005743643775883251891200000000000000000000000000000000000000000000000000000</x:v>
      </x:c>
      <x:c r="G114" s="235" t="n">
        <x:v>-912.4301</x:v>
      </x:c>
      <x:c r="H114" s="235"/>
      <x:c r="I114" s="229"/>
      <x:c r="J114" s="187"/>
    </x:row>
    <x:row r="115">
      <x:c r="A115" s="187" t="str">
        <x:v>ACTUAL_VS_BUDGET</x:v>
      </x:c>
      <x:c r="B115" s="217" t="n">
        <x:v>46082</x:v>
      </x:c>
      <x:c r="C115" s="187" t="str">
        <x:v>SHAPLEY</x:v>
      </x:c>
      <x:c r="D115" s="187" t="str">
        <x:v>MIX</x:v>
      </x:c>
      <x:c r="E115" s="187" t="str">
        <x:v>FR</x:v>
      </x:c>
      <x:c r="F115" s="187" t="str">
        <x:v>-44.869025929639867816084480000000000000000000000000000000000000000000000000000000</x:v>
      </x:c>
      <x:c r="G115" s="235" t="n">
        <x:v>-44.869</x:v>
      </x:c>
      <x:c r="H115" s="235"/>
      <x:c r="I115" s="229"/>
      <x:c r="J115" s="187"/>
    </x:row>
    <x:row r="116">
      <x:c r="A116" s="187" t="str">
        <x:v>ACTUAL_VS_BUDGET</x:v>
      </x:c>
      <x:c r="B116" s="217" t="n">
        <x:v>46082</x:v>
      </x:c>
      <x:c r="C116" s="187" t="str">
        <x:v>SHAPLEY</x:v>
      </x:c>
      <x:c r="D116" s="187" t="str">
        <x:v>MIX</x:v>
      </x:c>
      <x:c r="E116" s="187" t="str">
        <x:v>GB</x:v>
      </x:c>
      <x:c r="F116" s="187" t="str">
        <x:v>8026.1413700849648846308926259200000000000000000000000000000000000000000000000000</x:v>
      </x:c>
      <x:c r="G116" s="235" t="n">
        <x:v>8026.1414</x:v>
      </x:c>
      <x:c r="H116" s="235"/>
      <x:c r="I116" s="229"/>
      <x:c r="J116" s="187"/>
    </x:row>
    <x:row r="117">
      <x:c r="A117" s="187" t="str">
        <x:v>ACTUAL_VS_BUDGET</x:v>
      </x:c>
      <x:c r="B117" s="217" t="n">
        <x:v>46082</x:v>
      </x:c>
      <x:c r="C117" s="187" t="str">
        <x:v>SHAPLEY</x:v>
      </x:c>
      <x:c r="D117" s="187" t="str">
        <x:v>PRICE</x:v>
      </x:c>
      <x:c r="E117" s="187" t="str">
        <x:v>ALL</x:v>
      </x:c>
      <x:c r="F117" s="187" t="str">
        <x:v>3852.4930763874346162070860339200000000000000000000000000000000000000000000000000</x:v>
      </x:c>
      <x:c r="G117" s="235" t="n">
        <x:v>3852.4931</x:v>
      </x:c>
      <x:c r="H117" s="235"/>
      <x:c r="I117" s="229"/>
      <x:c r="J117" s="187"/>
    </x:row>
    <x:row r="118">
      <x:c r="A118" s="187" t="str">
        <x:v>ACTUAL_VS_BUDGET</x:v>
      </x:c>
      <x:c r="B118" s="217" t="n">
        <x:v>46082</x:v>
      </x:c>
      <x:c r="C118" s="187" t="str">
        <x:v>SHAPLEY</x:v>
      </x:c>
      <x:c r="D118" s="187" t="str">
        <x:v>PRICE</x:v>
      </x:c>
      <x:c r="E118" s="187" t="str">
        <x:v>DE</x:v>
      </x:c>
      <x:c r="F118" s="187" t="str">
        <x:v>1169.4076099056894590558810880000000000000000000000000000000000000000000000000000</x:v>
      </x:c>
      <x:c r="G118" s="235" t="n">
        <x:v>1169.4076</x:v>
      </x:c>
      <x:c r="H118" s="235"/>
      <x:c r="I118" s="229"/>
      <x:c r="J118" s="187"/>
    </x:row>
    <x:row r="119">
      <x:c r="A119" s="187" t="str">
        <x:v>ACTUAL_VS_BUDGET</x:v>
      </x:c>
      <x:c r="B119" s="217" t="n">
        <x:v>46082</x:v>
      </x:c>
      <x:c r="C119" s="187" t="str">
        <x:v>SHAPLEY</x:v>
      </x:c>
      <x:c r="D119" s="187" t="str">
        <x:v>PRICE</x:v>
      </x:c>
      <x:c r="E119" s="187" t="str">
        <x:v>FR</x:v>
      </x:c>
      <x:c r="F119" s="187" t="str">
        <x:v>884.87635125045969795831552000000000000000000000000000000000000000000000000000000</x:v>
      </x:c>
      <x:c r="G119" s="235" t="n">
        <x:v>884.8764</x:v>
      </x:c>
      <x:c r="H119" s="235"/>
      <x:c r="I119" s="229"/>
      <x:c r="J119" s="187"/>
    </x:row>
    <x:row r="120">
      <x:c r="A120" s="187" t="str">
        <x:v>ACTUAL_VS_BUDGET</x:v>
      </x:c>
      <x:c r="B120" s="217" t="n">
        <x:v>46082</x:v>
      </x:c>
      <x:c r="C120" s="187" t="str">
        <x:v>SHAPLEY</x:v>
      </x:c>
      <x:c r="D120" s="187" t="str">
        <x:v>PRICE</x:v>
      </x:c>
      <x:c r="E120" s="187" t="str">
        <x:v>GB</x:v>
      </x:c>
      <x:c r="F120" s="187" t="str">
        <x:v>1798.2091152312854591928894259200000000000000000000000000000000000000000000000000</x:v>
      </x:c>
      <x:c r="G120" s="235" t="n">
        <x:v>1798.2091</x:v>
      </x:c>
      <x:c r="H120" s="235"/>
      <x:c r="I120" s="229"/>
      <x:c r="J120" s="187"/>
    </x:row>
    <x:row r="121">
      <x:c r="A121" s="187" t="str">
        <x:v>ACTUAL_VS_BUDGET</x:v>
      </x:c>
      <x:c r="B121" s="217" t="n">
        <x:v>46082</x:v>
      </x:c>
      <x:c r="C121" s="187" t="str">
        <x:v>SHAPLEY</x:v>
      </x:c>
      <x:c r="D121" s="187" t="str">
        <x:v>VOLUME</x:v>
      </x:c>
      <x:c r="E121" s="187" t="str">
        <x:v>ALL</x:v>
      </x:c>
      <x:c r="F121" s="187" t="str">
        <x:v>12339.185025997569882083970913920000000000000000000000000000000000000000000000000</x:v>
      </x:c>
      <x:c r="G121" s="235" t="n">
        <x:v>12339.185</x:v>
      </x:c>
      <x:c r="H121" s="235"/>
      <x:c r="I121" s="229"/>
      <x:c r="J121" s="187"/>
    </x:row>
    <x:row r="122">
      <x:c r="A122" s="187" t="str">
        <x:v>ACTUAL_VS_BUDGET</x:v>
      </x:c>
      <x:c r="B122" s="217" t="n">
        <x:v>46082</x:v>
      </x:c>
      <x:c r="C122" s="187" t="str">
        <x:v>SHAPLEY</x:v>
      </x:c>
      <x:c r="D122" s="187" t="str">
        <x:v>VOLUME</x:v>
      </x:c>
      <x:c r="E122" s="187" t="str">
        <x:v>DE</x:v>
      </x:c>
      <x:c r="F122" s="187" t="str">
        <x:v>3777.1121478166703130326030880000000000000000000000000000000000000000000000000000</x:v>
      </x:c>
      <x:c r="G122" s="235" t="n">
        <x:v>3777.1121</x:v>
      </x:c>
      <x:c r="H122" s="235"/>
      <x:c r="I122" s="229"/>
      <x:c r="J122" s="187"/>
    </x:row>
    <x:row r="123">
      <x:c r="A123" s="187" t="str">
        <x:v>ACTUAL_VS_BUDGET</x:v>
      </x:c>
      <x:c r="B123" s="217" t="n">
        <x:v>46082</x:v>
      </x:c>
      <x:c r="C123" s="187" t="str">
        <x:v>SHAPLEY</x:v>
      </x:c>
      <x:c r="D123" s="187" t="str">
        <x:v>VOLUME</x:v>
      </x:c>
      <x:c r="E123" s="187" t="str">
        <x:v>FR</x:v>
      </x:c>
      <x:c r="F123" s="187" t="str">
        <x:v>2888.8597810789028311601955200000000000000000000000000000000000000000000000000000</x:v>
      </x:c>
      <x:c r="G123" s="235" t="n">
        <x:v>2888.8598</x:v>
      </x:c>
      <x:c r="H123" s="235"/>
      <x:c r="I123" s="229"/>
      <x:c r="J123" s="187"/>
    </x:row>
    <x:row r="124">
      <x:c r="A124" s="187" t="str">
        <x:v>ACTUAL_VS_BUDGET</x:v>
      </x:c>
      <x:c r="B124" s="217" t="n">
        <x:v>46082</x:v>
      </x:c>
      <x:c r="C124" s="187" t="str">
        <x:v>SHAPLEY</x:v>
      </x:c>
      <x:c r="D124" s="187" t="str">
        <x:v>VOLUME</x:v>
      </x:c>
      <x:c r="E124" s="187" t="str">
        <x:v>GB</x:v>
      </x:c>
      <x:c r="F124" s="187" t="str">
        <x:v>5673.2130971019967378911723059200000000000000000000000000000000000000000000000000</x:v>
      </x:c>
      <x:c r="G124" s="235" t="n">
        <x:v>5673.2131</x:v>
      </x:c>
      <x:c r="H124" s="235"/>
      <x:c r="I124" s="229"/>
      <x:c r="J124" s="187"/>
    </x:row>
    <x:row r="125">
      <x:c r="A125" s="187" t="str">
        <x:v>ACTUAL_VS_BUDGET</x:v>
      </x:c>
      <x:c r="B125" s="217" t="n">
        <x:v>46113</x:v>
      </x:c>
      <x:c r="C125" s="187" t="str">
        <x:v>CHAIN</x:v>
      </x:c>
      <x:c r="D125" s="187" t="str">
        <x:v>EFFICIENCY</x:v>
      </x:c>
      <x:c r="E125" s="187" t="str">
        <x:v>ALL</x:v>
      </x:c>
      <x:c r="F125" s="187" t="str">
        <x:v>1537.114342926869455680000000</x:v>
      </x:c>
      <x:c r="G125" s="235" t="n">
        <x:v>1537.1143</x:v>
      </x:c>
      <x:c r="H125" s="235" t="n">
        <x:v>9.981735070542678</x:v>
      </x:c>
      <x:c r="I125" s="229" t="n">
        <x:v>0.00033632343007491093</x:v>
      </x:c>
      <x:c r="J125" s="254" t="b">
        <x:v>0</x:v>
      </x:c>
    </x:row>
    <x:row r="126">
      <x:c r="A126" s="187" t="str">
        <x:v>ACTUAL_VS_BUDGET</x:v>
      </x:c>
      <x:c r="B126" s="217" t="n">
        <x:v>46113</x:v>
      </x:c>
      <x:c r="C126" s="187" t="str">
        <x:v>CHAIN</x:v>
      </x:c>
      <x:c r="D126" s="187" t="str">
        <x:v>EFFICIENCY</x:v>
      </x:c>
      <x:c r="E126" s="187" t="str">
        <x:v>DE</x:v>
      </x:c>
      <x:c r="F126" s="187" t="str">
        <x:v>432.217275248023293600000000</x:v>
      </x:c>
      <x:c r="G126" s="235" t="n">
        <x:v>432.2173</x:v>
      </x:c>
      <x:c r="H126" s="235"/>
      <x:c r="I126" s="229"/>
      <x:c r="J126" s="187"/>
    </x:row>
    <x:row r="127">
      <x:c r="A127" s="187" t="str">
        <x:v>ACTUAL_VS_BUDGET</x:v>
      </x:c>
      <x:c r="B127" s="217" t="n">
        <x:v>46113</x:v>
      </x:c>
      <x:c r="C127" s="187" t="str">
        <x:v>CHAIN</x:v>
      </x:c>
      <x:c r="D127" s="187" t="str">
        <x:v>EFFICIENCY</x:v>
      </x:c>
      <x:c r="E127" s="187" t="str">
        <x:v>FR</x:v>
      </x:c>
      <x:c r="F127" s="187" t="str">
        <x:v>340.0375583569620240000000</x:v>
      </x:c>
      <x:c r="G127" s="235" t="n">
        <x:v>340.0376</x:v>
      </x:c>
      <x:c r="H127" s="235"/>
      <x:c r="I127" s="229"/>
      <x:c r="J127" s="187"/>
    </x:row>
    <x:row r="128">
      <x:c r="A128" s="187" t="str">
        <x:v>ACTUAL_VS_BUDGET</x:v>
      </x:c>
      <x:c r="B128" s="217" t="n">
        <x:v>46113</x:v>
      </x:c>
      <x:c r="C128" s="187" t="str">
        <x:v>CHAIN</x:v>
      </x:c>
      <x:c r="D128" s="187" t="str">
        <x:v>EFFICIENCY</x:v>
      </x:c>
      <x:c r="E128" s="187" t="str">
        <x:v>GB</x:v>
      </x:c>
      <x:c r="F128" s="187" t="str">
        <x:v>764.859509321884138080000000</x:v>
      </x:c>
      <x:c r="G128" s="235" t="n">
        <x:v>764.8595</x:v>
      </x:c>
      <x:c r="H128" s="235"/>
      <x:c r="I128" s="229"/>
      <x:c r="J128" s="187"/>
    </x:row>
    <x:row r="129">
      <x:c r="A129" s="187" t="str">
        <x:v>ACTUAL_VS_BUDGET</x:v>
      </x:c>
      <x:c r="B129" s="217" t="n">
        <x:v>46113</x:v>
      </x:c>
      <x:c r="C129" s="187" t="str">
        <x:v>CHAIN</x:v>
      </x:c>
      <x:c r="D129" s="187" t="str">
        <x:v>FX</x:v>
      </x:c>
      <x:c r="E129" s="187" t="str">
        <x:v>ALL</x:v>
      </x:c>
      <x:c r="F129" s="187" t="str">
        <x:v>5001.697643975873436322647244800000</x:v>
      </x:c>
      <x:c r="G129" s="235" t="n">
        <x:v>5001.6976</x:v>
      </x:c>
      <x:c r="H129" s="235" t="n">
        <x:v>105.36371875788859</x:v>
      </x:c>
      <x:c r="I129" s="229" t="n">
        <x:v>0.003550112986135862</x:v>
      </x:c>
      <x:c r="J129" s="254" t="b">
        <x:v>0</x:v>
      </x:c>
    </x:row>
    <x:row r="130">
      <x:c r="A130" s="187" t="str">
        <x:v>ACTUAL_VS_BUDGET</x:v>
      </x:c>
      <x:c r="B130" s="217" t="n">
        <x:v>46113</x:v>
      </x:c>
      <x:c r="C130" s="187" t="str">
        <x:v>CHAIN</x:v>
      </x:c>
      <x:c r="D130" s="187" t="str">
        <x:v>FX</x:v>
      </x:c>
      <x:c r="E130" s="187" t="str">
        <x:v>DE</x:v>
      </x:c>
      <x:c r="F130" s="187" t="str">
        <x:v>1025.627995121574956935864320000000</x:v>
      </x:c>
      <x:c r="G130" s="235" t="n">
        <x:v>1025.628</x:v>
      </x:c>
      <x:c r="H130" s="235"/>
      <x:c r="I130" s="229"/>
      <x:c r="J130" s="187"/>
    </x:row>
    <x:row r="131">
      <x:c r="A131" s="187" t="str">
        <x:v>ACTUAL_VS_BUDGET</x:v>
      </x:c>
      <x:c r="B131" s="217" t="n">
        <x:v>46113</x:v>
      </x:c>
      <x:c r="C131" s="187" t="str">
        <x:v>CHAIN</x:v>
      </x:c>
      <x:c r="D131" s="187" t="str">
        <x:v>FX</x:v>
      </x:c>
      <x:c r="E131" s="187" t="str">
        <x:v>FR</x:v>
      </x:c>
      <x:c r="F131" s="187" t="str">
        <x:v>789.1131750640126490492928000000</x:v>
      </x:c>
      <x:c r="G131" s="235" t="n">
        <x:v>789.1132</x:v>
      </x:c>
      <x:c r="H131" s="235"/>
      <x:c r="I131" s="229"/>
      <x:c r="J131" s="187"/>
    </x:row>
    <x:row r="132">
      <x:c r="A132" s="187" t="str">
        <x:v>ACTUAL_VS_BUDGET</x:v>
      </x:c>
      <x:c r="B132" s="217" t="n">
        <x:v>46113</x:v>
      </x:c>
      <x:c r="C132" s="187" t="str">
        <x:v>CHAIN</x:v>
      </x:c>
      <x:c r="D132" s="187" t="str">
        <x:v>FX</x:v>
      </x:c>
      <x:c r="E132" s="187" t="str">
        <x:v>GB</x:v>
      </x:c>
      <x:c r="F132" s="187" t="str">
        <x:v>3186.956473790285830337490124800000</x:v>
      </x:c>
      <x:c r="G132" s="235" t="n">
        <x:v>3186.9565</x:v>
      </x:c>
      <x:c r="H132" s="235"/>
      <x:c r="I132" s="229"/>
      <x:c r="J132" s="187"/>
    </x:row>
    <x:row r="133">
      <x:c r="A133" s="187" t="str">
        <x:v>ACTUAL_VS_BUDGET</x:v>
      </x:c>
      <x:c r="B133" s="217" t="n">
        <x:v>46113</x:v>
      </x:c>
      <x:c r="C133" s="187" t="str">
        <x:v>CHAIN</x:v>
      </x:c>
      <x:c r="D133" s="187" t="str">
        <x:v>MIX</x:v>
      </x:c>
      <x:c r="E133" s="187" t="str">
        <x:v>ALL</x:v>
      </x:c>
      <x:c r="F133" s="187" t="str">
        <x:v>5579.956296452247360000000</x:v>
      </x:c>
      <x:c r="G133" s="235" t="n">
        <x:v>5579.9563</x:v>
      </x:c>
      <x:c r="H133" s="235" t="n">
        <x:v>9.608546311004947</x:v>
      </x:c>
      <x:c r="I133" s="229" t="n">
        <x:v>0.00032374925105832573</x:v>
      </x:c>
      <x:c r="J133" s="254" t="b">
        <x:v>0</x:v>
      </x:c>
    </x:row>
    <x:row r="134">
      <x:c r="A134" s="187" t="str">
        <x:v>ACTUAL_VS_BUDGET</x:v>
      </x:c>
      <x:c r="B134" s="217" t="n">
        <x:v>46113</x:v>
      </x:c>
      <x:c r="C134" s="187" t="str">
        <x:v>CHAIN</x:v>
      </x:c>
      <x:c r="D134" s="187" t="str">
        <x:v>MIX</x:v>
      </x:c>
      <x:c r="E134" s="187" t="str">
        <x:v>DE</x:v>
      </x:c>
      <x:c r="F134" s="187" t="str">
        <x:v>-449.543330428576800000000</x:v>
      </x:c>
      <x:c r="G134" s="235" t="n">
        <x:v>-449.5433</x:v>
      </x:c>
      <x:c r="H134" s="235"/>
      <x:c r="I134" s="229"/>
      <x:c r="J134" s="187"/>
    </x:row>
    <x:row r="135">
      <x:c r="A135" s="187" t="str">
        <x:v>ACTUAL_VS_BUDGET</x:v>
      </x:c>
      <x:c r="B135" s="217" t="n">
        <x:v>46113</x:v>
      </x:c>
      <x:c r="C135" s="187" t="str">
        <x:v>CHAIN</x:v>
      </x:c>
      <x:c r="D135" s="187" t="str">
        <x:v>MIX</x:v>
      </x:c>
      <x:c r="E135" s="187" t="str">
        <x:v>FR</x:v>
      </x:c>
      <x:c r="F135" s="187" t="str">
        <x:v>902.2366898684880000000</x:v>
      </x:c>
      <x:c r="G135" s="235" t="n">
        <x:v>902.2367</x:v>
      </x:c>
      <x:c r="H135" s="235"/>
      <x:c r="I135" s="229"/>
      <x:c r="J135" s="187"/>
    </x:row>
    <x:row r="136">
      <x:c r="A136" s="187" t="str">
        <x:v>ACTUAL_VS_BUDGET</x:v>
      </x:c>
      <x:c r="B136" s="217" t="n">
        <x:v>46113</x:v>
      </x:c>
      <x:c r="C136" s="187" t="str">
        <x:v>CHAIN</x:v>
      </x:c>
      <x:c r="D136" s="187" t="str">
        <x:v>MIX</x:v>
      </x:c>
      <x:c r="E136" s="187" t="str">
        <x:v>GB</x:v>
      </x:c>
      <x:c r="F136" s="187" t="str">
        <x:v>5127.262937012336160000000</x:v>
      </x:c>
      <x:c r="G136" s="235" t="n">
        <x:v>5127.2629</x:v>
      </x:c>
      <x:c r="H136" s="235"/>
      <x:c r="I136" s="229"/>
      <x:c r="J136" s="187"/>
    </x:row>
    <x:row r="137">
      <x:c r="A137" s="187" t="str">
        <x:v>ACTUAL_VS_BUDGET</x:v>
      </x:c>
      <x:c r="B137" s="217" t="n">
        <x:v>46113</x:v>
      </x:c>
      <x:c r="C137" s="187" t="str">
        <x:v>CHAIN</x:v>
      </x:c>
      <x:c r="D137" s="187" t="str">
        <x:v>PRICE</x:v>
      </x:c>
      <x:c r="E137" s="187" t="str">
        <x:v>ALL</x:v>
      </x:c>
      <x:c r="F137" s="187" t="str">
        <x:v>5368.268737824133448376299520000000</x:v>
      </x:c>
      <x:c r="G137" s="235" t="n">
        <x:v>5368.2687</x:v>
      </x:c>
      <x:c r="H137" s="235" t="n">
        <x:v>59.66922066994719</x:v>
      </x:c>
      <x:c r="I137" s="229" t="n">
        <x:v>0.002010487838415688</x:v>
      </x:c>
      <x:c r="J137" s="254" t="b">
        <x:v>0</x:v>
      </x:c>
    </x:row>
    <x:row r="138">
      <x:c r="A138" s="187" t="str">
        <x:v>ACTUAL_VS_BUDGET</x:v>
      </x:c>
      <x:c r="B138" s="217" t="n">
        <x:v>46113</x:v>
      </x:c>
      <x:c r="C138" s="187" t="str">
        <x:v>CHAIN</x:v>
      </x:c>
      <x:c r="D138" s="187" t="str">
        <x:v>PRICE</x:v>
      </x:c>
      <x:c r="E138" s="187" t="str">
        <x:v>DE</x:v>
      </x:c>
      <x:c r="F138" s="187" t="str">
        <x:v>1626.685838895670108893542400000000</x:v>
      </x:c>
      <x:c r="G138" s="235" t="n">
        <x:v>1626.6858</x:v>
      </x:c>
      <x:c r="H138" s="235"/>
      <x:c r="I138" s="229"/>
      <x:c r="J138" s="187"/>
    </x:row>
    <x:row r="139">
      <x:c r="A139" s="187" t="str">
        <x:v>ACTUAL_VS_BUDGET</x:v>
      </x:c>
      <x:c r="B139" s="217" t="n">
        <x:v>46113</x:v>
      </x:c>
      <x:c r="C139" s="187" t="str">
        <x:v>CHAIN</x:v>
      </x:c>
      <x:c r="D139" s="187" t="str">
        <x:v>PRICE</x:v>
      </x:c>
      <x:c r="E139" s="187" t="str">
        <x:v>FR</x:v>
      </x:c>
      <x:c r="F139" s="187" t="str">
        <x:v>1238.2471319450165406120960000000</x:v>
      </x:c>
      <x:c r="G139" s="235" t="n">
        <x:v>1238.2471</x:v>
      </x:c>
      <x:c r="H139" s="235"/>
      <x:c r="I139" s="229"/>
      <x:c r="J139" s="187"/>
    </x:row>
    <x:row r="140">
      <x:c r="A140" s="187" t="str">
        <x:v>ACTUAL_VS_BUDGET</x:v>
      </x:c>
      <x:c r="B140" s="217" t="n">
        <x:v>46113</x:v>
      </x:c>
      <x:c r="C140" s="187" t="str">
        <x:v>CHAIN</x:v>
      </x:c>
      <x:c r="D140" s="187" t="str">
        <x:v>PRICE</x:v>
      </x:c>
      <x:c r="E140" s="187" t="str">
        <x:v>GB</x:v>
      </x:c>
      <x:c r="F140" s="187" t="str">
        <x:v>2503.335766983446798870661120000000</x:v>
      </x:c>
      <x:c r="G140" s="235" t="n">
        <x:v>2503.3358</x:v>
      </x:c>
      <x:c r="H140" s="235"/>
      <x:c r="I140" s="229"/>
      <x:c r="J140" s="187"/>
    </x:row>
    <x:row r="141">
      <x:c r="A141" s="187" t="str">
        <x:v>ACTUAL_VS_BUDGET</x:v>
      </x:c>
      <x:c r="B141" s="217" t="n">
        <x:v>46113</x:v>
      </x:c>
      <x:c r="C141" s="187" t="str">
        <x:v>CHAIN</x:v>
      </x:c>
      <x:c r="D141" s="187" t="str">
        <x:v>VOLUME</x:v>
      </x:c>
      <x:c r="E141" s="187" t="str">
        <x:v>ALL</x:v>
      </x:c>
      <x:c r="F141" s="187" t="str">
        <x:v>12191.93916052608000000</x:v>
      </x:c>
      <x:c r="G141" s="235" t="n">
        <x:v>12191.9392</x:v>
      </x:c>
      <x:c r="H141" s="235" t="n">
        <x:v>165.4061281873735</x:v>
      </x:c>
      <x:c r="I141" s="229" t="n">
        <x:v>0.005573175003568135</x:v>
      </x:c>
      <x:c r="J141" s="254" t="b">
        <x:v>0</x:v>
      </x:c>
    </x:row>
    <x:row r="142">
      <x:c r="A142" s="187" t="str">
        <x:v>ACTUAL_VS_BUDGET</x:v>
      </x:c>
      <x:c r="B142" s="217" t="n">
        <x:v>46113</x:v>
      </x:c>
      <x:c r="C142" s="187" t="str">
        <x:v>CHAIN</x:v>
      </x:c>
      <x:c r="D142" s="187" t="str">
        <x:v>VOLUME</x:v>
      </x:c>
      <x:c r="E142" s="187" t="str">
        <x:v>DE</x:v>
      </x:c>
      <x:c r="F142" s="187" t="str">
        <x:v>3766.86264427200000000</x:v>
      </x:c>
      <x:c r="G142" s="235" t="n">
        <x:v>3766.8626</x:v>
      </x:c>
      <x:c r="H142" s="235"/>
      <x:c r="I142" s="229"/>
      <x:c r="J142" s="187"/>
    </x:row>
    <x:row r="143">
      <x:c r="A143" s="187" t="str">
        <x:v>ACTUAL_VS_BUDGET</x:v>
      </x:c>
      <x:c r="B143" s="217" t="n">
        <x:v>46113</x:v>
      </x:c>
      <x:c r="C143" s="187" t="str">
        <x:v>CHAIN</x:v>
      </x:c>
      <x:c r="D143" s="187" t="str">
        <x:v>VOLUME</x:v>
      </x:c>
      <x:c r="E143" s="187" t="str">
        <x:v>FR</x:v>
      </x:c>
      <x:c r="F143" s="187" t="str">
        <x:v>2874.617995392000000</x:v>
      </x:c>
      <x:c r="G143" s="235" t="n">
        <x:v>2874.618</x:v>
      </x:c>
      <x:c r="H143" s="235"/>
      <x:c r="I143" s="229"/>
      <x:c r="J143" s="187"/>
    </x:row>
    <x:row r="144">
      <x:c r="A144" s="187" t="str">
        <x:v>ACTUAL_VS_BUDGET</x:v>
      </x:c>
      <x:c r="B144" s="217" t="n">
        <x:v>46113</x:v>
      </x:c>
      <x:c r="C144" s="187" t="str">
        <x:v>CHAIN</x:v>
      </x:c>
      <x:c r="D144" s="187" t="str">
        <x:v>VOLUME</x:v>
      </x:c>
      <x:c r="E144" s="187" t="str">
        <x:v>GB</x:v>
      </x:c>
      <x:c r="F144" s="187" t="str">
        <x:v>5550.45852086208000000</x:v>
      </x:c>
      <x:c r="G144" s="235" t="n">
        <x:v>5550.4585</x:v>
      </x:c>
      <x:c r="H144" s="235"/>
      <x:c r="I144" s="229"/>
      <x:c r="J144" s="187"/>
    </x:row>
    <x:row r="145">
      <x:c r="A145" s="187" t="str">
        <x:v>ACTUAL_VS_BUDGET</x:v>
      </x:c>
      <x:c r="B145" s="217" t="n">
        <x:v>46113</x:v>
      </x:c>
      <x:c r="C145" s="187" t="str">
        <x:v>SHAPLEY</x:v>
      </x:c>
      <x:c r="D145" s="187" t="str">
        <x:v>EFFICIENCY</x:v>
      </x:c>
      <x:c r="E145" s="187" t="str">
        <x:v>ALL</x:v>
      </x:c>
      <x:c r="F145" s="187" t="str">
        <x:v>1527.1326078563267785768015940266666666666666666666666666666666666666666666666667</x:v>
      </x:c>
      <x:c r="G145" s="235" t="n">
        <x:v>1527.1326</x:v>
      </x:c>
      <x:c r="H145" s="235"/>
      <x:c r="I145" s="229"/>
      <x:c r="J145" s="187"/>
    </x:row>
    <x:row r="146">
      <x:c r="A146" s="187" t="str">
        <x:v>ACTUAL_VS_BUDGET</x:v>
      </x:c>
      <x:c r="B146" s="217" t="n">
        <x:v>46113</x:v>
      </x:c>
      <x:c r="C146" s="187" t="str">
        <x:v>SHAPLEY</x:v>
      </x:c>
      <x:c r="D146" s="187" t="str">
        <x:v>EFFICIENCY</x:v>
      </x:c>
      <x:c r="E146" s="187" t="str">
        <x:v>DE</x:v>
      </x:c>
      <x:c r="F146" s="187" t="str">
        <x:v>431.26427684481060674691302400000000000000000000000000000000000000000000000000000</x:v>
      </x:c>
      <x:c r="G146" s="235" t="n">
        <x:v>431.2643</x:v>
      </x:c>
      <x:c r="H146" s="235"/>
      <x:c r="I146" s="229"/>
      <x:c r="J146" s="187"/>
    </x:row>
    <x:row r="147">
      <x:c r="A147" s="187" t="str">
        <x:v>ACTUAL_VS_BUDGET</x:v>
      </x:c>
      <x:c r="B147" s="217" t="n">
        <x:v>46113</x:v>
      </x:c>
      <x:c r="C147" s="187" t="str">
        <x:v>SHAPLEY</x:v>
      </x:c>
      <x:c r="D147" s="187" t="str">
        <x:v>EFFICIENCY</x:v>
      </x:c>
      <x:c r="E147" s="187" t="str">
        <x:v>FR</x:v>
      </x:c>
      <x:c r="F147" s="187" t="str">
        <x:v>337.89579059695973510325162666666666666666666666666666666666666666666666666666666</x:v>
      </x:c>
      <x:c r="G147" s="235" t="n">
        <x:v>337.8958</x:v>
      </x:c>
      <x:c r="H147" s="235"/>
      <x:c r="I147" s="229"/>
      <x:c r="J147" s="187"/>
    </x:row>
    <x:row r="148">
      <x:c r="A148" s="187" t="str">
        <x:v>ACTUAL_VS_BUDGET</x:v>
      </x:c>
      <x:c r="B148" s="217" t="n">
        <x:v>46113</x:v>
      </x:c>
      <x:c r="C148" s="187" t="str">
        <x:v>SHAPLEY</x:v>
      </x:c>
      <x:c r="D148" s="187" t="str">
        <x:v>EFFICIENCY</x:v>
      </x:c>
      <x:c r="E148" s="187" t="str">
        <x:v>GB</x:v>
      </x:c>
      <x:c r="F148" s="187" t="str">
        <x:v>757.97254041455643672663694336000000000000000000000000000000000000000000000000000</x:v>
      </x:c>
      <x:c r="G148" s="235" t="n">
        <x:v>757.9725</x:v>
      </x:c>
      <x:c r="H148" s="235"/>
      <x:c r="I148" s="229"/>
      <x:c r="J148" s="187"/>
    </x:row>
    <x:row r="149">
      <x:c r="A149" s="187" t="str">
        <x:v>ACTUAL_VS_BUDGET</x:v>
      </x:c>
      <x:c r="B149" s="217" t="n">
        <x:v>46113</x:v>
      </x:c>
      <x:c r="C149" s="187" t="str">
        <x:v>SHAPLEY</x:v>
      </x:c>
      <x:c r="D149" s="187" t="str">
        <x:v>FX</x:v>
      </x:c>
      <x:c r="E149" s="187" t="str">
        <x:v>ALL</x:v>
      </x:c>
      <x:c r="F149" s="187" t="str">
        <x:v>4896.3339252179848480996781806933333333333333333333333333333333333333333333333333</x:v>
      </x:c>
      <x:c r="G149" s="235" t="n">
        <x:v>4896.3339</x:v>
      </x:c>
      <x:c r="H149" s="235"/>
      <x:c r="I149" s="229"/>
      <x:c r="J149" s="187"/>
    </x:row>
    <x:row r="150">
      <x:c r="A150" s="187" t="str">
        <x:v>ACTUAL_VS_BUDGET</x:v>
      </x:c>
      <x:c r="B150" s="217" t="n">
        <x:v>46113</x:v>
      </x:c>
      <x:c r="C150" s="187" t="str">
        <x:v>SHAPLEY</x:v>
      </x:c>
      <x:c r="D150" s="187" t="str">
        <x:v>FX</x:v>
      </x:c>
      <x:c r="E150" s="187" t="str">
        <x:v>DE</x:v>
      </x:c>
      <x:c r="F150" s="187" t="str">
        <x:v>1011.8171656048698430615220906666666666666666666666666666666666666666666666666667</x:v>
      </x:c>
      <x:c r="G150" s="235" t="n">
        <x:v>1011.8172</x:v>
      </x:c>
      <x:c r="H150" s="235"/>
      <x:c r="I150" s="229"/>
      <x:c r="J150" s="187"/>
    </x:row>
    <x:row r="151">
      <x:c r="A151" s="187" t="str">
        <x:v>ACTUAL_VS_BUDGET</x:v>
      </x:c>
      <x:c r="B151" s="217" t="n">
        <x:v>46113</x:v>
      </x:c>
      <x:c r="C151" s="187" t="str">
        <x:v>SHAPLEY</x:v>
      </x:c>
      <x:c r="D151" s="187" t="str">
        <x:v>FX</x:v>
      </x:c>
      <x:c r="E151" s="187" t="str">
        <x:v>FR</x:v>
      </x:c>
      <x:c r="F151" s="187" t="str">
        <x:v>775.33122820268183424601429333333333333333333333333333333333333333333333333333332</x:v>
      </x:c>
      <x:c r="G151" s="235" t="n">
        <x:v>775.3312</x:v>
      </x:c>
      <x:c r="H151" s="235"/>
      <x:c r="I151" s="229"/>
      <x:c r="J151" s="187"/>
    </x:row>
    <x:row r="152">
      <x:c r="A152" s="187" t="str">
        <x:v>ACTUAL_VS_BUDGET</x:v>
      </x:c>
      <x:c r="B152" s="217" t="n">
        <x:v>46113</x:v>
      </x:c>
      <x:c r="C152" s="187" t="str">
        <x:v>SHAPLEY</x:v>
      </x:c>
      <x:c r="D152" s="187" t="str">
        <x:v>FX</x:v>
      </x:c>
      <x:c r="E152" s="187" t="str">
        <x:v>GB</x:v>
      </x:c>
      <x:c r="F152" s="187" t="str">
        <x:v>3109.1855314104331707921417966933333333333333333333333333333333333333333333333334</x:v>
      </x:c>
      <x:c r="G152" s="235" t="n">
        <x:v>3109.1855</x:v>
      </x:c>
      <x:c r="H152" s="235"/>
      <x:c r="I152" s="229"/>
      <x:c r="J152" s="187"/>
    </x:row>
    <x:row r="153">
      <x:c r="A153" s="187" t="str">
        <x:v>ACTUAL_VS_BUDGET</x:v>
      </x:c>
      <x:c r="B153" s="217" t="n">
        <x:v>46113</x:v>
      </x:c>
      <x:c r="C153" s="187" t="str">
        <x:v>SHAPLEY</x:v>
      </x:c>
      <x:c r="D153" s="187" t="str">
        <x:v>MIX</x:v>
      </x:c>
      <x:c r="E153" s="187" t="str">
        <x:v>ALL</x:v>
      </x:c>
      <x:c r="F153" s="187" t="str">
        <x:v>5589.5648427632523073187237273600000000000000000000000000000000000000000000000000</x:v>
      </x:c>
      <x:c r="G153" s="235" t="n">
        <x:v>5589.5648</x:v>
      </x:c>
      <x:c r="H153" s="235"/>
      <x:c r="I153" s="229"/>
      <x:c r="J153" s="187"/>
    </x:row>
    <x:row r="154">
      <x:c r="A154" s="187" t="str">
        <x:v>ACTUAL_VS_BUDGET</x:v>
      </x:c>
      <x:c r="B154" s="217" t="n">
        <x:v>46113</x:v>
      </x:c>
      <x:c r="C154" s="187" t="str">
        <x:v>SHAPLEY</x:v>
      </x:c>
      <x:c r="D154" s="187" t="str">
        <x:v>MIX</x:v>
      </x:c>
      <x:c r="E154" s="187" t="str">
        <x:v>DE</x:v>
      </x:c>
      <x:c r="F154" s="187" t="str">
        <x:v>-448.48323254498403841106030933333333333333333333333333333333333333333333333333334</x:v>
      </x:c>
      <x:c r="G154" s="235" t="n">
        <x:v>-448.4832</x:v>
      </x:c>
      <x:c r="H154" s="235"/>
      <x:c r="I154" s="229"/>
      <x:c r="J154" s="187"/>
    </x:row>
    <x:row r="155">
      <x:c r="A155" s="187" t="str">
        <x:v>ACTUAL_VS_BUDGET</x:v>
      </x:c>
      <x:c r="B155" s="217" t="n">
        <x:v>46113</x:v>
      </x:c>
      <x:c r="C155" s="187" t="str">
        <x:v>SHAPLEY</x:v>
      </x:c>
      <x:c r="D155" s="187" t="str">
        <x:v>MIX</x:v>
      </x:c>
      <x:c r="E155" s="187" t="str">
        <x:v>FR</x:v>
      </x:c>
      <x:c r="F155" s="187" t="str">
        <x:v>900.81138452298707275018495999999999999999999999999999999999999999999999999999999</x:v>
      </x:c>
      <x:c r="G155" s="235" t="n">
        <x:v>900.8114</x:v>
      </x:c>
      <x:c r="H155" s="235"/>
      <x:c r="I155" s="229"/>
      <x:c r="J155" s="187"/>
    </x:row>
    <x:row r="156">
      <x:c r="A156" s="187" t="str">
        <x:v>ACTUAL_VS_BUDGET</x:v>
      </x:c>
      <x:c r="B156" s="217" t="n">
        <x:v>46113</x:v>
      </x:c>
      <x:c r="C156" s="187" t="str">
        <x:v>SHAPLEY</x:v>
      </x:c>
      <x:c r="D156" s="187" t="str">
        <x:v>MIX</x:v>
      </x:c>
      <x:c r="E156" s="187" t="str">
        <x:v>GB</x:v>
      </x:c>
      <x:c r="F156" s="187" t="str">
        <x:v>5137.2366907852492729795990766933333333333333333333333333333333333333333333333334</x:v>
      </x:c>
      <x:c r="G156" s="235" t="n">
        <x:v>5137.2367</x:v>
      </x:c>
      <x:c r="H156" s="235"/>
      <x:c r="I156" s="229"/>
      <x:c r="J156" s="187"/>
    </x:row>
    <x:row r="157">
      <x:c r="A157" s="187" t="str">
        <x:v>ACTUAL_VS_BUDGET</x:v>
      </x:c>
      <x:c r="B157" s="217" t="n">
        <x:v>46113</x:v>
      </x:c>
      <x:c r="C157" s="187" t="str">
        <x:v>SHAPLEY</x:v>
      </x:c>
      <x:c r="D157" s="187" t="str">
        <x:v>PRICE</x:v>
      </x:c>
      <x:c r="E157" s="187" t="str">
        <x:v>ALL</x:v>
      </x:c>
      <x:c r="F157" s="187" t="str">
        <x:v>5308.5995171541862612477733273599999999999999999999999999999999999999999999999998</x:v>
      </x:c>
      <x:c r="G157" s="235" t="n">
        <x:v>5308.5995</x:v>
      </x:c>
      <x:c r="H157" s="235"/>
      <x:c r="I157" s="229"/>
      <x:c r="J157" s="187"/>
    </x:row>
    <x:row r="158">
      <x:c r="A158" s="187" t="str">
        <x:v>ACTUAL_VS_BUDGET</x:v>
      </x:c>
      <x:c r="B158" s="217" t="n">
        <x:v>46113</x:v>
      </x:c>
      <x:c r="C158" s="187" t="str">
        <x:v>SHAPLEY</x:v>
      </x:c>
      <x:c r="D158" s="187" t="str">
        <x:v>PRICE</x:v>
      </x:c>
      <x:c r="E158" s="187" t="str">
        <x:v>DE</x:v>
      </x:c>
      <x:c r="F158" s="187" t="str">
        <x:v>1615.3982044804602207497396906666666666666666666666666666666666666666666666666666</x:v>
      </x:c>
      <x:c r="G158" s="235" t="n">
        <x:v>1615.3982</x:v>
      </x:c>
      <x:c r="H158" s="235"/>
      <x:c r="I158" s="229"/>
      <x:c r="J158" s="187"/>
    </x:row>
    <x:row r="159">
      <x:c r="A159" s="187" t="str">
        <x:v>ACTUAL_VS_BUDGET</x:v>
      </x:c>
      <x:c r="B159" s="217" t="n">
        <x:v>46113</x:v>
      </x:c>
      <x:c r="C159" s="187" t="str">
        <x:v>SHAPLEY</x:v>
      </x:c>
      <x:c r="D159" s="187" t="str">
        <x:v>PRICE</x:v>
      </x:c>
      <x:c r="E159" s="187" t="str">
        <x:v>FR</x:v>
      </x:c>
      <x:c r="F159" s="187" t="str">
        <x:v>1224.6351665136536274429849599999999999999999999999999999999999999999999999999999</x:v>
      </x:c>
      <x:c r="G159" s="235" t="n">
        <x:v>1224.6352</x:v>
      </x:c>
      <x:c r="H159" s="235"/>
      <x:c r="I159" s="229"/>
      <x:c r="J159" s="187"/>
    </x:row>
    <x:row r="160">
      <x:c r="A160" s="187" t="str">
        <x:v>ACTUAL_VS_BUDGET</x:v>
      </x:c>
      <x:c r="B160" s="217" t="n">
        <x:v>46113</x:v>
      </x:c>
      <x:c r="C160" s="187" t="str">
        <x:v>SHAPLEY</x:v>
      </x:c>
      <x:c r="D160" s="187" t="str">
        <x:v>PRICE</x:v>
      </x:c>
      <x:c r="E160" s="187" t="str">
        <x:v>GB</x:v>
      </x:c>
      <x:c r="F160" s="187" t="str">
        <x:v>2468.5661461600724130550486766933333333333333333333333333333333333333333333333334</x:v>
      </x:c>
      <x:c r="G160" s="235" t="n">
        <x:v>2468.5661</x:v>
      </x:c>
      <x:c r="H160" s="235"/>
      <x:c r="I160" s="229"/>
      <x:c r="J160" s="187"/>
    </x:row>
    <x:row r="161">
      <x:c r="A161" s="187" t="str">
        <x:v>ACTUAL_VS_BUDGET</x:v>
      </x:c>
      <x:c r="B161" s="217" t="n">
        <x:v>46113</x:v>
      </x:c>
      <x:c r="C161" s="187" t="str">
        <x:v>SHAPLEY</x:v>
      </x:c>
      <x:c r="D161" s="187" t="str">
        <x:v>VOLUME</x:v>
      </x:c>
      <x:c r="E161" s="187" t="str">
        <x:v>ALL</x:v>
      </x:c>
      <x:c r="F161" s="187" t="str">
        <x:v>12357.345288713453505135969935360000000000000000000000000000000000000000000000000</x:v>
      </x:c>
      <x:c r="G161" s="235" t="n">
        <x:v>12357.3453</x:v>
      </x:c>
      <x:c r="H161" s="235"/>
      <x:c r="I161" s="229"/>
      <x:c r="J161" s="187"/>
    </x:row>
    <x:row r="162">
      <x:c r="A162" s="187" t="str">
        <x:v>ACTUAL_VS_BUDGET</x:v>
      </x:c>
      <x:c r="B162" s="217" t="n">
        <x:v>46113</x:v>
      </x:c>
      <x:c r="C162" s="187" t="str">
        <x:v>SHAPLEY</x:v>
      </x:c>
      <x:c r="D162" s="187" t="str">
        <x:v>VOLUME</x:v>
      </x:c>
      <x:c r="E162" s="187" t="str">
        <x:v>DE</x:v>
      </x:c>
      <x:c r="F162" s="187" t="str">
        <x:v>3791.8540087235349272822922240000000000000000000000000000000000000000000000000000</x:v>
      </x:c>
      <x:c r="G162" s="235" t="n">
        <x:v>3791.854</x:v>
      </x:c>
      <x:c r="H162" s="235"/>
      <x:c r="I162" s="229"/>
      <x:c r="J162" s="187"/>
    </x:row>
    <x:row r="163">
      <x:c r="A163" s="187" t="str">
        <x:v>ACTUAL_VS_BUDGET</x:v>
      </x:c>
      <x:c r="B163" s="217" t="n">
        <x:v>46113</x:v>
      </x:c>
      <x:c r="C163" s="187" t="str">
        <x:v>SHAPLEY</x:v>
      </x:c>
      <x:c r="D163" s="187" t="str">
        <x:v>VOLUME</x:v>
      </x:c>
      <x:c r="E163" s="187" t="str">
        <x:v>FR</x:v>
      </x:c>
      <x:c r="F163" s="187" t="str">
        <x:v>2905.5789807901969441189529600000000000000000000000000000000000000000000000000000</x:v>
      </x:c>
      <x:c r="G163" s="235" t="n">
        <x:v>2905.579</x:v>
      </x:c>
      <x:c r="H163" s="235"/>
      <x:c r="I163" s="229"/>
      <x:c r="J163" s="187"/>
    </x:row>
    <x:row r="164">
      <x:c r="A164" s="187" t="str">
        <x:v>ACTUAL_VS_BUDGET</x:v>
      </x:c>
      <x:c r="B164" s="217" t="n">
        <x:v>46113</x:v>
      </x:c>
      <x:c r="C164" s="187" t="str">
        <x:v>SHAPLEY</x:v>
      </x:c>
      <x:c r="D164" s="187" t="str">
        <x:v>VOLUME</x:v>
      </x:c>
      <x:c r="E164" s="187" t="str">
        <x:v>GB</x:v>
      </x:c>
      <x:c r="F164" s="187" t="str">
        <x:v>5659.9122991997216337347247513600000000000000000000000000000000000000000000000000</x:v>
      </x:c>
      <x:c r="G164" s="235" t="n">
        <x:v>5659.9123</x:v>
      </x:c>
      <x:c r="H164" s="235"/>
      <x:c r="I164" s="229"/>
      <x:c r="J164" s="187"/>
    </x:row>
    <x:row r="165">
      <x:c r="A165" s="187" t="str">
        <x:v>ACTUAL_VS_BUDGET</x:v>
      </x:c>
      <x:c r="B165" s="217" t="n">
        <x:v>46143</x:v>
      </x:c>
      <x:c r="C165" s="187" t="str">
        <x:v>CHAIN</x:v>
      </x:c>
      <x:c r="D165" s="187" t="str">
        <x:v>EFFICIENCY</x:v>
      </x:c>
      <x:c r="E165" s="187" t="str">
        <x:v>ALL</x:v>
      </x:c>
      <x:c r="F165" s="187" t="str">
        <x:v>2148.575994410767084800000000</x:v>
      </x:c>
      <x:c r="G165" s="235" t="n">
        <x:v>2148.576</x:v>
      </x:c>
      <x:c r="H165" s="235" t="n">
        <x:v>31.56017174971691</x:v>
      </x:c>
      <x:c r="I165" s="229" t="n">
        <x:v>0.0006316947869194459</x:v>
      </x:c>
      <x:c r="J165" s="254" t="b">
        <x:v>0</x:v>
      </x:c>
    </x:row>
    <x:row r="166">
      <x:c r="A166" s="187" t="str">
        <x:v>ACTUAL_VS_BUDGET</x:v>
      </x:c>
      <x:c r="B166" s="217" t="n">
        <x:v>46143</x:v>
      </x:c>
      <x:c r="C166" s="187" t="str">
        <x:v>CHAIN</x:v>
      </x:c>
      <x:c r="D166" s="187" t="str">
        <x:v>EFFICIENCY</x:v>
      </x:c>
      <x:c r="E166" s="187" t="str">
        <x:v>DE</x:v>
      </x:c>
      <x:c r="F166" s="187" t="str">
        <x:v>575.314174330014787200000000</x:v>
      </x:c>
      <x:c r="G166" s="235" t="n">
        <x:v>575.3142</x:v>
      </x:c>
      <x:c r="H166" s="235"/>
      <x:c r="I166" s="229"/>
      <x:c r="J166" s="187"/>
    </x:row>
    <x:row r="167">
      <x:c r="A167" s="187" t="str">
        <x:v>ACTUAL_VS_BUDGET</x:v>
      </x:c>
      <x:c r="B167" s="217" t="n">
        <x:v>46143</x:v>
      </x:c>
      <x:c r="C167" s="187" t="str">
        <x:v>CHAIN</x:v>
      </x:c>
      <x:c r="D167" s="187" t="str">
        <x:v>EFFICIENCY</x:v>
      </x:c>
      <x:c r="E167" s="187" t="str">
        <x:v>FR</x:v>
      </x:c>
      <x:c r="F167" s="187" t="str">
        <x:v>463.2681747292272960000000</x:v>
      </x:c>
      <x:c r="G167" s="235" t="n">
        <x:v>463.2682</x:v>
      </x:c>
      <x:c r="H167" s="235"/>
      <x:c r="I167" s="229"/>
      <x:c r="J167" s="187"/>
    </x:row>
    <x:row r="168">
      <x:c r="A168" s="187" t="str">
        <x:v>ACTUAL_VS_BUDGET</x:v>
      </x:c>
      <x:c r="B168" s="217" t="n">
        <x:v>46143</x:v>
      </x:c>
      <x:c r="C168" s="187" t="str">
        <x:v>CHAIN</x:v>
      </x:c>
      <x:c r="D168" s="187" t="str">
        <x:v>EFFICIENCY</x:v>
      </x:c>
      <x:c r="E168" s="187" t="str">
        <x:v>GB</x:v>
      </x:c>
      <x:c r="F168" s="187" t="str">
        <x:v>1109.993645351525001600000000</x:v>
      </x:c>
      <x:c r="G168" s="235" t="n">
        <x:v>1109.9936</x:v>
      </x:c>
      <x:c r="H168" s="235"/>
      <x:c r="I168" s="229"/>
      <x:c r="J168" s="187"/>
    </x:row>
    <x:row r="169">
      <x:c r="A169" s="187" t="str">
        <x:v>ACTUAL_VS_BUDGET</x:v>
      </x:c>
      <x:c r="B169" s="217" t="n">
        <x:v>46143</x:v>
      </x:c>
      <x:c r="C169" s="187" t="str">
        <x:v>CHAIN</x:v>
      </x:c>
      <x:c r="D169" s="187" t="str">
        <x:v>FX</x:v>
      </x:c>
      <x:c r="E169" s="187" t="str">
        <x:v>ALL</x:v>
      </x:c>
      <x:c r="F169" s="187" t="str">
        <x:v>7667.954991176361583921619200000000</x:v>
      </x:c>
      <x:c r="G169" s="235" t="n">
        <x:v>7667.955</x:v>
      </x:c>
      <x:c r="H169" s="235" t="n">
        <x:v>249.3453876647619</x:v>
      </x:c>
      <x:c r="I169" s="229" t="n">
        <x:v>0.004990789745358442</x:v>
      </x:c>
      <x:c r="J169" s="254" t="b">
        <x:v>0</x:v>
      </x:c>
    </x:row>
    <x:row r="170">
      <x:c r="A170" s="187" t="str">
        <x:v>ACTUAL_VS_BUDGET</x:v>
      </x:c>
      <x:c r="B170" s="217" t="n">
        <x:v>46143</x:v>
      </x:c>
      <x:c r="C170" s="187" t="str">
        <x:v>CHAIN</x:v>
      </x:c>
      <x:c r="D170" s="187" t="str">
        <x:v>FX</x:v>
      </x:c>
      <x:c r="E170" s="187" t="str">
        <x:v>DE</x:v>
      </x:c>
      <x:c r="F170" s="187" t="str">
        <x:v>1833.814252320200818842608000000000</x:v>
      </x:c>
      <x:c r="G170" s="235" t="n">
        <x:v>1833.8143</x:v>
      </x:c>
      <x:c r="H170" s="235"/>
      <x:c r="I170" s="229"/>
      <x:c r="J170" s="187"/>
    </x:row>
    <x:row r="171">
      <x:c r="A171" s="187" t="str">
        <x:v>ACTUAL_VS_BUDGET</x:v>
      </x:c>
      <x:c r="B171" s="217" t="n">
        <x:v>46143</x:v>
      </x:c>
      <x:c r="C171" s="187" t="str">
        <x:v>CHAIN</x:v>
      </x:c>
      <x:c r="D171" s="187" t="str">
        <x:v>FX</x:v>
      </x:c>
      <x:c r="E171" s="187" t="str">
        <x:v>FR</x:v>
      </x:c>
      <x:c r="F171" s="187" t="str">
        <x:v>1445.7120808218605782126400000000</x:v>
      </x:c>
      <x:c r="G171" s="235" t="n">
        <x:v>1445.7121</x:v>
      </x:c>
      <x:c r="H171" s="235"/>
      <x:c r="I171" s="229"/>
      <x:c r="J171" s="187"/>
    </x:row>
    <x:row r="172">
      <x:c r="A172" s="187" t="str">
        <x:v>ACTUAL_VS_BUDGET</x:v>
      </x:c>
      <x:c r="B172" s="217" t="n">
        <x:v>46143</x:v>
      </x:c>
      <x:c r="C172" s="187" t="str">
        <x:v>CHAIN</x:v>
      </x:c>
      <x:c r="D172" s="187" t="str">
        <x:v>FX</x:v>
      </x:c>
      <x:c r="E172" s="187" t="str">
        <x:v>GB</x:v>
      </x:c>
      <x:c r="F172" s="187" t="str">
        <x:v>4388.428658034300186866371200000000</x:v>
      </x:c>
      <x:c r="G172" s="235" t="n">
        <x:v>4388.4287</x:v>
      </x:c>
      <x:c r="H172" s="235"/>
      <x:c r="I172" s="229"/>
      <x:c r="J172" s="187"/>
    </x:row>
    <x:row r="173">
      <x:c r="A173" s="187" t="str">
        <x:v>ACTUAL_VS_BUDGET</x:v>
      </x:c>
      <x:c r="B173" s="217" t="n">
        <x:v>46143</x:v>
      </x:c>
      <x:c r="C173" s="187" t="str">
        <x:v>CHAIN</x:v>
      </x:c>
      <x:c r="D173" s="187" t="str">
        <x:v>MIX</x:v>
      </x:c>
      <x:c r="E173" s="187" t="str">
        <x:v>ALL</x:v>
      </x:c>
      <x:c r="F173" s="187" t="str">
        <x:v>8407.432626392971200000000</x:v>
      </x:c>
      <x:c r="G173" s="235" t="n">
        <x:v>8407.4326</x:v>
      </x:c>
      <x:c r="H173" s="235" t="n">
        <x:v>30.995714277478726</x:v>
      </x:c>
      <x:c r="I173" s="229" t="n">
        <x:v>0.0006203968495863327</x:v>
      </x:c>
      <x:c r="J173" s="254" t="b">
        <x:v>0</x:v>
      </x:c>
    </x:row>
    <x:row r="174">
      <x:c r="A174" s="187" t="str">
        <x:v>ACTUAL_VS_BUDGET</x:v>
      </x:c>
      <x:c r="B174" s="217" t="n">
        <x:v>46143</x:v>
      </x:c>
      <x:c r="C174" s="187" t="str">
        <x:v>CHAIN</x:v>
      </x:c>
      <x:c r="D174" s="187" t="str">
        <x:v>MIX</x:v>
      </x:c>
      <x:c r="E174" s="187" t="str">
        <x:v>DE</x:v>
      </x:c>
      <x:c r="F174" s="187" t="str">
        <x:v>-1531.652067623215200000000</x:v>
      </x:c>
      <x:c r="G174" s="235" t="n">
        <x:v>-1531.6521</x:v>
      </x:c>
      <x:c r="H174" s="235"/>
      <x:c r="I174" s="229"/>
      <x:c r="J174" s="187"/>
    </x:row>
    <x:row r="175">
      <x:c r="A175" s="187" t="str">
        <x:v>ACTUAL_VS_BUDGET</x:v>
      </x:c>
      <x:c r="B175" s="217" t="n">
        <x:v>46143</x:v>
      </x:c>
      <x:c r="C175" s="187" t="str">
        <x:v>CHAIN</x:v>
      </x:c>
      <x:c r="D175" s="187" t="str">
        <x:v>MIX</x:v>
      </x:c>
      <x:c r="E175" s="187" t="str">
        <x:v>FR</x:v>
      </x:c>
      <x:c r="F175" s="187" t="str">
        <x:v>-49.0281986697360000000</x:v>
      </x:c>
      <x:c r="G175" s="235" t="n">
        <x:v>-49.0282</x:v>
      </x:c>
      <x:c r="H175" s="235"/>
      <x:c r="I175" s="229"/>
      <x:c r="J175" s="187"/>
    </x:row>
    <x:row r="176">
      <x:c r="A176" s="187" t="str">
        <x:v>ACTUAL_VS_BUDGET</x:v>
      </x:c>
      <x:c r="B176" s="217" t="n">
        <x:v>46143</x:v>
      </x:c>
      <x:c r="C176" s="187" t="str">
        <x:v>CHAIN</x:v>
      </x:c>
      <x:c r="D176" s="187" t="str">
        <x:v>MIX</x:v>
      </x:c>
      <x:c r="E176" s="187" t="str">
        <x:v>GB</x:v>
      </x:c>
      <x:c r="F176" s="187" t="str">
        <x:v>9988.112892685922400000000</x:v>
      </x:c>
      <x:c r="G176" s="235" t="n">
        <x:v>9988.1129</x:v>
      </x:c>
      <x:c r="H176" s="235"/>
      <x:c r="I176" s="229"/>
      <x:c r="J176" s="187"/>
    </x:row>
    <x:row r="177">
      <x:c r="A177" s="187" t="str">
        <x:v>ACTUAL_VS_BUDGET</x:v>
      </x:c>
      <x:c r="B177" s="217" t="n">
        <x:v>46143</x:v>
      </x:c>
      <x:c r="C177" s="187" t="str">
        <x:v>CHAIN</x:v>
      </x:c>
      <x:c r="D177" s="187" t="str">
        <x:v>PRICE</x:v>
      </x:c>
      <x:c r="E177" s="187" t="str">
        <x:v>ALL</x:v>
      </x:c>
      <x:c r="F177" s="187" t="str">
        <x:v>7145.148315394770281086080000000000</x:v>
      </x:c>
      <x:c r="G177" s="235" t="n">
        <x:v>7145.1483</x:v>
      </x:c>
      <x:c r="H177" s="235" t="n">
        <x:v>144.34429335215307</x:v>
      </x:c>
      <x:c r="I177" s="229" t="n">
        <x:v>0.0028891331249787703</x:v>
      </x:c>
      <x:c r="J177" s="254" t="b">
        <x:v>0</x:v>
      </x:c>
    </x:row>
    <x:row r="178">
      <x:c r="A178" s="187" t="str">
        <x:v>ACTUAL_VS_BUDGET</x:v>
      </x:c>
      <x:c r="B178" s="217" t="n">
        <x:v>46143</x:v>
      </x:c>
      <x:c r="C178" s="187" t="str">
        <x:v>CHAIN</x:v>
      </x:c>
      <x:c r="D178" s="187" t="str">
        <x:v>PRICE</x:v>
      </x:c>
      <x:c r="E178" s="187" t="str">
        <x:v>DE</x:v>
      </x:c>
      <x:c r="F178" s="187" t="str">
        <x:v>2073.400636212605940976320000000000</x:v>
      </x:c>
      <x:c r="G178" s="235" t="n">
        <x:v>2073.4006</x:v>
      </x:c>
      <x:c r="H178" s="235"/>
      <x:c r="I178" s="229"/>
      <x:c r="J178" s="187"/>
    </x:row>
    <x:row r="179">
      <x:c r="A179" s="187" t="str">
        <x:v>ACTUAL_VS_BUDGET</x:v>
      </x:c>
      <x:c r="B179" s="217" t="n">
        <x:v>46143</x:v>
      </x:c>
      <x:c r="C179" s="187" t="str">
        <x:v>CHAIN</x:v>
      </x:c>
      <x:c r="D179" s="187" t="str">
        <x:v>PRICE</x:v>
      </x:c>
      <x:c r="E179" s="187" t="str">
        <x:v>FR</x:v>
      </x:c>
      <x:c r="F179" s="187" t="str">
        <x:v>1617.1961419238302762656000000000</x:v>
      </x:c>
      <x:c r="G179" s="235" t="n">
        <x:v>1617.1961</x:v>
      </x:c>
      <x:c r="H179" s="235"/>
      <x:c r="I179" s="229"/>
      <x:c r="J179" s="187"/>
    </x:row>
    <x:row r="180">
      <x:c r="A180" s="187" t="str">
        <x:v>ACTUAL_VS_BUDGET</x:v>
      </x:c>
      <x:c r="B180" s="217" t="n">
        <x:v>46143</x:v>
      </x:c>
      <x:c r="C180" s="187" t="str">
        <x:v>CHAIN</x:v>
      </x:c>
      <x:c r="D180" s="187" t="str">
        <x:v>PRICE</x:v>
      </x:c>
      <x:c r="E180" s="187" t="str">
        <x:v>GB</x:v>
      </x:c>
      <x:c r="F180" s="187" t="str">
        <x:v>3454.551537258334063844160000000000</x:v>
      </x:c>
      <x:c r="G180" s="235" t="n">
        <x:v>3454.5515</x:v>
      </x:c>
      <x:c r="H180" s="235"/>
      <x:c r="I180" s="229"/>
      <x:c r="J180" s="187"/>
    </x:row>
    <x:row r="181">
      <x:c r="A181" s="187" t="str">
        <x:v>ACTUAL_VS_BUDGET</x:v>
      </x:c>
      <x:c r="B181" s="217" t="n">
        <x:v>46143</x:v>
      </x:c>
      <x:c r="C181" s="187" t="str">
        <x:v>CHAIN</x:v>
      </x:c>
      <x:c r="D181" s="187" t="str">
        <x:v>VOLUME</x:v>
      </x:c>
      <x:c r="E181" s="187" t="str">
        <x:v>ALL</x:v>
      </x:c>
      <x:c r="F181" s="187" t="str">
        <x:v>24591.99651175728000000</x:v>
      </x:c>
      <x:c r="G181" s="235" t="n">
        <x:v>24591.9965</x:v>
      </x:c>
      <x:c r="H181" s="235" t="n">
        <x:v>456.2455670441106</x:v>
      </x:c>
      <x:c r="I181" s="229" t="n">
        <x:v>0.009132014506842992</x:v>
      </x:c>
      <x:c r="J181" s="254" t="b">
        <x:v>0</x:v>
      </x:c>
    </x:row>
    <x:row r="182">
      <x:c r="A182" s="187" t="str">
        <x:v>ACTUAL_VS_BUDGET</x:v>
      </x:c>
      <x:c r="B182" s="217" t="n">
        <x:v>46143</x:v>
      </x:c>
      <x:c r="C182" s="187" t="str">
        <x:v>CHAIN</x:v>
      </x:c>
      <x:c r="D182" s="187" t="str">
        <x:v>VOLUME</x:v>
      </x:c>
      <x:c r="E182" s="187" t="str">
        <x:v>DE</x:v>
      </x:c>
      <x:c r="F182" s="187" t="str">
        <x:v>7345.38215633040000000</x:v>
      </x:c>
      <x:c r="G182" s="235" t="n">
        <x:v>7345.3822</x:v>
      </x:c>
      <x:c r="H182" s="235"/>
      <x:c r="I182" s="229"/>
      <x:c r="J182" s="187"/>
    </x:row>
    <x:row r="183">
      <x:c r="A183" s="187" t="str">
        <x:v>ACTUAL_VS_BUDGET</x:v>
      </x:c>
      <x:c r="B183" s="217" t="n">
        <x:v>46143</x:v>
      </x:c>
      <x:c r="C183" s="187" t="str">
        <x:v>CHAIN</x:v>
      </x:c>
      <x:c r="D183" s="187" t="str">
        <x:v>VOLUME</x:v>
      </x:c>
      <x:c r="E183" s="187" t="str">
        <x:v>FR</x:v>
      </x:c>
      <x:c r="F183" s="187" t="str">
        <x:v>5749.235990784000000</x:v>
      </x:c>
      <x:c r="G183" s="235" t="n">
        <x:v>5749.236</x:v>
      </x:c>
      <x:c r="H183" s="235"/>
      <x:c r="I183" s="229"/>
      <x:c r="J183" s="187"/>
    </x:row>
    <x:row r="184">
      <x:c r="A184" s="187" t="str">
        <x:v>ACTUAL_VS_BUDGET</x:v>
      </x:c>
      <x:c r="B184" s="217" t="n">
        <x:v>46143</x:v>
      </x:c>
      <x:c r="C184" s="187" t="str">
        <x:v>CHAIN</x:v>
      </x:c>
      <x:c r="D184" s="187" t="str">
        <x:v>VOLUME</x:v>
      </x:c>
      <x:c r="E184" s="187" t="str">
        <x:v>GB</x:v>
      </x:c>
      <x:c r="F184" s="187" t="str">
        <x:v>11497.37836464288000000</x:v>
      </x:c>
      <x:c r="G184" s="235" t="n">
        <x:v>11497.3784</x:v>
      </x:c>
      <x:c r="H184" s="235"/>
      <x:c r="I184" s="229"/>
      <x:c r="J184" s="187"/>
    </x:row>
    <x:row r="185">
      <x:c r="A185" s="187" t="str">
        <x:v>ACTUAL_VS_BUDGET</x:v>
      </x:c>
      <x:c r="B185" s="217" t="n">
        <x:v>46143</x:v>
      </x:c>
      <x:c r="C185" s="187" t="str">
        <x:v>SHAPLEY</x:v>
      </x:c>
      <x:c r="D185" s="187" t="str">
        <x:v>EFFICIENCY</x:v>
      </x:c>
      <x:c r="E185" s="187" t="str">
        <x:v>ALL</x:v>
      </x:c>
      <x:c r="F185" s="187" t="str">
        <x:v>2117.0158226610501747452454400000000000000000000000000000000000000000000000000000</x:v>
      </x:c>
      <x:c r="G185" s="235" t="n">
        <x:v>2117.0158</x:v>
      </x:c>
      <x:c r="H185" s="235"/>
      <x:c r="I185" s="229"/>
      <x:c r="J185" s="187"/>
    </x:row>
    <x:row r="186">
      <x:c r="A186" s="187" t="str">
        <x:v>ACTUAL_VS_BUDGET</x:v>
      </x:c>
      <x:c r="B186" s="217" t="n">
        <x:v>46143</x:v>
      </x:c>
      <x:c r="C186" s="187" t="str">
        <x:v>SHAPLEY</x:v>
      </x:c>
      <x:c r="D186" s="187" t="str">
        <x:v>EFFICIENCY</x:v>
      </x:c>
      <x:c r="E186" s="187" t="str">
        <x:v>DE</x:v>
      </x:c>
      <x:c r="F186" s="187" t="str">
        <x:v>572.25774847695816091970560000000000000000000000000000000000000000000000000000000</x:v>
      </x:c>
      <x:c r="G186" s="235" t="n">
        <x:v>572.2577</x:v>
      </x:c>
      <x:c r="H186" s="235"/>
      <x:c r="I186" s="229"/>
      <x:c r="J186" s="187"/>
    </x:row>
    <x:row r="187">
      <x:c r="A187" s="187" t="str">
        <x:v>ACTUAL_VS_BUDGET</x:v>
      </x:c>
      <x:c r="B187" s="217" t="n">
        <x:v>46143</x:v>
      </x:c>
      <x:c r="C187" s="187" t="str">
        <x:v>SHAPLEY</x:v>
      </x:c>
      <x:c r="D187" s="187" t="str">
        <x:v>EFFICIENCY</x:v>
      </x:c>
      <x:c r="E187" s="187" t="str">
        <x:v>FR</x:v>
      </x:c>
      <x:c r="F187" s="187" t="str">
        <x:v>459.12645270247961897858133333333333333333333333333333333333333333333333333333332</x:v>
      </x:c>
      <x:c r="G187" s="235" t="n">
        <x:v>459.1265</x:v>
      </x:c>
      <x:c r="H187" s="235"/>
      <x:c r="I187" s="229"/>
      <x:c r="J187" s="187"/>
    </x:row>
    <x:row r="188">
      <x:c r="A188" s="187" t="str">
        <x:v>ACTUAL_VS_BUDGET</x:v>
      </x:c>
      <x:c r="B188" s="217" t="n">
        <x:v>46143</x:v>
      </x:c>
      <x:c r="C188" s="187" t="str">
        <x:v>SHAPLEY</x:v>
      </x:c>
      <x:c r="D188" s="187" t="str">
        <x:v>EFFICIENCY</x:v>
      </x:c>
      <x:c r="E188" s="187" t="str">
        <x:v>GB</x:v>
      </x:c>
      <x:c r="F188" s="187" t="str">
        <x:v>1085.6316214816123948469585066666666666666666666666666666666666666666666666666667</x:v>
      </x:c>
      <x:c r="G188" s="235" t="n">
        <x:v>1085.6316</x:v>
      </x:c>
      <x:c r="H188" s="235"/>
      <x:c r="I188" s="229"/>
      <x:c r="J188" s="187"/>
    </x:row>
    <x:row r="189">
      <x:c r="A189" s="187" t="str">
        <x:v>ACTUAL_VS_BUDGET</x:v>
      </x:c>
      <x:c r="B189" s="217" t="n">
        <x:v>46143</x:v>
      </x:c>
      <x:c r="C189" s="187" t="str">
        <x:v>SHAPLEY</x:v>
      </x:c>
      <x:c r="D189" s="187" t="str">
        <x:v>FX</x:v>
      </x:c>
      <x:c r="E189" s="187" t="str">
        <x:v>ALL</x:v>
      </x:c>
      <x:c r="F189" s="187" t="str">
        <x:v>7418.6096035115997011511921066666666666666666666666666666666666666666666666666667</x:v>
      </x:c>
      <x:c r="G189" s="235" t="n">
        <x:v>7418.6096</x:v>
      </x:c>
      <x:c r="H189" s="235"/>
      <x:c r="I189" s="229"/>
      <x:c r="J189" s="187"/>
    </x:row>
    <x:row r="190">
      <x:c r="A190" s="187" t="str">
        <x:v>ACTUAL_VS_BUDGET</x:v>
      </x:c>
      <x:c r="B190" s="217" t="n">
        <x:v>46143</x:v>
      </x:c>
      <x:c r="C190" s="187" t="str">
        <x:v>SHAPLEY</x:v>
      </x:c>
      <x:c r="D190" s="187" t="str">
        <x:v>FX</x:v>
      </x:c>
      <x:c r="E190" s="187" t="str">
        <x:v>DE</x:v>
      </x:c>
      <x:c r="F190" s="187" t="str">
        <x:v>1795.8010007546510868483589333333333333333333333333333333333333333333333333333334</x:v>
      </x:c>
      <x:c r="G190" s="235" t="n">
        <x:v>1795.801</x:v>
      </x:c>
      <x:c r="H190" s="235"/>
      <x:c r="I190" s="229"/>
      <x:c r="J190" s="187"/>
    </x:row>
    <x:row r="191">
      <x:c r="A191" s="187" t="str">
        <x:v>ACTUAL_VS_BUDGET</x:v>
      </x:c>
      <x:c r="B191" s="217" t="n">
        <x:v>46143</x:v>
      </x:c>
      <x:c r="C191" s="187" t="str">
        <x:v>SHAPLEY</x:v>
      </x:c>
      <x:c r="D191" s="187" t="str">
        <x:v>FX</x:v>
      </x:c>
      <x:c r="E191" s="187" t="str">
        <x:v>FR</x:v>
      </x:c>
      <x:c r="F191" s="187" t="str">
        <x:v>1410.6821979900970172808480000000000000000000000000000000000000000000000000000000</x:v>
      </x:c>
      <x:c r="G191" s="235" t="n">
        <x:v>1410.6822</x:v>
      </x:c>
      <x:c r="H191" s="235"/>
      <x:c r="I191" s="229"/>
      <x:c r="J191" s="187"/>
    </x:row>
    <x:row r="192">
      <x:c r="A192" s="187" t="str">
        <x:v>ACTUAL_VS_BUDGET</x:v>
      </x:c>
      <x:c r="B192" s="217" t="n">
        <x:v>46143</x:v>
      </x:c>
      <x:c r="C192" s="187" t="str">
        <x:v>SHAPLEY</x:v>
      </x:c>
      <x:c r="D192" s="187" t="str">
        <x:v>FX</x:v>
      </x:c>
      <x:c r="E192" s="187" t="str">
        <x:v>GB</x:v>
      </x:c>
      <x:c r="F192" s="187" t="str">
        <x:v>4212.1264047668515970219851733333333333333333333333333333333333333333333333333333</x:v>
      </x:c>
      <x:c r="G192" s="235" t="n">
        <x:v>4212.1264</x:v>
      </x:c>
      <x:c r="H192" s="235"/>
      <x:c r="I192" s="229"/>
      <x:c r="J192" s="187"/>
    </x:row>
    <x:row r="193">
      <x:c r="A193" s="187" t="str">
        <x:v>ACTUAL_VS_BUDGET</x:v>
      </x:c>
      <x:c r="B193" s="217" t="n">
        <x:v>46143</x:v>
      </x:c>
      <x:c r="C193" s="187" t="str">
        <x:v>SHAPLEY</x:v>
      </x:c>
      <x:c r="D193" s="187" t="str">
        <x:v>MIX</x:v>
      </x:c>
      <x:c r="E193" s="187" t="str">
        <x:v>ALL</x:v>
      </x:c>
      <x:c r="F193" s="187" t="str">
        <x:v>8376.4369121154924738060187733333333333333333333333333333333333333333333333333334</x:v>
      </x:c>
      <x:c r="G193" s="235" t="n">
        <x:v>8376.4369</x:v>
      </x:c>
      <x:c r="H193" s="235"/>
      <x:c r="I193" s="229"/>
      <x:c r="J193" s="187"/>
    </x:row>
    <x:row r="194">
      <x:c r="A194" s="187" t="str">
        <x:v>ACTUAL_VS_BUDGET</x:v>
      </x:c>
      <x:c r="B194" s="217" t="n">
        <x:v>46143</x:v>
      </x:c>
      <x:c r="C194" s="187" t="str">
        <x:v>SHAPLEY</x:v>
      </x:c>
      <x:c r="D194" s="187" t="str">
        <x:v>MIX</x:v>
      </x:c>
      <x:c r="E194" s="187" t="str">
        <x:v>DE</x:v>
      </x:c>
      <x:c r="F194" s="187" t="str">
        <x:v>-1520.3724533050335129699610666666666666666666666666666666666666666666666666666666</x:v>
      </x:c>
      <x:c r="G194" s="235" t="n">
        <x:v>-1520.3725</x:v>
      </x:c>
      <x:c r="H194" s="235"/>
      <x:c r="I194" s="229"/>
      <x:c r="J194" s="187"/>
    </x:row>
    <x:row r="195">
      <x:c r="A195" s="187" t="str">
        <x:v>ACTUAL_VS_BUDGET</x:v>
      </x:c>
      <x:c r="B195" s="217" t="n">
        <x:v>46143</x:v>
      </x:c>
      <x:c r="C195" s="187" t="str">
        <x:v>SHAPLEY</x:v>
      </x:c>
      <x:c r="D195" s="187" t="str">
        <x:v>MIX</x:v>
      </x:c>
      <x:c r="E195" s="187" t="str">
        <x:v>FR</x:v>
      </x:c>
      <x:c r="F195" s="187" t="str">
        <x:v>-48.409616780018644524751999999999999999999999999999999999999999999999999999999997</x:v>
      </x:c>
      <x:c r="G195" s="235" t="n">
        <x:v>-48.4096</x:v>
      </x:c>
      <x:c r="H195" s="235"/>
      <x:c r="I195" s="229"/>
      <x:c r="J195" s="187"/>
    </x:row>
    <x:row r="196">
      <x:c r="A196" s="187" t="str">
        <x:v>ACTUAL_VS_BUDGET</x:v>
      </x:c>
      <x:c r="B196" s="217" t="n">
        <x:v>46143</x:v>
      </x:c>
      <x:c r="C196" s="187" t="str">
        <x:v>SHAPLEY</x:v>
      </x:c>
      <x:c r="D196" s="187" t="str">
        <x:v>MIX</x:v>
      </x:c>
      <x:c r="E196" s="187" t="str">
        <x:v>GB</x:v>
      </x:c>
      <x:c r="F196" s="187" t="str">
        <x:v>9945.2189822005446313007318400000000000000000000000000000000000000000000000000000</x:v>
      </x:c>
      <x:c r="G196" s="235" t="n">
        <x:v>9945.219</x:v>
      </x:c>
      <x:c r="H196" s="235"/>
      <x:c r="I196" s="229"/>
      <x:c r="J196" s="187"/>
    </x:row>
    <x:row r="197">
      <x:c r="A197" s="187" t="str">
        <x:v>ACTUAL_VS_BUDGET</x:v>
      </x:c>
      <x:c r="B197" s="217" t="n">
        <x:v>46143</x:v>
      </x:c>
      <x:c r="C197" s="187" t="str">
        <x:v>SHAPLEY</x:v>
      </x:c>
      <x:c r="D197" s="187" t="str">
        <x:v>PRICE</x:v>
      </x:c>
      <x:c r="E197" s="187" t="str">
        <x:v>ALL</x:v>
      </x:c>
      <x:c r="F197" s="187" t="str">
        <x:v>7000.8040220426172049624454400000000000000000000000000000000000000000000000000000</x:v>
      </x:c>
      <x:c r="G197" s="235" t="n">
        <x:v>7000.804</x:v>
      </x:c>
      <x:c r="H197" s="235"/>
      <x:c r="I197" s="229"/>
      <x:c r="J197" s="187"/>
    </x:row>
    <x:row r="198">
      <x:c r="A198" s="187" t="str">
        <x:v>ACTUAL_VS_BUDGET</x:v>
      </x:c>
      <x:c r="B198" s="217" t="n">
        <x:v>46143</x:v>
      </x:c>
      <x:c r="C198" s="187" t="str">
        <x:v>SHAPLEY</x:v>
      </x:c>
      <x:c r="D198" s="187" t="str">
        <x:v>PRICE</x:v>
      </x:c>
      <x:c r="E198" s="187" t="str">
        <x:v>DE</x:v>
      </x:c>
      <x:c r="F198" s="187" t="str">
        <x:v>2049.8410344108757770660389333333333333333333333333333333333333333333333333333334</x:v>
      </x:c>
      <x:c r="G198" s="235" t="n">
        <x:v>2049.841</x:v>
      </x:c>
      <x:c r="H198" s="235"/>
      <x:c r="I198" s="229"/>
      <x:c r="J198" s="187"/>
    </x:row>
    <x:row r="199">
      <x:c r="A199" s="187" t="str">
        <x:v>ACTUAL_VS_BUDGET</x:v>
      </x:c>
      <x:c r="B199" s="217" t="n">
        <x:v>46143</x:v>
      </x:c>
      <x:c r="C199" s="187" t="str">
        <x:v>SHAPLEY</x:v>
      </x:c>
      <x:c r="D199" s="187" t="str">
        <x:v>PRICE</x:v>
      </x:c>
      <x:c r="E199" s="187" t="str">
        <x:v>FR</x:v>
      </x:c>
      <x:c r="F199" s="187" t="str">
        <x:v>1593.0469212345130131019146666666666666666666666666666666666666666666666666666666</x:v>
      </x:c>
      <x:c r="G199" s="235" t="n">
        <x:v>1593.0469</x:v>
      </x:c>
      <x:c r="H199" s="235"/>
      <x:c r="I199" s="229"/>
      <x:c r="J199" s="187"/>
    </x:row>
    <x:row r="200">
      <x:c r="A200" s="187" t="str">
        <x:v>ACTUAL_VS_BUDGET</x:v>
      </x:c>
      <x:c r="B200" s="217" t="n">
        <x:v>46143</x:v>
      </x:c>
      <x:c r="C200" s="187" t="str">
        <x:v>SHAPLEY</x:v>
      </x:c>
      <x:c r="D200" s="187" t="str">
        <x:v>PRICE</x:v>
      </x:c>
      <x:c r="E200" s="187" t="str">
        <x:v>GB</x:v>
      </x:c>
      <x:c r="F200" s="187" t="str">
        <x:v>3357.9160663972284147944918400000000000000000000000000000000000000000000000000000</x:v>
      </x:c>
      <x:c r="G200" s="235" t="n">
        <x:v>3357.9161</x:v>
      </x:c>
      <x:c r="H200" s="235"/>
      <x:c r="I200" s="229"/>
      <x:c r="J200" s="187"/>
    </x:row>
    <x:row r="201">
      <x:c r="A201" s="187" t="str">
        <x:v>ACTUAL_VS_BUDGET</x:v>
      </x:c>
      <x:c r="B201" s="217" t="n">
        <x:v>46143</x:v>
      </x:c>
      <x:c r="C201" s="187" t="str">
        <x:v>SHAPLEY</x:v>
      </x:c>
      <x:c r="D201" s="187" t="str">
        <x:v>VOLUME</x:v>
      </x:c>
      <x:c r="E201" s="187" t="str">
        <x:v>ALL</x:v>
      </x:c>
      <x:c r="F201" s="187" t="str">
        <x:v>25048.242078801390595142797440000000000000000000000000000000000000000000000000000</x:v>
      </x:c>
      <x:c r="G201" s="235" t="n">
        <x:v>25048.2421</x:v>
      </x:c>
      <x:c r="H201" s="235"/>
      <x:c r="I201" s="229"/>
      <x:c r="J201" s="187"/>
    </x:row>
    <x:row r="202">
      <x:c r="A202" s="187" t="str">
        <x:v>ACTUAL_VS_BUDGET</x:v>
      </x:c>
      <x:c r="B202" s="217" t="n">
        <x:v>46143</x:v>
      </x:c>
      <x:c r="C202" s="187" t="str">
        <x:v>SHAPLEY</x:v>
      </x:c>
      <x:c r="D202" s="187" t="str">
        <x:v>VOLUME</x:v>
      </x:c>
      <x:c r="E202" s="187" t="str">
        <x:v>DE</x:v>
      </x:c>
      <x:c r="F202" s="187" t="str">
        <x:v>7398.7318212325548351547856000000000000000000000000000000000000000000000000000000</x:v>
      </x:c>
      <x:c r="G202" s="235" t="n">
        <x:v>7398.7318</x:v>
      </x:c>
      <x:c r="H202" s="235"/>
      <x:c r="I202" s="229"/>
      <x:c r="J202" s="187"/>
    </x:row>
    <x:row r="203">
      <x:c r="A203" s="187" t="str">
        <x:v>ACTUAL_VS_BUDGET</x:v>
      </x:c>
      <x:c r="B203" s="217" t="n">
        <x:v>46143</x:v>
      </x:c>
      <x:c r="C203" s="187" t="str">
        <x:v>SHAPLEY</x:v>
      </x:c>
      <x:c r="D203" s="187" t="str">
        <x:v>VOLUME</x:v>
      </x:c>
      <x:c r="E203" s="187" t="str">
        <x:v>FR</x:v>
      </x:c>
      <x:c r="F203" s="187" t="str">
        <x:v>5811.9382344421111456416480000000000000000000000000000000000000000000000000000000</x:v>
      </x:c>
      <x:c r="G203" s="235" t="n">
        <x:v>5811.9382</x:v>
      </x:c>
      <x:c r="H203" s="235"/>
      <x:c r="I203" s="229"/>
      <x:c r="J203" s="187"/>
    </x:row>
    <x:row r="204">
      <x:c r="A204" s="187" t="str">
        <x:v>ACTUAL_VS_BUDGET</x:v>
      </x:c>
      <x:c r="B204" s="217" t="n">
        <x:v>46143</x:v>
      </x:c>
      <x:c r="C204" s="187" t="str">
        <x:v>SHAPLEY</x:v>
      </x:c>
      <x:c r="D204" s="187" t="str">
        <x:v>VOLUME</x:v>
      </x:c>
      <x:c r="E204" s="187" t="str">
        <x:v>GB</x:v>
      </x:c>
      <x:c r="F204" s="187" t="str">
        <x:v>11837.572023126724614346363840000000000000000000000000000000000000000000000000000</x:v>
      </x:c>
      <x:c r="G204" s="235" t="n">
        <x:v>11837.572</x:v>
      </x:c>
      <x:c r="H204" s="235"/>
      <x:c r="I204" s="229"/>
      <x:c r="J204" s="187"/>
    </x:row>
    <x:row r="205">
      <x:c r="A205" s="187" t="str">
        <x:v>ACTUAL_VS_BUDGET</x:v>
      </x:c>
      <x:c r="B205" s="217" t="n">
        <x:v>46174</x:v>
      </x:c>
      <x:c r="C205" s="187" t="str">
        <x:v>CHAIN</x:v>
      </x:c>
      <x:c r="D205" s="187" t="str">
        <x:v>EFFICIENCY</x:v>
      </x:c>
      <x:c r="E205" s="187" t="str">
        <x:v>ALL</x:v>
      </x:c>
      <x:c r="F205" s="187" t="str">
        <x:v>2777.788857804074841600000000</x:v>
      </x:c>
      <x:c r="G205" s="235" t="n">
        <x:v>2777.7889</x:v>
      </x:c>
      <x:c r="H205" s="235" t="n">
        <x:v>51.815807267580816</x:v>
      </x:c>
      <x:c r="I205" s="229" t="n">
        <x:v>0.0008063586216567872</x:v>
      </x:c>
      <x:c r="J205" s="254" t="b">
        <x:v>0</x:v>
      </x:c>
    </x:row>
    <x:row r="206">
      <x:c r="A206" s="187" t="str">
        <x:v>ACTUAL_VS_BUDGET</x:v>
      </x:c>
      <x:c r="B206" s="217" t="n">
        <x:v>46174</x:v>
      </x:c>
      <x:c r="C206" s="187" t="str">
        <x:v>CHAIN</x:v>
      </x:c>
      <x:c r="D206" s="187" t="str">
        <x:v>EFFICIENCY</x:v>
      </x:c>
      <x:c r="E206" s="187" t="str">
        <x:v>DE</x:v>
      </x:c>
      <x:c r="F206" s="187" t="str">
        <x:v>728.262909160816536000000000</x:v>
      </x:c>
      <x:c r="G206" s="235" t="n">
        <x:v>728.2629</x:v>
      </x:c>
      <x:c r="H206" s="235"/>
      <x:c r="I206" s="229"/>
      <x:c r="J206" s="187"/>
    </x:row>
    <x:row r="207">
      <x:c r="A207" s="187" t="str">
        <x:v>ACTUAL_VS_BUDGET</x:v>
      </x:c>
      <x:c r="B207" s="217" t="n">
        <x:v>46174</x:v>
      </x:c>
      <x:c r="C207" s="187" t="str">
        <x:v>CHAIN</x:v>
      </x:c>
      <x:c r="D207" s="187" t="str">
        <x:v>EFFICIENCY</x:v>
      </x:c>
      <x:c r="E207" s="187" t="str">
        <x:v>FR</x:v>
      </x:c>
      <x:c r="F207" s="187" t="str">
        <x:v>584.7392258675604000000000</x:v>
      </x:c>
      <x:c r="G207" s="235" t="n">
        <x:v>584.7392</x:v>
      </x:c>
      <x:c r="H207" s="235"/>
      <x:c r="I207" s="229"/>
      <x:c r="J207" s="187"/>
    </x:row>
    <x:row r="208">
      <x:c r="A208" s="187" t="str">
        <x:v>ACTUAL_VS_BUDGET</x:v>
      </x:c>
      <x:c r="B208" s="217" t="n">
        <x:v>46174</x:v>
      </x:c>
      <x:c r="C208" s="187" t="str">
        <x:v>CHAIN</x:v>
      </x:c>
      <x:c r="D208" s="187" t="str">
        <x:v>EFFICIENCY</x:v>
      </x:c>
      <x:c r="E208" s="187" t="str">
        <x:v>GB</x:v>
      </x:c>
      <x:c r="F208" s="187" t="str">
        <x:v>1464.786722775697905600000000</x:v>
      </x:c>
      <x:c r="G208" s="235" t="n">
        <x:v>1464.7867</x:v>
      </x:c>
      <x:c r="H208" s="235"/>
      <x:c r="I208" s="229"/>
      <x:c r="J208" s="187"/>
    </x:row>
    <x:row r="209">
      <x:c r="A209" s="187" t="str">
        <x:v>ACTUAL_VS_BUDGET</x:v>
      </x:c>
      <x:c r="B209" s="217" t="n">
        <x:v>46174</x:v>
      </x:c>
      <x:c r="C209" s="187" t="str">
        <x:v>CHAIN</x:v>
      </x:c>
      <x:c r="D209" s="187" t="str">
        <x:v>FX</x:v>
      </x:c>
      <x:c r="E209" s="187" t="str">
        <x:v>ALL</x:v>
      </x:c>
      <x:c r="F209" s="187" t="str">
        <x:v>10136.161142795953341388071936000000</x:v>
      </x:c>
      <x:c r="G209" s="235" t="n">
        <x:v>10136.1611</x:v>
      </x:c>
      <x:c r="H209" s="235" t="n">
        <x:v>413.00036701932964</x:v>
      </x:c>
      <x:c r="I209" s="229" t="n">
        <x:v>0.006427119912919236</x:v>
      </x:c>
      <x:c r="J209" s="254" t="b">
        <x:v>0</x:v>
      </x:c>
    </x:row>
    <x:row r="210">
      <x:c r="A210" s="187" t="str">
        <x:v>ACTUAL_VS_BUDGET</x:v>
      </x:c>
      <x:c r="B210" s="217" t="n">
        <x:v>46174</x:v>
      </x:c>
      <x:c r="C210" s="187" t="str">
        <x:v>CHAIN</x:v>
      </x:c>
      <x:c r="D210" s="187" t="str">
        <x:v>FX</x:v>
      </x:c>
      <x:c r="E210" s="187" t="str">
        <x:v>DE</x:v>
      </x:c>
      <x:c r="F210" s="187" t="str">
        <x:v>2424.189366359376630199891200000000</x:v>
      </x:c>
      <x:c r="G210" s="235" t="n">
        <x:v>2424.1894</x:v>
      </x:c>
      <x:c r="H210" s="235"/>
      <x:c r="I210" s="229"/>
      <x:c r="J210" s="187"/>
    </x:row>
    <x:row r="211">
      <x:c r="A211" s="187" t="str">
        <x:v>ACTUAL_VS_BUDGET</x:v>
      </x:c>
      <x:c r="B211" s="217" t="n">
        <x:v>46174</x:v>
      </x:c>
      <x:c r="C211" s="187" t="str">
        <x:v>CHAIN</x:v>
      </x:c>
      <x:c r="D211" s="187" t="str">
        <x:v>FX</x:v>
      </x:c>
      <x:c r="E211" s="187" t="str">
        <x:v>FR</x:v>
      </x:c>
      <x:c r="F211" s="187" t="str">
        <x:v>1906.9198025399878761820800000000</x:v>
      </x:c>
      <x:c r="G211" s="235" t="n">
        <x:v>1906.9198</x:v>
      </x:c>
      <x:c r="H211" s="235"/>
      <x:c r="I211" s="229"/>
      <x:c r="J211" s="187"/>
    </x:row>
    <x:row r="212">
      <x:c r="A212" s="187" t="str">
        <x:v>ACTUAL_VS_BUDGET</x:v>
      </x:c>
      <x:c r="B212" s="217" t="n">
        <x:v>46174</x:v>
      </x:c>
      <x:c r="C212" s="187" t="str">
        <x:v>CHAIN</x:v>
      </x:c>
      <x:c r="D212" s="187" t="str">
        <x:v>FX</x:v>
      </x:c>
      <x:c r="E212" s="187" t="str">
        <x:v>GB</x:v>
      </x:c>
      <x:c r="F212" s="187" t="str">
        <x:v>5805.051973896588835006100736000000</x:v>
      </x:c>
      <x:c r="G212" s="235" t="n">
        <x:v>5805.052</x:v>
      </x:c>
      <x:c r="H212" s="235"/>
      <x:c r="I212" s="229"/>
      <x:c r="J212" s="187"/>
    </x:row>
    <x:row r="213">
      <x:c r="A213" s="187" t="str">
        <x:v>ACTUAL_VS_BUDGET</x:v>
      </x:c>
      <x:c r="B213" s="217" t="n">
        <x:v>46174</x:v>
      </x:c>
      <x:c r="C213" s="187" t="str">
        <x:v>CHAIN</x:v>
      </x:c>
      <x:c r="D213" s="187" t="str">
        <x:v>MIX</x:v>
      </x:c>
      <x:c r="E213" s="187" t="str">
        <x:v>ALL</x:v>
      </x:c>
      <x:c r="F213" s="187" t="str">
        <x:v>13698.478817226865920000000</x:v>
      </x:c>
      <x:c r="G213" s="235" t="n">
        <x:v>13698.4788</x:v>
      </x:c>
      <x:c r="H213" s="235" t="n">
        <x:v>31.346498867094876</x:v>
      </x:c>
      <x:c r="I213" s="229" t="n">
        <x:v>0.0004878148378487433</x:v>
      </x:c>
      <x:c r="J213" s="254" t="b">
        <x:v>0</x:v>
      </x:c>
    </x:row>
    <x:row r="214">
      <x:c r="A214" s="187" t="str">
        <x:v>ACTUAL_VS_BUDGET</x:v>
      </x:c>
      <x:c r="B214" s="217" t="n">
        <x:v>46174</x:v>
      </x:c>
      <x:c r="C214" s="187" t="str">
        <x:v>CHAIN</x:v>
      </x:c>
      <x:c r="D214" s="187" t="str">
        <x:v>MIX</x:v>
      </x:c>
      <x:c r="E214" s="187" t="str">
        <x:v>DE</x:v>
      </x:c>
      <x:c r="F214" s="187" t="str">
        <x:v>-3752.615149761940800000000</x:v>
      </x:c>
      <x:c r="G214" s="235" t="n">
        <x:v>-3752.6151</x:v>
      </x:c>
      <x:c r="H214" s="235"/>
      <x:c r="I214" s="229"/>
      <x:c r="J214" s="187"/>
    </x:row>
    <x:row r="215">
      <x:c r="A215" s="187" t="str">
        <x:v>ACTUAL_VS_BUDGET</x:v>
      </x:c>
      <x:c r="B215" s="217" t="n">
        <x:v>46174</x:v>
      </x:c>
      <x:c r="C215" s="187" t="str">
        <x:v>CHAIN</x:v>
      </x:c>
      <x:c r="D215" s="187" t="str">
        <x:v>MIX</x:v>
      </x:c>
      <x:c r="E215" s="187" t="str">
        <x:v>FR</x:v>
      </x:c>
      <x:c r="F215" s="187" t="str">
        <x:v>-2116.7643327511200000000</x:v>
      </x:c>
      <x:c r="G215" s="235" t="n">
        <x:v>-2116.7643</x:v>
      </x:c>
      <x:c r="H215" s="235"/>
      <x:c r="I215" s="229"/>
      <x:c r="J215" s="187"/>
    </x:row>
    <x:row r="216">
      <x:c r="A216" s="187" t="str">
        <x:v>ACTUAL_VS_BUDGET</x:v>
      </x:c>
      <x:c r="B216" s="217" t="n">
        <x:v>46174</x:v>
      </x:c>
      <x:c r="C216" s="187" t="str">
        <x:v>CHAIN</x:v>
      </x:c>
      <x:c r="D216" s="187" t="str">
        <x:v>MIX</x:v>
      </x:c>
      <x:c r="E216" s="187" t="str">
        <x:v>GB</x:v>
      </x:c>
      <x:c r="F216" s="187" t="str">
        <x:v>19567.858299739926720000000</x:v>
      </x:c>
      <x:c r="G216" s="235" t="n">
        <x:v>19567.8583</x:v>
      </x:c>
      <x:c r="H216" s="235"/>
      <x:c r="I216" s="229"/>
      <x:c r="J216" s="187"/>
    </x:row>
    <x:row r="217">
      <x:c r="A217" s="187" t="str">
        <x:v>ACTUAL_VS_BUDGET</x:v>
      </x:c>
      <x:c r="B217" s="217" t="n">
        <x:v>46174</x:v>
      </x:c>
      <x:c r="C217" s="187" t="str">
        <x:v>CHAIN</x:v>
      </x:c>
      <x:c r="D217" s="187" t="str">
        <x:v>PRICE</x:v>
      </x:c>
      <x:c r="E217" s="187" t="str">
        <x:v>ALL</x:v>
      </x:c>
      <x:c r="F217" s="187" t="str">
        <x:v>8955.919248538812525728870400000000</x:v>
      </x:c>
      <x:c r="G217" s="235" t="n">
        <x:v>8955.9192</x:v>
      </x:c>
      <x:c r="H217" s="235" t="n">
        <x:v>222.85865433797724</x:v>
      </x:c>
      <x:c r="I217" s="229" t="n">
        <x:v>0.003468130804336454</x:v>
      </x:c>
      <x:c r="J217" s="254" t="b">
        <x:v>0</x:v>
      </x:c>
    </x:row>
    <x:row r="218">
      <x:c r="A218" s="187" t="str">
        <x:v>ACTUAL_VS_BUDGET</x:v>
      </x:c>
      <x:c r="B218" s="217" t="n">
        <x:v>46174</x:v>
      </x:c>
      <x:c r="C218" s="187" t="str">
        <x:v>CHAIN</x:v>
      </x:c>
      <x:c r="D218" s="187" t="str">
        <x:v>PRICE</x:v>
      </x:c>
      <x:c r="E218" s="187" t="str">
        <x:v>DE</x:v>
      </x:c>
      <x:c r="F218" s="187" t="str">
        <x:v>2553.142176942298881323904000000000</x:v>
      </x:c>
      <x:c r="G218" s="235" t="n">
        <x:v>2553.1422</x:v>
      </x:c>
      <x:c r="H218" s="235"/>
      <x:c r="I218" s="229"/>
      <x:c r="J218" s="187"/>
    </x:row>
    <x:row r="219">
      <x:c r="A219" s="187" t="str">
        <x:v>ACTUAL_VS_BUDGET</x:v>
      </x:c>
      <x:c r="B219" s="217" t="n">
        <x:v>46174</x:v>
      </x:c>
      <x:c r="C219" s="187" t="str">
        <x:v>CHAIN</x:v>
      </x:c>
      <x:c r="D219" s="187" t="str">
        <x:v>PRICE</x:v>
      </x:c>
      <x:c r="E219" s="187" t="str">
        <x:v>FR</x:v>
      </x:c>
      <x:c r="F219" s="187" t="str">
        <x:v>1986.9762578745088691136000000000</x:v>
      </x:c>
      <x:c r="G219" s="235" t="n">
        <x:v>1986.9763</x:v>
      </x:c>
      <x:c r="H219" s="235"/>
      <x:c r="I219" s="229"/>
      <x:c r="J219" s="187"/>
    </x:row>
    <x:row r="220">
      <x:c r="A220" s="187" t="str">
        <x:v>ACTUAL_VS_BUDGET</x:v>
      </x:c>
      <x:c r="B220" s="217" t="n">
        <x:v>46174</x:v>
      </x:c>
      <x:c r="C220" s="187" t="str">
        <x:v>CHAIN</x:v>
      </x:c>
      <x:c r="D220" s="187" t="str">
        <x:v>PRICE</x:v>
      </x:c>
      <x:c r="E220" s="187" t="str">
        <x:v>GB</x:v>
      </x:c>
      <x:c r="F220" s="187" t="str">
        <x:v>4415.800813722004775291366400000000</x:v>
      </x:c>
      <x:c r="G220" s="235" t="n">
        <x:v>4415.8008</x:v>
      </x:c>
      <x:c r="H220" s="235"/>
      <x:c r="I220" s="229"/>
      <x:c r="J220" s="187"/>
    </x:row>
    <x:row r="221">
      <x:c r="A221" s="187" t="str">
        <x:v>ACTUAL_VS_BUDGET</x:v>
      </x:c>
      <x:c r="B221" s="217" t="n">
        <x:v>46174</x:v>
      </x:c>
      <x:c r="C221" s="187" t="str">
        <x:v>CHAIN</x:v>
      </x:c>
      <x:c r="D221" s="187" t="str">
        <x:v>VOLUME</x:v>
      </x:c>
      <x:c r="E221" s="187" t="str">
        <x:v>ALL</x:v>
      </x:c>
      <x:c r="F221" s="187" t="str">
        <x:v>28690.66259705016000000</x:v>
      </x:c>
      <x:c r="G221" s="235" t="n">
        <x:v>28690.6626</x:v>
      </x:c>
      <x:c r="H221" s="235" t="n">
        <x:v>719.0213274919826</x:v>
      </x:c>
      <x:c r="I221" s="229" t="n">
        <x:v>0.01118942417676122</x:v>
      </x:c>
      <x:c r="J221" s="254" t="b">
        <x:v>0</x:v>
      </x:c>
    </x:row>
    <x:row r="222">
      <x:c r="A222" s="187" t="str">
        <x:v>ACTUAL_VS_BUDGET</x:v>
      </x:c>
      <x:c r="B222" s="217" t="n">
        <x:v>46174</x:v>
      </x:c>
      <x:c r="C222" s="187" t="str">
        <x:v>CHAIN</x:v>
      </x:c>
      <x:c r="D222" s="187" t="str">
        <x:v>VOLUME</x:v>
      </x:c>
      <x:c r="E222" s="187" t="str">
        <x:v>DE</x:v>
      </x:c>
      <x:c r="F222" s="187" t="str">
        <x:v>8569.61251571880000000</x:v>
      </x:c>
      <x:c r="G222" s="235" t="n">
        <x:v>8569.6125</x:v>
      </x:c>
      <x:c r="H222" s="235"/>
      <x:c r="I222" s="229"/>
      <x:c r="J222" s="187"/>
    </x:row>
    <x:row r="223">
      <x:c r="A223" s="187" t="str">
        <x:v>ACTUAL_VS_BUDGET</x:v>
      </x:c>
      <x:c r="B223" s="217" t="n">
        <x:v>46174</x:v>
      </x:c>
      <x:c r="C223" s="187" t="str">
        <x:v>CHAIN</x:v>
      </x:c>
      <x:c r="D223" s="187" t="str">
        <x:v>VOLUME</x:v>
      </x:c>
      <x:c r="E223" s="187" t="str">
        <x:v>FR</x:v>
      </x:c>
      <x:c r="F223" s="187" t="str">
        <x:v>6707.441989248000000</x:v>
      </x:c>
      <x:c r="G223" s="235" t="n">
        <x:v>6707.442</x:v>
      </x:c>
      <x:c r="H223" s="235"/>
      <x:c r="I223" s="229"/>
      <x:c r="J223" s="187"/>
    </x:row>
    <x:row r="224">
      <x:c r="A224" s="187" t="str">
        <x:v>ACTUAL_VS_BUDGET</x:v>
      </x:c>
      <x:c r="B224" s="217" t="n">
        <x:v>46174</x:v>
      </x:c>
      <x:c r="C224" s="187" t="str">
        <x:v>CHAIN</x:v>
      </x:c>
      <x:c r="D224" s="187" t="str">
        <x:v>VOLUME</x:v>
      </x:c>
      <x:c r="E224" s="187" t="str">
        <x:v>GB</x:v>
      </x:c>
      <x:c r="F224" s="187" t="str">
        <x:v>13413.60809208336000000</x:v>
      </x:c>
      <x:c r="G224" s="235" t="n">
        <x:v>13413.6081</x:v>
      </x:c>
      <x:c r="H224" s="235"/>
      <x:c r="I224" s="229"/>
      <x:c r="J224" s="187"/>
    </x:row>
    <x:row r="225">
      <x:c r="A225" s="187" t="str">
        <x:v>ACTUAL_VS_BUDGET</x:v>
      </x:c>
      <x:c r="B225" s="217" t="n">
        <x:v>46174</x:v>
      </x:c>
      <x:c r="C225" s="187" t="str">
        <x:v>SHAPLEY</x:v>
      </x:c>
      <x:c r="D225" s="187" t="str">
        <x:v>EFFICIENCY</x:v>
      </x:c>
      <x:c r="E225" s="187" t="str">
        <x:v>ALL</x:v>
      </x:c>
      <x:c r="F225" s="187" t="str">
        <x:v>2725.9730505364940285470095232000000000000000000000000000000000000000000000000000</x:v>
      </x:c>
      <x:c r="G225" s="235" t="n">
        <x:v>2725.9731</x:v>
      </x:c>
      <x:c r="H225" s="235"/>
      <x:c r="I225" s="229"/>
      <x:c r="J225" s="187"/>
    </x:row>
    <x:row r="226">
      <x:c r="A226" s="187" t="str">
        <x:v>ACTUAL_VS_BUDGET</x:v>
      </x:c>
      <x:c r="B226" s="217" t="n">
        <x:v>46174</x:v>
      </x:c>
      <x:c r="C226" s="187" t="str">
        <x:v>SHAPLEY</x:v>
      </x:c>
      <x:c r="D226" s="187" t="str">
        <x:v>EFFICIENCY</x:v>
      </x:c>
      <x:c r="E226" s="187" t="str">
        <x:v>DE</x:v>
      </x:c>
      <x:c r="F226" s="187" t="str">
        <x:v>728.14665690437368957991544000000000000000000000000000000000000000000000000000000</x:v>
      </x:c>
      <x:c r="G226" s="235" t="n">
        <x:v>728.1467</x:v>
      </x:c>
      <x:c r="H226" s="235"/>
      <x:c r="I226" s="229"/>
      <x:c r="J226" s="187"/>
    </x:row>
    <x:row r="227">
      <x:c r="A227" s="187" t="str">
        <x:v>ACTUAL_VS_BUDGET</x:v>
      </x:c>
      <x:c r="B227" s="217" t="n">
        <x:v>46174</x:v>
      </x:c>
      <x:c r="C227" s="187" t="str">
        <x:v>SHAPLEY</x:v>
      </x:c>
      <x:c r="D227" s="187" t="str">
        <x:v>EFFICIENCY</x:v>
      </x:c>
      <x:c r="E227" s="187" t="str">
        <x:v>FR</x:v>
      </x:c>
      <x:c r="F227" s="187" t="str">
        <x:v>583.13333428767121486079600000000000000000000000000000000000000000000000000000000</x:v>
      </x:c>
      <x:c r="G227" s="235" t="n">
        <x:v>583.1333</x:v>
      </x:c>
      <x:c r="H227" s="235"/>
      <x:c r="I227" s="229"/>
      <x:c r="J227" s="187"/>
    </x:row>
    <x:row r="228">
      <x:c r="A228" s="187" t="str">
        <x:v>ACTUAL_VS_BUDGET</x:v>
      </x:c>
      <x:c r="B228" s="217" t="n">
        <x:v>46174</x:v>
      </x:c>
      <x:c r="C228" s="187" t="str">
        <x:v>SHAPLEY</x:v>
      </x:c>
      <x:c r="D228" s="187" t="str">
        <x:v>EFFICIENCY</x:v>
      </x:c>
      <x:c r="E228" s="187" t="str">
        <x:v>GB</x:v>
      </x:c>
      <x:c r="F228" s="187" t="str">
        <x:v>1414.6930593444491241062980832000000000000000000000000000000000000000000000000000</x:v>
      </x:c>
      <x:c r="G228" s="235" t="n">
        <x:v>1414.6931</x:v>
      </x:c>
      <x:c r="H228" s="235"/>
      <x:c r="I228" s="229"/>
      <x:c r="J228" s="187"/>
    </x:row>
    <x:row r="229">
      <x:c r="A229" s="187" t="str">
        <x:v>ACTUAL_VS_BUDGET</x:v>
      </x:c>
      <x:c r="B229" s="217" t="n">
        <x:v>46174</x:v>
      </x:c>
      <x:c r="C229" s="187" t="str">
        <x:v>SHAPLEY</x:v>
      </x:c>
      <x:c r="D229" s="187" t="str">
        <x:v>FX</x:v>
      </x:c>
      <x:c r="E229" s="187" t="str">
        <x:v>ALL</x:v>
      </x:c>
      <x:c r="F229" s="187" t="str">
        <x:v>9723.1607757766236852949967232000000000000000000000000000000000000000000000000000</x:v>
      </x:c>
      <x:c r="G229" s="235" t="n">
        <x:v>9723.1608</x:v>
      </x:c>
      <x:c r="H229" s="235"/>
      <x:c r="I229" s="229"/>
      <x:c r="J229" s="187"/>
    </x:row>
    <x:row r="230">
      <x:c r="A230" s="187" t="str">
        <x:v>ACTUAL_VS_BUDGET</x:v>
      </x:c>
      <x:c r="B230" s="217" t="n">
        <x:v>46174</x:v>
      </x:c>
      <x:c r="C230" s="187" t="str">
        <x:v>SHAPLEY</x:v>
      </x:c>
      <x:c r="D230" s="187" t="str">
        <x:v>FX</x:v>
      </x:c>
      <x:c r="E230" s="187" t="str">
        <x:v>DE</x:v>
      </x:c>
      <x:c r="F230" s="187" t="str">
        <x:v>2377.5977686003666307786594400000000000000000000000000000000000000000000000000000</x:v>
      </x:c>
      <x:c r="G230" s="235" t="n">
        <x:v>2377.5978</x:v>
      </x:c>
      <x:c r="H230" s="235"/>
      <x:c r="I230" s="229"/>
      <x:c r="J230" s="187"/>
    </x:row>
    <x:row r="231">
      <x:c r="A231" s="187" t="str">
        <x:v>ACTUAL_VS_BUDGET</x:v>
      </x:c>
      <x:c r="B231" s="217" t="n">
        <x:v>46174</x:v>
      </x:c>
      <x:c r="C231" s="187" t="str">
        <x:v>SHAPLEY</x:v>
      </x:c>
      <x:c r="D231" s="187" t="str">
        <x:v>FX</x:v>
      </x:c>
      <x:c r="E231" s="187" t="str">
        <x:v>FR</x:v>
      </x:c>
      <x:c r="F231" s="187" t="str">
        <x:v>1865.6108129554766193003960000000000000000000000000000000000000000000000000000000</x:v>
      </x:c>
      <x:c r="G231" s="235" t="n">
        <x:v>1865.6108</x:v>
      </x:c>
      <x:c r="H231" s="235"/>
      <x:c r="I231" s="229"/>
      <x:c r="J231" s="187"/>
    </x:row>
    <x:row r="232">
      <x:c r="A232" s="187" t="str">
        <x:v>ACTUAL_VS_BUDGET</x:v>
      </x:c>
      <x:c r="B232" s="217" t="n">
        <x:v>46174</x:v>
      </x:c>
      <x:c r="C232" s="187" t="str">
        <x:v>SHAPLEY</x:v>
      </x:c>
      <x:c r="D232" s="187" t="str">
        <x:v>FX</x:v>
      </x:c>
      <x:c r="E232" s="187" t="str">
        <x:v>GB</x:v>
      </x:c>
      <x:c r="F232" s="187" t="str">
        <x:v>5479.9521942207804352159412832000000000000000000000000000000000000000000000000000</x:v>
      </x:c>
      <x:c r="G232" s="235" t="n">
        <x:v>5479.9522</x:v>
      </x:c>
      <x:c r="H232" s="235"/>
      <x:c r="I232" s="229"/>
      <x:c r="J232" s="187"/>
    </x:row>
    <x:row r="233">
      <x:c r="A233" s="187" t="str">
        <x:v>ACTUAL_VS_BUDGET</x:v>
      </x:c>
      <x:c r="B233" s="217" t="n">
        <x:v>46174</x:v>
      </x:c>
      <x:c r="C233" s="187" t="str">
        <x:v>SHAPLEY</x:v>
      </x:c>
      <x:c r="D233" s="187" t="str">
        <x:v>MIX</x:v>
      </x:c>
      <x:c r="E233" s="187" t="str">
        <x:v>ALL</x:v>
      </x:c>
      <x:c r="F233" s="187" t="str">
        <x:v>13667.132318359771044243966323200000000000000000000000000000000000000000000000000</x:v>
      </x:c>
      <x:c r="G233" s="235" t="n">
        <x:v>13667.1323</x:v>
      </x:c>
      <x:c r="H233" s="235"/>
      <x:c r="I233" s="229"/>
      <x:c r="J233" s="187"/>
    </x:row>
    <x:row r="234">
      <x:c r="A234" s="187" t="str">
        <x:v>ACTUAL_VS_BUDGET</x:v>
      </x:c>
      <x:c r="B234" s="217" t="n">
        <x:v>46174</x:v>
      </x:c>
      <x:c r="C234" s="187" t="str">
        <x:v>SHAPLEY</x:v>
      </x:c>
      <x:c r="D234" s="187" t="str">
        <x:v>MIX</x:v>
      </x:c>
      <x:c r="E234" s="187" t="str">
        <x:v>DE</x:v>
      </x:c>
      <x:c r="F234" s="187" t="str">
        <x:v>-3726.6763042475486580727245600000000000000000000000000000000000000000000000000000</x:v>
      </x:c>
      <x:c r="G234" s="235" t="n">
        <x:v>-3726.6763</x:v>
      </x:c>
      <x:c r="H234" s="235"/>
      <x:c r="I234" s="229"/>
      <x:c r="J234" s="187"/>
    </x:row>
    <x:row r="235">
      <x:c r="A235" s="187" t="str">
        <x:v>ACTUAL_VS_BUDGET</x:v>
      </x:c>
      <x:c r="B235" s="217" t="n">
        <x:v>46174</x:v>
      </x:c>
      <x:c r="C235" s="187" t="str">
        <x:v>SHAPLEY</x:v>
      </x:c>
      <x:c r="D235" s="187" t="str">
        <x:v>MIX</x:v>
      </x:c>
      <x:c r="E235" s="187" t="str">
        <x:v>FR</x:v>
      </x:c>
      <x:c r="F235" s="187" t="str">
        <x:v>-2101.9939988892188852472040000000000000000000000000000000000000000000000000000000</x:v>
      </x:c>
      <x:c r="G235" s="235" t="n">
        <x:v>-2101.994</x:v>
      </x:c>
      <x:c r="H235" s="235"/>
      <x:c r="I235" s="229"/>
      <x:c r="J235" s="187"/>
    </x:row>
    <x:row r="236">
      <x:c r="A236" s="187" t="str">
        <x:v>ACTUAL_VS_BUDGET</x:v>
      </x:c>
      <x:c r="B236" s="217" t="n">
        <x:v>46174</x:v>
      </x:c>
      <x:c r="C236" s="187" t="str">
        <x:v>SHAPLEY</x:v>
      </x:c>
      <x:c r="D236" s="187" t="str">
        <x:v>MIX</x:v>
      </x:c>
      <x:c r="E236" s="187" t="str">
        <x:v>GB</x:v>
      </x:c>
      <x:c r="F236" s="187" t="str">
        <x:v>19495.802621496538587563894883200000000000000000000000000000000000000000000000000</x:v>
      </x:c>
      <x:c r="G236" s="235" t="n">
        <x:v>19495.8026</x:v>
      </x:c>
      <x:c r="H236" s="235"/>
      <x:c r="I236" s="229"/>
      <x:c r="J236" s="187"/>
    </x:row>
    <x:row r="237">
      <x:c r="A237" s="187" t="str">
        <x:v>ACTUAL_VS_BUDGET</x:v>
      </x:c>
      <x:c r="B237" s="217" t="n">
        <x:v>46174</x:v>
      </x:c>
      <x:c r="C237" s="187" t="str">
        <x:v>SHAPLEY</x:v>
      </x:c>
      <x:c r="D237" s="187" t="str">
        <x:v>PRICE</x:v>
      </x:c>
      <x:c r="E237" s="187" t="str">
        <x:v>ALL</x:v>
      </x:c>
      <x:c r="F237" s="187" t="str">
        <x:v>8733.0605942008352719491983232000000000000000000000000000000000000000000000000000</x:v>
      </x:c>
      <x:c r="G237" s="235" t="n">
        <x:v>8733.0606</x:v>
      </x:c>
      <x:c r="H237" s="235"/>
      <x:c r="I237" s="229"/>
      <x:c r="J237" s="187"/>
    </x:row>
    <x:row r="238">
      <x:c r="A238" s="187" t="str">
        <x:v>ACTUAL_VS_BUDGET</x:v>
      </x:c>
      <x:c r="B238" s="217" t="n">
        <x:v>46174</x:v>
      </x:c>
      <x:c r="C238" s="187" t="str">
        <x:v>SHAPLEY</x:v>
      </x:c>
      <x:c r="D238" s="187" t="str">
        <x:v>PRICE</x:v>
      </x:c>
      <x:c r="E238" s="187" t="str">
        <x:v>DE</x:v>
      </x:c>
      <x:c r="F238" s="187" t="str">
        <x:v>2533.7964032752158656434754400000000000000000000000000000000000000000000000000000</x:v>
      </x:c>
      <x:c r="G238" s="235" t="n">
        <x:v>2533.7964</x:v>
      </x:c>
      <x:c r="H238" s="235"/>
      <x:c r="I238" s="229"/>
      <x:c r="J238" s="187"/>
    </x:row>
    <x:row r="239">
      <x:c r="A239" s="187" t="str">
        <x:v>ACTUAL_VS_BUDGET</x:v>
      </x:c>
      <x:c r="B239" s="217" t="n">
        <x:v>46174</x:v>
      </x:c>
      <x:c r="C239" s="187" t="str">
        <x:v>SHAPLEY</x:v>
      </x:c>
      <x:c r="D239" s="187" t="str">
        <x:v>PRICE</x:v>
      </x:c>
      <x:c r="E239" s="187" t="str">
        <x:v>FR</x:v>
      </x:c>
      <x:c r="F239" s="187" t="str">
        <x:v>1966.9208492729502591147960000000000000000000000000000000000000000000000000000000</x:v>
      </x:c>
      <x:c r="G239" s="235" t="n">
        <x:v>1966.9208</x:v>
      </x:c>
      <x:c r="H239" s="235"/>
      <x:c r="I239" s="229"/>
      <x:c r="J239" s="187"/>
    </x:row>
    <x:row r="240">
      <x:c r="A240" s="187" t="str">
        <x:v>ACTUAL_VS_BUDGET</x:v>
      </x:c>
      <x:c r="B240" s="217" t="n">
        <x:v>46174</x:v>
      </x:c>
      <x:c r="C240" s="187" t="str">
        <x:v>SHAPLEY</x:v>
      </x:c>
      <x:c r="D240" s="187" t="str">
        <x:v>PRICE</x:v>
      </x:c>
      <x:c r="E240" s="187" t="str">
        <x:v>GB</x:v>
      </x:c>
      <x:c r="F240" s="187" t="str">
        <x:v>4232.3433416526691471909268832000000000000000000000000000000000000000000000000000</x:v>
      </x:c>
      <x:c r="G240" s="235" t="n">
        <x:v>4232.3433</x:v>
      </x:c>
      <x:c r="H240" s="235"/>
      <x:c r="I240" s="229"/>
      <x:c r="J240" s="187"/>
    </x:row>
    <x:row r="241">
      <x:c r="A241" s="187" t="str">
        <x:v>ACTUAL_VS_BUDGET</x:v>
      </x:c>
      <x:c r="B241" s="217" t="n">
        <x:v>46174</x:v>
      </x:c>
      <x:c r="C241" s="187" t="str">
        <x:v>SHAPLEY</x:v>
      </x:c>
      <x:c r="D241" s="187" t="str">
        <x:v>VOLUME</x:v>
      </x:c>
      <x:c r="E241" s="187" t="str">
        <x:v>ALL</x:v>
      </x:c>
      <x:c r="F241" s="187" t="str">
        <x:v>29409.683924542142598681771443200000000000000000000000000000000000000000000000000</x:v>
      </x:c>
      <x:c r="G241" s="235" t="n">
        <x:v>29409.6839</x:v>
      </x:c>
      <x:c r="H241" s="235"/>
      <x:c r="I241" s="229"/>
      <x:c r="J241" s="187"/>
    </x:row>
    <x:row r="242">
      <x:c r="A242" s="187" t="str">
        <x:v>ACTUAL_VS_BUDGET</x:v>
      </x:c>
      <x:c r="B242" s="217" t="n">
        <x:v>46174</x:v>
      </x:c>
      <x:c r="C242" s="187" t="str">
        <x:v>SHAPLEY</x:v>
      </x:c>
      <x:c r="D242" s="187" t="str">
        <x:v>VOLUME</x:v>
      </x:c>
      <x:c r="E242" s="187" t="str">
        <x:v>DE</x:v>
      </x:c>
      <x:c r="F242" s="187" t="str">
        <x:v>8609.7272938869437195944694400000000000000000000000000000000000000000000000000000</x:v>
      </x:c>
      <x:c r="G242" s="235" t="n">
        <x:v>8609.7273</x:v>
      </x:c>
      <x:c r="H242" s="235"/>
      <x:c r="I242" s="229"/>
      <x:c r="J242" s="187"/>
    </x:row>
    <x:row r="243">
      <x:c r="A243" s="187" t="str">
        <x:v>ACTUAL_VS_BUDGET</x:v>
      </x:c>
      <x:c r="B243" s="217" t="n">
        <x:v>46174</x:v>
      </x:c>
      <x:c r="C243" s="187" t="str">
        <x:v>SHAPLEY</x:v>
      </x:c>
      <x:c r="D243" s="187" t="str">
        <x:v>VOLUME</x:v>
      </x:c>
      <x:c r="E243" s="187" t="str">
        <x:v>FR</x:v>
      </x:c>
      <x:c r="F243" s="187" t="str">
        <x:v>6755.6419451520579372668960000000000000000000000000000000000000000000000000000000</x:v>
      </x:c>
      <x:c r="G243" s="235" t="n">
        <x:v>6755.6419</x:v>
      </x:c>
      <x:c r="H243" s="235"/>
      <x:c r="I243" s="229"/>
      <x:c r="J243" s="187"/>
    </x:row>
    <x:row r="244">
      <x:c r="A244" s="187" t="str">
        <x:v>ACTUAL_VS_BUDGET</x:v>
      </x:c>
      <x:c r="B244" s="217" t="n">
        <x:v>46174</x:v>
      </x:c>
      <x:c r="C244" s="187" t="str">
        <x:v>SHAPLEY</x:v>
      </x:c>
      <x:c r="D244" s="187" t="str">
        <x:v>VOLUME</x:v>
      </x:c>
      <x:c r="E244" s="187" t="str">
        <x:v>GB</x:v>
      </x:c>
      <x:c r="F244" s="187" t="str">
        <x:v>14044.314685503140941820406003200000000000000000000000000000000000000000000000000</x:v>
      </x:c>
      <x:c r="G244" s="235" t="n">
        <x:v>14044.3147</x:v>
      </x:c>
      <x:c r="H244" s="235"/>
      <x:c r="I244" s="229"/>
      <x:c r="J244" s="187"/>
    </x:row>
    <x:row r="245">
      <x:c r="A245" s="187" t="str">
        <x:v>ACTUAL_VS_BUDGET</x:v>
      </x:c>
      <x:c r="B245" s="217" t="n">
        <x:v>46204</x:v>
      </x:c>
      <x:c r="C245" s="187" t="str">
        <x:v>CHAIN</x:v>
      </x:c>
      <x:c r="D245" s="187" t="str">
        <x:v>EFFICIENCY</x:v>
      </x:c>
      <x:c r="E245" s="187" t="str">
        <x:v>ALL</x:v>
      </x:c>
      <x:c r="F245" s="187" t="str">
        <x:v>3598.973187629028552000000000</x:v>
      </x:c>
      <x:c r="G245" s="235" t="n">
        <x:v>3598.9732</x:v>
      </x:c>
      <x:c r="H245" s="235" t="n">
        <x:v>132.26453825812993</x:v>
      </x:c>
      <x:c r="I245" s="229" t="n">
        <x:v>0.0013113665893884066</x:v>
      </x:c>
      <x:c r="J245" s="254" t="b">
        <x:v>0</x:v>
      </x:c>
    </x:row>
    <x:row r="246">
      <x:c r="A246" s="187" t="str">
        <x:v>ACTUAL_VS_BUDGET</x:v>
      </x:c>
      <x:c r="B246" s="217" t="n">
        <x:v>46204</x:v>
      </x:c>
      <x:c r="C246" s="187" t="str">
        <x:v>CHAIN</x:v>
      </x:c>
      <x:c r="D246" s="187" t="str">
        <x:v>EFFICIENCY</x:v>
      </x:c>
      <x:c r="E246" s="187" t="str">
        <x:v>DE</x:v>
      </x:c>
      <x:c r="F246" s="187" t="str">
        <x:v>866.541690117871560000000000</x:v>
      </x:c>
      <x:c r="G246" s="235" t="n">
        <x:v>866.5417</x:v>
      </x:c>
      <x:c r="H246" s="235"/>
      <x:c r="I246" s="229"/>
      <x:c r="J246" s="187"/>
    </x:row>
    <x:row r="247">
      <x:c r="A247" s="187" t="str">
        <x:v>ACTUAL_VS_BUDGET</x:v>
      </x:c>
      <x:c r="B247" s="217" t="n">
        <x:v>46204</x:v>
      </x:c>
      <x:c r="C247" s="187" t="str">
        <x:v>CHAIN</x:v>
      </x:c>
      <x:c r="D247" s="187" t="str">
        <x:v>EFFICIENCY</x:v>
      </x:c>
      <x:c r="E247" s="187" t="str">
        <x:v>FR</x:v>
      </x:c>
      <x:c r="F247" s="187" t="str">
        <x:v>704.7269340039864000000000</x:v>
      </x:c>
      <x:c r="G247" s="235" t="n">
        <x:v>704.7269</x:v>
      </x:c>
      <x:c r="H247" s="235"/>
      <x:c r="I247" s="229"/>
      <x:c r="J247" s="187"/>
    </x:row>
    <x:row r="248">
      <x:c r="A248" s="187" t="str">
        <x:v>ACTUAL_VS_BUDGET</x:v>
      </x:c>
      <x:c r="B248" s="217" t="n">
        <x:v>46204</x:v>
      </x:c>
      <x:c r="C248" s="187" t="str">
        <x:v>CHAIN</x:v>
      </x:c>
      <x:c r="D248" s="187" t="str">
        <x:v>EFFICIENCY</x:v>
      </x:c>
      <x:c r="E248" s="187" t="str">
        <x:v>GB</x:v>
      </x:c>
      <x:c r="F248" s="187" t="str">
        <x:v>2027.704563507170592000000000</x:v>
      </x:c>
      <x:c r="G248" s="235" t="n">
        <x:v>2027.7046</x:v>
      </x:c>
      <x:c r="H248" s="235"/>
      <x:c r="I248" s="229"/>
      <x:c r="J248" s="187"/>
    </x:row>
    <x:row r="249">
      <x:c r="A249" s="187" t="str">
        <x:v>ACTUAL_VS_BUDGET</x:v>
      </x:c>
      <x:c r="B249" s="217" t="n">
        <x:v>46204</x:v>
      </x:c>
      <x:c r="C249" s="187" t="str">
        <x:v>CHAIN</x:v>
      </x:c>
      <x:c r="D249" s="187" t="str">
        <x:v>FX</x:v>
      </x:c>
      <x:c r="E249" s="187" t="str">
        <x:v>ALL</x:v>
      </x:c>
      <x:c r="F249" s="187" t="str">
        <x:v>13030.192824670291021932248640000000</x:v>
      </x:c>
      <x:c r="G249" s="235" t="n">
        <x:v>13030.1928</x:v>
      </x:c>
      <x:c r="H249" s="235" t="n">
        <x:v>808.5011670100168</x:v>
      </x:c>
      <x:c r="I249" s="229" t="n">
        <x:v>0.008016067132289724</x:v>
      </x:c>
      <x:c r="J249" s="254" t="b">
        <x:v>0</x:v>
      </x:c>
    </x:row>
    <x:row r="250">
      <x:c r="A250" s="187" t="str">
        <x:v>ACTUAL_VS_BUDGET</x:v>
      </x:c>
      <x:c r="B250" s="217" t="n">
        <x:v>46204</x:v>
      </x:c>
      <x:c r="C250" s="187" t="str">
        <x:v>CHAIN</x:v>
      </x:c>
      <x:c r="D250" s="187" t="str">
        <x:v>FX</x:v>
      </x:c>
      <x:c r="E250" s="187" t="str">
        <x:v>DE</x:v>
      </x:c>
      <x:c r="F250" s="187" t="str">
        <x:v>2970.699429609567711784872000000000</x:v>
      </x:c>
      <x:c r="G250" s="235" t="n">
        <x:v>2970.6994</x:v>
      </x:c>
      <x:c r="H250" s="235"/>
      <x:c r="I250" s="229"/>
      <x:c r="J250" s="187"/>
    </x:row>
    <x:row r="251">
      <x:c r="A251" s="187" t="str">
        <x:v>ACTUAL_VS_BUDGET</x:v>
      </x:c>
      <x:c r="B251" s="217" t="n">
        <x:v>46204</x:v>
      </x:c>
      <x:c r="C251" s="187" t="str">
        <x:v>CHAIN</x:v>
      </x:c>
      <x:c r="D251" s="187" t="str">
        <x:v>FX</x:v>
      </x:c>
      <x:c r="E251" s="187" t="str">
        <x:v>FR</x:v>
      </x:c>
      <x:c r="F251" s="187" t="str">
        <x:v>2367.9906271431895946260800000000</x:v>
      </x:c>
      <x:c r="G251" s="235" t="n">
        <x:v>2367.9906</x:v>
      </x:c>
      <x:c r="H251" s="235"/>
      <x:c r="I251" s="229"/>
      <x:c r="J251" s="187"/>
    </x:row>
    <x:row r="252">
      <x:c r="A252" s="187" t="str">
        <x:v>ACTUAL_VS_BUDGET</x:v>
      </x:c>
      <x:c r="B252" s="217" t="n">
        <x:v>46204</x:v>
      </x:c>
      <x:c r="C252" s="187" t="str">
        <x:v>CHAIN</x:v>
      </x:c>
      <x:c r="D252" s="187" t="str">
        <x:v>FX</x:v>
      </x:c>
      <x:c r="E252" s="187" t="str">
        <x:v>GB</x:v>
      </x:c>
      <x:c r="F252" s="187" t="str">
        <x:v>7691.502767917533715521296640000000</x:v>
      </x:c>
      <x:c r="G252" s="235" t="n">
        <x:v>7691.5028</x:v>
      </x:c>
      <x:c r="H252" s="235"/>
      <x:c r="I252" s="229"/>
      <x:c r="J252" s="187"/>
    </x:row>
    <x:row r="253">
      <x:c r="A253" s="187" t="str">
        <x:v>ACTUAL_VS_BUDGET</x:v>
      </x:c>
      <x:c r="B253" s="217" t="n">
        <x:v>46204</x:v>
      </x:c>
      <x:c r="C253" s="187" t="str">
        <x:v>CHAIN</x:v>
      </x:c>
      <x:c r="D253" s="187" t="str">
        <x:v>MIX</x:v>
      </x:c>
      <x:c r="E253" s="187" t="str">
        <x:v>ALL</x:v>
      </x:c>
      <x:c r="F253" s="187" t="str">
        <x:v>31610.336088416652000000000</x:v>
      </x:c>
      <x:c r="G253" s="235" t="n">
        <x:v>31610.3361</x:v>
      </x:c>
      <x:c r="H253" s="235" t="n">
        <x:v>226.77181182350301</x:v>
      </x:c>
      <x:c r="I253" s="229" t="n">
        <x:v>0.0022483802639528547</x:v>
      </x:c>
      <x:c r="J253" s="254" t="b">
        <x:v>0</x:v>
      </x:c>
    </x:row>
    <x:row r="254">
      <x:c r="A254" s="187" t="str">
        <x:v>ACTUAL_VS_BUDGET</x:v>
      </x:c>
      <x:c r="B254" s="217" t="n">
        <x:v>46204</x:v>
      </x:c>
      <x:c r="C254" s="187" t="str">
        <x:v>CHAIN</x:v>
      </x:c>
      <x:c r="D254" s="187" t="str">
        <x:v>MIX</x:v>
      </x:c>
      <x:c r="E254" s="187" t="str">
        <x:v>DE</x:v>
      </x:c>
      <x:c r="F254" s="187" t="str">
        <x:v>-7908.754768717140000000000</x:v>
      </x:c>
      <x:c r="G254" s="235" t="n">
        <x:v>-7908.7548</x:v>
      </x:c>
      <x:c r="H254" s="235"/>
      <x:c r="I254" s="229"/>
      <x:c r="J254" s="187"/>
    </x:row>
    <x:row r="255">
      <x:c r="A255" s="187" t="str">
        <x:v>ACTUAL_VS_BUDGET</x:v>
      </x:c>
      <x:c r="B255" s="217" t="n">
        <x:v>46204</x:v>
      </x:c>
      <x:c r="C255" s="187" t="str">
        <x:v>CHAIN</x:v>
      </x:c>
      <x:c r="D255" s="187" t="str">
        <x:v>MIX</x:v>
      </x:c>
      <x:c r="E255" s="187" t="str">
        <x:v>FR</x:v>
      </x:c>
      <x:c r="F255" s="187" t="str">
        <x:v>-7620.3569396916000000000</x:v>
      </x:c>
      <x:c r="G255" s="235" t="n">
        <x:v>-7620.3569</x:v>
      </x:c>
      <x:c r="H255" s="235"/>
      <x:c r="I255" s="229"/>
      <x:c r="J255" s="187"/>
    </x:row>
    <x:row r="256">
      <x:c r="A256" s="187" t="str">
        <x:v>ACTUAL_VS_BUDGET</x:v>
      </x:c>
      <x:c r="B256" s="217" t="n">
        <x:v>46204</x:v>
      </x:c>
      <x:c r="C256" s="187" t="str">
        <x:v>CHAIN</x:v>
      </x:c>
      <x:c r="D256" s="187" t="str">
        <x:v>MIX</x:v>
      </x:c>
      <x:c r="E256" s="187" t="str">
        <x:v>GB</x:v>
      </x:c>
      <x:c r="F256" s="187" t="str">
        <x:v>47139.447796825392000000000</x:v>
      </x:c>
      <x:c r="G256" s="235" t="n">
        <x:v>47139.4478</x:v>
      </x:c>
      <x:c r="H256" s="235"/>
      <x:c r="I256" s="229"/>
      <x:c r="J256" s="187"/>
    </x:row>
    <x:row r="257">
      <x:c r="A257" s="187" t="str">
        <x:v>ACTUAL_VS_BUDGET</x:v>
      </x:c>
      <x:c r="B257" s="217" t="n">
        <x:v>46204</x:v>
      </x:c>
      <x:c r="C257" s="187" t="str">
        <x:v>CHAIN</x:v>
      </x:c>
      <x:c r="D257" s="187" t="str">
        <x:v>PRICE</x:v>
      </x:c>
      <x:c r="E257" s="187" t="str">
        <x:v>ALL</x:v>
      </x:c>
      <x:c r="F257" s="187" t="str">
        <x:v>11287.052741730489198021792000000000</x:v>
      </x:c>
      <x:c r="G257" s="235" t="n">
        <x:v>11287.0527</x:v>
      </x:c>
      <x:c r="H257" s="235" t="n">
        <x:v>470.92672106017125</x:v>
      </x:c>
      <x:c r="I257" s="229" t="n">
        <x:v>0.00466910916698855</x:v>
      </x:c>
      <x:c r="J257" s="254" t="b">
        <x:v>0</x:v>
      </x:c>
    </x:row>
    <x:row r="258">
      <x:c r="A258" s="187" t="str">
        <x:v>ACTUAL_VS_BUDGET</x:v>
      </x:c>
      <x:c r="B258" s="217" t="n">
        <x:v>46204</x:v>
      </x:c>
      <x:c r="C258" s="187" t="str">
        <x:v>CHAIN</x:v>
      </x:c>
      <x:c r="D258" s="187" t="str">
        <x:v>PRICE</x:v>
      </x:c>
      <x:c r="E258" s="187" t="str">
        <x:v>DE</x:v>
      </x:c>
      <x:c r="F258" s="187" t="str">
        <x:v>2980.638272864615275654560000000000</x:v>
      </x:c>
      <x:c r="G258" s="235" t="n">
        <x:v>2980.6383</x:v>
      </x:c>
      <x:c r="H258" s="235"/>
      <x:c r="I258" s="229"/>
      <x:c r="J258" s="187"/>
    </x:row>
    <x:row r="259">
      <x:c r="A259" s="187" t="str">
        <x:v>ACTUAL_VS_BUDGET</x:v>
      </x:c>
      <x:c r="B259" s="217" t="n">
        <x:v>46204</x:v>
      </x:c>
      <x:c r="C259" s="187" t="str">
        <x:v>CHAIN</x:v>
      </x:c>
      <x:c r="D259" s="187" t="str">
        <x:v>PRICE</x:v>
      </x:c>
      <x:c r="E259" s="187" t="str">
        <x:v>FR</x:v>
      </x:c>
      <x:c r="F259" s="187" t="str">
        <x:v>2350.6129341392394007584000000000</x:v>
      </x:c>
      <x:c r="G259" s="235" t="n">
        <x:v>2350.6129</x:v>
      </x:c>
      <x:c r="H259" s="235"/>
      <x:c r="I259" s="229"/>
      <x:c r="J259" s="187"/>
    </x:row>
    <x:row r="260">
      <x:c r="A260" s="187" t="str">
        <x:v>ACTUAL_VS_BUDGET</x:v>
      </x:c>
      <x:c r="B260" s="217" t="n">
        <x:v>46204</x:v>
      </x:c>
      <x:c r="C260" s="187" t="str">
        <x:v>CHAIN</x:v>
      </x:c>
      <x:c r="D260" s="187" t="str">
        <x:v>PRICE</x:v>
      </x:c>
      <x:c r="E260" s="187" t="str">
        <x:v>GB</x:v>
      </x:c>
      <x:c r="F260" s="187" t="str">
        <x:v>5955.801534726634521608832000000000</x:v>
      </x:c>
      <x:c r="G260" s="235" t="n">
        <x:v>5955.8015</x:v>
      </x:c>
      <x:c r="H260" s="235"/>
      <x:c r="I260" s="229"/>
      <x:c r="J260" s="187"/>
    </x:row>
    <x:row r="261">
      <x:c r="A261" s="187" t="str">
        <x:v>ACTUAL_VS_BUDGET</x:v>
      </x:c>
      <x:c r="B261" s="217" t="n">
        <x:v>46204</x:v>
      </x:c>
      <x:c r="C261" s="187" t="str">
        <x:v>CHAIN</x:v>
      </x:c>
      <x:c r="D261" s="187" t="str">
        <x:v>VOLUME</x:v>
      </x:c>
      <x:c r="E261" s="187" t="str">
        <x:v>ALL</x:v>
      </x:c>
      <x:c r="F261" s="187" t="str">
        <x:v>41333.52450410400000000</x:v>
      </x:c>
      <x:c r="G261" s="235" t="n">
        <x:v>41333.5245</x:v>
      </x:c>
      <x:c r="H261" s="235" t="n">
        <x:v>1638.464238151821</x:v>
      </x:c>
      <x:c r="I261" s="229" t="n">
        <x:v>0.016244923152619536</x:v>
      </x:c>
      <x:c r="J261" s="254" t="b">
        <x:v>0</x:v>
      </x:c>
    </x:row>
    <x:row r="262">
      <x:c r="A262" s="187" t="str">
        <x:v>ACTUAL_VS_BUDGET</x:v>
      </x:c>
      <x:c r="B262" s="217" t="n">
        <x:v>46204</x:v>
      </x:c>
      <x:c r="C262" s="187" t="str">
        <x:v>CHAIN</x:v>
      </x:c>
      <x:c r="D262" s="187" t="str">
        <x:v>VOLUME</x:v>
      </x:c>
      <x:c r="E262" s="187" t="str">
        <x:v>DE</x:v>
      </x:c>
      <x:c r="F262" s="187" t="str">
        <x:v>11928.39837352800000000</x:v>
      </x:c>
      <x:c r="G262" s="235" t="n">
        <x:v>11928.3984</x:v>
      </x:c>
      <x:c r="H262" s="235"/>
      <x:c r="I262" s="229"/>
      <x:c r="J262" s="187"/>
    </x:row>
    <x:row r="263">
      <x:c r="A263" s="187" t="str">
        <x:v>ACTUAL_VS_BUDGET</x:v>
      </x:c>
      <x:c r="B263" s="217" t="n">
        <x:v>46204</x:v>
      </x:c>
      <x:c r="C263" s="187" t="str">
        <x:v>CHAIN</x:v>
      </x:c>
      <x:c r="D263" s="187" t="str">
        <x:v>VOLUME</x:v>
      </x:c>
      <x:c r="E263" s="187" t="str">
        <x:v>FR</x:v>
      </x:c>
      <x:c r="F263" s="187" t="str">
        <x:v>9582.059984640000000</x:v>
      </x:c>
      <x:c r="G263" s="235" t="n">
        <x:v>9582.06</x:v>
      </x:c>
      <x:c r="H263" s="235"/>
      <x:c r="I263" s="229"/>
      <x:c r="J263" s="187"/>
    </x:row>
    <x:row r="264">
      <x:c r="A264" s="187" t="str">
        <x:v>ACTUAL_VS_BUDGET</x:v>
      </x:c>
      <x:c r="B264" s="217" t="n">
        <x:v>46204</x:v>
      </x:c>
      <x:c r="C264" s="187" t="str">
        <x:v>CHAIN</x:v>
      </x:c>
      <x:c r="D264" s="187" t="str">
        <x:v>VOLUME</x:v>
      </x:c>
      <x:c r="E264" s="187" t="str">
        <x:v>GB</x:v>
      </x:c>
      <x:c r="F264" s="187" t="str">
        <x:v>19823.06614593600000000</x:v>
      </x:c>
      <x:c r="G264" s="235" t="n">
        <x:v>19823.0661</x:v>
      </x:c>
      <x:c r="H264" s="235"/>
      <x:c r="I264" s="229"/>
      <x:c r="J264" s="187"/>
    </x:row>
    <x:row r="265">
      <x:c r="A265" s="187" t="str">
        <x:v>ACTUAL_VS_BUDGET</x:v>
      </x:c>
      <x:c r="B265" s="217" t="n">
        <x:v>46204</x:v>
      </x:c>
      <x:c r="C265" s="187" t="str">
        <x:v>SHAPLEY</x:v>
      </x:c>
      <x:c r="D265" s="187" t="str">
        <x:v>EFFICIENCY</x:v>
      </x:c>
      <x:c r="E265" s="187" t="str">
        <x:v>ALL</x:v>
      </x:c>
      <x:c r="F265" s="187" t="str">
        <x:v>3466.7086493708986068282734693333333333333333333333333333333333333333333333333334</x:v>
      </x:c>
      <x:c r="G265" s="235" t="n">
        <x:v>3466.7086</x:v>
      </x:c>
      <x:c r="H265" s="235"/>
      <x:c r="I265" s="229"/>
      <x:c r="J265" s="187"/>
    </x:row>
    <x:row r="266">
      <x:c r="A266" s="187" t="str">
        <x:v>ACTUAL_VS_BUDGET</x:v>
      </x:c>
      <x:c r="B266" s="217" t="n">
        <x:v>46204</x:v>
      </x:c>
      <x:c r="C266" s="187" t="str">
        <x:v>SHAPLEY</x:v>
      </x:c>
      <x:c r="D266" s="187" t="str">
        <x:v>EFFICIENCY</x:v>
      </x:c>
      <x:c r="E266" s="187" t="str">
        <x:v>DE</x:v>
      </x:c>
      <x:c r="F266" s="187" t="str">
        <x:v>870.28528217155570926667780000000000000000000000000000000000000000000000000000000</x:v>
      </x:c>
      <x:c r="G266" s="235" t="n">
        <x:v>870.2853</x:v>
      </x:c>
      <x:c r="H266" s="235"/>
      <x:c r="I266" s="229"/>
      <x:c r="J266" s="187"/>
    </x:row>
    <x:row r="267">
      <x:c r="A267" s="187" t="str">
        <x:v>ACTUAL_VS_BUDGET</x:v>
      </x:c>
      <x:c r="B267" s="217" t="n">
        <x:v>46204</x:v>
      </x:c>
      <x:c r="C267" s="187" t="str">
        <x:v>SHAPLEY</x:v>
      </x:c>
      <x:c r="D267" s="187" t="str">
        <x:v>EFFICIENCY</x:v>
      </x:c>
      <x:c r="E267" s="187" t="str">
        <x:v>FR</x:v>
      </x:c>
      <x:c r="F267" s="187" t="str">
        <x:v>710.43867170973022725002533333333333333333333333333333333333333333333333333333334</x:v>
      </x:c>
      <x:c r="G267" s="235" t="n">
        <x:v>710.4387</x:v>
      </x:c>
      <x:c r="H267" s="235"/>
      <x:c r="I267" s="229"/>
      <x:c r="J267" s="187"/>
    </x:row>
    <x:row r="268">
      <x:c r="A268" s="187" t="str">
        <x:v>ACTUAL_VS_BUDGET</x:v>
      </x:c>
      <x:c r="B268" s="217" t="n">
        <x:v>46204</x:v>
      </x:c>
      <x:c r="C268" s="187" t="str">
        <x:v>SHAPLEY</x:v>
      </x:c>
      <x:c r="D268" s="187" t="str">
        <x:v>EFFICIENCY</x:v>
      </x:c>
      <x:c r="E268" s="187" t="str">
        <x:v>GB</x:v>
      </x:c>
      <x:c r="F268" s="187" t="str">
        <x:v>1885.9846954896126703115703360000000000000000000000000000000000000000000000000000</x:v>
      </x:c>
      <x:c r="G268" s="235" t="n">
        <x:v>1885.9847</x:v>
      </x:c>
      <x:c r="H268" s="235"/>
      <x:c r="I268" s="229"/>
      <x:c r="J268" s="187"/>
    </x:row>
    <x:row r="269">
      <x:c r="A269" s="187" t="str">
        <x:v>ACTUAL_VS_BUDGET</x:v>
      </x:c>
      <x:c r="B269" s="217" t="n">
        <x:v>46204</x:v>
      </x:c>
      <x:c r="C269" s="187" t="str">
        <x:v>SHAPLEY</x:v>
      </x:c>
      <x:c r="D269" s="187" t="str">
        <x:v>FX</x:v>
      </x:c>
      <x:c r="E269" s="187" t="str">
        <x:v>ALL</x:v>
      </x:c>
      <x:c r="F269" s="187" t="str">
        <x:v>12221.691657660274200829694802666666666666666666666666666666666666666666666666667</x:v>
      </x:c>
      <x:c r="G269" s="235" t="n">
        <x:v>12221.6917</x:v>
      </x:c>
      <x:c r="H269" s="235"/>
      <x:c r="I269" s="229"/>
      <x:c r="J269" s="187"/>
    </x:row>
    <x:row r="270">
      <x:c r="A270" s="187" t="str">
        <x:v>ACTUAL_VS_BUDGET</x:v>
      </x:c>
      <x:c r="B270" s="217" t="n">
        <x:v>46204</x:v>
      </x:c>
      <x:c r="C270" s="187" t="str">
        <x:v>SHAPLEY</x:v>
      </x:c>
      <x:c r="D270" s="187" t="str">
        <x:v>FX</x:v>
      </x:c>
      <x:c r="E270" s="187" t="str">
        <x:v>DE</x:v>
      </x:c>
      <x:c r="F270" s="187" t="str">
        <x:v>2916.0626902818389600356511333333333333333333333333333333333333333333333333333334</x:v>
      </x:c>
      <x:c r="G270" s="235" t="n">
        <x:v>2916.0627</x:v>
      </x:c>
      <x:c r="H270" s="235"/>
      <x:c r="I270" s="229"/>
      <x:c r="J270" s="187"/>
    </x:row>
    <x:row r="271">
      <x:c r="A271" s="187" t="str">
        <x:v>ACTUAL_VS_BUDGET</x:v>
      </x:c>
      <x:c r="B271" s="217" t="n">
        <x:v>46204</x:v>
      </x:c>
      <x:c r="C271" s="187" t="str">
        <x:v>SHAPLEY</x:v>
      </x:c>
      <x:c r="D271" s="187" t="str">
        <x:v>FX</x:v>
      </x:c>
      <x:c r="E271" s="187" t="str">
        <x:v>FR</x:v>
      </x:c>
      <x:c r="F271" s="187" t="str">
        <x:v>2333.5072460586905529196253333333333333333333333333333333333333333333333333333334</x:v>
      </x:c>
      <x:c r="G271" s="235" t="n">
        <x:v>2333.5072</x:v>
      </x:c>
      <x:c r="H271" s="235"/>
      <x:c r="I271" s="229"/>
      <x:c r="J271" s="187"/>
    </x:row>
    <x:row r="272">
      <x:c r="A272" s="187" t="str">
        <x:v>ACTUAL_VS_BUDGET</x:v>
      </x:c>
      <x:c r="B272" s="217" t="n">
        <x:v>46204</x:v>
      </x:c>
      <x:c r="C272" s="187" t="str">
        <x:v>SHAPLEY</x:v>
      </x:c>
      <x:c r="D272" s="187" t="str">
        <x:v>FX</x:v>
      </x:c>
      <x:c r="E272" s="187" t="str">
        <x:v>GB</x:v>
      </x:c>
      <x:c r="F272" s="187" t="str">
        <x:v>6972.1217213197446878744183360000000000000000000000000000000000000000000000000000</x:v>
      </x:c>
      <x:c r="G272" s="235" t="n">
        <x:v>6972.1217</x:v>
      </x:c>
      <x:c r="H272" s="235"/>
      <x:c r="I272" s="229"/>
      <x:c r="J272" s="187"/>
    </x:row>
    <x:row r="273">
      <x:c r="A273" s="187" t="str">
        <x:v>ACTUAL_VS_BUDGET</x:v>
      </x:c>
      <x:c r="B273" s="217" t="n">
        <x:v>46204</x:v>
      </x:c>
      <x:c r="C273" s="187" t="str">
        <x:v>SHAPLEY</x:v>
      </x:c>
      <x:c r="D273" s="187" t="str">
        <x:v>MIX</x:v>
      </x:c>
      <x:c r="E273" s="187" t="str">
        <x:v>ALL</x:v>
      </x:c>
      <x:c r="F273" s="187" t="str">
        <x:v>31383.564276593148989598386802666666666666666666666666666666666666666666666666666</x:v>
      </x:c>
      <x:c r="G273" s="235" t="n">
        <x:v>31383.5643</x:v>
      </x:c>
      <x:c r="H273" s="235"/>
      <x:c r="I273" s="229"/>
      <x:c r="J273" s="187"/>
    </x:row>
    <x:row r="274">
      <x:c r="A274" s="187" t="str">
        <x:v>ACTUAL_VS_BUDGET</x:v>
      </x:c>
      <x:c r="B274" s="217" t="n">
        <x:v>46204</x:v>
      </x:c>
      <x:c r="C274" s="187" t="str">
        <x:v>SHAPLEY</x:v>
      </x:c>
      <x:c r="D274" s="187" t="str">
        <x:v>MIX</x:v>
      </x:c>
      <x:c r="E274" s="187" t="str">
        <x:v>DE</x:v>
      </x:c>
      <x:c r="F274" s="187" t="str">
        <x:v>-7815.9883213076199058346222000000000000000000000000000000000000000000000000000000</x:v>
      </x:c>
      <x:c r="G274" s="235" t="n">
        <x:v>-7815.9883</x:v>
      </x:c>
      <x:c r="H274" s="235"/>
      <x:c r="I274" s="229"/>
      <x:c r="J274" s="187"/>
    </x:row>
    <x:row r="275">
      <x:c r="A275" s="187" t="str">
        <x:v>ACTUAL_VS_BUDGET</x:v>
      </x:c>
      <x:c r="B275" s="217" t="n">
        <x:v>46204</x:v>
      </x:c>
      <x:c r="C275" s="187" t="str">
        <x:v>SHAPLEY</x:v>
      </x:c>
      <x:c r="D275" s="187" t="str">
        <x:v>MIX</x:v>
      </x:c>
      <x:c r="E275" s="187" t="str">
        <x:v>FR</x:v>
      </x:c>
      <x:c r="F275" s="187" t="str">
        <x:v>-7530.8478104510558410106413333333333333333333333333333333333333333333333333333334</x:v>
      </x:c>
      <x:c r="G275" s="235" t="n">
        <x:v>-7530.8478</x:v>
      </x:c>
      <x:c r="H275" s="235"/>
      <x:c r="I275" s="229"/>
      <x:c r="J275" s="187"/>
    </x:row>
    <x:row r="276">
      <x:c r="A276" s="187" t="str">
        <x:v>ACTUAL_VS_BUDGET</x:v>
      </x:c>
      <x:c r="B276" s="217" t="n">
        <x:v>46204</x:v>
      </x:c>
      <x:c r="C276" s="187" t="str">
        <x:v>SHAPLEY</x:v>
      </x:c>
      <x:c r="D276" s="187" t="str">
        <x:v>MIX</x:v>
      </x:c>
      <x:c r="E276" s="187" t="str">
        <x:v>GB</x:v>
      </x:c>
      <x:c r="F276" s="187" t="str">
        <x:v>46730.400408351824736443650336000000000000000000000000000000000000000000000000000</x:v>
      </x:c>
      <x:c r="G276" s="235" t="n">
        <x:v>46730.4004</x:v>
      </x:c>
      <x:c r="H276" s="235"/>
      <x:c r="I276" s="229"/>
      <x:c r="J276" s="187"/>
    </x:row>
    <x:row r="277">
      <x:c r="A277" s="187" t="str">
        <x:v>ACTUAL_VS_BUDGET</x:v>
      </x:c>
      <x:c r="B277" s="217" t="n">
        <x:v>46204</x:v>
      </x:c>
      <x:c r="C277" s="187" t="str">
        <x:v>SHAPLEY</x:v>
      </x:c>
      <x:c r="D277" s="187" t="str">
        <x:v>PRICE</x:v>
      </x:c>
      <x:c r="E277" s="187" t="str">
        <x:v>ALL</x:v>
      </x:c>
      <x:c r="F277" s="187" t="str">
        <x:v>10816.126020670317943775746802666666666666666666666666666666666666666666666666667</x:v>
      </x:c>
      <x:c r="G277" s="235" t="n">
        <x:v>10816.126</x:v>
      </x:c>
      <x:c r="H277" s="235"/>
      <x:c r="I277" s="229"/>
      <x:c r="J277" s="187"/>
    </x:row>
    <x:row r="278">
      <x:c r="A278" s="187" t="str">
        <x:v>ACTUAL_VS_BUDGET</x:v>
      </x:c>
      <x:c r="B278" s="217" t="n">
        <x:v>46204</x:v>
      </x:c>
      <x:c r="C278" s="187" t="str">
        <x:v>SHAPLEY</x:v>
      </x:c>
      <x:c r="D278" s="187" t="str">
        <x:v>PRICE</x:v>
      </x:c>
      <x:c r="E278" s="187" t="str">
        <x:v>DE</x:v>
      </x:c>
      <x:c r="F278" s="187" t="str">
        <x:v>2967.2958530579670003695111333333333333333333333333333333333333333333333333333334</x:v>
      </x:c>
      <x:c r="G278" s="235" t="n">
        <x:v>2967.2959</x:v>
      </x:c>
      <x:c r="H278" s="235"/>
      <x:c r="I278" s="229"/>
      <x:c r="J278" s="187"/>
    </x:row>
    <x:row r="279">
      <x:c r="A279" s="187" t="str">
        <x:v>ACTUAL_VS_BUDGET</x:v>
      </x:c>
      <x:c r="B279" s="217" t="n">
        <x:v>46204</x:v>
      </x:c>
      <x:c r="C279" s="187" t="str">
        <x:v>SHAPLEY</x:v>
      </x:c>
      <x:c r="D279" s="187" t="str">
        <x:v>PRICE</x:v>
      </x:c>
      <x:c r="E279" s="187" t="str">
        <x:v>FR</x:v>
      </x:c>
      <x:c r="F279" s="187" t="str">
        <x:v>2349.0955227691894764800253333333333333333333333333333333333333333333333333333334</x:v>
      </x:c>
      <x:c r="G279" s="235" t="n">
        <x:v>2349.0955</x:v>
      </x:c>
      <x:c r="H279" s="235"/>
      <x:c r="I279" s="229"/>
      <x:c r="J279" s="187"/>
    </x:row>
    <x:row r="280">
      <x:c r="A280" s="187" t="str">
        <x:v>ACTUAL_VS_BUDGET</x:v>
      </x:c>
      <x:c r="B280" s="217" t="n">
        <x:v>46204</x:v>
      </x:c>
      <x:c r="C280" s="187" t="str">
        <x:v>SHAPLEY</x:v>
      </x:c>
      <x:c r="D280" s="187" t="str">
        <x:v>PRICE</x:v>
      </x:c>
      <x:c r="E280" s="187" t="str">
        <x:v>GB</x:v>
      </x:c>
      <x:c r="F280" s="187" t="str">
        <x:v>5499.7346448431614669262103360000000000000000000000000000000000000000000000000000</x:v>
      </x:c>
      <x:c r="G280" s="235" t="n">
        <x:v>5499.7346</x:v>
      </x:c>
      <x:c r="H280" s="235"/>
      <x:c r="I280" s="229"/>
      <x:c r="J280" s="187"/>
    </x:row>
    <x:row r="281">
      <x:c r="A281" s="187" t="str">
        <x:v>ACTUAL_VS_BUDGET</x:v>
      </x:c>
      <x:c r="B281" s="217" t="n">
        <x:v>46204</x:v>
      </x:c>
      <x:c r="C281" s="187" t="str">
        <x:v>SHAPLEY</x:v>
      </x:c>
      <x:c r="D281" s="187" t="str">
        <x:v>VOLUME</x:v>
      </x:c>
      <x:c r="E281" s="187" t="str">
        <x:v>ALL</x:v>
      </x:c>
      <x:c r="F281" s="187" t="str">
        <x:v>42971.988742255821030921938762666666666666666666666666666666666666666666666666668</x:v>
      </x:c>
      <x:c r="G281" s="235" t="n">
        <x:v>42971.9887</x:v>
      </x:c>
      <x:c r="H281" s="235"/>
      <x:c r="I281" s="229"/>
      <x:c r="J281" s="187"/>
    </x:row>
    <x:row r="282">
      <x:c r="A282" s="187" t="str">
        <x:v>ACTUAL_VS_BUDGET</x:v>
      </x:c>
      <x:c r="B282" s="217" t="n">
        <x:v>46204</x:v>
      </x:c>
      <x:c r="C282" s="187" t="str">
        <x:v>SHAPLEY</x:v>
      </x:c>
      <x:c r="D282" s="187" t="str">
        <x:v>VOLUME</x:v>
      </x:c>
      <x:c r="E282" s="187" t="str">
        <x:v>DE</x:v>
      </x:c>
      <x:c r="F282" s="187" t="str">
        <x:v>11899.867493199172783602214133333333333333333333333333333333333333333333333333334</x:v>
      </x:c>
      <x:c r="G282" s="235" t="n">
        <x:v>11899.8675</x:v>
      </x:c>
      <x:c r="H282" s="235"/>
      <x:c r="I282" s="229"/>
      <x:c r="J282" s="187"/>
    </x:row>
    <x:row r="283">
      <x:c r="A283" s="187" t="str">
        <x:v>ACTUAL_VS_BUDGET</x:v>
      </x:c>
      <x:c r="B283" s="217" t="n">
        <x:v>46204</x:v>
      </x:c>
      <x:c r="C283" s="187" t="str">
        <x:v>SHAPLEY</x:v>
      </x:c>
      <x:c r="D283" s="187" t="str">
        <x:v>VOLUME</x:v>
      </x:c>
      <x:c r="E283" s="187" t="str">
        <x:v>FR</x:v>
      </x:c>
      <x:c r="F283" s="187" t="str">
        <x:v>9522.8399101482609797454453333333333333333333333333333333333333333333333333333334</x:v>
      </x:c>
      <x:c r="G283" s="235" t="n">
        <x:v>9522.8399</x:v>
      </x:c>
      <x:c r="H283" s="235"/>
      <x:c r="I283" s="229"/>
      <x:c r="J283" s="187"/>
    </x:row>
    <x:row r="284">
      <x:c r="A284" s="187" t="str">
        <x:v>ACTUAL_VS_BUDGET</x:v>
      </x:c>
      <x:c r="B284" s="217" t="n">
        <x:v>46204</x:v>
      </x:c>
      <x:c r="C284" s="187" t="str">
        <x:v>SHAPLEY</x:v>
      </x:c>
      <x:c r="D284" s="187" t="str">
        <x:v>VOLUME</x:v>
      </x:c>
      <x:c r="E284" s="187" t="str">
        <x:v>GB</x:v>
      </x:c>
      <x:c r="F284" s="187" t="str">
        <x:v>21549.281338908387267574279296000000000000000000000000000000000000000000000000000</x:v>
      </x:c>
      <x:c r="G284" s="235" t="n">
        <x:v>21549.2813</x:v>
      </x:c>
      <x:c r="H284" s="235"/>
      <x:c r="I284" s="229"/>
      <x:c r="J284" s="187"/>
    </x:row>
    <x:row r="285">
      <x:c r="A285" s="187" t="str">
        <x:v>ACTUAL_VS_BUDGET</x:v>
      </x:c>
      <x:c r="B285" s="217" t="n">
        <x:v>46235</x:v>
      </x:c>
      <x:c r="C285" s="187" t="str">
        <x:v>CHAIN</x:v>
      </x:c>
      <x:c r="D285" s="187" t="str">
        <x:v>EFFICIENCY</x:v>
      </x:c>
      <x:c r="E285" s="187" t="str">
        <x:v>ALL</x:v>
      </x:c>
      <x:c r="F285" s="187" t="str">
        <x:v>64558.27888681248000000000</x:v>
      </x:c>
      <x:c r="G285" s="235" t="n">
        <x:v>64558.2789</x:v>
      </x:c>
      <x:c r="H285" s="235" t="n">
        <x:v>16615.24480645572</x:v>
      </x:c>
      <x:c r="I285" s="229" t="n">
        <x:v>0.028682054653263105</x:v>
      </x:c>
      <x:c r="J285" s="254" t="b">
        <x:v>0</x:v>
      </x:c>
    </x:row>
    <x:row r="286">
      <x:c r="A286" s="187" t="str">
        <x:v>ACTUAL_VS_BUDGET</x:v>
      </x:c>
      <x:c r="B286" s="217" t="n">
        <x:v>46235</x:v>
      </x:c>
      <x:c r="C286" s="187" t="str">
        <x:v>CHAIN</x:v>
      </x:c>
      <x:c r="D286" s="187" t="str">
        <x:v>EFFICIENCY</x:v>
      </x:c>
      <x:c r="E286" s="187" t="str">
        <x:v>DE</x:v>
      </x:c>
      <x:c r="F286" s="187" t="str">
        <x:v>0.000000000000000000</x:v>
      </x:c>
      <x:c r="G286" s="235" t="n">
        <x:v>0</x:v>
      </x:c>
      <x:c r="H286" s="235"/>
      <x:c r="I286" s="229"/>
      <x:c r="J286" s="187"/>
    </x:row>
    <x:row r="287">
      <x:c r="A287" s="187" t="str">
        <x:v>ACTUAL_VS_BUDGET</x:v>
      </x:c>
      <x:c r="B287" s="217" t="n">
        <x:v>46235</x:v>
      </x:c>
      <x:c r="C287" s="187" t="str">
        <x:v>CHAIN</x:v>
      </x:c>
      <x:c r="D287" s="187" t="str">
        <x:v>EFFICIENCY</x:v>
      </x:c>
      <x:c r="E287" s="187" t="str">
        <x:v>FR</x:v>
      </x:c>
      <x:c r="F287" s="187" t="str">
        <x:v>0.0000000000000000</x:v>
      </x:c>
      <x:c r="G287" s="235" t="n">
        <x:v>0</x:v>
      </x:c>
      <x:c r="H287" s="235"/>
      <x:c r="I287" s="229"/>
      <x:c r="J287" s="187"/>
    </x:row>
    <x:row r="288">
      <x:c r="A288" s="187" t="str">
        <x:v>ACTUAL_VS_BUDGET</x:v>
      </x:c>
      <x:c r="B288" s="217" t="n">
        <x:v>46235</x:v>
      </x:c>
      <x:c r="C288" s="187" t="str">
        <x:v>CHAIN</x:v>
      </x:c>
      <x:c r="D288" s="187" t="str">
        <x:v>EFFICIENCY</x:v>
      </x:c>
      <x:c r="E288" s="187" t="str">
        <x:v>GB</x:v>
      </x:c>
      <x:c r="F288" s="187" t="str">
        <x:v>64558.27888681248000000000</x:v>
      </x:c>
      <x:c r="G288" s="235" t="n">
        <x:v>64558.2789</x:v>
      </x:c>
      <x:c r="H288" s="235"/>
      <x:c r="I288" s="229"/>
      <x:c r="J288" s="187"/>
    </x:row>
    <x:row r="289">
      <x:c r="A289" s="187" t="str">
        <x:v>ACTUAL_VS_BUDGET</x:v>
      </x:c>
      <x:c r="B289" s="217" t="n">
        <x:v>46235</x:v>
      </x:c>
      <x:c r="C289" s="187" t="str">
        <x:v>CHAIN</x:v>
      </x:c>
      <x:c r="D289" s="187" t="str">
        <x:v>FX</x:v>
      </x:c>
      <x:c r="E289" s="187" t="str">
        <x:v>ALL</x:v>
      </x:c>
      <x:c r="F289" s="187" t="str">
        <x:v>27093.378763655873154348154880000000</x:v>
      </x:c>
      <x:c r="G289" s="235" t="n">
        <x:v>27093.3788</x:v>
      </x:c>
      <x:c r="H289" s="235" t="n">
        <x:v>7173.289288077225</x:v>
      </x:c>
      <x:c r="I289" s="229" t="n">
        <x:v>0.012382885584951316</x:v>
      </x:c>
      <x:c r="J289" s="254" t="b">
        <x:v>0</x:v>
      </x:c>
    </x:row>
    <x:row r="290">
      <x:c r="A290" s="187" t="str">
        <x:v>ACTUAL_VS_BUDGET</x:v>
      </x:c>
      <x:c r="B290" s="217" t="n">
        <x:v>46235</x:v>
      </x:c>
      <x:c r="C290" s="187" t="str">
        <x:v>CHAIN</x:v>
      </x:c>
      <x:c r="D290" s="187" t="str">
        <x:v>FX</x:v>
      </x:c>
      <x:c r="E290" s="187" t="str">
        <x:v>DE</x:v>
      </x:c>
      <x:c r="F290" s="187" t="str">
        <x:v>3861.167216907393926400000000</x:v>
      </x:c>
      <x:c r="G290" s="235" t="n">
        <x:v>3861.1672</x:v>
      </x:c>
      <x:c r="H290" s="235"/>
      <x:c r="I290" s="229"/>
      <x:c r="J290" s="187"/>
    </x:row>
    <x:row r="291">
      <x:c r="A291" s="187" t="str">
        <x:v>ACTUAL_VS_BUDGET</x:v>
      </x:c>
      <x:c r="B291" s="217" t="n">
        <x:v>46235</x:v>
      </x:c>
      <x:c r="C291" s="187" t="str">
        <x:v>CHAIN</x:v>
      </x:c>
      <x:c r="D291" s="187" t="str">
        <x:v>FX</x:v>
      </x:c>
      <x:c r="E291" s="187" t="str">
        <x:v>FR</x:v>
      </x:c>
      <x:c r="F291" s="187" t="str">
        <x:v>2969.8311991463472000000000</x:v>
      </x:c>
      <x:c r="G291" s="235" t="n">
        <x:v>2969.8312</x:v>
      </x:c>
      <x:c r="H291" s="235"/>
      <x:c r="I291" s="229"/>
      <x:c r="J291" s="187"/>
    </x:row>
    <x:row r="292">
      <x:c r="A292" s="187" t="str">
        <x:v>ACTUAL_VS_BUDGET</x:v>
      </x:c>
      <x:c r="B292" s="217" t="n">
        <x:v>46235</x:v>
      </x:c>
      <x:c r="C292" s="187" t="str">
        <x:v>CHAIN</x:v>
      </x:c>
      <x:c r="D292" s="187" t="str">
        <x:v>FX</x:v>
      </x:c>
      <x:c r="E292" s="187" t="str">
        <x:v>GB</x:v>
      </x:c>
      <x:c r="F292" s="187" t="str">
        <x:v>20262.380347602132027948154880000000</x:v>
      </x:c>
      <x:c r="G292" s="235" t="n">
        <x:v>20262.3803</x:v>
      </x:c>
      <x:c r="H292" s="235"/>
      <x:c r="I292" s="229"/>
      <x:c r="J292" s="187"/>
    </x:row>
    <x:row r="293">
      <x:c r="A293" s="187" t="str">
        <x:v>ACTUAL_VS_BUDGET</x:v>
      </x:c>
      <x:c r="B293" s="217" t="n">
        <x:v>46235</x:v>
      </x:c>
      <x:c r="C293" s="187" t="str">
        <x:v>CHAIN</x:v>
      </x:c>
      <x:c r="D293" s="187" t="str">
        <x:v>MIX</x:v>
      </x:c>
      <x:c r="E293" s="187" t="str">
        <x:v>ALL</x:v>
      </x:c>
      <x:c r="F293" s="187" t="str">
        <x:v>237051.55514308548000000000</x:v>
      </x:c>
      <x:c r="G293" s="235" t="n">
        <x:v>237051.5551</x:v>
      </x:c>
      <x:c r="H293" s="235" t="n">
        <x:v>13101.388066824567</x:v>
      </x:c>
      <x:c r="I293" s="229" t="n">
        <x:v>0.022616261929542383</x:v>
      </x:c>
      <x:c r="J293" s="254" t="b">
        <x:v>0</x:v>
      </x:c>
    </x:row>
    <x:row r="294">
      <x:c r="A294" s="187" t="str">
        <x:v>ACTUAL_VS_BUDGET</x:v>
      </x:c>
      <x:c r="B294" s="217" t="n">
        <x:v>46235</x:v>
      </x:c>
      <x:c r="C294" s="187" t="str">
        <x:v>CHAIN</x:v>
      </x:c>
      <x:c r="D294" s="187" t="str">
        <x:v>MIX</x:v>
      </x:c>
      <x:c r="E294" s="187" t="str">
        <x:v>DE</x:v>
      </x:c>
      <x:c r="F294" s="187" t="str">
        <x:v>-44605.931812587600000000</x:v>
      </x:c>
      <x:c r="G294" s="235" t="n">
        <x:v>-44605.9318</x:v>
      </x:c>
      <x:c r="H294" s="235"/>
      <x:c r="I294" s="229"/>
      <x:c r="J294" s="187"/>
    </x:row>
    <x:row r="295">
      <x:c r="A295" s="187" t="str">
        <x:v>ACTUAL_VS_BUDGET</x:v>
      </x:c>
      <x:c r="B295" s="217" t="n">
        <x:v>46235</x:v>
      </x:c>
      <x:c r="C295" s="187" t="str">
        <x:v>CHAIN</x:v>
      </x:c>
      <x:c r="D295" s="187" t="str">
        <x:v>MIX</x:v>
      </x:c>
      <x:c r="E295" s="187" t="str">
        <x:v>FR</x:v>
      </x:c>
      <x:c r="F295" s="187" t="str">
        <x:v>-42550.3351192920000000</x:v>
      </x:c>
      <x:c r="G295" s="235" t="n">
        <x:v>-42550.3351</x:v>
      </x:c>
      <x:c r="H295" s="235"/>
      <x:c r="I295" s="229"/>
      <x:c r="J295" s="187"/>
    </x:row>
    <x:row r="296">
      <x:c r="A296" s="187" t="str">
        <x:v>ACTUAL_VS_BUDGET</x:v>
      </x:c>
      <x:c r="B296" s="217" t="n">
        <x:v>46235</x:v>
      </x:c>
      <x:c r="C296" s="187" t="str">
        <x:v>CHAIN</x:v>
      </x:c>
      <x:c r="D296" s="187" t="str">
        <x:v>MIX</x:v>
      </x:c>
      <x:c r="E296" s="187" t="str">
        <x:v>GB</x:v>
      </x:c>
      <x:c r="F296" s="187" t="str">
        <x:v>324207.82207496508000000000</x:v>
      </x:c>
      <x:c r="G296" s="235" t="n">
        <x:v>324207.8221</x:v>
      </x:c>
      <x:c r="H296" s="235"/>
      <x:c r="I296" s="229"/>
      <x:c r="J296" s="187"/>
    </x:row>
    <x:row r="297">
      <x:c r="A297" s="187" t="str">
        <x:v>ACTUAL_VS_BUDGET</x:v>
      </x:c>
      <x:c r="B297" s="217" t="n">
        <x:v>46235</x:v>
      </x:c>
      <x:c r="C297" s="187" t="str">
        <x:v>CHAIN</x:v>
      </x:c>
      <x:c r="D297" s="187" t="str">
        <x:v>PRICE</x:v>
      </x:c>
      <x:c r="E297" s="187" t="str">
        <x:v>ALL</x:v>
      </x:c>
      <x:c r="F297" s="187" t="str">
        <x:v>72853.237317281798524686336000000000</x:v>
      </x:c>
      <x:c r="G297" s="235" t="n">
        <x:v>72853.2373</x:v>
      </x:c>
      <x:c r="H297" s="235" t="n">
        <x:v>28663.798102950885</x:v>
      </x:c>
      <x:c r="I297" s="229" t="n">
        <x:v>0.049480861301514016</x:v>
      </x:c>
      <x:c r="J297" s="254" t="b">
        <x:v>0</x:v>
      </x:c>
    </x:row>
    <x:row r="298">
      <x:c r="A298" s="187" t="str">
        <x:v>ACTUAL_VS_BUDGET</x:v>
      </x:c>
      <x:c r="B298" s="217" t="n">
        <x:v>46235</x:v>
      </x:c>
      <x:c r="C298" s="187" t="str">
        <x:v>CHAIN</x:v>
      </x:c>
      <x:c r="D298" s="187" t="str">
        <x:v>PRICE</x:v>
      </x:c>
      <x:c r="E298" s="187" t="str">
        <x:v>DE</x:v>
      </x:c>
      <x:c r="F298" s="187" t="str">
        <x:v>3240.140109153684172800000000</x:v>
      </x:c>
      <x:c r="G298" s="235" t="n">
        <x:v>3240.1401</x:v>
      </x:c>
      <x:c r="H298" s="235"/>
      <x:c r="I298" s="229"/>
      <x:c r="J298" s="187"/>
    </x:row>
    <x:row r="299">
      <x:c r="A299" s="187" t="str">
        <x:v>ACTUAL_VS_BUDGET</x:v>
      </x:c>
      <x:c r="B299" s="217" t="n">
        <x:v>46235</x:v>
      </x:c>
      <x:c r="C299" s="187" t="str">
        <x:v>CHAIN</x:v>
      </x:c>
      <x:c r="D299" s="187" t="str">
        <x:v>PRICE</x:v>
      </x:c>
      <x:c r="E299" s="187" t="str">
        <x:v>FR</x:v>
      </x:c>
      <x:c r="F299" s="187" t="str">
        <x:v>2465.7397867100544000000000</x:v>
      </x:c>
      <x:c r="G299" s="235" t="n">
        <x:v>2465.7398</x:v>
      </x:c>
      <x:c r="H299" s="235"/>
      <x:c r="I299" s="229"/>
      <x:c r="J299" s="187"/>
    </x:row>
    <x:row r="300">
      <x:c r="A300" s="187" t="str">
        <x:v>ACTUAL_VS_BUDGET</x:v>
      </x:c>
      <x:c r="B300" s="217" t="n">
        <x:v>46235</x:v>
      </x:c>
      <x:c r="C300" s="187" t="str">
        <x:v>CHAIN</x:v>
      </x:c>
      <x:c r="D300" s="187" t="str">
        <x:v>PRICE</x:v>
      </x:c>
      <x:c r="E300" s="187" t="str">
        <x:v>GB</x:v>
      </x:c>
      <x:c r="F300" s="187" t="str">
        <x:v>67147.357421418059951886336000000000</x:v>
      </x:c>
      <x:c r="G300" s="235" t="n">
        <x:v>67147.3574</x:v>
      </x:c>
      <x:c r="H300" s="235"/>
      <x:c r="I300" s="229"/>
      <x:c r="J300" s="187"/>
    </x:row>
    <x:row r="301">
      <x:c r="A301" s="187" t="str">
        <x:v>ACTUAL_VS_BUDGET</x:v>
      </x:c>
      <x:c r="B301" s="217" t="n">
        <x:v>46235</x:v>
      </x:c>
      <x:c r="C301" s="187" t="str">
        <x:v>CHAIN</x:v>
      </x:c>
      <x:c r="D301" s="187" t="str">
        <x:v>VOLUME</x:v>
      </x:c>
      <x:c r="E301" s="187" t="str">
        <x:v>ALL</x:v>
      </x:c>
      <x:c r="F301" s="187" t="str">
        <x:v>177734.15536764720000000</x:v>
      </x:c>
      <x:c r="G301" s="235" t="n">
        <x:v>177734.1554</x:v>
      </x:c>
      <x:c r="H301" s="235" t="n">
        <x:v>39350.94413065926</x:v>
      </x:c>
      <x:c r="I301" s="229" t="n">
        <x:v>0.06792953961018605</x:v>
      </x:c>
      <x:c r="J301" s="254" t="b">
        <x:v>0</x:v>
      </x:c>
    </x:row>
    <x:row r="302">
      <x:c r="A302" s="187" t="str">
        <x:v>ACTUAL_VS_BUDGET</x:v>
      </x:c>
      <x:c r="B302" s="217" t="n">
        <x:v>46235</x:v>
      </x:c>
      <x:c r="C302" s="187" t="str">
        <x:v>CHAIN</x:v>
      </x:c>
      <x:c r="D302" s="187" t="str">
        <x:v>VOLUME</x:v>
      </x:c>
      <x:c r="E302" s="187" t="str">
        <x:v>DE</x:v>
      </x:c>
      <x:c r="F302" s="187" t="str">
        <x:v>51292.11300617040000000</x:v>
      </x:c>
      <x:c r="G302" s="235" t="n">
        <x:v>51292.113</x:v>
      </x:c>
      <x:c r="H302" s="235"/>
      <x:c r="I302" s="229"/>
      <x:c r="J302" s="187"/>
    </x:row>
    <x:row r="303">
      <x:c r="A303" s="187" t="str">
        <x:v>ACTUAL_VS_BUDGET</x:v>
      </x:c>
      <x:c r="B303" s="217" t="n">
        <x:v>46235</x:v>
      </x:c>
      <x:c r="C303" s="187" t="str">
        <x:v>CHAIN</x:v>
      </x:c>
      <x:c r="D303" s="187" t="str">
        <x:v>VOLUME</x:v>
      </x:c>
      <x:c r="E303" s="187" t="str">
        <x:v>FR</x:v>
      </x:c>
      <x:c r="F303" s="187" t="str">
        <x:v>41202.857933952000000</x:v>
      </x:c>
      <x:c r="G303" s="235" t="n">
        <x:v>41202.8579</x:v>
      </x:c>
      <x:c r="H303" s="235"/>
      <x:c r="I303" s="229"/>
      <x:c r="J303" s="187"/>
    </x:row>
    <x:row r="304">
      <x:c r="A304" s="187" t="str">
        <x:v>ACTUAL_VS_BUDGET</x:v>
      </x:c>
      <x:c r="B304" s="217" t="n">
        <x:v>46235</x:v>
      </x:c>
      <x:c r="C304" s="187" t="str">
        <x:v>CHAIN</x:v>
      </x:c>
      <x:c r="D304" s="187" t="str">
        <x:v>VOLUME</x:v>
      </x:c>
      <x:c r="E304" s="187" t="str">
        <x:v>GB</x:v>
      </x:c>
      <x:c r="F304" s="187" t="str">
        <x:v>85239.18442752480000000</x:v>
      </x:c>
      <x:c r="G304" s="235" t="n">
        <x:v>85239.1844</x:v>
      </x:c>
      <x:c r="H304" s="235"/>
      <x:c r="I304" s="229"/>
      <x:c r="J304" s="187"/>
    </x:row>
    <x:row r="305">
      <x:c r="A305" s="187" t="str">
        <x:v>ACTUAL_VS_BUDGET</x:v>
      </x:c>
      <x:c r="B305" s="217" t="n">
        <x:v>46235</x:v>
      </x:c>
      <x:c r="C305" s="187" t="str">
        <x:v>SHAPLEY</x:v>
      </x:c>
      <x:c r="D305" s="187" t="str">
        <x:v>EFFICIENCY</x:v>
      </x:c>
      <x:c r="E305" s="187" t="str">
        <x:v>ALL</x:v>
      </x:c>
      <x:c r="F305" s="187" t="str">
        <x:v>47943.034080356759130161530879999999999999999999999999999999999999999999999999999</x:v>
      </x:c>
      <x:c r="G305" s="235" t="n">
        <x:v>47943.0341</x:v>
      </x:c>
      <x:c r="H305" s="235"/>
      <x:c r="I305" s="229"/>
      <x:c r="J305" s="187"/>
    </x:row>
    <x:row r="306">
      <x:c r="A306" s="187" t="str">
        <x:v>ACTUAL_VS_BUDGET</x:v>
      </x:c>
      <x:c r="B306" s="217" t="n">
        <x:v>46235</x:v>
      </x:c>
      <x:c r="C306" s="187" t="str">
        <x:v>SHAPLEY</x:v>
      </x:c>
      <x:c r="D306" s="187" t="str">
        <x:v>EFFICIENCY</x:v>
      </x:c>
      <x:c r="E306" s="187" t="str">
        <x:v>DE</x:v>
      </x:c>
      <x:c r="F306" s="187" t="str">
        <x:v>0.000000000000000000000000000000000000000000000000000000000000000000000000000000000000000000000000000000000</x:v>
      </x:c>
      <x:c r="G306" s="235" t="n">
        <x:v>0</x:v>
      </x:c>
      <x:c r="H306" s="235"/>
      <x:c r="I306" s="229"/>
      <x:c r="J306" s="187"/>
    </x:row>
    <x:row r="307">
      <x:c r="A307" s="187" t="str">
        <x:v>ACTUAL_VS_BUDGET</x:v>
      </x:c>
      <x:c r="B307" s="217" t="n">
        <x:v>46235</x:v>
      </x:c>
      <x:c r="C307" s="187" t="str">
        <x:v>SHAPLEY</x:v>
      </x:c>
      <x:c r="D307" s="187" t="str">
        <x:v>EFFICIENCY</x:v>
      </x:c>
      <x:c r="E307" s="187" t="str">
        <x:v>FR</x:v>
      </x:c>
      <x:c r="F307" s="187" t="str">
        <x:v>0.0000000000000000000000000000000000000000000000000000000000000000000000000000000000000000000000000000000</x:v>
      </x:c>
      <x:c r="G307" s="235" t="n">
        <x:v>0</x:v>
      </x:c>
      <x:c r="H307" s="235"/>
      <x:c r="I307" s="229"/>
      <x:c r="J307" s="187"/>
    </x:row>
    <x:row r="308">
      <x:c r="A308" s="187" t="str">
        <x:v>ACTUAL_VS_BUDGET</x:v>
      </x:c>
      <x:c r="B308" s="217" t="n">
        <x:v>46235</x:v>
      </x:c>
      <x:c r="C308" s="187" t="str">
        <x:v>SHAPLEY</x:v>
      </x:c>
      <x:c r="D308" s="187" t="str">
        <x:v>EFFICIENCY</x:v>
      </x:c>
      <x:c r="E308" s="187" t="str">
        <x:v>GB</x:v>
      </x:c>
      <x:c r="F308" s="187" t="str">
        <x:v>47943.034080356759130161530879999999999999999999999999999999999999999999999999999</x:v>
      </x:c>
      <x:c r="G308" s="235" t="n">
        <x:v>47943.0341</x:v>
      </x:c>
      <x:c r="H308" s="235"/>
      <x:c r="I308" s="229"/>
      <x:c r="J308" s="187"/>
    </x:row>
    <x:row r="309">
      <x:c r="A309" s="187" t="str">
        <x:v>ACTUAL_VS_BUDGET</x:v>
      </x:c>
      <x:c r="B309" s="217" t="n">
        <x:v>46235</x:v>
      </x:c>
      <x:c r="C309" s="187" t="str">
        <x:v>SHAPLEY</x:v>
      </x:c>
      <x:c r="D309" s="187" t="str">
        <x:v>FX</x:v>
      </x:c>
      <x:c r="E309" s="187" t="str">
        <x:v>ALL</x:v>
      </x:c>
      <x:c r="F309" s="187" t="str">
        <x:v>19920.089475578647704557892266666666666666666666666666666666666666666666666666665</x:v>
      </x:c>
      <x:c r="G309" s="235" t="n">
        <x:v>19920.0895</x:v>
      </x:c>
      <x:c r="H309" s="235"/>
      <x:c r="I309" s="229"/>
      <x:c r="J309" s="187"/>
    </x:row>
    <x:row r="310">
      <x:c r="A310" s="187" t="str">
        <x:v>ACTUAL_VS_BUDGET</x:v>
      </x:c>
      <x:c r="B310" s="217" t="n">
        <x:v>46235</x:v>
      </x:c>
      <x:c r="C310" s="187" t="str">
        <x:v>SHAPLEY</x:v>
      </x:c>
      <x:c r="D310" s="187" t="str">
        <x:v>FX</x:v>
      </x:c>
      <x:c r="E310" s="187" t="str">
        <x:v>DE</x:v>
      </x:c>
      <x:c r="F310" s="187" t="str">
        <x:v>3795.9024836440381632000000000000000000000000000000000000000000000000000000000000</x:v>
      </x:c>
      <x:c r="G310" s="235" t="n">
        <x:v>3795.9025</x:v>
      </x:c>
      <x:c r="H310" s="235"/>
      <x:c r="I310" s="229"/>
      <x:c r="J310" s="187"/>
    </x:row>
    <x:row r="311">
      <x:c r="A311" s="187" t="str">
        <x:v>ACTUAL_VS_BUDGET</x:v>
      </x:c>
      <x:c r="B311" s="217" t="n">
        <x:v>46235</x:v>
      </x:c>
      <x:c r="C311" s="187" t="str">
        <x:v>SHAPLEY</x:v>
      </x:c>
      <x:c r="D311" s="187" t="str">
        <x:v>FX</x:v>
      </x:c>
      <x:c r="E311" s="187" t="str">
        <x:v>FR</x:v>
      </x:c>
      <x:c r="F311" s="187" t="str">
        <x:v>2988.2713369988681280000000000000000000000000000000000000000000000000000000000000</x:v>
      </x:c>
      <x:c r="G311" s="235" t="n">
        <x:v>2988.2713</x:v>
      </x:c>
      <x:c r="H311" s="235"/>
      <x:c r="I311" s="229"/>
      <x:c r="J311" s="187"/>
    </x:row>
    <x:row r="312">
      <x:c r="A312" s="187" t="str">
        <x:v>ACTUAL_VS_BUDGET</x:v>
      </x:c>
      <x:c r="B312" s="217" t="n">
        <x:v>46235</x:v>
      </x:c>
      <x:c r="C312" s="187" t="str">
        <x:v>SHAPLEY</x:v>
      </x:c>
      <x:c r="D312" s="187" t="str">
        <x:v>FX</x:v>
      </x:c>
      <x:c r="E312" s="187" t="str">
        <x:v>GB</x:v>
      </x:c>
      <x:c r="F312" s="187" t="str">
        <x:v>13135.915654935741413357892266666666666666666666666666666666666666666666666666666</x:v>
      </x:c>
      <x:c r="G312" s="235" t="n">
        <x:v>13135.9157</x:v>
      </x:c>
      <x:c r="H312" s="235"/>
      <x:c r="I312" s="229"/>
      <x:c r="J312" s="187"/>
    </x:row>
    <x:row r="313">
      <x:c r="A313" s="187" t="str">
        <x:v>ACTUAL_VS_BUDGET</x:v>
      </x:c>
      <x:c r="B313" s="217" t="n">
        <x:v>46235</x:v>
      </x:c>
      <x:c r="C313" s="187" t="str">
        <x:v>SHAPLEY</x:v>
      </x:c>
      <x:c r="D313" s="187" t="str">
        <x:v>MIX</x:v>
      </x:c>
      <x:c r="E313" s="187" t="str">
        <x:v>ALL</x:v>
      </x:c>
      <x:c r="F313" s="187" t="str">
        <x:v>250152.94320991004716494286506666666666666666666666666666666666666666666666666666</x:v>
      </x:c>
      <x:c r="G313" s="235" t="n">
        <x:v>250152.9432</x:v>
      </x:c>
      <x:c r="H313" s="235"/>
      <x:c r="I313" s="229"/>
      <x:c r="J313" s="187"/>
    </x:row>
    <x:row r="314">
      <x:c r="A314" s="187" t="str">
        <x:v>ACTUAL_VS_BUDGET</x:v>
      </x:c>
      <x:c r="B314" s="217" t="n">
        <x:v>46235</x:v>
      </x:c>
      <x:c r="C314" s="187" t="str">
        <x:v>SHAPLEY</x:v>
      </x:c>
      <x:c r="D314" s="187" t="str">
        <x:v>MIX</x:v>
      </x:c>
      <x:c r="E314" s="187" t="str">
        <x:v>DE</x:v>
      </x:c>
      <x:c r="F314" s="187" t="str">
        <x:v>-40624.711752229408742400000000000000000000000000000000000000000000000000000000000</x:v>
      </x:c>
      <x:c r="G314" s="235" t="n">
        <x:v>-40624.7118</x:v>
      </x:c>
      <x:c r="H314" s="235"/>
      <x:c r="I314" s="229"/>
      <x:c r="J314" s="187"/>
    </x:row>
    <x:row r="315">
      <x:c r="A315" s="187" t="str">
        <x:v>ACTUAL_VS_BUDGET</x:v>
      </x:c>
      <x:c r="B315" s="217" t="n">
        <x:v>46235</x:v>
      </x:c>
      <x:c r="C315" s="187" t="str">
        <x:v>SHAPLEY</x:v>
      </x:c>
      <x:c r="D315" s="187" t="str">
        <x:v>MIX</x:v>
      </x:c>
      <x:c r="E315" s="187" t="str">
        <x:v>FR</x:v>
      </x:c>
      <x:c r="F315" s="187" t="str">
        <x:v>-38749.043060990746848000000000000000000000000000000000000000000000000000000000000</x:v>
      </x:c>
      <x:c r="G315" s="235" t="n">
        <x:v>-38749.0431</x:v>
      </x:c>
      <x:c r="H315" s="235"/>
      <x:c r="I315" s="229"/>
      <x:c r="J315" s="187"/>
    </x:row>
    <x:row r="316">
      <x:c r="A316" s="187" t="str">
        <x:v>ACTUAL_VS_BUDGET</x:v>
      </x:c>
      <x:c r="B316" s="217" t="n">
        <x:v>46235</x:v>
      </x:c>
      <x:c r="C316" s="187" t="str">
        <x:v>SHAPLEY</x:v>
      </x:c>
      <x:c r="D316" s="187" t="str">
        <x:v>MIX</x:v>
      </x:c>
      <x:c r="E316" s="187" t="str">
        <x:v>GB</x:v>
      </x:c>
      <x:c r="F316" s="187" t="str">
        <x:v>329526.69802313020275534286506666666666666666666666666666666666666666666666666666</x:v>
      </x:c>
      <x:c r="G316" s="235" t="n">
        <x:v>329526.698</x:v>
      </x:c>
      <x:c r="H316" s="235"/>
      <x:c r="I316" s="229"/>
      <x:c r="J316" s="187"/>
    </x:row>
    <x:row r="317">
      <x:c r="A317" s="187" t="str">
        <x:v>ACTUAL_VS_BUDGET</x:v>
      </x:c>
      <x:c r="B317" s="217" t="n">
        <x:v>46235</x:v>
      </x:c>
      <x:c r="C317" s="187" t="str">
        <x:v>SHAPLEY</x:v>
      </x:c>
      <x:c r="D317" s="187" t="str">
        <x:v>PRICE</x:v>
      </x:c>
      <x:c r="E317" s="187" t="str">
        <x:v>ALL</x:v>
      </x:c>
      <x:c r="F317" s="187" t="str">
        <x:v>44189.439214330913268545604266666666666666666666666666666666666666666666666666667</x:v>
      </x:c>
      <x:c r="G317" s="235" t="n">
        <x:v>44189.4392</x:v>
      </x:c>
      <x:c r="H317" s="235"/>
      <x:c r="I317" s="229"/>
      <x:c r="J317" s="187"/>
    </x:row>
    <x:row r="318">
      <x:c r="A318" s="187" t="str">
        <x:v>ACTUAL_VS_BUDGET</x:v>
      </x:c>
      <x:c r="B318" s="217" t="n">
        <x:v>46235</x:v>
      </x:c>
      <x:c r="C318" s="187" t="str">
        <x:v>SHAPLEY</x:v>
      </x:c>
      <x:c r="D318" s="187" t="str">
        <x:v>PRICE</x:v>
      </x:c>
      <x:c r="E318" s="187" t="str">
        <x:v>DE</x:v>
      </x:c>
      <x:c r="F318" s="187" t="str">
        <x:v>3242.1872524006604352000000000000000000000000000000000000000000000000000000000000</x:v>
      </x:c>
      <x:c r="G318" s="235" t="n">
        <x:v>3242.1873</x:v>
      </x:c>
      <x:c r="H318" s="235"/>
      <x:c r="I318" s="229"/>
      <x:c r="J318" s="187"/>
    </x:row>
    <x:row r="319">
      <x:c r="A319" s="187" t="str">
        <x:v>ACTUAL_VS_BUDGET</x:v>
      </x:c>
      <x:c r="B319" s="217" t="n">
        <x:v>46235</x:v>
      </x:c>
      <x:c r="C319" s="187" t="str">
        <x:v>SHAPLEY</x:v>
      </x:c>
      <x:c r="D319" s="187" t="str">
        <x:v>PRICE</x:v>
      </x:c>
      <x:c r="E319" s="187" t="str">
        <x:v>FR</x:v>
      </x:c>
      <x:c r="F319" s="187" t="str">
        <x:v>2525.0590950498628800000000000000000000000000000000000000000000000000000000000000</x:v>
      </x:c>
      <x:c r="G319" s="235" t="n">
        <x:v>2525.0591</x:v>
      </x:c>
      <x:c r="H319" s="235"/>
      <x:c r="I319" s="229"/>
      <x:c r="J319" s="187"/>
    </x:row>
    <x:row r="320">
      <x:c r="A320" s="187" t="str">
        <x:v>ACTUAL_VS_BUDGET</x:v>
      </x:c>
      <x:c r="B320" s="217" t="n">
        <x:v>46235</x:v>
      </x:c>
      <x:c r="C320" s="187" t="str">
        <x:v>SHAPLEY</x:v>
      </x:c>
      <x:c r="D320" s="187" t="str">
        <x:v>PRICE</x:v>
      </x:c>
      <x:c r="E320" s="187" t="str">
        <x:v>GB</x:v>
      </x:c>
      <x:c r="F320" s="187" t="str">
        <x:v>38422.192866880389953345604266666666666666666666666666666666666666666666666666667</x:v>
      </x:c>
      <x:c r="G320" s="235" t="n">
        <x:v>38422.1929</x:v>
      </x:c>
      <x:c r="H320" s="235"/>
      <x:c r="I320" s="229"/>
      <x:c r="J320" s="187"/>
    </x:row>
    <x:row r="321">
      <x:c r="A321" s="187" t="str">
        <x:v>ACTUAL_VS_BUDGET</x:v>
      </x:c>
      <x:c r="B321" s="217" t="n">
        <x:v>46235</x:v>
      </x:c>
      <x:c r="C321" s="187" t="str">
        <x:v>SHAPLEY</x:v>
      </x:c>
      <x:c r="D321" s="187" t="str">
        <x:v>VOLUME</x:v>
      </x:c>
      <x:c r="E321" s="187" t="str">
        <x:v>ALL</x:v>
      </x:c>
      <x:c r="F321" s="187" t="str">
        <x:v>217085.09949830646441082659839999999999999999999999999999999999999999999999999999</x:v>
      </x:c>
      <x:c r="G321" s="235" t="n">
        <x:v>217085.0995</x:v>
      </x:c>
      <x:c r="H321" s="235"/>
      <x:c r="I321" s="229"/>
      <x:c r="J321" s="187"/>
    </x:row>
    <x:row r="322">
      <x:c r="A322" s="187" t="str">
        <x:v>ACTUAL_VS_BUDGET</x:v>
      </x:c>
      <x:c r="B322" s="217" t="n">
        <x:v>46235</x:v>
      </x:c>
      <x:c r="C322" s="187" t="str">
        <x:v>SHAPLEY</x:v>
      </x:c>
      <x:c r="D322" s="187" t="str">
        <x:v>VOLUME</x:v>
      </x:c>
      <x:c r="E322" s="187" t="str">
        <x:v>DE</x:v>
      </x:c>
      <x:c r="F322" s="187" t="str">
        <x:v>47374.110535828588243200000000000000000000000000000000000000000000000000000000000</x:v>
      </x:c>
      <x:c r="G322" s="235" t="n">
        <x:v>47374.1105</x:v>
      </x:c>
      <x:c r="H322" s="235"/>
      <x:c r="I322" s="229"/>
      <x:c r="J322" s="187"/>
    </x:row>
    <x:row r="323">
      <x:c r="A323" s="187" t="str">
        <x:v>ACTUAL_VS_BUDGET</x:v>
      </x:c>
      <x:c r="B323" s="217" t="n">
        <x:v>46235</x:v>
      </x:c>
      <x:c r="C323" s="187" t="str">
        <x:v>SHAPLEY</x:v>
      </x:c>
      <x:c r="D323" s="187" t="str">
        <x:v>VOLUME</x:v>
      </x:c>
      <x:c r="E323" s="187" t="str">
        <x:v>FR</x:v>
      </x:c>
      <x:c r="F323" s="187" t="str">
        <x:v>37323.806429458417440000000000000000000000000000000000000000000000000000000000000</x:v>
      </x:c>
      <x:c r="G323" s="235" t="n">
        <x:v>37323.8064</x:v>
      </x:c>
      <x:c r="H323" s="235"/>
      <x:c r="I323" s="229"/>
      <x:c r="J323" s="187"/>
    </x:row>
    <x:row r="324">
      <x:c r="A324" s="187" t="str">
        <x:v>ACTUAL_VS_BUDGET</x:v>
      </x:c>
      <x:c r="B324" s="217" t="n">
        <x:v>46235</x:v>
      </x:c>
      <x:c r="C324" s="187" t="str">
        <x:v>SHAPLEY</x:v>
      </x:c>
      <x:c r="D324" s="187" t="str">
        <x:v>VOLUME</x:v>
      </x:c>
      <x:c r="E324" s="187" t="str">
        <x:v>GB</x:v>
      </x:c>
      <x:c r="F324" s="187" t="str">
        <x:v>132387.18253301945872762659840000000000000000000000000000000000000000000000000000</x:v>
      </x:c>
      <x:c r="G324" s="235" t="n">
        <x:v>132387.1825</x:v>
      </x:c>
      <x:c r="H324" s="235"/>
      <x:c r="I324" s="229"/>
      <x:c r="J324" s="187"/>
    </x:row>
    <x:row r="325">
      <x:c r="A325" s="187" t="str">
        <x:v>FORECAST_VS_BUDGET</x:v>
      </x:c>
      <x:c r="B325" s="217" t="n">
        <x:v>46266</x:v>
      </x:c>
      <x:c r="C325" s="187" t="str">
        <x:v>CHAIN</x:v>
      </x:c>
      <x:c r="D325" s="187" t="str">
        <x:v>EFFICIENCY</x:v>
      </x:c>
      <x:c r="E325" s="187" t="str">
        <x:v>ALL</x:v>
      </x:c>
      <x:c r="F325" s="187" t="str">
        <x:v>27321.4495497776640000000</x:v>
      </x:c>
      <x:c r="G325" s="235" t="n">
        <x:v>27321.4495</x:v>
      </x:c>
      <x:c r="H325" s="235" t="n">
        <x:v>2941.3950125930787</x:v>
      </x:c>
      <x:c r="I325" s="229" t="n">
        <x:v>0.013478086007798297</x:v>
      </x:c>
      <x:c r="J325" s="254" t="b">
        <x:v>0</x:v>
      </x:c>
    </x:row>
    <x:row r="326">
      <x:c r="A326" s="187" t="str">
        <x:v>FORECAST_VS_BUDGET</x:v>
      </x:c>
      <x:c r="B326" s="217" t="n">
        <x:v>46266</x:v>
      </x:c>
      <x:c r="C326" s="187" t="str">
        <x:v>CHAIN</x:v>
      </x:c>
      <x:c r="D326" s="187" t="str">
        <x:v>EFFICIENCY</x:v>
      </x:c>
      <x:c r="E326" s="187" t="str">
        <x:v>DE</x:v>
      </x:c>
      <x:c r="F326" s="187" t="str">
        <x:v>0.00000000000000000</x:v>
      </x:c>
      <x:c r="G326" s="235" t="n">
        <x:v>0</x:v>
      </x:c>
      <x:c r="H326" s="235"/>
      <x:c r="I326" s="229"/>
      <x:c r="J326" s="187"/>
    </x:row>
    <x:row r="327">
      <x:c r="A327" s="187" t="str">
        <x:v>FORECAST_VS_BUDGET</x:v>
      </x:c>
      <x:c r="B327" s="217" t="n">
        <x:v>46266</x:v>
      </x:c>
      <x:c r="C327" s="187" t="str">
        <x:v>CHAIN</x:v>
      </x:c>
      <x:c r="D327" s="187" t="str">
        <x:v>EFFICIENCY</x:v>
      </x:c>
      <x:c r="E327" s="187" t="str">
        <x:v>FR</x:v>
      </x:c>
      <x:c r="F327" s="187" t="str">
        <x:v>0.000000000000000</x:v>
      </x:c>
      <x:c r="G327" s="235" t="n">
        <x:v>0</x:v>
      </x:c>
      <x:c r="H327" s="235"/>
      <x:c r="I327" s="229"/>
      <x:c r="J327" s="187"/>
    </x:row>
    <x:row r="328">
      <x:c r="A328" s="187" t="str">
        <x:v>FORECAST_VS_BUDGET</x:v>
      </x:c>
      <x:c r="B328" s="217" t="n">
        <x:v>46266</x:v>
      </x:c>
      <x:c r="C328" s="187" t="str">
        <x:v>CHAIN</x:v>
      </x:c>
      <x:c r="D328" s="187" t="str">
        <x:v>EFFICIENCY</x:v>
      </x:c>
      <x:c r="E328" s="187" t="str">
        <x:v>GB</x:v>
      </x:c>
      <x:c r="F328" s="187" t="str">
        <x:v>27321.4495497776640000000</x:v>
      </x:c>
      <x:c r="G328" s="235" t="n">
        <x:v>27321.4495</x:v>
      </x:c>
      <x:c r="H328" s="235"/>
      <x:c r="I328" s="229"/>
      <x:c r="J328" s="187"/>
    </x:row>
    <x:row r="329">
      <x:c r="A329" s="187" t="str">
        <x:v>FORECAST_VS_BUDGET</x:v>
      </x:c>
      <x:c r="B329" s="217" t="n">
        <x:v>46266</x:v>
      </x:c>
      <x:c r="C329" s="187" t="str">
        <x:v>CHAIN</x:v>
      </x:c>
      <x:c r="D329" s="187" t="str">
        <x:v>FX</x:v>
      </x:c>
      <x:c r="E329" s="187" t="str">
        <x:v>ALL</x:v>
      </x:c>
      <x:c r="F329" s="187" t="str">
        <x:v>13938.46742521818535085568000000000</x:v>
      </x:c>
      <x:c r="G329" s="235" t="n">
        <x:v>13938.4674</x:v>
      </x:c>
      <x:c r="H329" s="235" t="n">
        <x:v>1762.9560947080113</x:v>
      </x:c>
      <x:c r="I329" s="229" t="n">
        <x:v>0.008078232869341572</x:v>
      </x:c>
      <x:c r="J329" s="254" t="b">
        <x:v>0</x:v>
      </x:c>
    </x:row>
    <x:row r="330">
      <x:c r="A330" s="187" t="str">
        <x:v>FORECAST_VS_BUDGET</x:v>
      </x:c>
      <x:c r="B330" s="217" t="n">
        <x:v>46266</x:v>
      </x:c>
      <x:c r="C330" s="187" t="str">
        <x:v>CHAIN</x:v>
      </x:c>
      <x:c r="D330" s="187" t="str">
        <x:v>FX</x:v>
      </x:c>
      <x:c r="E330" s="187" t="str">
        <x:v>DE</x:v>
      </x:c>
      <x:c r="F330" s="187" t="str">
        <x:v>3097.65172704983452800000000</x:v>
      </x:c>
      <x:c r="G330" s="235" t="n">
        <x:v>3097.6517</x:v>
      </x:c>
      <x:c r="H330" s="235"/>
      <x:c r="I330" s="229"/>
      <x:c r="J330" s="187"/>
    </x:row>
    <x:row r="331">
      <x:c r="A331" s="187" t="str">
        <x:v>FORECAST_VS_BUDGET</x:v>
      </x:c>
      <x:c r="B331" s="217" t="n">
        <x:v>46266</x:v>
      </x:c>
      <x:c r="C331" s="187" t="str">
        <x:v>CHAIN</x:v>
      </x:c>
      <x:c r="D331" s="187" t="str">
        <x:v>FX</x:v>
      </x:c>
      <x:c r="E331" s="187" t="str">
        <x:v>FR</x:v>
      </x:c>
      <x:c r="F331" s="187" t="str">
        <x:v>2461.481368528708800000000</x:v>
      </x:c>
      <x:c r="G331" s="235" t="n">
        <x:v>2461.4814</x:v>
      </x:c>
      <x:c r="H331" s="235"/>
      <x:c r="I331" s="229"/>
      <x:c r="J331" s="187"/>
    </x:row>
    <x:row r="332">
      <x:c r="A332" s="187" t="str">
        <x:v>FORECAST_VS_BUDGET</x:v>
      </x:c>
      <x:c r="B332" s="217" t="n">
        <x:v>46266</x:v>
      </x:c>
      <x:c r="C332" s="187" t="str">
        <x:v>CHAIN</x:v>
      </x:c>
      <x:c r="D332" s="187" t="str">
        <x:v>FX</x:v>
      </x:c>
      <x:c r="E332" s="187" t="str">
        <x:v>GB</x:v>
      </x:c>
      <x:c r="F332" s="187" t="str">
        <x:v>8379.33432963964202285568000000000</x:v>
      </x:c>
      <x:c r="G332" s="235" t="n">
        <x:v>8379.3343</x:v>
      </x:c>
      <x:c r="H332" s="235"/>
      <x:c r="I332" s="229"/>
      <x:c r="J332" s="187"/>
    </x:row>
    <x:row r="333">
      <x:c r="A333" s="187" t="str">
        <x:v>FORECAST_VS_BUDGET</x:v>
      </x:c>
      <x:c r="B333" s="217" t="n">
        <x:v>46266</x:v>
      </x:c>
      <x:c r="C333" s="187" t="str">
        <x:v>CHAIN</x:v>
      </x:c>
      <x:c r="D333" s="187" t="str">
        <x:v>MIX</x:v>
      </x:c>
      <x:c r="E333" s="187" t="str">
        <x:v>ALL</x:v>
      </x:c>
      <x:c r="F333" s="187" t="str">
        <x:v>84458.1492589962240000000</x:v>
      </x:c>
      <x:c r="G333" s="235" t="n">
        <x:v>84458.1493</x:v>
      </x:c>
      <x:c r="H333" s="235" t="n">
        <x:v>7442.429457764591</x:v>
      </x:c>
      <x:c r="I333" s="229" t="n">
        <x:v>0.034102765493673574</x:v>
      </x:c>
      <x:c r="J333" s="254" t="b">
        <x:v>0</x:v>
      </x:c>
    </x:row>
    <x:row r="334">
      <x:c r="A334" s="187" t="str">
        <x:v>FORECAST_VS_BUDGET</x:v>
      </x:c>
      <x:c r="B334" s="217" t="n">
        <x:v>46266</x:v>
      </x:c>
      <x:c r="C334" s="187" t="str">
        <x:v>CHAIN</x:v>
      </x:c>
      <x:c r="D334" s="187" t="str">
        <x:v>MIX</x:v>
      </x:c>
      <x:c r="E334" s="187" t="str">
        <x:v>DE</x:v>
      </x:c>
      <x:c r="F334" s="187" t="str">
        <x:v>-10798.33958024640000000</x:v>
      </x:c>
      <x:c r="G334" s="235" t="n">
        <x:v>-10798.3396</x:v>
      </x:c>
      <x:c r="H334" s="235"/>
      <x:c r="I334" s="229"/>
      <x:c r="J334" s="187"/>
    </x:row>
    <x:row r="335">
      <x:c r="A335" s="187" t="str">
        <x:v>FORECAST_VS_BUDGET</x:v>
      </x:c>
      <x:c r="B335" s="217" t="n">
        <x:v>46266</x:v>
      </x:c>
      <x:c r="C335" s="187" t="str">
        <x:v>CHAIN</x:v>
      </x:c>
      <x:c r="D335" s="187" t="str">
        <x:v>MIX</x:v>
      </x:c>
      <x:c r="E335" s="187" t="str">
        <x:v>FR</x:v>
      </x:c>
      <x:c r="F335" s="187" t="str">
        <x:v>-5150.357241744000000</x:v>
      </x:c>
      <x:c r="G335" s="235" t="n">
        <x:v>-5150.3572</x:v>
      </x:c>
      <x:c r="H335" s="235"/>
      <x:c r="I335" s="229"/>
      <x:c r="J335" s="187"/>
    </x:row>
    <x:row r="336">
      <x:c r="A336" s="187" t="str">
        <x:v>FORECAST_VS_BUDGET</x:v>
      </x:c>
      <x:c r="B336" s="217" t="n">
        <x:v>46266</x:v>
      </x:c>
      <x:c r="C336" s="187" t="str">
        <x:v>CHAIN</x:v>
      </x:c>
      <x:c r="D336" s="187" t="str">
        <x:v>MIX</x:v>
      </x:c>
      <x:c r="E336" s="187" t="str">
        <x:v>GB</x:v>
      </x:c>
      <x:c r="F336" s="187" t="str">
        <x:v>100406.8460809866240000000</x:v>
      </x:c>
      <x:c r="G336" s="235" t="n">
        <x:v>100406.8461</x:v>
      </x:c>
      <x:c r="H336" s="235"/>
      <x:c r="I336" s="229"/>
      <x:c r="J336" s="187"/>
    </x:row>
    <x:row r="337">
      <x:c r="A337" s="187" t="str">
        <x:v>FORECAST_VS_BUDGET</x:v>
      </x:c>
      <x:c r="B337" s="217" t="n">
        <x:v>46266</x:v>
      </x:c>
      <x:c r="C337" s="187" t="str">
        <x:v>CHAIN</x:v>
      </x:c>
      <x:c r="D337" s="187" t="str">
        <x:v>PRICE</x:v>
      </x:c>
      <x:c r="E337" s="187" t="str">
        <x:v>ALL</x:v>
      </x:c>
      <x:c r="F337" s="187" t="str">
        <x:v>42483.47345865012084334080000000000</x:v>
      </x:c>
      <x:c r="G337" s="235" t="n">
        <x:v>42483.4735</x:v>
      </x:c>
      <x:c r="H337" s="235" t="n">
        <x:v>8326.983435836577</x:v>
      </x:c>
      <x:c r="I337" s="229" t="n">
        <x:v>0.03815597648504058</x:v>
      </x:c>
      <x:c r="J337" s="254" t="b">
        <x:v>0</x:v>
      </x:c>
    </x:row>
    <x:row r="338">
      <x:c r="A338" s="187" t="str">
        <x:v>FORECAST_VS_BUDGET</x:v>
      </x:c>
      <x:c r="B338" s="217" t="n">
        <x:v>46266</x:v>
      </x:c>
      <x:c r="C338" s="187" t="str">
        <x:v>CHAIN</x:v>
      </x:c>
      <x:c r="D338" s="187" t="str">
        <x:v>PRICE</x:v>
      </x:c>
      <x:c r="E338" s="187" t="str">
        <x:v>DE</x:v>
      </x:c>
      <x:c r="F338" s="187" t="str">
        <x:v>6977.24981380404432000000000</x:v>
      </x:c>
      <x:c r="G338" s="235" t="n">
        <x:v>6977.2498</x:v>
      </x:c>
      <x:c r="H338" s="235"/>
      <x:c r="I338" s="229"/>
      <x:c r="J338" s="187"/>
    </x:row>
    <x:row r="339">
      <x:c r="A339" s="187" t="str">
        <x:v>FORECAST_VS_BUDGET</x:v>
      </x:c>
      <x:c r="B339" s="217" t="n">
        <x:v>46266</x:v>
      </x:c>
      <x:c r="C339" s="187" t="str">
        <x:v>CHAIN</x:v>
      </x:c>
      <x:c r="D339" s="187" t="str">
        <x:v>PRICE</x:v>
      </x:c>
      <x:c r="E339" s="187" t="str">
        <x:v>FR</x:v>
      </x:c>
      <x:c r="F339" s="187" t="str">
        <x:v>5485.571702046072000000000</x:v>
      </x:c>
      <x:c r="G339" s="235" t="n">
        <x:v>5485.5717</x:v>
      </x:c>
      <x:c r="H339" s="235"/>
      <x:c r="I339" s="229"/>
      <x:c r="J339" s="187"/>
    </x:row>
    <x:row r="340">
      <x:c r="A340" s="187" t="str">
        <x:v>FORECAST_VS_BUDGET</x:v>
      </x:c>
      <x:c r="B340" s="217" t="n">
        <x:v>46266</x:v>
      </x:c>
      <x:c r="C340" s="187" t="str">
        <x:v>CHAIN</x:v>
      </x:c>
      <x:c r="D340" s="187" t="str">
        <x:v>PRICE</x:v>
      </x:c>
      <x:c r="E340" s="187" t="str">
        <x:v>GB</x:v>
      </x:c>
      <x:c r="F340" s="187" t="str">
        <x:v>30020.65194280000452334080000000000</x:v>
      </x:c>
      <x:c r="G340" s="235" t="n">
        <x:v>30020.6519</x:v>
      </x:c>
      <x:c r="H340" s="235"/>
      <x:c r="I340" s="229"/>
      <x:c r="J340" s="187"/>
    </x:row>
    <x:row r="341">
      <x:c r="A341" s="187" t="str">
        <x:v>FORECAST_VS_BUDGET</x:v>
      </x:c>
      <x:c r="B341" s="217" t="n">
        <x:v>46266</x:v>
      </x:c>
      <x:c r="C341" s="187" t="str">
        <x:v>CHAIN</x:v>
      </x:c>
      <x:c r="D341" s="187" t="str">
        <x:v>VOLUME</x:v>
      </x:c>
      <x:c r="E341" s="187" t="str">
        <x:v>ALL</x:v>
      </x:c>
      <x:c r="F341" s="187" t="str">
        <x:v>50033.82480133824000000</x:v>
      </x:c>
      <x:c r="G341" s="235" t="n">
        <x:v>50033.8248</x:v>
      </x:c>
      <x:c r="H341" s="235" t="n">
        <x:v>5588.905085373077</x:v>
      </x:c>
      <x:c r="I341" s="229" t="n">
        <x:v>0.025609529868506876</x:v>
      </x:c>
      <x:c r="J341" s="254" t="b">
        <x:v>0</x:v>
      </x:c>
    </x:row>
    <x:row r="342">
      <x:c r="A342" s="187" t="str">
        <x:v>FORECAST_VS_BUDGET</x:v>
      </x:c>
      <x:c r="B342" s="217" t="n">
        <x:v>46266</x:v>
      </x:c>
      <x:c r="C342" s="187" t="str">
        <x:v>CHAIN</x:v>
      </x:c>
      <x:c r="D342" s="187" t="str">
        <x:v>VOLUME</x:v>
      </x:c>
      <x:c r="E342" s="187" t="str">
        <x:v>DE</x:v>
      </x:c>
      <x:c r="F342" s="187" t="str">
        <x:v>14314.07804823360000000</x:v>
      </x:c>
      <x:c r="G342" s="235" t="n">
        <x:v>14314.078</x:v>
      </x:c>
      <x:c r="H342" s="235"/>
      <x:c r="I342" s="229"/>
      <x:c r="J342" s="187"/>
    </x:row>
    <x:row r="343">
      <x:c r="A343" s="187" t="str">
        <x:v>FORECAST_VS_BUDGET</x:v>
      </x:c>
      <x:c r="B343" s="217" t="n">
        <x:v>46266</x:v>
      </x:c>
      <x:c r="C343" s="187" t="str">
        <x:v>CHAIN</x:v>
      </x:c>
      <x:c r="D343" s="187" t="str">
        <x:v>VOLUME</x:v>
      </x:c>
      <x:c r="E343" s="187" t="str">
        <x:v>FR</x:v>
      </x:c>
      <x:c r="F343" s="187" t="str">
        <x:v>11139.144732144000000</x:v>
      </x:c>
      <x:c r="G343" s="235" t="n">
        <x:v>11139.1447</x:v>
      </x:c>
      <x:c r="H343" s="235"/>
      <x:c r="I343" s="229"/>
      <x:c r="J343" s="187"/>
    </x:row>
    <x:row r="344">
      <x:c r="A344" s="187" t="str">
        <x:v>FORECAST_VS_BUDGET</x:v>
      </x:c>
      <x:c r="B344" s="217" t="n">
        <x:v>46266</x:v>
      </x:c>
      <x:c r="C344" s="187" t="str">
        <x:v>CHAIN</x:v>
      </x:c>
      <x:c r="D344" s="187" t="str">
        <x:v>VOLUME</x:v>
      </x:c>
      <x:c r="E344" s="187" t="str">
        <x:v>GB</x:v>
      </x:c>
      <x:c r="F344" s="187" t="str">
        <x:v>24580.60202096064000000</x:v>
      </x:c>
      <x:c r="G344" s="235" t="n">
        <x:v>24580.602</x:v>
      </x:c>
      <x:c r="H344" s="235"/>
      <x:c r="I344" s="229"/>
      <x:c r="J344" s="187"/>
    </x:row>
    <x:row r="345">
      <x:c r="A345" s="187" t="str">
        <x:v>FORECAST_VS_BUDGET</x:v>
      </x:c>
      <x:c r="B345" s="217" t="n">
        <x:v>46266</x:v>
      </x:c>
      <x:c r="C345" s="187" t="str">
        <x:v>SHAPLEY</x:v>
      </x:c>
      <x:c r="D345" s="187" t="str">
        <x:v>EFFICIENCY</x:v>
      </x:c>
      <x:c r="E345" s="187" t="str">
        <x:v>ALL</x:v>
      </x:c>
      <x:c r="F345" s="187" t="str">
        <x:v>24380.054537184585114037760000000000000000000000000000000000000000000000000000000</x:v>
      </x:c>
      <x:c r="G345" s="235" t="n">
        <x:v>24380.0545</x:v>
      </x:c>
      <x:c r="H345" s="235"/>
      <x:c r="I345" s="229"/>
      <x:c r="J345" s="187"/>
    </x:row>
    <x:row r="346">
      <x:c r="A346" s="187" t="str">
        <x:v>FORECAST_VS_BUDGET</x:v>
      </x:c>
      <x:c r="B346" s="217" t="n">
        <x:v>46266</x:v>
      </x:c>
      <x:c r="C346" s="187" t="str">
        <x:v>SHAPLEY</x:v>
      </x:c>
      <x:c r="D346" s="187" t="str">
        <x:v>EFFICIENCY</x:v>
      </x:c>
      <x:c r="E346" s="187" t="str">
        <x:v>DE</x:v>
      </x:c>
      <x:c r="F346" s="187" t="str">
        <x:v>0.00000000000000000000000000000000000000000000000000000000000000000000000000000000000000000000000000000000</x:v>
      </x:c>
      <x:c r="G346" s="235" t="n">
        <x:v>0</x:v>
      </x:c>
      <x:c r="H346" s="235"/>
      <x:c r="I346" s="229"/>
      <x:c r="J346" s="187"/>
    </x:row>
    <x:row r="347">
      <x:c r="A347" s="187" t="str">
        <x:v>FORECAST_VS_BUDGET</x:v>
      </x:c>
      <x:c r="B347" s="217" t="n">
        <x:v>46266</x:v>
      </x:c>
      <x:c r="C347" s="187" t="str">
        <x:v>SHAPLEY</x:v>
      </x:c>
      <x:c r="D347" s="187" t="str">
        <x:v>EFFICIENCY</x:v>
      </x:c>
      <x:c r="E347" s="187" t="str">
        <x:v>FR</x:v>
      </x:c>
      <x:c r="F347" s="187" t="str">
        <x:v>0.000000000000000000000000000000000000000000000000000000000000000000000000000000000000000000000000000000</x:v>
      </x:c>
      <x:c r="G347" s="235" t="n">
        <x:v>0</x:v>
      </x:c>
      <x:c r="H347" s="235"/>
      <x:c r="I347" s="229"/>
      <x:c r="J347" s="187"/>
    </x:row>
    <x:row r="348">
      <x:c r="A348" s="187" t="str">
        <x:v>FORECAST_VS_BUDGET</x:v>
      </x:c>
      <x:c r="B348" s="217" t="n">
        <x:v>46266</x:v>
      </x:c>
      <x:c r="C348" s="187" t="str">
        <x:v>SHAPLEY</x:v>
      </x:c>
      <x:c r="D348" s="187" t="str">
        <x:v>EFFICIENCY</x:v>
      </x:c>
      <x:c r="E348" s="187" t="str">
        <x:v>GB</x:v>
      </x:c>
      <x:c r="F348" s="187" t="str">
        <x:v>24380.054537184585114037760000000000000000000000000000000000000000000000000000000</x:v>
      </x:c>
      <x:c r="G348" s="235" t="n">
        <x:v>24380.0545</x:v>
      </x:c>
      <x:c r="H348" s="235"/>
      <x:c r="I348" s="229"/>
      <x:c r="J348" s="187"/>
    </x:row>
    <x:row r="349">
      <x:c r="A349" s="187" t="str">
        <x:v>FORECAST_VS_BUDGET</x:v>
      </x:c>
      <x:c r="B349" s="217" t="n">
        <x:v>46266</x:v>
      </x:c>
      <x:c r="C349" s="187" t="str">
        <x:v>SHAPLEY</x:v>
      </x:c>
      <x:c r="D349" s="187" t="str">
        <x:v>FX</x:v>
      </x:c>
      <x:c r="E349" s="187" t="str">
        <x:v>ALL</x:v>
      </x:c>
      <x:c r="F349" s="187" t="str">
        <x:v>12175.511330510174102071040000000000000000000000000000000000000000000000000000000</x:v>
      </x:c>
      <x:c r="G349" s="235" t="n">
        <x:v>12175.5113</x:v>
      </x:c>
      <x:c r="H349" s="235"/>
      <x:c r="I349" s="229"/>
      <x:c r="J349" s="187"/>
    </x:row>
    <x:row r="350">
      <x:c r="A350" s="187" t="str">
        <x:v>FORECAST_VS_BUDGET</x:v>
      </x:c>
      <x:c r="B350" s="217" t="n">
        <x:v>46266</x:v>
      </x:c>
      <x:c r="C350" s="187" t="str">
        <x:v>SHAPLEY</x:v>
      </x:c>
      <x:c r="D350" s="187" t="str">
        <x:v>FX</x:v>
      </x:c>
      <x:c r="E350" s="187" t="str">
        <x:v>DE</x:v>
      </x:c>
      <x:c r="F350" s="187" t="str">
        <x:v>3018.5792296150683640000000000000000000000000000000000000000000000000000000000000</x:v>
      </x:c>
      <x:c r="G350" s="235" t="n">
        <x:v>3018.5792</x:v>
      </x:c>
      <x:c r="H350" s="235"/>
      <x:c r="I350" s="229"/>
      <x:c r="J350" s="187"/>
    </x:row>
    <x:row r="351">
      <x:c r="A351" s="187" t="str">
        <x:v>FORECAST_VS_BUDGET</x:v>
      </x:c>
      <x:c r="B351" s="217" t="n">
        <x:v>46266</x:v>
      </x:c>
      <x:c r="C351" s="187" t="str">
        <x:v>SHAPLEY</x:v>
      </x:c>
      <x:c r="D351" s="187" t="str">
        <x:v>FX</x:v>
      </x:c>
      <x:c r="E351" s="187" t="str">
        <x:v>FR</x:v>
      </x:c>
      <x:c r="F351" s="187" t="str">
        <x:v>2373.6095972097690800000000000000000000000000000000000000000000000000000000000000</x:v>
      </x:c>
      <x:c r="G351" s="235" t="n">
        <x:v>2373.6096</x:v>
      </x:c>
      <x:c r="H351" s="235"/>
      <x:c r="I351" s="229"/>
      <x:c r="J351" s="187"/>
    </x:row>
    <x:row r="352">
      <x:c r="A352" s="187" t="str">
        <x:v>FORECAST_VS_BUDGET</x:v>
      </x:c>
      <x:c r="B352" s="217" t="n">
        <x:v>46266</x:v>
      </x:c>
      <x:c r="C352" s="187" t="str">
        <x:v>SHAPLEY</x:v>
      </x:c>
      <x:c r="D352" s="187" t="str">
        <x:v>FX</x:v>
      </x:c>
      <x:c r="E352" s="187" t="str">
        <x:v>GB</x:v>
      </x:c>
      <x:c r="F352" s="187" t="str">
        <x:v>6783.3225036853366580710400000000000000000000000000000000000000000000000000000000</x:v>
      </x:c>
      <x:c r="G352" s="235" t="n">
        <x:v>6783.3225</x:v>
      </x:c>
      <x:c r="H352" s="235"/>
      <x:c r="I352" s="229"/>
      <x:c r="J352" s="187"/>
    </x:row>
    <x:row r="353">
      <x:c r="A353" s="187" t="str">
        <x:v>FORECAST_VS_BUDGET</x:v>
      </x:c>
      <x:c r="B353" s="217" t="n">
        <x:v>46266</x:v>
      </x:c>
      <x:c r="C353" s="187" t="str">
        <x:v>SHAPLEY</x:v>
      </x:c>
      <x:c r="D353" s="187" t="str">
        <x:v>MIX</x:v>
      </x:c>
      <x:c r="E353" s="187" t="str">
        <x:v>ALL</x:v>
      </x:c>
      <x:c r="F353" s="187" t="str">
        <x:v>91900.578716760814857657600000000000000000000000000000000000000000000000000000000</x:v>
      </x:c>
      <x:c r="G353" s="235" t="n">
        <x:v>91900.5787</x:v>
      </x:c>
      <x:c r="H353" s="235"/>
      <x:c r="I353" s="229"/>
      <x:c r="J353" s="187"/>
    </x:row>
    <x:row r="354">
      <x:c r="A354" s="187" t="str">
        <x:v>FORECAST_VS_BUDGET</x:v>
      </x:c>
      <x:c r="B354" s="217" t="n">
        <x:v>46266</x:v>
      </x:c>
      <x:c r="C354" s="187" t="str">
        <x:v>SHAPLEY</x:v>
      </x:c>
      <x:c r="D354" s="187" t="str">
        <x:v>MIX</x:v>
      </x:c>
      <x:c r="E354" s="187" t="str">
        <x:v>DE</x:v>
      </x:c>
      <x:c r="F354" s="187" t="str">
        <x:v>-10694.044118682515444000000000000000000000000000000000000000000000000000000000000</x:v>
      </x:c>
      <x:c r="G354" s="235" t="n">
        <x:v>-10694.0441</x:v>
      </x:c>
      <x:c r="H354" s="235"/>
      <x:c r="I354" s="229"/>
      <x:c r="J354" s="187"/>
    </x:row>
    <x:row r="355">
      <x:c r="A355" s="187" t="str">
        <x:v>FORECAST_VS_BUDGET</x:v>
      </x:c>
      <x:c r="B355" s="217" t="n">
        <x:v>46266</x:v>
      </x:c>
      <x:c r="C355" s="187" t="str">
        <x:v>SHAPLEY</x:v>
      </x:c>
      <x:c r="D355" s="187" t="str">
        <x:v>MIX</x:v>
      </x:c>
      <x:c r="E355" s="187" t="str">
        <x:v>FR</x:v>
      </x:c>
      <x:c r="F355" s="187" t="str">
        <x:v>-5099.6117514433944400000000000000000000000000000000000000000000000000000000000000</x:v>
      </x:c>
      <x:c r="G355" s="235" t="n">
        <x:v>-5099.6118</x:v>
      </x:c>
      <x:c r="H355" s="235"/>
      <x:c r="I355" s="229"/>
      <x:c r="J355" s="187"/>
    </x:row>
    <x:row r="356">
      <x:c r="A356" s="187" t="str">
        <x:v>FORECAST_VS_BUDGET</x:v>
      </x:c>
      <x:c r="B356" s="217" t="n">
        <x:v>46266</x:v>
      </x:c>
      <x:c r="C356" s="187" t="str">
        <x:v>SHAPLEY</x:v>
      </x:c>
      <x:c r="D356" s="187" t="str">
        <x:v>MIX</x:v>
      </x:c>
      <x:c r="E356" s="187" t="str">
        <x:v>GB</x:v>
      </x:c>
      <x:c r="F356" s="187" t="str">
        <x:v>107694.23458688672474165760000000000000000000000000000000000000000000000000000000</x:v>
      </x:c>
      <x:c r="G356" s="235" t="n">
        <x:v>107694.2346</x:v>
      </x:c>
      <x:c r="H356" s="235"/>
      <x:c r="I356" s="229"/>
      <x:c r="J356" s="187"/>
    </x:row>
    <x:row r="357">
      <x:c r="A357" s="187" t="str">
        <x:v>FORECAST_VS_BUDGET</x:v>
      </x:c>
      <x:c r="B357" s="217" t="n">
        <x:v>46266</x:v>
      </x:c>
      <x:c r="C357" s="187" t="str">
        <x:v>SHAPLEY</x:v>
      </x:c>
      <x:c r="D357" s="187" t="str">
        <x:v>PRICE</x:v>
      </x:c>
      <x:c r="E357" s="187" t="str">
        <x:v>ALL</x:v>
      </x:c>
      <x:c r="F357" s="187" t="str">
        <x:v>34156.490022813543275959040000000000000000000000000000000000000000000000000000000</x:v>
      </x:c>
      <x:c r="G357" s="235" t="n">
        <x:v>34156.49</x:v>
      </x:c>
      <x:c r="H357" s="235"/>
      <x:c r="I357" s="229"/>
      <x:c r="J357" s="187"/>
    </x:row>
    <x:row r="358">
      <x:c r="A358" s="187" t="str">
        <x:v>FORECAST_VS_BUDGET</x:v>
      </x:c>
      <x:c r="B358" s="217" t="n">
        <x:v>46266</x:v>
      </x:c>
      <x:c r="C358" s="187" t="str">
        <x:v>SHAPLEY</x:v>
      </x:c>
      <x:c r="D358" s="187" t="str">
        <x:v>PRICE</x:v>
      </x:c>
      <x:c r="E358" s="187" t="str">
        <x:v>DE</x:v>
      </x:c>
      <x:c r="F358" s="187" t="str">
        <x:v>6972.0375636449877640000000000000000000000000000000000000000000000000000000000000</x:v>
      </x:c>
      <x:c r="G358" s="235" t="n">
        <x:v>6972.0376</x:v>
      </x:c>
      <x:c r="H358" s="235"/>
      <x:c r="I358" s="229"/>
      <x:c r="J358" s="187"/>
    </x:row>
    <x:row r="359">
      <x:c r="A359" s="187" t="str">
        <x:v>FORECAST_VS_BUDGET</x:v>
      </x:c>
      <x:c r="B359" s="217" t="n">
        <x:v>46266</x:v>
      </x:c>
      <x:c r="C359" s="187" t="str">
        <x:v>SHAPLEY</x:v>
      </x:c>
      <x:c r="D359" s="187" t="str">
        <x:v>PRICE</x:v>
      </x:c>
      <x:c r="E359" s="187" t="str">
        <x:v>FR</x:v>
      </x:c>
      <x:c r="F359" s="187" t="str">
        <x:v>5423.0562471590094800000000000000000000000000000000000000000000000000000000000000</x:v>
      </x:c>
      <x:c r="G359" s="235" t="n">
        <x:v>5423.0562</x:v>
      </x:c>
      <x:c r="H359" s="235"/>
      <x:c r="I359" s="229"/>
      <x:c r="J359" s="187"/>
    </x:row>
    <x:row r="360">
      <x:c r="A360" s="187" t="str">
        <x:v>FORECAST_VS_BUDGET</x:v>
      </x:c>
      <x:c r="B360" s="217" t="n">
        <x:v>46266</x:v>
      </x:c>
      <x:c r="C360" s="187" t="str">
        <x:v>SHAPLEY</x:v>
      </x:c>
      <x:c r="D360" s="187" t="str">
        <x:v>PRICE</x:v>
      </x:c>
      <x:c r="E360" s="187" t="str">
        <x:v>GB</x:v>
      </x:c>
      <x:c r="F360" s="187" t="str">
        <x:v>21761.396212009546031959040000000000000000000000000000000000000000000000000000000</x:v>
      </x:c>
      <x:c r="G360" s="235" t="n">
        <x:v>21761.3962</x:v>
      </x:c>
      <x:c r="H360" s="235"/>
      <x:c r="I360" s="229"/>
      <x:c r="J360" s="187"/>
    </x:row>
    <x:row r="361">
      <x:c r="A361" s="187" t="str">
        <x:v>FORECAST_VS_BUDGET</x:v>
      </x:c>
      <x:c r="B361" s="217" t="n">
        <x:v>46266</x:v>
      </x:c>
      <x:c r="C361" s="187" t="str">
        <x:v>SHAPLEY</x:v>
      </x:c>
      <x:c r="D361" s="187" t="str">
        <x:v>VOLUME</x:v>
      </x:c>
      <x:c r="E361" s="187" t="str">
        <x:v>ALL</x:v>
      </x:c>
      <x:c r="F361" s="187" t="str">
        <x:v>55622.729886711316844471040000000000000000000000000000000000000000000000000000000</x:v>
      </x:c>
      <x:c r="G361" s="235" t="n">
        <x:v>55622.7299</x:v>
      </x:c>
      <x:c r="H361" s="235"/>
      <x:c r="I361" s="229"/>
      <x:c r="J361" s="187"/>
    </x:row>
    <x:row r="362">
      <x:c r="A362" s="187" t="str">
        <x:v>FORECAST_VS_BUDGET</x:v>
      </x:c>
      <x:c r="B362" s="217" t="n">
        <x:v>46266</x:v>
      </x:c>
      <x:c r="C362" s="187" t="str">
        <x:v>SHAPLEY</x:v>
      </x:c>
      <x:c r="D362" s="187" t="str">
        <x:v>VOLUME</x:v>
      </x:c>
      <x:c r="E362" s="187" t="str">
        <x:v>DE</x:v>
      </x:c>
      <x:c r="F362" s="187" t="str">
        <x:v>14294.067334263538164000000000000000000000000000000000000000000000000000000000000</x:v>
      </x:c>
      <x:c r="G362" s="235" t="n">
        <x:v>14294.0673</x:v>
      </x:c>
      <x:c r="H362" s="235"/>
      <x:c r="I362" s="229"/>
      <x:c r="J362" s="187"/>
    </x:row>
    <x:row r="363">
      <x:c r="A363" s="187" t="str">
        <x:v>FORECAST_VS_BUDGET</x:v>
      </x:c>
      <x:c r="B363" s="217" t="n">
        <x:v>46266</x:v>
      </x:c>
      <x:c r="C363" s="187" t="str">
        <x:v>SHAPLEY</x:v>
      </x:c>
      <x:c r="D363" s="187" t="str">
        <x:v>VOLUME</x:v>
      </x:c>
      <x:c r="E363" s="187" t="str">
        <x:v>FR</x:v>
      </x:c>
      <x:c r="F363" s="187" t="str">
        <x:v>11238.786468049396680000000000000000000000000000000000000000000000000000000000000</x:v>
      </x:c>
      <x:c r="G363" s="235" t="n">
        <x:v>11238.7865</x:v>
      </x:c>
      <x:c r="H363" s="235"/>
      <x:c r="I363" s="229"/>
      <x:c r="J363" s="187"/>
    </x:row>
    <x:row r="364">
      <x:c r="A364" s="187" t="str">
        <x:v>FORECAST_VS_BUDGET</x:v>
      </x:c>
      <x:c r="B364" s="217" t="n">
        <x:v>46266</x:v>
      </x:c>
      <x:c r="C364" s="187" t="str">
        <x:v>SHAPLEY</x:v>
      </x:c>
      <x:c r="D364" s="187" t="str">
        <x:v>VOLUME</x:v>
      </x:c>
      <x:c r="E364" s="187" t="str">
        <x:v>GB</x:v>
      </x:c>
      <x:c r="F364" s="187" t="str">
        <x:v>30089.876084398382000471040000000000000000000000000000000000000000000000000000000</x:v>
      </x:c>
      <x:c r="G364" s="235" t="n">
        <x:v>30089.8761</x:v>
      </x:c>
      <x:c r="H364" s="235"/>
      <x:c r="I364" s="229"/>
      <x:c r="J364" s="187"/>
    </x:row>
    <x:row r="365">
      <x:c r="A365" s="187" t="str">
        <x:v>FORECAST_VS_BUDGET</x:v>
      </x:c>
      <x:c r="B365" s="217" t="n">
        <x:v>46296</x:v>
      </x:c>
      <x:c r="C365" s="187" t="str">
        <x:v>CHAIN</x:v>
      </x:c>
      <x:c r="D365" s="187" t="str">
        <x:v>EFFICIENCY</x:v>
      </x:c>
      <x:c r="E365" s="187" t="str">
        <x:v>ALL</x:v>
      </x:c>
      <x:c r="F365" s="187" t="str">
        <x:v>22932.368391084422400000000</x:v>
      </x:c>
      <x:c r="G365" s="235" t="n">
        <x:v>22932.3684</x:v>
      </x:c>
      <x:c r="H365" s="235" t="n">
        <x:v>2301.3877675314197</x:v>
      </x:c>
      <x:c r="I365" s="229" t="n">
        <x:v>0.010037079335919708</x:v>
      </x:c>
      <x:c r="J365" s="254" t="b">
        <x:v>0</x:v>
      </x:c>
    </x:row>
    <x:row r="366">
      <x:c r="A366" s="187" t="str">
        <x:v>FORECAST_VS_BUDGET</x:v>
      </x:c>
      <x:c r="B366" s="217" t="n">
        <x:v>46296</x:v>
      </x:c>
      <x:c r="C366" s="187" t="str">
        <x:v>CHAIN</x:v>
      </x:c>
      <x:c r="D366" s="187" t="str">
        <x:v>EFFICIENCY</x:v>
      </x:c>
      <x:c r="E366" s="187" t="str">
        <x:v>DE</x:v>
      </x:c>
      <x:c r="F366" s="187" t="str">
        <x:v>0.0000000000000000000</x:v>
      </x:c>
      <x:c r="G366" s="235" t="n">
        <x:v>0</x:v>
      </x:c>
      <x:c r="H366" s="235"/>
      <x:c r="I366" s="229"/>
      <x:c r="J366" s="187"/>
    </x:row>
    <x:row r="367">
      <x:c r="A367" s="187" t="str">
        <x:v>FORECAST_VS_BUDGET</x:v>
      </x:c>
      <x:c r="B367" s="217" t="n">
        <x:v>46296</x:v>
      </x:c>
      <x:c r="C367" s="187" t="str">
        <x:v>CHAIN</x:v>
      </x:c>
      <x:c r="D367" s="187" t="str">
        <x:v>EFFICIENCY</x:v>
      </x:c>
      <x:c r="E367" s="187" t="str">
        <x:v>FR</x:v>
      </x:c>
      <x:c r="F367" s="187" t="str">
        <x:v>0.00000000000000000</x:v>
      </x:c>
      <x:c r="G367" s="235" t="n">
        <x:v>0</x:v>
      </x:c>
      <x:c r="H367" s="235"/>
      <x:c r="I367" s="229"/>
      <x:c r="J367" s="187"/>
    </x:row>
    <x:row r="368">
      <x:c r="A368" s="187" t="str">
        <x:v>FORECAST_VS_BUDGET</x:v>
      </x:c>
      <x:c r="B368" s="217" t="n">
        <x:v>46296</x:v>
      </x:c>
      <x:c r="C368" s="187" t="str">
        <x:v>CHAIN</x:v>
      </x:c>
      <x:c r="D368" s="187" t="str">
        <x:v>EFFICIENCY</x:v>
      </x:c>
      <x:c r="E368" s="187" t="str">
        <x:v>GB</x:v>
      </x:c>
      <x:c r="F368" s="187" t="str">
        <x:v>22932.368391084422400000000</x:v>
      </x:c>
      <x:c r="G368" s="235" t="n">
        <x:v>22932.3684</x:v>
      </x:c>
      <x:c r="H368" s="235"/>
      <x:c r="I368" s="229"/>
      <x:c r="J368" s="187"/>
    </x:row>
    <x:row r="369">
      <x:c r="A369" s="187" t="str">
        <x:v>FORECAST_VS_BUDGET</x:v>
      </x:c>
      <x:c r="B369" s="217" t="n">
        <x:v>46296</x:v>
      </x:c>
      <x:c r="C369" s="187" t="str">
        <x:v>CHAIN</x:v>
      </x:c>
      <x:c r="D369" s="187" t="str">
        <x:v>FX</x:v>
      </x:c>
      <x:c r="E369" s="187" t="str">
        <x:v>ALL</x:v>
      </x:c>
      <x:c r="F369" s="187" t="str">
        <x:v>11826.2757843235069123870886400000000</x:v>
      </x:c>
      <x:c r="G369" s="235" t="n">
        <x:v>11826.2758</x:v>
      </x:c>
      <x:c r="H369" s="235" t="n">
        <x:v>1304.8695026046912</x:v>
      </x:c>
      <x:c r="I369" s="229" t="n">
        <x:v>0.005690948264104982</x:v>
      </x:c>
      <x:c r="J369" s="254" t="b">
        <x:v>0</x:v>
      </x:c>
    </x:row>
    <x:row r="370">
      <x:c r="A370" s="187" t="str">
        <x:v>FORECAST_VS_BUDGET</x:v>
      </x:c>
      <x:c r="B370" s="217" t="n">
        <x:v>46296</x:v>
      </x:c>
      <x:c r="C370" s="187" t="str">
        <x:v>CHAIN</x:v>
      </x:c>
      <x:c r="D370" s="187" t="str">
        <x:v>FX</x:v>
      </x:c>
      <x:c r="E370" s="187" t="str">
        <x:v>DE</x:v>
      </x:c>
      <x:c r="F370" s="187" t="str">
        <x:v>2779.1740515786548535000000000</x:v>
      </x:c>
      <x:c r="G370" s="235" t="n">
        <x:v>2779.1741</x:v>
      </x:c>
      <x:c r="H370" s="235"/>
      <x:c r="I370" s="229"/>
      <x:c r="J370" s="187"/>
    </x:row>
    <x:row r="371">
      <x:c r="A371" s="187" t="str">
        <x:v>FORECAST_VS_BUDGET</x:v>
      </x:c>
      <x:c r="B371" s="217" t="n">
        <x:v>46296</x:v>
      </x:c>
      <x:c r="C371" s="187" t="str">
        <x:v>CHAIN</x:v>
      </x:c>
      <x:c r="D371" s="187" t="str">
        <x:v>FX</x:v>
      </x:c>
      <x:c r="E371" s="187" t="str">
        <x:v>FR</x:v>
      </x:c>
      <x:c r="F371" s="187" t="str">
        <x:v>2338.67437420786065000000000</x:v>
      </x:c>
      <x:c r="G371" s="235" t="n">
        <x:v>2338.6744</x:v>
      </x:c>
      <x:c r="H371" s="235"/>
      <x:c r="I371" s="229"/>
      <x:c r="J371" s="187"/>
    </x:row>
    <x:row r="372">
      <x:c r="A372" s="187" t="str">
        <x:v>FORECAST_VS_BUDGET</x:v>
      </x:c>
      <x:c r="B372" s="217" t="n">
        <x:v>46296</x:v>
      </x:c>
      <x:c r="C372" s="187" t="str">
        <x:v>CHAIN</x:v>
      </x:c>
      <x:c r="D372" s="187" t="str">
        <x:v>FX</x:v>
      </x:c>
      <x:c r="E372" s="187" t="str">
        <x:v>GB</x:v>
      </x:c>
      <x:c r="F372" s="187" t="str">
        <x:v>6708.4273585369914088870886400000000</x:v>
      </x:c>
      <x:c r="G372" s="235" t="n">
        <x:v>6708.4274</x:v>
      </x:c>
      <x:c r="H372" s="235"/>
      <x:c r="I372" s="229"/>
      <x:c r="J372" s="187"/>
    </x:row>
    <x:row r="373">
      <x:c r="A373" s="187" t="str">
        <x:v>FORECAST_VS_BUDGET</x:v>
      </x:c>
      <x:c r="B373" s="217" t="n">
        <x:v>46296</x:v>
      </x:c>
      <x:c r="C373" s="187" t="str">
        <x:v>CHAIN</x:v>
      </x:c>
      <x:c r="D373" s="187" t="str">
        <x:v>MIX</x:v>
      </x:c>
      <x:c r="E373" s="187" t="str">
        <x:v>ALL</x:v>
      </x:c>
      <x:c r="F373" s="187" t="str">
        <x:v>84487.805584798412160000000</x:v>
      </x:c>
      <x:c r="G373" s="235" t="n">
        <x:v>84487.8056</x:v>
      </x:c>
      <x:c r="H373" s="235" t="n">
        <x:v>5619.617162320693</x:v>
      </x:c>
      <x:c r="I373" s="229" t="n">
        <x:v>0.024508926349344</x:v>
      </x:c>
      <x:c r="J373" s="254" t="b">
        <x:v>0</x:v>
      </x:c>
    </x:row>
    <x:row r="374">
      <x:c r="A374" s="187" t="str">
        <x:v>FORECAST_VS_BUDGET</x:v>
      </x:c>
      <x:c r="B374" s="217" t="n">
        <x:v>46296</x:v>
      </x:c>
      <x:c r="C374" s="187" t="str">
        <x:v>CHAIN</x:v>
      </x:c>
      <x:c r="D374" s="187" t="str">
        <x:v>MIX</x:v>
      </x:c>
      <x:c r="E374" s="187" t="str">
        <x:v>DE</x:v>
      </x:c>
      <x:c r="F374" s="187" t="str">
        <x:v>-12309.5814053144400000000</x:v>
      </x:c>
      <x:c r="G374" s="235" t="n">
        <x:v>-12309.5814</x:v>
      </x:c>
      <x:c r="H374" s="235"/>
      <x:c r="I374" s="229"/>
      <x:c r="J374" s="187"/>
    </x:row>
    <x:row r="375">
      <x:c r="A375" s="187" t="str">
        <x:v>FORECAST_VS_BUDGET</x:v>
      </x:c>
      <x:c r="B375" s="217" t="n">
        <x:v>46296</x:v>
      </x:c>
      <x:c r="C375" s="187" t="str">
        <x:v>CHAIN</x:v>
      </x:c>
      <x:c r="D375" s="187" t="str">
        <x:v>MIX</x:v>
      </x:c>
      <x:c r="E375" s="187" t="str">
        <x:v>FR</x:v>
      </x:c>
      <x:c r="F375" s="187" t="str">
        <x:v>-5872.06550937240000000</x:v>
      </x:c>
      <x:c r="G375" s="235" t="n">
        <x:v>-5872.0655</x:v>
      </x:c>
      <x:c r="H375" s="235"/>
      <x:c r="I375" s="229"/>
      <x:c r="J375" s="187"/>
    </x:row>
    <x:row r="376">
      <x:c r="A376" s="187" t="str">
        <x:v>FORECAST_VS_BUDGET</x:v>
      </x:c>
      <x:c r="B376" s="217" t="n">
        <x:v>46296</x:v>
      </x:c>
      <x:c r="C376" s="187" t="str">
        <x:v>CHAIN</x:v>
      </x:c>
      <x:c r="D376" s="187" t="str">
        <x:v>MIX</x:v>
      </x:c>
      <x:c r="E376" s="187" t="str">
        <x:v>GB</x:v>
      </x:c>
      <x:c r="F376" s="187" t="str">
        <x:v>102669.452499485252160000000</x:v>
      </x:c>
      <x:c r="G376" s="235" t="n">
        <x:v>102669.4525</x:v>
      </x:c>
      <x:c r="H376" s="235"/>
      <x:c r="I376" s="229"/>
      <x:c r="J376" s="187"/>
    </x:row>
    <x:row r="377">
      <x:c r="A377" s="187" t="str">
        <x:v>FORECAST_VS_BUDGET</x:v>
      </x:c>
      <x:c r="B377" s="217" t="n">
        <x:v>46296</x:v>
      </x:c>
      <x:c r="C377" s="187" t="str">
        <x:v>CHAIN</x:v>
      </x:c>
      <x:c r="D377" s="187" t="str">
        <x:v>PRICE</x:v>
      </x:c>
      <x:c r="E377" s="187" t="str">
        <x:v>ALL</x:v>
      </x:c>
      <x:c r="F377" s="187" t="str">
        <x:v>46043.1537668832948432379776000000000</x:v>
      </x:c>
      <x:c r="G377" s="235" t="n">
        <x:v>46043.1538</x:v>
      </x:c>
      <x:c r="H377" s="235" t="n">
        <x:v>8111.263263080557</x:v>
      </x:c>
      <x:c r="I377" s="229" t="n">
        <x:v>0.03537578240167605</x:v>
      </x:c>
      <x:c r="J377" s="254" t="b">
        <x:v>0</x:v>
      </x:c>
    </x:row>
    <x:row r="378">
      <x:c r="A378" s="187" t="str">
        <x:v>FORECAST_VS_BUDGET</x:v>
      </x:c>
      <x:c r="B378" s="217" t="n">
        <x:v>46296</x:v>
      </x:c>
      <x:c r="C378" s="187" t="str">
        <x:v>CHAIN</x:v>
      </x:c>
      <x:c r="D378" s="187" t="str">
        <x:v>PRICE</x:v>
      </x:c>
      <x:c r="E378" s="187" t="str">
        <x:v>DE</x:v>
      </x:c>
      <x:c r="F378" s="187" t="str">
        <x:v>7512.6921327895985730000000000</x:v>
      </x:c>
      <x:c r="G378" s="235" t="n">
        <x:v>7512.6921</x:v>
      </x:c>
      <x:c r="H378" s="235"/>
      <x:c r="I378" s="229"/>
      <x:c r="J378" s="187"/>
    </x:row>
    <x:row r="379">
      <x:c r="A379" s="187" t="str">
        <x:v>FORECAST_VS_BUDGET</x:v>
      </x:c>
      <x:c r="B379" s="217" t="n">
        <x:v>46296</x:v>
      </x:c>
      <x:c r="C379" s="187" t="str">
        <x:v>CHAIN</x:v>
      </x:c>
      <x:c r="D379" s="187" t="str">
        <x:v>PRICE</x:v>
      </x:c>
      <x:c r="E379" s="187" t="str">
        <x:v>FR</x:v>
      </x:c>
      <x:c r="F379" s="187" t="str">
        <x:v>6254.63590704113070000000000</x:v>
      </x:c>
      <x:c r="G379" s="235" t="n">
        <x:v>6254.6359</x:v>
      </x:c>
      <x:c r="H379" s="235"/>
      <x:c r="I379" s="229"/>
      <x:c r="J379" s="187"/>
    </x:row>
    <x:row r="380">
      <x:c r="A380" s="187" t="str">
        <x:v>FORECAST_VS_BUDGET</x:v>
      </x:c>
      <x:c r="B380" s="217" t="n">
        <x:v>46296</x:v>
      </x:c>
      <x:c r="C380" s="187" t="str">
        <x:v>CHAIN</x:v>
      </x:c>
      <x:c r="D380" s="187" t="str">
        <x:v>PRICE</x:v>
      </x:c>
      <x:c r="E380" s="187" t="str">
        <x:v>GB</x:v>
      </x:c>
      <x:c r="F380" s="187" t="str">
        <x:v>32275.8257270525655702379776000000000</x:v>
      </x:c>
      <x:c r="G380" s="235" t="n">
        <x:v>32275.8257</x:v>
      </x:c>
      <x:c r="H380" s="235"/>
      <x:c r="I380" s="229"/>
      <x:c r="J380" s="187"/>
    </x:row>
    <x:row r="381">
      <x:c r="A381" s="187" t="str">
        <x:v>FORECAST_VS_BUDGET</x:v>
      </x:c>
      <x:c r="B381" s="217" t="n">
        <x:v>46296</x:v>
      </x:c>
      <x:c r="C381" s="187" t="str">
        <x:v>CHAIN</x:v>
      </x:c>
      <x:c r="D381" s="187" t="str">
        <x:v>VOLUME</x:v>
      </x:c>
      <x:c r="E381" s="187" t="str">
        <x:v>ALL</x:v>
      </x:c>
      <x:c r="F381" s="187" t="str">
        <x:v>63998.9863613493840000000</x:v>
      </x:c>
      <x:c r="G381" s="235" t="n">
        <x:v>63998.9864</x:v>
      </x:c>
      <x:c r="H381" s="235" t="n">
        <x:v>6097.903370895975</x:v>
      </x:c>
      <x:c r="I381" s="229" t="n">
        <x:v>0.026594883652356738</x:v>
      </x:c>
      <x:c r="J381" s="254" t="b">
        <x:v>0</x:v>
      </x:c>
    </x:row>
    <x:row r="382">
      <x:c r="A382" s="187" t="str">
        <x:v>FORECAST_VS_BUDGET</x:v>
      </x:c>
      <x:c r="B382" s="217" t="n">
        <x:v>46296</x:v>
      </x:c>
      <x:c r="C382" s="187" t="str">
        <x:v>CHAIN</x:v>
      </x:c>
      <x:c r="D382" s="187" t="str">
        <x:v>VOLUME</x:v>
      </x:c>
      <x:c r="E382" s="187" t="str">
        <x:v>DE</x:v>
      </x:c>
      <x:c r="F382" s="187" t="str">
        <x:v>17044.0357919738400000000</x:v>
      </x:c>
      <x:c r="G382" s="235" t="n">
        <x:v>17044.0358</x:v>
      </x:c>
      <x:c r="H382" s="235"/>
      <x:c r="I382" s="229"/>
      <x:c r="J382" s="187"/>
    </x:row>
    <x:row r="383">
      <x:c r="A383" s="187" t="str">
        <x:v>FORECAST_VS_BUDGET</x:v>
      </x:c>
      <x:c r="B383" s="217" t="n">
        <x:v>46296</x:v>
      </x:c>
      <x:c r="C383" s="187" t="str">
        <x:v>CHAIN</x:v>
      </x:c>
      <x:c r="D383" s="187" t="str">
        <x:v>VOLUME</x:v>
      </x:c>
      <x:c r="E383" s="187" t="str">
        <x:v>FR</x:v>
      </x:c>
      <x:c r="F383" s="187" t="str">
        <x:v>14002.61775311880000000</x:v>
      </x:c>
      <x:c r="G383" s="235" t="n">
        <x:v>14002.6178</x:v>
      </x:c>
      <x:c r="H383" s="235"/>
      <x:c r="I383" s="229"/>
      <x:c r="J383" s="187"/>
    </x:row>
    <x:row r="384">
      <x:c r="A384" s="187" t="str">
        <x:v>FORECAST_VS_BUDGET</x:v>
      </x:c>
      <x:c r="B384" s="217" t="n">
        <x:v>46296</x:v>
      </x:c>
      <x:c r="C384" s="187" t="str">
        <x:v>CHAIN</x:v>
      </x:c>
      <x:c r="D384" s="187" t="str">
        <x:v>VOLUME</x:v>
      </x:c>
      <x:c r="E384" s="187" t="str">
        <x:v>GB</x:v>
      </x:c>
      <x:c r="F384" s="187" t="str">
        <x:v>32952.3328162567440000000</x:v>
      </x:c>
      <x:c r="G384" s="235" t="n">
        <x:v>32952.3328</x:v>
      </x:c>
      <x:c r="H384" s="235"/>
      <x:c r="I384" s="229"/>
      <x:c r="J384" s="187"/>
    </x:row>
    <x:row r="385">
      <x:c r="A385" s="187" t="str">
        <x:v>FORECAST_VS_BUDGET</x:v>
      </x:c>
      <x:c r="B385" s="217" t="n">
        <x:v>46296</x:v>
      </x:c>
      <x:c r="C385" s="187" t="str">
        <x:v>SHAPLEY</x:v>
      </x:c>
      <x:c r="D385" s="187" t="str">
        <x:v>EFFICIENCY</x:v>
      </x:c>
      <x:c r="E385" s="187" t="str">
        <x:v>ALL</x:v>
      </x:c>
      <x:c r="F385" s="187" t="str">
        <x:v>20630.980623553002726337645440000000000000000000000000000000000000000000000000000</x:v>
      </x:c>
      <x:c r="G385" s="235" t="n">
        <x:v>20630.9806</x:v>
      </x:c>
      <x:c r="H385" s="235"/>
      <x:c r="I385" s="229"/>
      <x:c r="J385" s="187"/>
    </x:row>
    <x:row r="386">
      <x:c r="A386" s="187" t="str">
        <x:v>FORECAST_VS_BUDGET</x:v>
      </x:c>
      <x:c r="B386" s="217" t="n">
        <x:v>46296</x:v>
      </x:c>
      <x:c r="C386" s="187" t="str">
        <x:v>SHAPLEY</x:v>
      </x:c>
      <x:c r="D386" s="187" t="str">
        <x:v>EFFICIENCY</x:v>
      </x:c>
      <x:c r="E386" s="187" t="str">
        <x:v>DE</x:v>
      </x:c>
      <x:c r="F386" s="187" t="str">
        <x:v>0.0000000000000000000000000000000000000000000000000000000000000000000000000000000000000000000000000000000000</x:v>
      </x:c>
      <x:c r="G386" s="235" t="n">
        <x:v>0</x:v>
      </x:c>
      <x:c r="H386" s="235"/>
      <x:c r="I386" s="229"/>
      <x:c r="J386" s="187"/>
    </x:row>
    <x:row r="387">
      <x:c r="A387" s="187" t="str">
        <x:v>FORECAST_VS_BUDGET</x:v>
      </x:c>
      <x:c r="B387" s="217" t="n">
        <x:v>46296</x:v>
      </x:c>
      <x:c r="C387" s="187" t="str">
        <x:v>SHAPLEY</x:v>
      </x:c>
      <x:c r="D387" s="187" t="str">
        <x:v>EFFICIENCY</x:v>
      </x:c>
      <x:c r="E387" s="187" t="str">
        <x:v>FR</x:v>
      </x:c>
      <x:c r="F387" s="187" t="str">
        <x:v>0.00000000000000000000000000000000000000000000000000000000000000000000000000000000000000000000000000000000</x:v>
      </x:c>
      <x:c r="G387" s="235" t="n">
        <x:v>0</x:v>
      </x:c>
      <x:c r="H387" s="235"/>
      <x:c r="I387" s="229"/>
      <x:c r="J387" s="187"/>
    </x:row>
    <x:row r="388">
      <x:c r="A388" s="187" t="str">
        <x:v>FORECAST_VS_BUDGET</x:v>
      </x:c>
      <x:c r="B388" s="217" t="n">
        <x:v>46296</x:v>
      </x:c>
      <x:c r="C388" s="187" t="str">
        <x:v>SHAPLEY</x:v>
      </x:c>
      <x:c r="D388" s="187" t="str">
        <x:v>EFFICIENCY</x:v>
      </x:c>
      <x:c r="E388" s="187" t="str">
        <x:v>GB</x:v>
      </x:c>
      <x:c r="F388" s="187" t="str">
        <x:v>20630.980623553002726337645440000000000000000000000000000000000000000000000000000</x:v>
      </x:c>
      <x:c r="G388" s="235" t="n">
        <x:v>20630.9806</x:v>
      </x:c>
      <x:c r="H388" s="235"/>
      <x:c r="I388" s="229"/>
      <x:c r="J388" s="187"/>
    </x:row>
    <x:row r="389">
      <x:c r="A389" s="187" t="str">
        <x:v>FORECAST_VS_BUDGET</x:v>
      </x:c>
      <x:c r="B389" s="217" t="n">
        <x:v>46296</x:v>
      </x:c>
      <x:c r="C389" s="187" t="str">
        <x:v>SHAPLEY</x:v>
      </x:c>
      <x:c r="D389" s="187" t="str">
        <x:v>FX</x:v>
      </x:c>
      <x:c r="E389" s="187" t="str">
        <x:v>ALL</x:v>
      </x:c>
      <x:c r="F389" s="187" t="str">
        <x:v>10521.406281718815696946817280000000000000000000000000000000000000000000000000000</x:v>
      </x:c>
      <x:c r="G389" s="235" t="n">
        <x:v>10521.4063</x:v>
      </x:c>
      <x:c r="H389" s="235"/>
      <x:c r="I389" s="229"/>
      <x:c r="J389" s="187"/>
    </x:row>
    <x:row r="390">
      <x:c r="A390" s="187" t="str">
        <x:v>FORECAST_VS_BUDGET</x:v>
      </x:c>
      <x:c r="B390" s="217" t="n">
        <x:v>46296</x:v>
      </x:c>
      <x:c r="C390" s="187" t="str">
        <x:v>SHAPLEY</x:v>
      </x:c>
      <x:c r="D390" s="187" t="str">
        <x:v>FX</x:v>
      </x:c>
      <x:c r="E390" s="187" t="str">
        <x:v>DE</x:v>
      </x:c>
      <x:c r="F390" s="187" t="str">
        <x:v>2702.3631070268710641250000000000000000000000000000000000000000000000000000000000</x:v>
      </x:c>
      <x:c r="G390" s="235" t="n">
        <x:v>2702.3631</x:v>
      </x:c>
      <x:c r="H390" s="235"/>
      <x:c r="I390" s="229"/>
      <x:c r="J390" s="187"/>
    </x:row>
    <x:row r="391">
      <x:c r="A391" s="187" t="str">
        <x:v>FORECAST_VS_BUDGET</x:v>
      </x:c>
      <x:c r="B391" s="217" t="n">
        <x:v>46296</x:v>
      </x:c>
      <x:c r="C391" s="187" t="str">
        <x:v>SHAPLEY</x:v>
      </x:c>
      <x:c r="D391" s="187" t="str">
        <x:v>FX</x:v>
      </x:c>
      <x:c r="E391" s="187" t="str">
        <x:v>FR</x:v>
      </x:c>
      <x:c r="F391" s="187" t="str">
        <x:v>2246.8271010349839312500000000000000000000000000000000000000000000000000000000000</x:v>
      </x:c>
      <x:c r="G391" s="235" t="n">
        <x:v>2246.8271</x:v>
      </x:c>
      <x:c r="H391" s="235"/>
      <x:c r="I391" s="229"/>
      <x:c r="J391" s="187"/>
    </x:row>
    <x:row r="392">
      <x:c r="A392" s="187" t="str">
        <x:v>FORECAST_VS_BUDGET</x:v>
      </x:c>
      <x:c r="B392" s="217" t="n">
        <x:v>46296</x:v>
      </x:c>
      <x:c r="C392" s="187" t="str">
        <x:v>SHAPLEY</x:v>
      </x:c>
      <x:c r="D392" s="187" t="str">
        <x:v>FX</x:v>
      </x:c>
      <x:c r="E392" s="187" t="str">
        <x:v>GB</x:v>
      </x:c>
      <x:c r="F392" s="187" t="str">
        <x:v>5572.2160736569607015718172800000000000000000000000000000000000000000000000000000</x:v>
      </x:c>
      <x:c r="G392" s="235" t="n">
        <x:v>5572.2161</x:v>
      </x:c>
      <x:c r="H392" s="235"/>
      <x:c r="I392" s="229"/>
      <x:c r="J392" s="187"/>
    </x:row>
    <x:row r="393">
      <x:c r="A393" s="187" t="str">
        <x:v>FORECAST_VS_BUDGET</x:v>
      </x:c>
      <x:c r="B393" s="217" t="n">
        <x:v>46296</x:v>
      </x:c>
      <x:c r="C393" s="187" t="str">
        <x:v>SHAPLEY</x:v>
      </x:c>
      <x:c r="D393" s="187" t="str">
        <x:v>MIX</x:v>
      </x:c>
      <x:c r="E393" s="187" t="str">
        <x:v>ALL</x:v>
      </x:c>
      <x:c r="F393" s="187" t="str">
        <x:v>90107.422747119105010396618880000000000000000000000000000000000000000000000000000</x:v>
      </x:c>
      <x:c r="G393" s="235" t="n">
        <x:v>90107.4227</x:v>
      </x:c>
      <x:c r="H393" s="235"/>
      <x:c r="I393" s="229"/>
      <x:c r="J393" s="187"/>
    </x:row>
    <x:row r="394">
      <x:c r="A394" s="187" t="str">
        <x:v>FORECAST_VS_BUDGET</x:v>
      </x:c>
      <x:c r="B394" s="217" t="n">
        <x:v>46296</x:v>
      </x:c>
      <x:c r="C394" s="187" t="str">
        <x:v>SHAPLEY</x:v>
      </x:c>
      <x:c r="D394" s="187" t="str">
        <x:v>MIX</x:v>
      </x:c>
      <x:c r="E394" s="187" t="str">
        <x:v>DE</x:v>
      </x:c>
      <x:c r="F394" s="187" t="str">
        <x:v>-12130.168363280046903875000000000000000000000000000000000000000000000000000000000</x:v>
      </x:c>
      <x:c r="G394" s="235" t="n">
        <x:v>-12130.1684</x:v>
      </x:c>
      <x:c r="H394" s="235"/>
      <x:c r="I394" s="229"/>
      <x:c r="J394" s="187"/>
    </x:row>
    <x:row r="395">
      <x:c r="A395" s="187" t="str">
        <x:v>FORECAST_VS_BUDGET</x:v>
      </x:c>
      <x:c r="B395" s="217" t="n">
        <x:v>46296</x:v>
      </x:c>
      <x:c r="C395" s="187" t="str">
        <x:v>SHAPLEY</x:v>
      </x:c>
      <x:c r="D395" s="187" t="str">
        <x:v>MIX</x:v>
      </x:c>
      <x:c r="E395" s="187" t="str">
        <x:v>FR</x:v>
      </x:c>
      <x:c r="F395" s="187" t="str">
        <x:v>-5785.3379663578796637500000000000000000000000000000000000000000000000000000000000</x:v>
      </x:c>
      <x:c r="G395" s="235" t="n">
        <x:v>-5785.338</x:v>
      </x:c>
      <x:c r="H395" s="235"/>
      <x:c r="I395" s="229"/>
      <x:c r="J395" s="187"/>
    </x:row>
    <x:row r="396">
      <x:c r="A396" s="187" t="str">
        <x:v>FORECAST_VS_BUDGET</x:v>
      </x:c>
      <x:c r="B396" s="217" t="n">
        <x:v>46296</x:v>
      </x:c>
      <x:c r="C396" s="187" t="str">
        <x:v>SHAPLEY</x:v>
      </x:c>
      <x:c r="D396" s="187" t="str">
        <x:v>MIX</x:v>
      </x:c>
      <x:c r="E396" s="187" t="str">
        <x:v>GB</x:v>
      </x:c>
      <x:c r="F396" s="187" t="str">
        <x:v>108022.92907675703157802161888000000000000000000000000000000000000000000000000000</x:v>
      </x:c>
      <x:c r="G396" s="235" t="n">
        <x:v>108022.9291</x:v>
      </x:c>
      <x:c r="H396" s="235"/>
      <x:c r="I396" s="229"/>
      <x:c r="J396" s="187"/>
    </x:row>
    <x:row r="397">
      <x:c r="A397" s="187" t="str">
        <x:v>FORECAST_VS_BUDGET</x:v>
      </x:c>
      <x:c r="B397" s="217" t="n">
        <x:v>46296</x:v>
      </x:c>
      <x:c r="C397" s="187" t="str">
        <x:v>SHAPLEY</x:v>
      </x:c>
      <x:c r="D397" s="187" t="str">
        <x:v>PRICE</x:v>
      </x:c>
      <x:c r="E397" s="187" t="str">
        <x:v>ALL</x:v>
      </x:c>
      <x:c r="F397" s="187" t="str">
        <x:v>37931.890503802737879066906880000000000000000000000000000000000000000000000000000</x:v>
      </x:c>
      <x:c r="G397" s="235" t="n">
        <x:v>37931.8905</x:v>
      </x:c>
      <x:c r="H397" s="235"/>
      <x:c r="I397" s="229"/>
      <x:c r="J397" s="187"/>
    </x:row>
    <x:row r="398">
      <x:c r="A398" s="187" t="str">
        <x:v>FORECAST_VS_BUDGET</x:v>
      </x:c>
      <x:c r="B398" s="217" t="n">
        <x:v>46296</x:v>
      </x:c>
      <x:c r="C398" s="187" t="str">
        <x:v>SHAPLEY</x:v>
      </x:c>
      <x:c r="D398" s="187" t="str">
        <x:v>PRICE</x:v>
      </x:c>
      <x:c r="E398" s="187" t="str">
        <x:v>DE</x:v>
      </x:c>
      <x:c r="F398" s="187" t="str">
        <x:v>7481.2040247379656401250000000000000000000000000000000000000000000000000000000000</x:v>
      </x:c>
      <x:c r="G398" s="235" t="n">
        <x:v>7481.204</x:v>
      </x:c>
      <x:c r="H398" s="235"/>
      <x:c r="I398" s="229"/>
      <x:c r="J398" s="187"/>
    </x:row>
    <x:row r="399">
      <x:c r="A399" s="187" t="str">
        <x:v>FORECAST_VS_BUDGET</x:v>
      </x:c>
      <x:c r="B399" s="217" t="n">
        <x:v>46296</x:v>
      </x:c>
      <x:c r="C399" s="187" t="str">
        <x:v>SHAPLEY</x:v>
      </x:c>
      <x:c r="D399" s="187" t="str">
        <x:v>PRICE</x:v>
      </x:c>
      <x:c r="E399" s="187" t="str">
        <x:v>FR</x:v>
      </x:c>
      <x:c r="F399" s="187" t="str">
        <x:v>6152.4652026972608162500000000000000000000000000000000000000000000000000000000000</x:v>
      </x:c>
      <x:c r="G399" s="235" t="n">
        <x:v>6152.4652</x:v>
      </x:c>
      <x:c r="H399" s="235"/>
      <x:c r="I399" s="229"/>
      <x:c r="J399" s="187"/>
    </x:row>
    <x:row r="400">
      <x:c r="A400" s="187" t="str">
        <x:v>FORECAST_VS_BUDGET</x:v>
      </x:c>
      <x:c r="B400" s="217" t="n">
        <x:v>46296</x:v>
      </x:c>
      <x:c r="C400" s="187" t="str">
        <x:v>SHAPLEY</x:v>
      </x:c>
      <x:c r="D400" s="187" t="str">
        <x:v>PRICE</x:v>
      </x:c>
      <x:c r="E400" s="187" t="str">
        <x:v>GB</x:v>
      </x:c>
      <x:c r="F400" s="187" t="str">
        <x:v>24298.221276367511422691906880000000000000000000000000000000000000000000000000000</x:v>
      </x:c>
      <x:c r="G400" s="235" t="n">
        <x:v>24298.2213</x:v>
      </x:c>
      <x:c r="H400" s="235"/>
      <x:c r="I400" s="229"/>
      <x:c r="J400" s="187"/>
    </x:row>
    <x:row r="401">
      <x:c r="A401" s="187" t="str">
        <x:v>FORECAST_VS_BUDGET</x:v>
      </x:c>
      <x:c r="B401" s="217" t="n">
        <x:v>46296</x:v>
      </x:c>
      <x:c r="C401" s="187" t="str">
        <x:v>SHAPLEY</x:v>
      </x:c>
      <x:c r="D401" s="187" t="str">
        <x:v>VOLUME</x:v>
      </x:c>
      <x:c r="E401" s="187" t="str">
        <x:v>ALL</x:v>
      </x:c>
      <x:c r="F401" s="187" t="str">
        <x:v>70096.889732245359002877077760000000000000000000000000000000000000000000000000000</x:v>
      </x:c>
      <x:c r="G401" s="235" t="n">
        <x:v>70096.8897</x:v>
      </x:c>
      <x:c r="H401" s="235"/>
      <x:c r="I401" s="229"/>
      <x:c r="J401" s="187"/>
    </x:row>
    <x:row r="402">
      <x:c r="A402" s="187" t="str">
        <x:v>FORECAST_VS_BUDGET</x:v>
      </x:c>
      <x:c r="B402" s="217" t="n">
        <x:v>46296</x:v>
      </x:c>
      <x:c r="C402" s="187" t="str">
        <x:v>SHAPLEY</x:v>
      </x:c>
      <x:c r="D402" s="187" t="str">
        <x:v>VOLUME</x:v>
      </x:c>
      <x:c r="E402" s="187" t="str">
        <x:v>DE</x:v>
      </x:c>
      <x:c r="F402" s="187" t="str">
        <x:v>16972.921802542863626125000000000000000000000000000000000000000000000000000000000</x:v>
      </x:c>
      <x:c r="G402" s="235" t="n">
        <x:v>16972.9218</x:v>
      </x:c>
      <x:c r="H402" s="235"/>
      <x:c r="I402" s="229"/>
      <x:c r="J402" s="187"/>
    </x:row>
    <x:row r="403">
      <x:c r="A403" s="187" t="str">
        <x:v>FORECAST_VS_BUDGET</x:v>
      </x:c>
      <x:c r="B403" s="217" t="n">
        <x:v>46296</x:v>
      </x:c>
      <x:c r="C403" s="187" t="str">
        <x:v>SHAPLEY</x:v>
      </x:c>
      <x:c r="D403" s="187" t="str">
        <x:v>VOLUME</x:v>
      </x:c>
      <x:c r="E403" s="187" t="str">
        <x:v>FR</x:v>
      </x:c>
      <x:c r="F403" s="187" t="str">
        <x:v>14109.908187621026266250000000000000000000000000000000000000000000000000000000000</x:v>
      </x:c>
      <x:c r="G403" s="235" t="n">
        <x:v>14109.9082</x:v>
      </x:c>
      <x:c r="H403" s="235"/>
      <x:c r="I403" s="229"/>
      <x:c r="J403" s="187"/>
    </x:row>
    <x:row r="404">
      <x:c r="A404" s="187" t="str">
        <x:v>FORECAST_VS_BUDGET</x:v>
      </x:c>
      <x:c r="B404" s="217" t="n">
        <x:v>46296</x:v>
      </x:c>
      <x:c r="C404" s="187" t="str">
        <x:v>SHAPLEY</x:v>
      </x:c>
      <x:c r="D404" s="187" t="str">
        <x:v>VOLUME</x:v>
      </x:c>
      <x:c r="E404" s="187" t="str">
        <x:v>GB</x:v>
      </x:c>
      <x:c r="F404" s="187" t="str">
        <x:v>39014.059742081469110502077760000000000000000000000000000000000000000000000000000</x:v>
      </x:c>
      <x:c r="G404" s="235" t="n">
        <x:v>39014.0597</x:v>
      </x:c>
      <x:c r="H404" s="235"/>
      <x:c r="I404" s="229"/>
      <x:c r="J404" s="187"/>
    </x:row>
    <x:row r="405">
      <x:c r="A405" s="187" t="str">
        <x:v>FORECAST_VS_BUDGET</x:v>
      </x:c>
      <x:c r="B405" s="217" t="n">
        <x:v>46327</x:v>
      </x:c>
      <x:c r="C405" s="187" t="str">
        <x:v>CHAIN</x:v>
      </x:c>
      <x:c r="D405" s="187" t="str">
        <x:v>EFFICIENCY</x:v>
      </x:c>
      <x:c r="E405" s="187" t="str">
        <x:v>ALL</x:v>
      </x:c>
      <x:c r="F405" s="187" t="str">
        <x:v>30632.155062507947520000000</x:v>
      </x:c>
      <x:c r="G405" s="235" t="n">
        <x:v>30632.1551</x:v>
      </x:c>
      <x:c r="H405" s="235" t="n">
        <x:v>3237.77557351033</x:v>
      </x:c>
      <x:c r="I405" s="229" t="n">
        <x:v>0.010385316000201369</x:v>
      </x:c>
      <x:c r="J405" s="254" t="b">
        <x:v>0</x:v>
      </x:c>
    </x:row>
    <x:row r="406">
      <x:c r="A406" s="187" t="str">
        <x:v>FORECAST_VS_BUDGET</x:v>
      </x:c>
      <x:c r="B406" s="217" t="n">
        <x:v>46327</x:v>
      </x:c>
      <x:c r="C406" s="187" t="str">
        <x:v>CHAIN</x:v>
      </x:c>
      <x:c r="D406" s="187" t="str">
        <x:v>EFFICIENCY</x:v>
      </x:c>
      <x:c r="E406" s="187" t="str">
        <x:v>DE</x:v>
      </x:c>
      <x:c r="F406" s="187" t="str">
        <x:v>0.0000000000000000000</x:v>
      </x:c>
      <x:c r="G406" s="235" t="n">
        <x:v>0</x:v>
      </x:c>
      <x:c r="H406" s="235"/>
      <x:c r="I406" s="229"/>
      <x:c r="J406" s="187"/>
    </x:row>
    <x:row r="407">
      <x:c r="A407" s="187" t="str">
        <x:v>FORECAST_VS_BUDGET</x:v>
      </x:c>
      <x:c r="B407" s="217" t="n">
        <x:v>46327</x:v>
      </x:c>
      <x:c r="C407" s="187" t="str">
        <x:v>CHAIN</x:v>
      </x:c>
      <x:c r="D407" s="187" t="str">
        <x:v>EFFICIENCY</x:v>
      </x:c>
      <x:c r="E407" s="187" t="str">
        <x:v>FR</x:v>
      </x:c>
      <x:c r="F407" s="187" t="str">
        <x:v>0.00000000000000000</x:v>
      </x:c>
      <x:c r="G407" s="235" t="n">
        <x:v>0</x:v>
      </x:c>
      <x:c r="H407" s="235"/>
      <x:c r="I407" s="229"/>
      <x:c r="J407" s="187"/>
    </x:row>
    <x:row r="408">
      <x:c r="A408" s="187" t="str">
        <x:v>FORECAST_VS_BUDGET</x:v>
      </x:c>
      <x:c r="B408" s="217" t="n">
        <x:v>46327</x:v>
      </x:c>
      <x:c r="C408" s="187" t="str">
        <x:v>CHAIN</x:v>
      </x:c>
      <x:c r="D408" s="187" t="str">
        <x:v>EFFICIENCY</x:v>
      </x:c>
      <x:c r="E408" s="187" t="str">
        <x:v>GB</x:v>
      </x:c>
      <x:c r="F408" s="187" t="str">
        <x:v>30632.155062507947520000000</x:v>
      </x:c>
      <x:c r="G408" s="235" t="n">
        <x:v>30632.1551</x:v>
      </x:c>
      <x:c r="H408" s="235"/>
      <x:c r="I408" s="229"/>
      <x:c r="J408" s="187"/>
    </x:row>
    <x:row r="409">
      <x:c r="A409" s="187" t="str">
        <x:v>FORECAST_VS_BUDGET</x:v>
      </x:c>
      <x:c r="B409" s="217" t="n">
        <x:v>46327</x:v>
      </x:c>
      <x:c r="C409" s="187" t="str">
        <x:v>CHAIN</x:v>
      </x:c>
      <x:c r="D409" s="187" t="str">
        <x:v>FX</x:v>
      </x:c>
      <x:c r="E409" s="187" t="str">
        <x:v>ALL</x:v>
      </x:c>
      <x:c r="F409" s="187" t="str">
        <x:v>10031.8988884860402241767874560000000</x:v>
      </x:c>
      <x:c r="G409" s="235" t="n">
        <x:v>10031.8989</x:v>
      </x:c>
      <x:c r="H409" s="235" t="n">
        <x:v>1071.903027058474</x:v>
      </x:c>
      <x:c r="I409" s="229" t="n">
        <x:v>0.003438178899319296</x:v>
      </x:c>
      <x:c r="J409" s="254" t="b">
        <x:v>0</x:v>
      </x:c>
    </x:row>
    <x:row r="410">
      <x:c r="A410" s="187" t="str">
        <x:v>FORECAST_VS_BUDGET</x:v>
      </x:c>
      <x:c r="B410" s="217" t="n">
        <x:v>46327</x:v>
      </x:c>
      <x:c r="C410" s="187" t="str">
        <x:v>CHAIN</x:v>
      </x:c>
      <x:c r="D410" s="187" t="str">
        <x:v>FX</x:v>
      </x:c>
      <x:c r="E410" s="187" t="str">
        <x:v>DE</x:v>
      </x:c>
      <x:c r="F410" s="187" t="str">
        <x:v>2661.3001838103414681600000000</x:v>
      </x:c>
      <x:c r="G410" s="235" t="n">
        <x:v>2661.3002</x:v>
      </x:c>
      <x:c r="H410" s="235"/>
      <x:c r="I410" s="229"/>
      <x:c r="J410" s="187"/>
    </x:row>
    <x:row r="411">
      <x:c r="A411" s="187" t="str">
        <x:v>FORECAST_VS_BUDGET</x:v>
      </x:c>
      <x:c r="B411" s="217" t="n">
        <x:v>46327</x:v>
      </x:c>
      <x:c r="C411" s="187" t="str">
        <x:v>CHAIN</x:v>
      </x:c>
      <x:c r="D411" s="187" t="str">
        <x:v>FX</x:v>
      </x:c>
      <x:c r="E411" s="187" t="str">
        <x:v>FR</x:v>
      </x:c>
      <x:c r="F411" s="187" t="str">
        <x:v>2300.13621870809351040000000</x:v>
      </x:c>
      <x:c r="G411" s="235" t="n">
        <x:v>2300.1362</x:v>
      </x:c>
      <x:c r="H411" s="235"/>
      <x:c r="I411" s="229"/>
      <x:c r="J411" s="187"/>
    </x:row>
    <x:row r="412">
      <x:c r="A412" s="187" t="str">
        <x:v>FORECAST_VS_BUDGET</x:v>
      </x:c>
      <x:c r="B412" s="217" t="n">
        <x:v>46327</x:v>
      </x:c>
      <x:c r="C412" s="187" t="str">
        <x:v>CHAIN</x:v>
      </x:c>
      <x:c r="D412" s="187" t="str">
        <x:v>FX</x:v>
      </x:c>
      <x:c r="E412" s="187" t="str">
        <x:v>GB</x:v>
      </x:c>
      <x:c r="F412" s="187" t="str">
        <x:v>5070.4624859676052456167874560000000</x:v>
      </x:c>
      <x:c r="G412" s="235" t="n">
        <x:v>5070.4625</x:v>
      </x:c>
      <x:c r="H412" s="235"/>
      <x:c r="I412" s="229"/>
      <x:c r="J412" s="187"/>
    </x:row>
    <x:row r="413">
      <x:c r="A413" s="187" t="str">
        <x:v>FORECAST_VS_BUDGET</x:v>
      </x:c>
      <x:c r="B413" s="217" t="n">
        <x:v>46327</x:v>
      </x:c>
      <x:c r="C413" s="187" t="str">
        <x:v>CHAIN</x:v>
      </x:c>
      <x:c r="D413" s="187" t="str">
        <x:v>MIX</x:v>
      </x:c>
      <x:c r="E413" s="187" t="str">
        <x:v>ALL</x:v>
      </x:c>
      <x:c r="F413" s="187" t="str">
        <x:v>92128.653477442207488000000</x:v>
      </x:c>
      <x:c r="G413" s="235" t="n">
        <x:v>92128.6535</x:v>
      </x:c>
      <x:c r="H413" s="235" t="n">
        <x:v>3628.5356487352915</x:v>
      </x:c>
      <x:c r="I413" s="229" t="n">
        <x:v>0.011638697147021837</x:v>
      </x:c>
      <x:c r="J413" s="254" t="b">
        <x:v>0</x:v>
      </x:c>
    </x:row>
    <x:row r="414">
      <x:c r="A414" s="187" t="str">
        <x:v>FORECAST_VS_BUDGET</x:v>
      </x:c>
      <x:c r="B414" s="217" t="n">
        <x:v>46327</x:v>
      </x:c>
      <x:c r="C414" s="187" t="str">
        <x:v>CHAIN</x:v>
      </x:c>
      <x:c r="D414" s="187" t="str">
        <x:v>MIX</x:v>
      </x:c>
      <x:c r="E414" s="187" t="str">
        <x:v>DE</x:v>
      </x:c>
      <x:c r="F414" s="187" t="str">
        <x:v>-15655.2625052204160000000</x:v>
      </x:c>
      <x:c r="G414" s="235" t="n">
        <x:v>-15655.2625</x:v>
      </x:c>
      <x:c r="H414" s="235"/>
      <x:c r="I414" s="229"/>
      <x:c r="J414" s="187"/>
    </x:row>
    <x:row r="415">
      <x:c r="A415" s="187" t="str">
        <x:v>FORECAST_VS_BUDGET</x:v>
      </x:c>
      <x:c r="B415" s="217" t="n">
        <x:v>46327</x:v>
      </x:c>
      <x:c r="C415" s="187" t="str">
        <x:v>CHAIN</x:v>
      </x:c>
      <x:c r="D415" s="187" t="str">
        <x:v>MIX</x:v>
      </x:c>
      <x:c r="E415" s="187" t="str">
        <x:v>FR</x:v>
      </x:c>
      <x:c r="F415" s="187" t="str">
        <x:v>-7468.06280166336000000</x:v>
      </x:c>
      <x:c r="G415" s="235" t="n">
        <x:v>-7468.0628</x:v>
      </x:c>
      <x:c r="H415" s="235"/>
      <x:c r="I415" s="229"/>
      <x:c r="J415" s="187"/>
    </x:row>
    <x:row r="416">
      <x:c r="A416" s="187" t="str">
        <x:v>FORECAST_VS_BUDGET</x:v>
      </x:c>
      <x:c r="B416" s="217" t="n">
        <x:v>46327</x:v>
      </x:c>
      <x:c r="C416" s="187" t="str">
        <x:v>CHAIN</x:v>
      </x:c>
      <x:c r="D416" s="187" t="str">
        <x:v>MIX</x:v>
      </x:c>
      <x:c r="E416" s="187" t="str">
        <x:v>GB</x:v>
      </x:c>
      <x:c r="F416" s="187" t="str">
        <x:v>115251.978784325983488000000</x:v>
      </x:c>
      <x:c r="G416" s="235" t="n">
        <x:v>115251.9788</x:v>
      </x:c>
      <x:c r="H416" s="235"/>
      <x:c r="I416" s="229"/>
      <x:c r="J416" s="187"/>
    </x:row>
    <x:row r="417">
      <x:c r="A417" s="187" t="str">
        <x:v>FORECAST_VS_BUDGET</x:v>
      </x:c>
      <x:c r="B417" s="217" t="n">
        <x:v>46327</x:v>
      </x:c>
      <x:c r="C417" s="187" t="str">
        <x:v>CHAIN</x:v>
      </x:c>
      <x:c r="D417" s="187" t="str">
        <x:v>PRICE</x:v>
      </x:c>
      <x:c r="E417" s="187" t="str">
        <x:v>ALL</x:v>
      </x:c>
      <x:c r="F417" s="187" t="str">
        <x:v>56526.0672578566917385417420800000000</x:v>
      </x:c>
      <x:c r="G417" s="235" t="n">
        <x:v>56526.0673</x:v>
      </x:c>
      <x:c r="H417" s="235" t="n">
        <x:v>9620.478779144249</x:v>
      </x:c>
      <x:c r="I417" s="229" t="n">
        <x:v>0.030858133902814718</x:v>
      </x:c>
      <x:c r="J417" s="254" t="b">
        <x:v>0</x:v>
      </x:c>
    </x:row>
    <x:row r="418">
      <x:c r="A418" s="187" t="str">
        <x:v>FORECAST_VS_BUDGET</x:v>
      </x:c>
      <x:c r="B418" s="217" t="n">
        <x:v>46327</x:v>
      </x:c>
      <x:c r="C418" s="187" t="str">
        <x:v>CHAIN</x:v>
      </x:c>
      <x:c r="D418" s="187" t="str">
        <x:v>PRICE</x:v>
      </x:c>
      <x:c r="E418" s="187" t="str">
        <x:v>DE</x:v>
      </x:c>
      <x:c r="F418" s="187" t="str">
        <x:v>8992.5678379816371456000000000</x:v>
      </x:c>
      <x:c r="G418" s="235" t="n">
        <x:v>8992.5678</x:v>
      </x:c>
      <x:c r="H418" s="235"/>
      <x:c r="I418" s="229"/>
      <x:c r="J418" s="187"/>
    </x:row>
    <x:row r="419">
      <x:c r="A419" s="187" t="str">
        <x:v>FORECAST_VS_BUDGET</x:v>
      </x:c>
      <x:c r="B419" s="217" t="n">
        <x:v>46327</x:v>
      </x:c>
      <x:c r="C419" s="187" t="str">
        <x:v>CHAIN</x:v>
      </x:c>
      <x:c r="D419" s="187" t="str">
        <x:v>PRICE</x:v>
      </x:c>
      <x:c r="E419" s="187" t="str">
        <x:v>FR</x:v>
      </x:c>
      <x:c r="F419" s="187" t="str">
        <x:v>7689.46007580167726400000000</x:v>
      </x:c>
      <x:c r="G419" s="235" t="n">
        <x:v>7689.4601</x:v>
      </x:c>
      <x:c r="H419" s="235"/>
      <x:c r="I419" s="229"/>
      <x:c r="J419" s="187"/>
    </x:row>
    <x:row r="420">
      <x:c r="A420" s="187" t="str">
        <x:v>FORECAST_VS_BUDGET</x:v>
      </x:c>
      <x:c r="B420" s="217" t="n">
        <x:v>46327</x:v>
      </x:c>
      <x:c r="C420" s="187" t="str">
        <x:v>CHAIN</x:v>
      </x:c>
      <x:c r="D420" s="187" t="str">
        <x:v>PRICE</x:v>
      </x:c>
      <x:c r="E420" s="187" t="str">
        <x:v>GB</x:v>
      </x:c>
      <x:c r="F420" s="187" t="str">
        <x:v>39844.0393440733773289417420800000000</x:v>
      </x:c>
      <x:c r="G420" s="235" t="n">
        <x:v>39844.0393</x:v>
      </x:c>
      <x:c r="H420" s="235"/>
      <x:c r="I420" s="229"/>
      <x:c r="J420" s="187"/>
    </x:row>
    <x:row r="421">
      <x:c r="A421" s="187" t="str">
        <x:v>FORECAST_VS_BUDGET</x:v>
      </x:c>
      <x:c r="B421" s="217" t="n">
        <x:v>46327</x:v>
      </x:c>
      <x:c r="C421" s="187" t="str">
        <x:v>CHAIN</x:v>
      </x:c>
      <x:c r="D421" s="187" t="str">
        <x:v>VOLUME</x:v>
      </x:c>
      <x:c r="E421" s="187" t="str">
        <x:v>ALL</x:v>
      </x:c>
      <x:c r="F421" s="187" t="str">
        <x:v>122445.9875460311616000000</x:v>
      </x:c>
      <x:c r="G421" s="235" t="n">
        <x:v>122445.9875</x:v>
      </x:c>
      <x:c r="H421" s="235" t="n">
        <x:v>10301.621730977762</x:v>
      </x:c>
      <x:c r="I421" s="229" t="n">
        <x:v>0.033042931655313544</x:v>
      </x:c>
      <x:c r="J421" s="254" t="b">
        <x:v>0</x:v>
      </x:c>
    </x:row>
    <x:row r="422">
      <x:c r="A422" s="187" t="str">
        <x:v>FORECAST_VS_BUDGET</x:v>
      </x:c>
      <x:c r="B422" s="217" t="n">
        <x:v>46327</x:v>
      </x:c>
      <x:c r="C422" s="187" t="str">
        <x:v>CHAIN</x:v>
      </x:c>
      <x:c r="D422" s="187" t="str">
        <x:v>VOLUME</x:v>
      </x:c>
      <x:c r="E422" s="187" t="str">
        <x:v>DE</x:v>
      </x:c>
      <x:c r="F422" s="187" t="str">
        <x:v>30048.0038406649920000000</x:v>
      </x:c>
      <x:c r="G422" s="235" t="n">
        <x:v>30048.0038</x:v>
      </x:c>
      <x:c r="H422" s="235"/>
      <x:c r="I422" s="229"/>
      <x:c r="J422" s="187"/>
    </x:row>
    <x:row r="423">
      <x:c r="A423" s="187" t="str">
        <x:v>FORECAST_VS_BUDGET</x:v>
      </x:c>
      <x:c r="B423" s="217" t="n">
        <x:v>46327</x:v>
      </x:c>
      <x:c r="C423" s="187" t="str">
        <x:v>CHAIN</x:v>
      </x:c>
      <x:c r="D423" s="187" t="str">
        <x:v>VOLUME</x:v>
      </x:c>
      <x:c r="E423" s="187" t="str">
        <x:v>FR</x:v>
      </x:c>
      <x:c r="F423" s="187" t="str">
        <x:v>25295.05142498880000000</x:v>
      </x:c>
      <x:c r="G423" s="235" t="n">
        <x:v>25295.0514</x:v>
      </x:c>
      <x:c r="H423" s="235"/>
      <x:c r="I423" s="229"/>
      <x:c r="J423" s="187"/>
    </x:row>
    <x:row r="424">
      <x:c r="A424" s="187" t="str">
        <x:v>FORECAST_VS_BUDGET</x:v>
      </x:c>
      <x:c r="B424" s="217" t="n">
        <x:v>46327</x:v>
      </x:c>
      <x:c r="C424" s="187" t="str">
        <x:v>CHAIN</x:v>
      </x:c>
      <x:c r="D424" s="187" t="str">
        <x:v>VOLUME</x:v>
      </x:c>
      <x:c r="E424" s="187" t="str">
        <x:v>GB</x:v>
      </x:c>
      <x:c r="F424" s="187" t="str">
        <x:v>67102.9322803773696000000</x:v>
      </x:c>
      <x:c r="G424" s="235" t="n">
        <x:v>67102.9323</x:v>
      </x:c>
      <x:c r="H424" s="235"/>
      <x:c r="I424" s="229"/>
      <x:c r="J424" s="187"/>
    </x:row>
    <x:row r="425">
      <x:c r="A425" s="187" t="str">
        <x:v>FORECAST_VS_BUDGET</x:v>
      </x:c>
      <x:c r="B425" s="217" t="n">
        <x:v>46327</x:v>
      </x:c>
      <x:c r="C425" s="187" t="str">
        <x:v>SHAPLEY</x:v>
      </x:c>
      <x:c r="D425" s="187" t="str">
        <x:v>EFFICIENCY</x:v>
      </x:c>
      <x:c r="E425" s="187" t="str">
        <x:v>ALL</x:v>
      </x:c>
      <x:c r="F425" s="187" t="str">
        <x:v>27394.379488997617438864603648000000000000000000000000000000000000000000000000000</x:v>
      </x:c>
      <x:c r="G425" s="235" t="n">
        <x:v>27394.3795</x:v>
      </x:c>
      <x:c r="H425" s="235"/>
      <x:c r="I425" s="229"/>
      <x:c r="J425" s="187"/>
    </x:row>
    <x:row r="426">
      <x:c r="A426" s="187" t="str">
        <x:v>FORECAST_VS_BUDGET</x:v>
      </x:c>
      <x:c r="B426" s="217" t="n">
        <x:v>46327</x:v>
      </x:c>
      <x:c r="C426" s="187" t="str">
        <x:v>SHAPLEY</x:v>
      </x:c>
      <x:c r="D426" s="187" t="str">
        <x:v>EFFICIENCY</x:v>
      </x:c>
      <x:c r="E426" s="187" t="str">
        <x:v>DE</x:v>
      </x:c>
      <x:c r="F426" s="187" t="str">
        <x:v>0.0000000000000000000000000000000000000000000000000000000000000000000000000000000000000000000000000000000000</x:v>
      </x:c>
      <x:c r="G426" s="235" t="n">
        <x:v>0</x:v>
      </x:c>
      <x:c r="H426" s="235"/>
      <x:c r="I426" s="229"/>
      <x:c r="J426" s="187"/>
    </x:row>
    <x:row r="427">
      <x:c r="A427" s="187" t="str">
        <x:v>FORECAST_VS_BUDGET</x:v>
      </x:c>
      <x:c r="B427" s="217" t="n">
        <x:v>46327</x:v>
      </x:c>
      <x:c r="C427" s="187" t="str">
        <x:v>SHAPLEY</x:v>
      </x:c>
      <x:c r="D427" s="187" t="str">
        <x:v>EFFICIENCY</x:v>
      </x:c>
      <x:c r="E427" s="187" t="str">
        <x:v>FR</x:v>
      </x:c>
      <x:c r="F427" s="187" t="str">
        <x:v>0.00000000000000000000000000000000000000000000000000000000000000000000000000000000000000000000000000000000</x:v>
      </x:c>
      <x:c r="G427" s="235" t="n">
        <x:v>0</x:v>
      </x:c>
      <x:c r="H427" s="235"/>
      <x:c r="I427" s="229"/>
      <x:c r="J427" s="187"/>
    </x:row>
    <x:row r="428">
      <x:c r="A428" s="187" t="str">
        <x:v>FORECAST_VS_BUDGET</x:v>
      </x:c>
      <x:c r="B428" s="217" t="n">
        <x:v>46327</x:v>
      </x:c>
      <x:c r="C428" s="187" t="str">
        <x:v>SHAPLEY</x:v>
      </x:c>
      <x:c r="D428" s="187" t="str">
        <x:v>EFFICIENCY</x:v>
      </x:c>
      <x:c r="E428" s="187" t="str">
        <x:v>GB</x:v>
      </x:c>
      <x:c r="F428" s="187" t="str">
        <x:v>27394.379488997617438864603648000000000000000000000000000000000000000000000000000</x:v>
      </x:c>
      <x:c r="G428" s="235" t="n">
        <x:v>27394.3795</x:v>
      </x:c>
      <x:c r="H428" s="235"/>
      <x:c r="I428" s="229"/>
      <x:c r="J428" s="187"/>
    </x:row>
    <x:row r="429">
      <x:c r="A429" s="187" t="str">
        <x:v>FORECAST_VS_BUDGET</x:v>
      </x:c>
      <x:c r="B429" s="217" t="n">
        <x:v>46327</x:v>
      </x:c>
      <x:c r="C429" s="187" t="str">
        <x:v>SHAPLEY</x:v>
      </x:c>
      <x:c r="D429" s="187" t="str">
        <x:v>FX</x:v>
      </x:c>
      <x:c r="E429" s="187" t="str">
        <x:v>ALL</x:v>
      </x:c>
      <x:c r="F429" s="187" t="str">
        <x:v>8959.9958614275661985266505386666666666666666666666666666666666666666666666666666</x:v>
      </x:c>
      <x:c r="G429" s="235" t="n">
        <x:v>8959.9959</x:v>
      </x:c>
      <x:c r="H429" s="235"/>
      <x:c r="I429" s="229"/>
      <x:c r="J429" s="187"/>
    </x:row>
    <x:row r="430">
      <x:c r="A430" s="187" t="str">
        <x:v>FORECAST_VS_BUDGET</x:v>
      </x:c>
      <x:c r="B430" s="217" t="n">
        <x:v>46327</x:v>
      </x:c>
      <x:c r="C430" s="187" t="str">
        <x:v>SHAPLEY</x:v>
      </x:c>
      <x:c r="D430" s="187" t="str">
        <x:v>FX</x:v>
      </x:c>
      <x:c r="E430" s="187" t="str">
        <x:v>DE</x:v>
      </x:c>
      <x:c r="F430" s="187" t="str">
        <x:v>2543.5679101012434854666666666666666666666666666666666666666666666666666666666666</x:v>
      </x:c>
      <x:c r="G430" s="235" t="n">
        <x:v>2543.5679</x:v>
      </x:c>
      <x:c r="H430" s="235"/>
      <x:c r="I430" s="229"/>
      <x:c r="J430" s="187"/>
    </x:row>
    <x:row r="431">
      <x:c r="A431" s="187" t="str">
        <x:v>FORECAST_VS_BUDGET</x:v>
      </x:c>
      <x:c r="B431" s="217" t="n">
        <x:v>46327</x:v>
      </x:c>
      <x:c r="C431" s="187" t="str">
        <x:v>SHAPLEY</x:v>
      </x:c>
      <x:c r="D431" s="187" t="str">
        <x:v>FX</x:v>
      </x:c>
      <x:c r="E431" s="187" t="str">
        <x:v>FR</x:v>
      </x:c>
      <x:c r="F431" s="187" t="str">
        <x:v>2169.6675740456410696000000000000000000000000000000000000000000000000000000000000</x:v>
      </x:c>
      <x:c r="G431" s="235" t="n">
        <x:v>2169.6676</x:v>
      </x:c>
      <x:c r="H431" s="235"/>
      <x:c r="I431" s="229"/>
      <x:c r="J431" s="187"/>
    </x:row>
    <x:row r="432">
      <x:c r="A432" s="187" t="str">
        <x:v>FORECAST_VS_BUDGET</x:v>
      </x:c>
      <x:c r="B432" s="217" t="n">
        <x:v>46327</x:v>
      </x:c>
      <x:c r="C432" s="187" t="str">
        <x:v>SHAPLEY</x:v>
      </x:c>
      <x:c r="D432" s="187" t="str">
        <x:v>FX</x:v>
      </x:c>
      <x:c r="E432" s="187" t="str">
        <x:v>GB</x:v>
      </x:c>
      <x:c r="F432" s="187" t="str">
        <x:v>4246.7603772806816434599838720000000000000000000000000000000000000000000000000000</x:v>
      </x:c>
      <x:c r="G432" s="235" t="n">
        <x:v>4246.7604</x:v>
      </x:c>
      <x:c r="H432" s="235"/>
      <x:c r="I432" s="229"/>
      <x:c r="J432" s="187"/>
    </x:row>
    <x:row r="433">
      <x:c r="A433" s="187" t="str">
        <x:v>FORECAST_VS_BUDGET</x:v>
      </x:c>
      <x:c r="B433" s="217" t="n">
        <x:v>46327</x:v>
      </x:c>
      <x:c r="C433" s="187" t="str">
        <x:v>SHAPLEY</x:v>
      </x:c>
      <x:c r="D433" s="187" t="str">
        <x:v>MIX</x:v>
      </x:c>
      <x:c r="E433" s="187" t="str">
        <x:v>ALL</x:v>
      </x:c>
      <x:c r="F433" s="187" t="str">
        <x:v>95757.189126177498878200274432000000000000000000000000000000000000000000000000000</x:v>
      </x:c>
      <x:c r="G433" s="235" t="n">
        <x:v>95757.1891</x:v>
      </x:c>
      <x:c r="H433" s="235"/>
      <x:c r="I433" s="229"/>
      <x:c r="J433" s="187"/>
    </x:row>
    <x:row r="434">
      <x:c r="A434" s="187" t="str">
        <x:v>FORECAST_VS_BUDGET</x:v>
      </x:c>
      <x:c r="B434" s="217" t="n">
        <x:v>46327</x:v>
      </x:c>
      <x:c r="C434" s="187" t="str">
        <x:v>SHAPLEY</x:v>
      </x:c>
      <x:c r="D434" s="187" t="str">
        <x:v>MIX</x:v>
      </x:c>
      <x:c r="E434" s="187" t="str">
        <x:v>DE</x:v>
      </x:c>
      <x:c r="F434" s="187" t="str">
        <x:v>-15121.068727237202863840000000000000000000000000000000000000000000000000000000000</x:v>
      </x:c>
      <x:c r="G434" s="235" t="n">
        <x:v>-15121.0687</x:v>
      </x:c>
      <x:c r="H434" s="235"/>
      <x:c r="I434" s="229"/>
      <x:c r="J434" s="187"/>
    </x:row>
    <x:row r="435">
      <x:c r="A435" s="187" t="str">
        <x:v>FORECAST_VS_BUDGET</x:v>
      </x:c>
      <x:c r="B435" s="217" t="n">
        <x:v>46327</x:v>
      </x:c>
      <x:c r="C435" s="187" t="str">
        <x:v>SHAPLEY</x:v>
      </x:c>
      <x:c r="D435" s="187" t="str">
        <x:v>MIX</x:v>
      </x:c>
      <x:c r="E435" s="187" t="str">
        <x:v>FR</x:v>
      </x:c>
      <x:c r="F435" s="187" t="str">
        <x:v>-7211.8034222101510384000000000000000000000000000000000000000000000000000000000000</x:v>
      </x:c>
      <x:c r="G435" s="235" t="n">
        <x:v>-7211.8034</x:v>
      </x:c>
      <x:c r="H435" s="235"/>
      <x:c r="I435" s="229"/>
      <x:c r="J435" s="187"/>
    </x:row>
    <x:row r="436">
      <x:c r="A436" s="187" t="str">
        <x:v>FORECAST_VS_BUDGET</x:v>
      </x:c>
      <x:c r="B436" s="217" t="n">
        <x:v>46327</x:v>
      </x:c>
      <x:c r="C436" s="187" t="str">
        <x:v>SHAPLEY</x:v>
      </x:c>
      <x:c r="D436" s="187" t="str">
        <x:v>MIX</x:v>
      </x:c>
      <x:c r="E436" s="187" t="str">
        <x:v>GB</x:v>
      </x:c>
      <x:c r="F436" s="187" t="str">
        <x:v>118090.06127562485278044027443200000000000000000000000000000000000000000000000000</x:v>
      </x:c>
      <x:c r="G436" s="235" t="n">
        <x:v>118090.0613</x:v>
      </x:c>
      <x:c r="H436" s="235"/>
      <x:c r="I436" s="229"/>
      <x:c r="J436" s="187"/>
    </x:row>
    <x:row r="437">
      <x:c r="A437" s="187" t="str">
        <x:v>FORECAST_VS_BUDGET</x:v>
      </x:c>
      <x:c r="B437" s="217" t="n">
        <x:v>46327</x:v>
      </x:c>
      <x:c r="C437" s="187" t="str">
        <x:v>SHAPLEY</x:v>
      </x:c>
      <x:c r="D437" s="187" t="str">
        <x:v>PRICE</x:v>
      </x:c>
      <x:c r="E437" s="187" t="str">
        <x:v>ALL</x:v>
      </x:c>
      <x:c r="F437" s="187" t="str">
        <x:v>46905.588478712443080803000831999999999999999999999999999999999999999999999999999</x:v>
      </x:c>
      <x:c r="G437" s="235" t="n">
        <x:v>46905.5885</x:v>
      </x:c>
      <x:c r="H437" s="235"/>
      <x:c r="I437" s="229"/>
      <x:c r="J437" s="187"/>
    </x:row>
    <x:row r="438">
      <x:c r="A438" s="187" t="str">
        <x:v>FORECAST_VS_BUDGET</x:v>
      </x:c>
      <x:c r="B438" s="217" t="n">
        <x:v>46327</x:v>
      </x:c>
      <x:c r="C438" s="187" t="str">
        <x:v>SHAPLEY</x:v>
      </x:c>
      <x:c r="D438" s="187" t="str">
        <x:v>PRICE</x:v>
      </x:c>
      <x:c r="E438" s="187" t="str">
        <x:v>DE</x:v>
      </x:c>
      <x:c r="F438" s="187" t="str">
        <x:v>8790.0754540851230785333333333333333333333333333333333333333333333333333333333334</x:v>
      </x:c>
      <x:c r="G438" s="235" t="n">
        <x:v>8790.0755</x:v>
      </x:c>
      <x:c r="H438" s="235"/>
      <x:c r="I438" s="229"/>
      <x:c r="J438" s="187"/>
    </x:row>
    <x:row r="439">
      <x:c r="A439" s="187" t="str">
        <x:v>FORECAST_VS_BUDGET</x:v>
      </x:c>
      <x:c r="B439" s="217" t="n">
        <x:v>46327</x:v>
      </x:c>
      <x:c r="C439" s="187" t="str">
        <x:v>SHAPLEY</x:v>
      </x:c>
      <x:c r="D439" s="187" t="str">
        <x:v>PRICE</x:v>
      </x:c>
      <x:c r="E439" s="187" t="str">
        <x:v>FR</x:v>
      </x:c>
      <x:c r="F439" s="187" t="str">
        <x:v>7416.3523972682649642666666666666666666666666666666666666666666666666666666666666</x:v>
      </x:c>
      <x:c r="G439" s="235" t="n">
        <x:v>7416.3524</x:v>
      </x:c>
      <x:c r="H439" s="235"/>
      <x:c r="I439" s="229"/>
      <x:c r="J439" s="187"/>
    </x:row>
    <x:row r="440">
      <x:c r="A440" s="187" t="str">
        <x:v>FORECAST_VS_BUDGET</x:v>
      </x:c>
      <x:c r="B440" s="217" t="n">
        <x:v>46327</x:v>
      </x:c>
      <x:c r="C440" s="187" t="str">
        <x:v>SHAPLEY</x:v>
      </x:c>
      <x:c r="D440" s="187" t="str">
        <x:v>PRICE</x:v>
      </x:c>
      <x:c r="E440" s="187" t="str">
        <x:v>GB</x:v>
      </x:c>
      <x:c r="F440" s="187" t="str">
        <x:v>30699.160627359055038003000832000000000000000000000000000000000000000000000000000</x:v>
      </x:c>
      <x:c r="G440" s="235" t="n">
        <x:v>30699.1606</x:v>
      </x:c>
      <x:c r="H440" s="235"/>
      <x:c r="I440" s="229"/>
      <x:c r="J440" s="187"/>
    </x:row>
    <x:row r="441">
      <x:c r="A441" s="187" t="str">
        <x:v>FORECAST_VS_BUDGET</x:v>
      </x:c>
      <x:c r="B441" s="217" t="n">
        <x:v>46327</x:v>
      </x:c>
      <x:c r="C441" s="187" t="str">
        <x:v>SHAPLEY</x:v>
      </x:c>
      <x:c r="D441" s="187" t="str">
        <x:v>VOLUME</x:v>
      </x:c>
      <x:c r="E441" s="187" t="str">
        <x:v>ALL</x:v>
      </x:c>
      <x:c r="F441" s="187" t="str">
        <x:v>132747.60927700892297432400008533333333333333333333333333333333333333333333333333</x:v>
      </x:c>
      <x:c r="G441" s="235" t="n">
        <x:v>132747.6093</x:v>
      </x:c>
      <x:c r="H441" s="235"/>
      <x:c r="I441" s="229"/>
      <x:c r="J441" s="187"/>
    </x:row>
    <x:row r="442">
      <x:c r="A442" s="187" t="str">
        <x:v>FORECAST_VS_BUDGET</x:v>
      </x:c>
      <x:c r="B442" s="217" t="n">
        <x:v>46327</x:v>
      </x:c>
      <x:c r="C442" s="187" t="str">
        <x:v>SHAPLEY</x:v>
      </x:c>
      <x:c r="D442" s="187" t="str">
        <x:v>VOLUME</x:v>
      </x:c>
      <x:c r="E442" s="187" t="str">
        <x:v>DE</x:v>
      </x:c>
      <x:c r="F442" s="187" t="str">
        <x:v>29834.034720287390913600000000000000000000000000000000000000000000000000000000000</x:v>
      </x:c>
      <x:c r="G442" s="235" t="n">
        <x:v>29834.0347</x:v>
      </x:c>
      <x:c r="H442" s="235"/>
      <x:c r="I442" s="229"/>
      <x:c r="J442" s="187"/>
    </x:row>
    <x:row r="443">
      <x:c r="A443" s="187" t="str">
        <x:v>FORECAST_VS_BUDGET</x:v>
      </x:c>
      <x:c r="B443" s="217" t="n">
        <x:v>46327</x:v>
      </x:c>
      <x:c r="C443" s="187" t="str">
        <x:v>SHAPLEY</x:v>
      </x:c>
      <x:c r="D443" s="187" t="str">
        <x:v>VOLUME</x:v>
      </x:c>
      <x:c r="E443" s="187" t="str">
        <x:v>FR</x:v>
      </x:c>
      <x:c r="F443" s="187" t="str">
        <x:v>25442.368368731455778933333333333333333333333333333333333333333333333333333333334</x:v>
      </x:c>
      <x:c r="G443" s="235" t="n">
        <x:v>25442.3684</x:v>
      </x:c>
      <x:c r="H443" s="235"/>
      <x:c r="I443" s="229"/>
      <x:c r="J443" s="187"/>
    </x:row>
    <x:row r="444">
      <x:c r="A444" s="187" t="str">
        <x:v>FORECAST_VS_BUDGET</x:v>
      </x:c>
      <x:c r="B444" s="217" t="n">
        <x:v>46327</x:v>
      </x:c>
      <x:c r="C444" s="187" t="str">
        <x:v>SHAPLEY</x:v>
      </x:c>
      <x:c r="D444" s="187" t="str">
        <x:v>VOLUME</x:v>
      </x:c>
      <x:c r="E444" s="187" t="str">
        <x:v>GB</x:v>
      </x:c>
      <x:c r="F444" s="187" t="str">
        <x:v>77471.206187990076281790666752000000000000000000000000000000000000000000000000000</x:v>
      </x:c>
      <x:c r="G444" s="235" t="n">
        <x:v>77471.2062</x:v>
      </x:c>
      <x:c r="H444" s="235"/>
      <x:c r="I444" s="229"/>
      <x:c r="J444" s="187"/>
    </x:row>
    <x:row r="445">
      <x:c r="A445" s="187" t="str">
        <x:v>FORECAST_VS_BUDGET</x:v>
      </x:c>
      <x:c r="B445" s="217" t="n">
        <x:v>46357</x:v>
      </x:c>
      <x:c r="C445" s="187" t="str">
        <x:v>CHAIN</x:v>
      </x:c>
      <x:c r="D445" s="187" t="str">
        <x:v>EFFICIENCY</x:v>
      </x:c>
      <x:c r="E445" s="187" t="str">
        <x:v>ALL</x:v>
      </x:c>
      <x:c r="F445" s="187" t="str">
        <x:v>35260.324418838604800000000</x:v>
      </x:c>
      <x:c r="G445" s="235" t="n">
        <x:v>35260.3244</x:v>
      </x:c>
      <x:c r="H445" s="235" t="n">
        <x:v>3093.22409293528</x:v>
      </x:c>
      <x:c r="I445" s="229" t="n">
        <x:v>0.010212991056715373</x:v>
      </x:c>
      <x:c r="J445" s="254" t="b">
        <x:v>0</x:v>
      </x:c>
    </x:row>
    <x:row r="446">
      <x:c r="A446" s="187" t="str">
        <x:v>FORECAST_VS_BUDGET</x:v>
      </x:c>
      <x:c r="B446" s="217" t="n">
        <x:v>46357</x:v>
      </x:c>
      <x:c r="C446" s="187" t="str">
        <x:v>CHAIN</x:v>
      </x:c>
      <x:c r="D446" s="187" t="str">
        <x:v>EFFICIENCY</x:v>
      </x:c>
      <x:c r="E446" s="187" t="str">
        <x:v>DE</x:v>
      </x:c>
      <x:c r="F446" s="187" t="str">
        <x:v>0.0000000000000000000</x:v>
      </x:c>
      <x:c r="G446" s="235" t="n">
        <x:v>0</x:v>
      </x:c>
      <x:c r="H446" s="235"/>
      <x:c r="I446" s="229"/>
      <x:c r="J446" s="187"/>
    </x:row>
    <x:row r="447">
      <x:c r="A447" s="187" t="str">
        <x:v>FORECAST_VS_BUDGET</x:v>
      </x:c>
      <x:c r="B447" s="217" t="n">
        <x:v>46357</x:v>
      </x:c>
      <x:c r="C447" s="187" t="str">
        <x:v>CHAIN</x:v>
      </x:c>
      <x:c r="D447" s="187" t="str">
        <x:v>EFFICIENCY</x:v>
      </x:c>
      <x:c r="E447" s="187" t="str">
        <x:v>FR</x:v>
      </x:c>
      <x:c r="F447" s="187" t="str">
        <x:v>0.00000000000000000</x:v>
      </x:c>
      <x:c r="G447" s="235" t="n">
        <x:v>0</x:v>
      </x:c>
      <x:c r="H447" s="235"/>
      <x:c r="I447" s="229"/>
      <x:c r="J447" s="187"/>
    </x:row>
    <x:row r="448">
      <x:c r="A448" s="187" t="str">
        <x:v>FORECAST_VS_BUDGET</x:v>
      </x:c>
      <x:c r="B448" s="217" t="n">
        <x:v>46357</x:v>
      </x:c>
      <x:c r="C448" s="187" t="str">
        <x:v>CHAIN</x:v>
      </x:c>
      <x:c r="D448" s="187" t="str">
        <x:v>EFFICIENCY</x:v>
      </x:c>
      <x:c r="E448" s="187" t="str">
        <x:v>GB</x:v>
      </x:c>
      <x:c r="F448" s="187" t="str">
        <x:v>35260.324418838604800000000</x:v>
      </x:c>
      <x:c r="G448" s="235" t="n">
        <x:v>35260.3244</x:v>
      </x:c>
      <x:c r="H448" s="235"/>
      <x:c r="I448" s="229"/>
      <x:c r="J448" s="187"/>
    </x:row>
    <x:row r="449">
      <x:c r="A449" s="187" t="str">
        <x:v>FORECAST_VS_BUDGET</x:v>
      </x:c>
      <x:c r="B449" s="217" t="n">
        <x:v>46357</x:v>
      </x:c>
      <x:c r="C449" s="187" t="str">
        <x:v>CHAIN</x:v>
      </x:c>
      <x:c r="D449" s="187" t="str">
        <x:v>FX</x:v>
      </x:c>
      <x:c r="E449" s="187" t="str">
        <x:v>ALL</x:v>
      </x:c>
      <x:c r="F449" s="187" t="str">
        <x:v>5648.6070309410100216000000000000000</x:v>
      </x:c>
      <x:c r="G449" s="235" t="n">
        <x:v>5648.607</x:v>
      </x:c>
      <x:c r="H449" s="235" t="n">
        <x:v>310.39677931586266</x:v>
      </x:c>
      <x:c r="I449" s="229" t="n">
        <x:v>0.001024846385499975</x:v>
      </x:c>
      <x:c r="J449" s="254" t="b">
        <x:v>0</x:v>
      </x:c>
    </x:row>
    <x:row r="450">
      <x:c r="A450" s="187" t="str">
        <x:v>FORECAST_VS_BUDGET</x:v>
      </x:c>
      <x:c r="B450" s="217" t="n">
        <x:v>46357</x:v>
      </x:c>
      <x:c r="C450" s="187" t="str">
        <x:v>CHAIN</x:v>
      </x:c>
      <x:c r="D450" s="187" t="str">
        <x:v>FX</x:v>
      </x:c>
      <x:c r="E450" s="187" t="str">
        <x:v>DE</x:v>
      </x:c>
      <x:c r="F450" s="187" t="str">
        <x:v>2301.8100380133800198400000000</x:v>
      </x:c>
      <x:c r="G450" s="235" t="n">
        <x:v>2301.81</x:v>
      </x:c>
      <x:c r="H450" s="235"/>
      <x:c r="I450" s="229"/>
      <x:c r="J450" s="187"/>
    </x:row>
    <x:row r="451">
      <x:c r="A451" s="187" t="str">
        <x:v>FORECAST_VS_BUDGET</x:v>
      </x:c>
      <x:c r="B451" s="217" t="n">
        <x:v>46357</x:v>
      </x:c>
      <x:c r="C451" s="187" t="str">
        <x:v>CHAIN</x:v>
      </x:c>
      <x:c r="D451" s="187" t="str">
        <x:v>FX</x:v>
      </x:c>
      <x:c r="E451" s="187" t="str">
        <x:v>FR</x:v>
      </x:c>
      <x:c r="F451" s="187" t="str">
        <x:v>1920.83121934938954720000000</x:v>
      </x:c>
      <x:c r="G451" s="235" t="n">
        <x:v>1920.8312</x:v>
      </x:c>
      <x:c r="H451" s="235"/>
      <x:c r="I451" s="229"/>
      <x:c r="J451" s="187"/>
    </x:row>
    <x:row r="452">
      <x:c r="A452" s="187" t="str">
        <x:v>FORECAST_VS_BUDGET</x:v>
      </x:c>
      <x:c r="B452" s="217" t="n">
        <x:v>46357</x:v>
      </x:c>
      <x:c r="C452" s="187" t="str">
        <x:v>CHAIN</x:v>
      </x:c>
      <x:c r="D452" s="187" t="str">
        <x:v>FX</x:v>
      </x:c>
      <x:c r="E452" s="187" t="str">
        <x:v>GB</x:v>
      </x:c>
      <x:c r="F452" s="187" t="str">
        <x:v>1425.9657735782404545600000000000000</x:v>
      </x:c>
      <x:c r="G452" s="235" t="n">
        <x:v>1425.9658</x:v>
      </x:c>
      <x:c r="H452" s="235"/>
      <x:c r="I452" s="229"/>
      <x:c r="J452" s="187"/>
    </x:row>
    <x:row r="453">
      <x:c r="A453" s="187" t="str">
        <x:v>FORECAST_VS_BUDGET</x:v>
      </x:c>
      <x:c r="B453" s="217" t="n">
        <x:v>46357</x:v>
      </x:c>
      <x:c r="C453" s="187" t="str">
        <x:v>CHAIN</x:v>
      </x:c>
      <x:c r="D453" s="187" t="str">
        <x:v>MIX</x:v>
      </x:c>
      <x:c r="E453" s="187" t="str">
        <x:v>ALL</x:v>
      </x:c>
      <x:c r="F453" s="187" t="str">
        <x:v>85872.892848855889920000000</x:v>
      </x:c>
      <x:c r="G453" s="235" t="n">
        <x:v>85872.8928</x:v>
      </x:c>
      <x:c r="H453" s="235" t="n">
        <x:v>3541.1038488635177</x:v>
      </x:c>
      <x:c r="I453" s="229" t="n">
        <x:v>0.011691769122690647</x:v>
      </x:c>
      <x:c r="J453" s="254" t="b">
        <x:v>0</x:v>
      </x:c>
    </x:row>
    <x:row r="454">
      <x:c r="A454" s="187" t="str">
        <x:v>FORECAST_VS_BUDGET</x:v>
      </x:c>
      <x:c r="B454" s="217" t="n">
        <x:v>46357</x:v>
      </x:c>
      <x:c r="C454" s="187" t="str">
        <x:v>CHAIN</x:v>
      </x:c>
      <x:c r="D454" s="187" t="str">
        <x:v>MIX</x:v>
      </x:c>
      <x:c r="E454" s="187" t="str">
        <x:v>DE</x:v>
      </x:c>
      <x:c r="F454" s="187" t="str">
        <x:v>-18054.0527277945120000000</x:v>
      </x:c>
      <x:c r="G454" s="235" t="n">
        <x:v>-18054.0527</x:v>
      </x:c>
      <x:c r="H454" s="235"/>
      <x:c r="I454" s="229"/>
      <x:c r="J454" s="187"/>
    </x:row>
    <x:row r="455">
      <x:c r="A455" s="187" t="str">
        <x:v>FORECAST_VS_BUDGET</x:v>
      </x:c>
      <x:c r="B455" s="217" t="n">
        <x:v>46357</x:v>
      </x:c>
      <x:c r="C455" s="187" t="str">
        <x:v>CHAIN</x:v>
      </x:c>
      <x:c r="D455" s="187" t="str">
        <x:v>MIX</x:v>
      </x:c>
      <x:c r="E455" s="187" t="str">
        <x:v>FR</x:v>
      </x:c>
      <x:c r="F455" s="187" t="str">
        <x:v>-8612.36274707952000000</x:v>
      </x:c>
      <x:c r="G455" s="235" t="n">
        <x:v>-8612.3627</x:v>
      </x:c>
      <x:c r="H455" s="235"/>
      <x:c r="I455" s="229"/>
      <x:c r="J455" s="187"/>
    </x:row>
    <x:row r="456">
      <x:c r="A456" s="187" t="str">
        <x:v>FORECAST_VS_BUDGET</x:v>
      </x:c>
      <x:c r="B456" s="217" t="n">
        <x:v>46357</x:v>
      </x:c>
      <x:c r="C456" s="187" t="str">
        <x:v>CHAIN</x:v>
      </x:c>
      <x:c r="D456" s="187" t="str">
        <x:v>MIX</x:v>
      </x:c>
      <x:c r="E456" s="187" t="str">
        <x:v>GB</x:v>
      </x:c>
      <x:c r="F456" s="187" t="str">
        <x:v>112539.308323729921920000000</x:v>
      </x:c>
      <x:c r="G456" s="235" t="n">
        <x:v>112539.3083</x:v>
      </x:c>
      <x:c r="H456" s="235"/>
      <x:c r="I456" s="229"/>
      <x:c r="J456" s="187"/>
    </x:row>
    <x:row r="457">
      <x:c r="A457" s="187" t="str">
        <x:v>FORECAST_VS_BUDGET</x:v>
      </x:c>
      <x:c r="B457" s="217" t="n">
        <x:v>46357</x:v>
      </x:c>
      <x:c r="C457" s="187" t="str">
        <x:v>CHAIN</x:v>
      </x:c>
      <x:c r="D457" s="187" t="str">
        <x:v>PRICE</x:v>
      </x:c>
      <x:c r="E457" s="187" t="str">
        <x:v>ALL</x:v>
      </x:c>
      <x:c r="F457" s="187" t="str">
        <x:v>61441.9594395684339422764032000000000</x:v>
      </x:c>
      <x:c r="G457" s="235" t="n">
        <x:v>61441.9594</x:v>
      </x:c>
      <x:c r="H457" s="235" t="n">
        <x:v>8431.635436231152</x:v>
      </x:c>
      <x:c r="I457" s="229" t="n">
        <x:v>0.02783898441124515</x:v>
      </x:c>
      <x:c r="J457" s="254" t="b">
        <x:v>0</x:v>
      </x:c>
    </x:row>
    <x:row r="458">
      <x:c r="A458" s="187" t="str">
        <x:v>FORECAST_VS_BUDGET</x:v>
      </x:c>
      <x:c r="B458" s="217" t="n">
        <x:v>46357</x:v>
      </x:c>
      <x:c r="C458" s="187" t="str">
        <x:v>CHAIN</x:v>
      </x:c>
      <x:c r="D458" s="187" t="str">
        <x:v>PRICE</x:v>
      </x:c>
      <x:c r="E458" s="187" t="str">
        <x:v>DE</x:v>
      </x:c>
      <x:c r="F458" s="187" t="str">
        <x:v>10370.4612970272105792000000000</x:v>
      </x:c>
      <x:c r="G458" s="235" t="n">
        <x:v>10370.4613</x:v>
      </x:c>
      <x:c r="H458" s="235"/>
      <x:c r="I458" s="229"/>
      <x:c r="J458" s="187"/>
    </x:row>
    <x:row r="459">
      <x:c r="A459" s="187" t="str">
        <x:v>FORECAST_VS_BUDGET</x:v>
      </x:c>
      <x:c r="B459" s="217" t="n">
        <x:v>46357</x:v>
      </x:c>
      <x:c r="C459" s="187" t="str">
        <x:v>CHAIN</x:v>
      </x:c>
      <x:c r="D459" s="187" t="str">
        <x:v>PRICE</x:v>
      </x:c>
      <x:c r="E459" s="187" t="str">
        <x:v>FR</x:v>
      </x:c>
      <x:c r="F459" s="187" t="str">
        <x:v>8561.90159719408113600000000</x:v>
      </x:c>
      <x:c r="G459" s="235" t="n">
        <x:v>8561.9016</x:v>
      </x:c>
      <x:c r="H459" s="235"/>
      <x:c r="I459" s="229"/>
      <x:c r="J459" s="187"/>
    </x:row>
    <x:row r="460">
      <x:c r="A460" s="187" t="str">
        <x:v>FORECAST_VS_BUDGET</x:v>
      </x:c>
      <x:c r="B460" s="217" t="n">
        <x:v>46357</x:v>
      </x:c>
      <x:c r="C460" s="187" t="str">
        <x:v>CHAIN</x:v>
      </x:c>
      <x:c r="D460" s="187" t="str">
        <x:v>PRICE</x:v>
      </x:c>
      <x:c r="E460" s="187" t="str">
        <x:v>GB</x:v>
      </x:c>
      <x:c r="F460" s="187" t="str">
        <x:v>42509.5965453471422270764032000000000</x:v>
      </x:c>
      <x:c r="G460" s="235" t="n">
        <x:v>42509.5965</x:v>
      </x:c>
      <x:c r="H460" s="235"/>
      <x:c r="I460" s="229"/>
      <x:c r="J460" s="187"/>
    </x:row>
    <x:row r="461">
      <x:c r="A461" s="187" t="str">
        <x:v>FORECAST_VS_BUDGET</x:v>
      </x:c>
      <x:c r="B461" s="217" t="n">
        <x:v>46357</x:v>
      </x:c>
      <x:c r="C461" s="187" t="str">
        <x:v>CHAIN</x:v>
      </x:c>
      <x:c r="D461" s="187" t="str">
        <x:v>VOLUME</x:v>
      </x:c>
      <x:c r="E461" s="187" t="str">
        <x:v>ALL</x:v>
      </x:c>
      <x:c r="F461" s="187" t="str">
        <x:v>114647.7331130112384000000</x:v>
      </x:c>
      <x:c r="G461" s="235" t="n">
        <x:v>114647.7331</x:v>
      </x:c>
      <x:c r="H461" s="235" t="n">
        <x:v>8294.152459618777</x:v>
      </x:c>
      <x:c r="I461" s="229" t="n">
        <x:v>0.02738505273076985</x:v>
      </x:c>
      <x:c r="J461" s="254" t="b">
        <x:v>0</x:v>
      </x:c>
    </x:row>
    <x:row r="462">
      <x:c r="A462" s="187" t="str">
        <x:v>FORECAST_VS_BUDGET</x:v>
      </x:c>
      <x:c r="B462" s="217" t="n">
        <x:v>46357</x:v>
      </x:c>
      <x:c r="C462" s="187" t="str">
        <x:v>CHAIN</x:v>
      </x:c>
      <x:c r="D462" s="187" t="str">
        <x:v>VOLUME</x:v>
      </x:c>
      <x:c r="E462" s="187" t="str">
        <x:v>DE</x:v>
      </x:c>
      <x:c r="F462" s="187" t="str">
        <x:v>27901.7178520460640000000</x:v>
      </x:c>
      <x:c r="G462" s="235" t="n">
        <x:v>27901.7179</x:v>
      </x:c>
      <x:c r="H462" s="235"/>
      <x:c r="I462" s="229"/>
      <x:c r="J462" s="187"/>
    </x:row>
    <x:row r="463">
      <x:c r="A463" s="187" t="str">
        <x:v>FORECAST_VS_BUDGET</x:v>
      </x:c>
      <x:c r="B463" s="217" t="n">
        <x:v>46357</x:v>
      </x:c>
      <x:c r="C463" s="187" t="str">
        <x:v>CHAIN</x:v>
      </x:c>
      <x:c r="D463" s="187" t="str">
        <x:v>VOLUME</x:v>
      </x:c>
      <x:c r="E463" s="187" t="str">
        <x:v>FR</x:v>
      </x:c>
      <x:c r="F463" s="187" t="str">
        <x:v>22705.31996957328000000</x:v>
      </x:c>
      <x:c r="G463" s="235" t="n">
        <x:v>22705.32</x:v>
      </x:c>
      <x:c r="H463" s="235"/>
      <x:c r="I463" s="229"/>
      <x:c r="J463" s="187"/>
    </x:row>
    <x:row r="464">
      <x:c r="A464" s="187" t="str">
        <x:v>FORECAST_VS_BUDGET</x:v>
      </x:c>
      <x:c r="B464" s="217" t="n">
        <x:v>46357</x:v>
      </x:c>
      <x:c r="C464" s="187" t="str">
        <x:v>CHAIN</x:v>
      </x:c>
      <x:c r="D464" s="187" t="str">
        <x:v>VOLUME</x:v>
      </x:c>
      <x:c r="E464" s="187" t="str">
        <x:v>GB</x:v>
      </x:c>
      <x:c r="F464" s="187" t="str">
        <x:v>64040.6952913918944000000</x:v>
      </x:c>
      <x:c r="G464" s="235" t="n">
        <x:v>64040.6953</x:v>
      </x:c>
      <x:c r="H464" s="235"/>
      <x:c r="I464" s="229"/>
      <x:c r="J464" s="187"/>
    </x:row>
    <x:row r="465">
      <x:c r="A465" s="187" t="str">
        <x:v>FORECAST_VS_BUDGET</x:v>
      </x:c>
      <x:c r="B465" s="217" t="n">
        <x:v>46357</x:v>
      </x:c>
      <x:c r="C465" s="187" t="str">
        <x:v>SHAPLEY</x:v>
      </x:c>
      <x:c r="D465" s="187" t="str">
        <x:v>EFFICIENCY</x:v>
      </x:c>
      <x:c r="E465" s="187" t="str">
        <x:v>ALL</x:v>
      </x:c>
      <x:c r="F465" s="187" t="str">
        <x:v>32167.100325903324521782432000000000000000000000000000000000000000000000000000000</x:v>
      </x:c>
      <x:c r="G465" s="235" t="n">
        <x:v>32167.1003</x:v>
      </x:c>
      <x:c r="H465" s="235"/>
      <x:c r="I465" s="229"/>
      <x:c r="J465" s="187"/>
    </x:row>
    <x:row r="466">
      <x:c r="A466" s="187" t="str">
        <x:v>FORECAST_VS_BUDGET</x:v>
      </x:c>
      <x:c r="B466" s="217" t="n">
        <x:v>46357</x:v>
      </x:c>
      <x:c r="C466" s="187" t="str">
        <x:v>SHAPLEY</x:v>
      </x:c>
      <x:c r="D466" s="187" t="str">
        <x:v>EFFICIENCY</x:v>
      </x:c>
      <x:c r="E466" s="187" t="str">
        <x:v>DE</x:v>
      </x:c>
      <x:c r="F466" s="187" t="str">
        <x:v>0.0000000000000000000000000000000000000000000000000000000000000000000000000000000000000000000000000000000000</x:v>
      </x:c>
      <x:c r="G466" s="235" t="n">
        <x:v>0</x:v>
      </x:c>
      <x:c r="H466" s="235"/>
      <x:c r="I466" s="229"/>
      <x:c r="J466" s="187"/>
    </x:row>
    <x:row r="467">
      <x:c r="A467" s="187" t="str">
        <x:v>FORECAST_VS_BUDGET</x:v>
      </x:c>
      <x:c r="B467" s="217" t="n">
        <x:v>46357</x:v>
      </x:c>
      <x:c r="C467" s="187" t="str">
        <x:v>SHAPLEY</x:v>
      </x:c>
      <x:c r="D467" s="187" t="str">
        <x:v>EFFICIENCY</x:v>
      </x:c>
      <x:c r="E467" s="187" t="str">
        <x:v>FR</x:v>
      </x:c>
      <x:c r="F467" s="187" t="str">
        <x:v>0.00000000000000000000000000000000000000000000000000000000000000000000000000000000000000000000000000000000</x:v>
      </x:c>
      <x:c r="G467" s="235" t="n">
        <x:v>0</x:v>
      </x:c>
      <x:c r="H467" s="235"/>
      <x:c r="I467" s="229"/>
      <x:c r="J467" s="187"/>
    </x:row>
    <x:row r="468">
      <x:c r="A468" s="187" t="str">
        <x:v>FORECAST_VS_BUDGET</x:v>
      </x:c>
      <x:c r="B468" s="217" t="n">
        <x:v>46357</x:v>
      </x:c>
      <x:c r="C468" s="187" t="str">
        <x:v>SHAPLEY</x:v>
      </x:c>
      <x:c r="D468" s="187" t="str">
        <x:v>EFFICIENCY</x:v>
      </x:c>
      <x:c r="E468" s="187" t="str">
        <x:v>GB</x:v>
      </x:c>
      <x:c r="F468" s="187" t="str">
        <x:v>32167.100325903324521782432000000000000000000000000000000000000000000000000000000</x:v>
      </x:c>
      <x:c r="G468" s="235" t="n">
        <x:v>32167.1003</x:v>
      </x:c>
      <x:c r="H468" s="235"/>
      <x:c r="I468" s="229"/>
      <x:c r="J468" s="187"/>
    </x:row>
    <x:row r="469">
      <x:c r="A469" s="187" t="str">
        <x:v>FORECAST_VS_BUDGET</x:v>
      </x:c>
      <x:c r="B469" s="217" t="n">
        <x:v>46357</x:v>
      </x:c>
      <x:c r="C469" s="187" t="str">
        <x:v>SHAPLEY</x:v>
      </x:c>
      <x:c r="D469" s="187" t="str">
        <x:v>FX</x:v>
      </x:c>
      <x:c r="E469" s="187" t="str">
        <x:v>ALL</x:v>
      </x:c>
      <x:c r="F469" s="187" t="str">
        <x:v>5338.2102516251473567720000000000000000000000000000000000000000000000000000000000</x:v>
      </x:c>
      <x:c r="G469" s="235" t="n">
        <x:v>5338.2103</x:v>
      </x:c>
      <x:c r="H469" s="235"/>
      <x:c r="I469" s="229"/>
      <x:c r="J469" s="187"/>
    </x:row>
    <x:row r="470">
      <x:c r="A470" s="187" t="str">
        <x:v>FORECAST_VS_BUDGET</x:v>
      </x:c>
      <x:c r="B470" s="217" t="n">
        <x:v>46357</x:v>
      </x:c>
      <x:c r="C470" s="187" t="str">
        <x:v>SHAPLEY</x:v>
      </x:c>
      <x:c r="D470" s="187" t="str">
        <x:v>FX</x:v>
      </x:c>
      <x:c r="E470" s="187" t="str">
        <x:v>DE</x:v>
      </x:c>
      <x:c r="F470" s="187" t="str">
        <x:v>2225.7367320407392556500000000000000000000000000000000000000000000000000000000000</x:v>
      </x:c>
      <x:c r="G470" s="235" t="n">
        <x:v>2225.7367</x:v>
      </x:c>
      <x:c r="H470" s="235"/>
      <x:c r="I470" s="229"/>
      <x:c r="J470" s="187"/>
    </x:row>
    <x:row r="471">
      <x:c r="A471" s="187" t="str">
        <x:v>FORECAST_VS_BUDGET</x:v>
      </x:c>
      <x:c r="B471" s="217" t="n">
        <x:v>46357</x:v>
      </x:c>
      <x:c r="C471" s="187" t="str">
        <x:v>SHAPLEY</x:v>
      </x:c>
      <x:c r="D471" s="187" t="str">
        <x:v>FX</x:v>
      </x:c>
      <x:c r="E471" s="187" t="str">
        <x:v>FR</x:v>
      </x:c>
      <x:c r="F471" s="187" t="str">
        <x:v>1834.0772372047665241000000000000000000000000000000000000000000000000000000000000</x:v>
      </x:c>
      <x:c r="G471" s="235" t="n">
        <x:v>1834.0772</x:v>
      </x:c>
      <x:c r="H471" s="235"/>
      <x:c r="I471" s="229"/>
      <x:c r="J471" s="187"/>
    </x:row>
    <x:row r="472">
      <x:c r="A472" s="187" t="str">
        <x:v>FORECAST_VS_BUDGET</x:v>
      </x:c>
      <x:c r="B472" s="217" t="n">
        <x:v>46357</x:v>
      </x:c>
      <x:c r="C472" s="187" t="str">
        <x:v>SHAPLEY</x:v>
      </x:c>
      <x:c r="D472" s="187" t="str">
        <x:v>FX</x:v>
      </x:c>
      <x:c r="E472" s="187" t="str">
        <x:v>GB</x:v>
      </x:c>
      <x:c r="F472" s="187" t="str">
        <x:v>1278.3962823796415770220000000000000000000000000000000000000000000000000000000000</x:v>
      </x:c>
      <x:c r="G472" s="235" t="n">
        <x:v>1278.3963</x:v>
      </x:c>
      <x:c r="H472" s="235"/>
      <x:c r="I472" s="229"/>
      <x:c r="J472" s="187"/>
    </x:row>
    <x:row r="473">
      <x:c r="A473" s="187" t="str">
        <x:v>FORECAST_VS_BUDGET</x:v>
      </x:c>
      <x:c r="B473" s="217" t="n">
        <x:v>46357</x:v>
      </x:c>
      <x:c r="C473" s="187" t="str">
        <x:v>SHAPLEY</x:v>
      </x:c>
      <x:c r="D473" s="187" t="str">
        <x:v>MIX</x:v>
      </x:c>
      <x:c r="E473" s="187" t="str">
        <x:v>ALL</x:v>
      </x:c>
      <x:c r="F473" s="187" t="str">
        <x:v>89413.996697719407378308134400000000000000000000000000000000000000000000000000000</x:v>
      </x:c>
      <x:c r="G473" s="235" t="n">
        <x:v>89413.9967</x:v>
      </x:c>
      <x:c r="H473" s="235"/>
      <x:c r="I473" s="229"/>
      <x:c r="J473" s="187"/>
    </x:row>
    <x:row r="474">
      <x:c r="A474" s="187" t="str">
        <x:v>FORECAST_VS_BUDGET</x:v>
      </x:c>
      <x:c r="B474" s="217" t="n">
        <x:v>46357</x:v>
      </x:c>
      <x:c r="C474" s="187" t="str">
        <x:v>SHAPLEY</x:v>
      </x:c>
      <x:c r="D474" s="187" t="str">
        <x:v>MIX</x:v>
      </x:c>
      <x:c r="E474" s="187" t="str">
        <x:v>DE</x:v>
      </x:c>
      <x:c r="F474" s="187" t="str">
        <x:v>-17616.628994466367450910000000000000000000000000000000000000000000000000000000000</x:v>
      </x:c>
      <x:c r="G474" s="235" t="n">
        <x:v>-17616.629</x:v>
      </x:c>
      <x:c r="H474" s="235"/>
      <x:c r="I474" s="229"/>
      <x:c r="J474" s="187"/>
    </x:row>
    <x:row r="475">
      <x:c r="A475" s="187" t="str">
        <x:v>FORECAST_VS_BUDGET</x:v>
      </x:c>
      <x:c r="B475" s="217" t="n">
        <x:v>46357</x:v>
      </x:c>
      <x:c r="C475" s="187" t="str">
        <x:v>SHAPLEY</x:v>
      </x:c>
      <x:c r="D475" s="187" t="str">
        <x:v>MIX</x:v>
      </x:c>
      <x:c r="E475" s="187" t="str">
        <x:v>FR</x:v>
      </x:c>
      <x:c r="F475" s="187" t="str">
        <x:v>-8402.0366871059183591000000000000000000000000000000000000000000000000000000000000</x:v>
      </x:c>
      <x:c r="G475" s="235" t="n">
        <x:v>-8402.0367</x:v>
      </x:c>
      <x:c r="H475" s="235"/>
      <x:c r="I475" s="229"/>
      <x:c r="J475" s="187"/>
    </x:row>
    <x:row r="476">
      <x:c r="A476" s="187" t="str">
        <x:v>FORECAST_VS_BUDGET</x:v>
      </x:c>
      <x:c r="B476" s="217" t="n">
        <x:v>46357</x:v>
      </x:c>
      <x:c r="C476" s="187" t="str">
        <x:v>SHAPLEY</x:v>
      </x:c>
      <x:c r="D476" s="187" t="str">
        <x:v>MIX</x:v>
      </x:c>
      <x:c r="E476" s="187" t="str">
        <x:v>GB</x:v>
      </x:c>
      <x:c r="F476" s="187" t="str">
        <x:v>115432.66237929169318831813440000000000000000000000000000000000000000000000000000</x:v>
      </x:c>
      <x:c r="G476" s="235" t="n">
        <x:v>115432.6624</x:v>
      </x:c>
      <x:c r="H476" s="235"/>
      <x:c r="I476" s="229"/>
      <x:c r="J476" s="187"/>
    </x:row>
    <x:row r="477">
      <x:c r="A477" s="187" t="str">
        <x:v>FORECAST_VS_BUDGET</x:v>
      </x:c>
      <x:c r="B477" s="217" t="n">
        <x:v>46357</x:v>
      </x:c>
      <x:c r="C477" s="187" t="str">
        <x:v>SHAPLEY</x:v>
      </x:c>
      <x:c r="D477" s="187" t="str">
        <x:v>PRICE</x:v>
      </x:c>
      <x:c r="E477" s="187" t="str">
        <x:v>ALL</x:v>
      </x:c>
      <x:c r="F477" s="187" t="str">
        <x:v>53010.324003337281846356166400000000000000000000000000000000000000000000000000000</x:v>
      </x:c>
      <x:c r="G477" s="235" t="n">
        <x:v>53010.324</x:v>
      </x:c>
      <x:c r="H477" s="235"/>
      <x:c r="I477" s="229"/>
      <x:c r="J477" s="187"/>
    </x:row>
    <x:row r="478">
      <x:c r="A478" s="187" t="str">
        <x:v>FORECAST_VS_BUDGET</x:v>
      </x:c>
      <x:c r="B478" s="217" t="n">
        <x:v>46357</x:v>
      </x:c>
      <x:c r="C478" s="187" t="str">
        <x:v>SHAPLEY</x:v>
      </x:c>
      <x:c r="D478" s="187" t="str">
        <x:v>PRICE</x:v>
      </x:c>
      <x:c r="E478" s="187" t="str">
        <x:v>DE</x:v>
      </x:c>
      <x:c r="F478" s="187" t="str">
        <x:v>10242.983489344129155450000000000000000000000000000000000000000000000000000000000</x:v>
      </x:c>
      <x:c r="G478" s="235" t="n">
        <x:v>10242.9835</x:v>
      </x:c>
      <x:c r="H478" s="235"/>
      <x:c r="I478" s="229"/>
      <x:c r="J478" s="187"/>
    </x:row>
    <x:row r="479">
      <x:c r="A479" s="187" t="str">
        <x:v>FORECAST_VS_BUDGET</x:v>
      </x:c>
      <x:c r="B479" s="217" t="n">
        <x:v>46357</x:v>
      </x:c>
      <x:c r="C479" s="187" t="str">
        <x:v>SHAPLEY</x:v>
      </x:c>
      <x:c r="D479" s="187" t="str">
        <x:v>PRICE</x:v>
      </x:c>
      <x:c r="E479" s="187" t="str">
        <x:v>FR</x:v>
      </x:c>
      <x:c r="F479" s="187" t="str">
        <x:v>8348.6559336625677141000000000000000000000000000000000000000000000000000000000000</x:v>
      </x:c>
      <x:c r="G479" s="235" t="n">
        <x:v>8348.6559</x:v>
      </x:c>
      <x:c r="H479" s="235"/>
      <x:c r="I479" s="229"/>
      <x:c r="J479" s="187"/>
    </x:row>
    <x:row r="480">
      <x:c r="A480" s="187" t="str">
        <x:v>FORECAST_VS_BUDGET</x:v>
      </x:c>
      <x:c r="B480" s="217" t="n">
        <x:v>46357</x:v>
      </x:c>
      <x:c r="C480" s="187" t="str">
        <x:v>SHAPLEY</x:v>
      </x:c>
      <x:c r="D480" s="187" t="str">
        <x:v>PRICE</x:v>
      </x:c>
      <x:c r="E480" s="187" t="str">
        <x:v>GB</x:v>
      </x:c>
      <x:c r="F480" s="187" t="str">
        <x:v>34418.684580330584976806166400000000000000000000000000000000000000000000000000000</x:v>
      </x:c>
      <x:c r="G480" s="235" t="n">
        <x:v>34418.6846</x:v>
      </x:c>
      <x:c r="H480" s="235"/>
      <x:c r="I480" s="229"/>
      <x:c r="J480" s="187"/>
    </x:row>
    <x:row r="481">
      <x:c r="A481" s="187" t="str">
        <x:v>FORECAST_VS_BUDGET</x:v>
      </x:c>
      <x:c r="B481" s="217" t="n">
        <x:v>46357</x:v>
      </x:c>
      <x:c r="C481" s="187" t="str">
        <x:v>SHAPLEY</x:v>
      </x:c>
      <x:c r="D481" s="187" t="str">
        <x:v>VOLUME</x:v>
      </x:c>
      <x:c r="E481" s="187" t="str">
        <x:v>ALL</x:v>
      </x:c>
      <x:c r="F481" s="187" t="str">
        <x:v>122941.88557263001598065767040000000000000000000000000000000000000000000000000000</x:v>
      </x:c>
      <x:c r="G481" s="235" t="n">
        <x:v>122941.8856</x:v>
      </x:c>
      <x:c r="H481" s="235"/>
      <x:c r="I481" s="229"/>
      <x:c r="J481" s="187"/>
    </x:row>
    <x:row r="482">
      <x:c r="A482" s="187" t="str">
        <x:v>FORECAST_VS_BUDGET</x:v>
      </x:c>
      <x:c r="B482" s="217" t="n">
        <x:v>46357</x:v>
      </x:c>
      <x:c r="C482" s="187" t="str">
        <x:v>SHAPLEY</x:v>
      </x:c>
      <x:c r="D482" s="187" t="str">
        <x:v>VOLUME</x:v>
      </x:c>
      <x:c r="E482" s="187" t="str">
        <x:v>DE</x:v>
      </x:c>
      <x:c r="F482" s="187" t="str">
        <x:v>27667.845232373641638850000000000000000000000000000000000000000000000000000000000</x:v>
      </x:c>
      <x:c r="G482" s="235" t="n">
        <x:v>27667.8452</x:v>
      </x:c>
      <x:c r="H482" s="235"/>
      <x:c r="I482" s="229"/>
      <x:c r="J482" s="187"/>
    </x:row>
    <x:row r="483">
      <x:c r="A483" s="187" t="str">
        <x:v>FORECAST_VS_BUDGET</x:v>
      </x:c>
      <x:c r="B483" s="217" t="n">
        <x:v>46357</x:v>
      </x:c>
      <x:c r="C483" s="187" t="str">
        <x:v>SHAPLEY</x:v>
      </x:c>
      <x:c r="D483" s="187" t="str">
        <x:v>VOLUME</x:v>
      </x:c>
      <x:c r="E483" s="187" t="str">
        <x:v>FR</x:v>
      </x:c>
      <x:c r="F483" s="187" t="str">
        <x:v>22794.993555275814804100000000000000000000000000000000000000000000000000000000000</x:v>
      </x:c>
      <x:c r="G483" s="235" t="n">
        <x:v>22794.9936</x:v>
      </x:c>
      <x:c r="H483" s="235"/>
      <x:c r="I483" s="229"/>
      <x:c r="J483" s="187"/>
    </x:row>
    <x:row r="484">
      <x:c r="A484" s="187" t="str">
        <x:v>FORECAST_VS_BUDGET</x:v>
      </x:c>
      <x:c r="B484" s="217" t="n">
        <x:v>46357</x:v>
      </x:c>
      <x:c r="C484" s="187" t="str">
        <x:v>SHAPLEY</x:v>
      </x:c>
      <x:c r="D484" s="187" t="str">
        <x:v>VOLUME</x:v>
      </x:c>
      <x:c r="E484" s="187" t="str">
        <x:v>GB</x:v>
      </x:c>
      <x:c r="F484" s="187" t="str">
        <x:v>72479.046784980559537707670400000000000000000000000000000000000000000000000000000</x:v>
      </x:c>
      <x:c r="G484" s="235" t="n">
        <x:v>72479.0468</x:v>
      </x:c>
      <x:c r="H484" s="235"/>
      <x:c r="I484" s="229"/>
      <x:c r="J484" s="187"/>
    </x:row>
    <x:row r="485">
      <x:c r="A485" s="187" t="str">
        <x:v>SCENARIO_COST_SAVING_VS_FORECAST</x:v>
      </x:c>
      <x:c r="B485" s="217" t="n">
        <x:v>46266</x:v>
      </x:c>
      <x:c r="C485" s="187" t="str">
        <x:v>CHAIN</x:v>
      </x:c>
      <x:c r="D485" s="187" t="str">
        <x:v>EFFICIENCY</x:v>
      </x:c>
      <x:c r="E485" s="187" t="str">
        <x:v>ALL</x:v>
      </x:c>
      <x:c r="F485" s="187" t="str">
        <x:v>0.00000000000000000000000000000</x:v>
      </x:c>
      <x:c r="G485" s="235" t="n">
        <x:v>0</x:v>
      </x:c>
      <x:c r="H485" s="235" t="n">
        <x:v>0</x:v>
      </x:c>
      <x:c r="I485" s="229" t="n">
        <x:v>0</x:v>
      </x:c>
      <x:c r="J485" s="254" t="b">
        <x:v>0</x:v>
      </x:c>
    </x:row>
    <x:row r="486">
      <x:c r="A486" s="187" t="str">
        <x:v>SCENARIO_COST_SAVING_VS_FORECAST</x:v>
      </x:c>
      <x:c r="B486" s="217" t="n">
        <x:v>46266</x:v>
      </x:c>
      <x:c r="C486" s="187" t="str">
        <x:v>CHAIN</x:v>
      </x:c>
      <x:c r="D486" s="187" t="str">
        <x:v>EFFICIENCY</x:v>
      </x:c>
      <x:c r="E486" s="187" t="str">
        <x:v>DE</x:v>
      </x:c>
      <x:c r="F486" s="187" t="str">
        <x:v>0.00000000000000000000000</x:v>
      </x:c>
      <x:c r="G486" s="235" t="n">
        <x:v>0</x:v>
      </x:c>
      <x:c r="H486" s="235"/>
      <x:c r="I486" s="229"/>
      <x:c r="J486" s="187"/>
    </x:row>
    <x:row r="487">
      <x:c r="A487" s="187" t="str">
        <x:v>SCENARIO_COST_SAVING_VS_FORECAST</x:v>
      </x:c>
      <x:c r="B487" s="217" t="n">
        <x:v>46266</x:v>
      </x:c>
      <x:c r="C487" s="187" t="str">
        <x:v>CHAIN</x:v>
      </x:c>
      <x:c r="D487" s="187" t="str">
        <x:v>EFFICIENCY</x:v>
      </x:c>
      <x:c r="E487" s="187" t="str">
        <x:v>FR</x:v>
      </x:c>
      <x:c r="F487" s="187" t="str">
        <x:v>0.000000000000000000000</x:v>
      </x:c>
      <x:c r="G487" s="235" t="n">
        <x:v>0</x:v>
      </x:c>
      <x:c r="H487" s="235"/>
      <x:c r="I487" s="229"/>
      <x:c r="J487" s="187"/>
    </x:row>
    <x:row r="488">
      <x:c r="A488" s="187" t="str">
        <x:v>SCENARIO_COST_SAVING_VS_FORECAST</x:v>
      </x:c>
      <x:c r="B488" s="217" t="n">
        <x:v>46266</x:v>
      </x:c>
      <x:c r="C488" s="187" t="str">
        <x:v>CHAIN</x:v>
      </x:c>
      <x:c r="D488" s="187" t="str">
        <x:v>EFFICIENCY</x:v>
      </x:c>
      <x:c r="E488" s="187" t="str">
        <x:v>GB</x:v>
      </x:c>
      <x:c r="F488" s="187" t="str">
        <x:v>0.00000000000000000000000000000</x:v>
      </x:c>
      <x:c r="G488" s="235" t="n">
        <x:v>0</x:v>
      </x:c>
      <x:c r="H488" s="235"/>
      <x:c r="I488" s="229"/>
      <x:c r="J488" s="187"/>
    </x:row>
    <x:row r="489">
      <x:c r="A489" s="187" t="str">
        <x:v>SCENARIO_COST_SAVING_VS_FORECAST</x:v>
      </x:c>
      <x:c r="B489" s="217" t="n">
        <x:v>46266</x:v>
      </x:c>
      <x:c r="C489" s="187" t="str">
        <x:v>CHAIN</x:v>
      </x:c>
      <x:c r="D489" s="187" t="str">
        <x:v>FX</x:v>
      </x:c>
      <x:c r="E489" s="187" t="str">
        <x:v>ALL</x:v>
      </x:c>
      <x:c r="F489" s="187" t="str">
        <x:v>0.00000000000000000000000000000</x:v>
      </x:c>
      <x:c r="G489" s="235" t="n">
        <x:v>0</x:v>
      </x:c>
      <x:c r="H489" s="235" t="n">
        <x:v>0</x:v>
      </x:c>
      <x:c r="I489" s="229" t="n">
        <x:v>0</x:v>
      </x:c>
      <x:c r="J489" s="254" t="b">
        <x:v>0</x:v>
      </x:c>
    </x:row>
    <x:row r="490">
      <x:c r="A490" s="187" t="str">
        <x:v>SCENARIO_COST_SAVING_VS_FORECAST</x:v>
      </x:c>
      <x:c r="B490" s="217" t="n">
        <x:v>46266</x:v>
      </x:c>
      <x:c r="C490" s="187" t="str">
        <x:v>CHAIN</x:v>
      </x:c>
      <x:c r="D490" s="187" t="str">
        <x:v>FX</x:v>
      </x:c>
      <x:c r="E490" s="187" t="str">
        <x:v>DE</x:v>
      </x:c>
      <x:c r="F490" s="187" t="str">
        <x:v>0.00000000000000000000000</x:v>
      </x:c>
      <x:c r="G490" s="235" t="n">
        <x:v>0</x:v>
      </x:c>
      <x:c r="H490" s="235"/>
      <x:c r="I490" s="229"/>
      <x:c r="J490" s="187"/>
    </x:row>
    <x:row r="491">
      <x:c r="A491" s="187" t="str">
        <x:v>SCENARIO_COST_SAVING_VS_FORECAST</x:v>
      </x:c>
      <x:c r="B491" s="217" t="n">
        <x:v>46266</x:v>
      </x:c>
      <x:c r="C491" s="187" t="str">
        <x:v>CHAIN</x:v>
      </x:c>
      <x:c r="D491" s="187" t="str">
        <x:v>FX</x:v>
      </x:c>
      <x:c r="E491" s="187" t="str">
        <x:v>FR</x:v>
      </x:c>
      <x:c r="F491" s="187" t="str">
        <x:v>0.000000000000000000000</x:v>
      </x:c>
      <x:c r="G491" s="235" t="n">
        <x:v>0</x:v>
      </x:c>
      <x:c r="H491" s="235"/>
      <x:c r="I491" s="229"/>
      <x:c r="J491" s="187"/>
    </x:row>
    <x:row r="492">
      <x:c r="A492" s="187" t="str">
        <x:v>SCENARIO_COST_SAVING_VS_FORECAST</x:v>
      </x:c>
      <x:c r="B492" s="217" t="n">
        <x:v>46266</x:v>
      </x:c>
      <x:c r="C492" s="187" t="str">
        <x:v>CHAIN</x:v>
      </x:c>
      <x:c r="D492" s="187" t="str">
        <x:v>FX</x:v>
      </x:c>
      <x:c r="E492" s="187" t="str">
        <x:v>GB</x:v>
      </x:c>
      <x:c r="F492" s="187" t="str">
        <x:v>0.00000000000000000000000000000</x:v>
      </x:c>
      <x:c r="G492" s="235" t="n">
        <x:v>0</x:v>
      </x:c>
      <x:c r="H492" s="235"/>
      <x:c r="I492" s="229"/>
      <x:c r="J492" s="187"/>
    </x:row>
    <x:row r="493">
      <x:c r="A493" s="187" t="str">
        <x:v>SCENARIO_COST_SAVING_VS_FORECAST</x:v>
      </x:c>
      <x:c r="B493" s="217" t="n">
        <x:v>46266</x:v>
      </x:c>
      <x:c r="C493" s="187" t="str">
        <x:v>CHAIN</x:v>
      </x:c>
      <x:c r="D493" s="187" t="str">
        <x:v>MIX</x:v>
      </x:c>
      <x:c r="E493" s="187" t="str">
        <x:v>ALL</x:v>
      </x:c>
      <x:c r="F493" s="187" t="str">
        <x:v>0.00000000000000000000000000000</x:v>
      </x:c>
      <x:c r="G493" s="235" t="n">
        <x:v>0</x:v>
      </x:c>
      <x:c r="H493" s="235" t="n">
        <x:v>0</x:v>
      </x:c>
      <x:c r="I493" s="229" t="n">
        <x:v>0</x:v>
      </x:c>
      <x:c r="J493" s="254" t="b">
        <x:v>0</x:v>
      </x:c>
    </x:row>
    <x:row r="494">
      <x:c r="A494" s="187" t="str">
        <x:v>SCENARIO_COST_SAVING_VS_FORECAST</x:v>
      </x:c>
      <x:c r="B494" s="217" t="n">
        <x:v>46266</x:v>
      </x:c>
      <x:c r="C494" s="187" t="str">
        <x:v>CHAIN</x:v>
      </x:c>
      <x:c r="D494" s="187" t="str">
        <x:v>MIX</x:v>
      </x:c>
      <x:c r="E494" s="187" t="str">
        <x:v>DE</x:v>
      </x:c>
      <x:c r="F494" s="187" t="str">
        <x:v>0.00000000000000000000000</x:v>
      </x:c>
      <x:c r="G494" s="235" t="n">
        <x:v>0</x:v>
      </x:c>
      <x:c r="H494" s="235"/>
      <x:c r="I494" s="229"/>
      <x:c r="J494" s="187"/>
    </x:row>
    <x:row r="495">
      <x:c r="A495" s="187" t="str">
        <x:v>SCENARIO_COST_SAVING_VS_FORECAST</x:v>
      </x:c>
      <x:c r="B495" s="217" t="n">
        <x:v>46266</x:v>
      </x:c>
      <x:c r="C495" s="187" t="str">
        <x:v>CHAIN</x:v>
      </x:c>
      <x:c r="D495" s="187" t="str">
        <x:v>MIX</x:v>
      </x:c>
      <x:c r="E495" s="187" t="str">
        <x:v>FR</x:v>
      </x:c>
      <x:c r="F495" s="187" t="str">
        <x:v>0.000000000000000000000</x:v>
      </x:c>
      <x:c r="G495" s="235" t="n">
        <x:v>0</x:v>
      </x:c>
      <x:c r="H495" s="235"/>
      <x:c r="I495" s="229"/>
      <x:c r="J495" s="187"/>
    </x:row>
    <x:row r="496">
      <x:c r="A496" s="187" t="str">
        <x:v>SCENARIO_COST_SAVING_VS_FORECAST</x:v>
      </x:c>
      <x:c r="B496" s="217" t="n">
        <x:v>46266</x:v>
      </x:c>
      <x:c r="C496" s="187" t="str">
        <x:v>CHAIN</x:v>
      </x:c>
      <x:c r="D496" s="187" t="str">
        <x:v>MIX</x:v>
      </x:c>
      <x:c r="E496" s="187" t="str">
        <x:v>GB</x:v>
      </x:c>
      <x:c r="F496" s="187" t="str">
        <x:v>0.00000000000000000000000000000</x:v>
      </x:c>
      <x:c r="G496" s="235" t="n">
        <x:v>0</x:v>
      </x:c>
      <x:c r="H496" s="235"/>
      <x:c r="I496" s="229"/>
      <x:c r="J496" s="187"/>
    </x:row>
    <x:row r="497">
      <x:c r="A497" s="187" t="str">
        <x:v>SCENARIO_COST_SAVING_VS_FORECAST</x:v>
      </x:c>
      <x:c r="B497" s="217" t="n">
        <x:v>46266</x:v>
      </x:c>
      <x:c r="C497" s="187" t="str">
        <x:v>CHAIN</x:v>
      </x:c>
      <x:c r="D497" s="187" t="str">
        <x:v>PRICE</x:v>
      </x:c>
      <x:c r="E497" s="187" t="str">
        <x:v>ALL</x:v>
      </x:c>
      <x:c r="F497" s="187" t="str">
        <x:v>0.00000000000000000000000000000</x:v>
      </x:c>
      <x:c r="G497" s="235" t="n">
        <x:v>0</x:v>
      </x:c>
      <x:c r="H497" s="235" t="n">
        <x:v>0</x:v>
      </x:c>
      <x:c r="I497" s="229" t="n">
        <x:v>0</x:v>
      </x:c>
      <x:c r="J497" s="254" t="b">
        <x:v>0</x:v>
      </x:c>
    </x:row>
    <x:row r="498">
      <x:c r="A498" s="187" t="str">
        <x:v>SCENARIO_COST_SAVING_VS_FORECAST</x:v>
      </x:c>
      <x:c r="B498" s="217" t="n">
        <x:v>46266</x:v>
      </x:c>
      <x:c r="C498" s="187" t="str">
        <x:v>CHAIN</x:v>
      </x:c>
      <x:c r="D498" s="187" t="str">
        <x:v>PRICE</x:v>
      </x:c>
      <x:c r="E498" s="187" t="str">
        <x:v>DE</x:v>
      </x:c>
      <x:c r="F498" s="187" t="str">
        <x:v>0.00000000000000000000000</x:v>
      </x:c>
      <x:c r="G498" s="235" t="n">
        <x:v>0</x:v>
      </x:c>
      <x:c r="H498" s="235"/>
      <x:c r="I498" s="229"/>
      <x:c r="J498" s="187"/>
    </x:row>
    <x:row r="499">
      <x:c r="A499" s="187" t="str">
        <x:v>SCENARIO_COST_SAVING_VS_FORECAST</x:v>
      </x:c>
      <x:c r="B499" s="217" t="n">
        <x:v>46266</x:v>
      </x:c>
      <x:c r="C499" s="187" t="str">
        <x:v>CHAIN</x:v>
      </x:c>
      <x:c r="D499" s="187" t="str">
        <x:v>PRICE</x:v>
      </x:c>
      <x:c r="E499" s="187" t="str">
        <x:v>FR</x:v>
      </x:c>
      <x:c r="F499" s="187" t="str">
        <x:v>0.000000000000000000000</x:v>
      </x:c>
      <x:c r="G499" s="235" t="n">
        <x:v>0</x:v>
      </x:c>
      <x:c r="H499" s="235"/>
      <x:c r="I499" s="229"/>
      <x:c r="J499" s="187"/>
    </x:row>
    <x:row r="500">
      <x:c r="A500" s="187" t="str">
        <x:v>SCENARIO_COST_SAVING_VS_FORECAST</x:v>
      </x:c>
      <x:c r="B500" s="217" t="n">
        <x:v>46266</x:v>
      </x:c>
      <x:c r="C500" s="187" t="str">
        <x:v>CHAIN</x:v>
      </x:c>
      <x:c r="D500" s="187" t="str">
        <x:v>PRICE</x:v>
      </x:c>
      <x:c r="E500" s="187" t="str">
        <x:v>GB</x:v>
      </x:c>
      <x:c r="F500" s="187" t="str">
        <x:v>0.00000000000000000000000000000</x:v>
      </x:c>
      <x:c r="G500" s="235" t="n">
        <x:v>0</x:v>
      </x:c>
      <x:c r="H500" s="235"/>
      <x:c r="I500" s="229"/>
      <x:c r="J500" s="187"/>
    </x:row>
    <x:row r="501">
      <x:c r="A501" s="187" t="str">
        <x:v>SCENARIO_COST_SAVING_VS_FORECAST</x:v>
      </x:c>
      <x:c r="B501" s="217" t="n">
        <x:v>46266</x:v>
      </x:c>
      <x:c r="C501" s="187" t="str">
        <x:v>CHAIN</x:v>
      </x:c>
      <x:c r="D501" s="187" t="str">
        <x:v>VOLUME</x:v>
      </x:c>
      <x:c r="E501" s="187" t="str">
        <x:v>ALL</x:v>
      </x:c>
      <x:c r="F501" s="187" t="str">
        <x:v>0.00000000000000000000000000000</x:v>
      </x:c>
      <x:c r="G501" s="235" t="n">
        <x:v>0</x:v>
      </x:c>
      <x:c r="H501" s="235" t="n">
        <x:v>0</x:v>
      </x:c>
      <x:c r="I501" s="229" t="n">
        <x:v>0</x:v>
      </x:c>
      <x:c r="J501" s="254" t="b">
        <x:v>0</x:v>
      </x:c>
    </x:row>
    <x:row r="502">
      <x:c r="A502" s="187" t="str">
        <x:v>SCENARIO_COST_SAVING_VS_FORECAST</x:v>
      </x:c>
      <x:c r="B502" s="217" t="n">
        <x:v>46266</x:v>
      </x:c>
      <x:c r="C502" s="187" t="str">
        <x:v>CHAIN</x:v>
      </x:c>
      <x:c r="D502" s="187" t="str">
        <x:v>VOLUME</x:v>
      </x:c>
      <x:c r="E502" s="187" t="str">
        <x:v>DE</x:v>
      </x:c>
      <x:c r="F502" s="187" t="str">
        <x:v>0.00000000000000000000000</x:v>
      </x:c>
      <x:c r="G502" s="235" t="n">
        <x:v>0</x:v>
      </x:c>
      <x:c r="H502" s="235"/>
      <x:c r="I502" s="229"/>
      <x:c r="J502" s="187"/>
    </x:row>
    <x:row r="503">
      <x:c r="A503" s="187" t="str">
        <x:v>SCENARIO_COST_SAVING_VS_FORECAST</x:v>
      </x:c>
      <x:c r="B503" s="217" t="n">
        <x:v>46266</x:v>
      </x:c>
      <x:c r="C503" s="187" t="str">
        <x:v>CHAIN</x:v>
      </x:c>
      <x:c r="D503" s="187" t="str">
        <x:v>VOLUME</x:v>
      </x:c>
      <x:c r="E503" s="187" t="str">
        <x:v>FR</x:v>
      </x:c>
      <x:c r="F503" s="187" t="str">
        <x:v>0.000000000000000000000</x:v>
      </x:c>
      <x:c r="G503" s="235" t="n">
        <x:v>0</x:v>
      </x:c>
      <x:c r="H503" s="235"/>
      <x:c r="I503" s="229"/>
      <x:c r="J503" s="187"/>
    </x:row>
    <x:row r="504">
      <x:c r="A504" s="187" t="str">
        <x:v>SCENARIO_COST_SAVING_VS_FORECAST</x:v>
      </x:c>
      <x:c r="B504" s="217" t="n">
        <x:v>46266</x:v>
      </x:c>
      <x:c r="C504" s="187" t="str">
        <x:v>CHAIN</x:v>
      </x:c>
      <x:c r="D504" s="187" t="str">
        <x:v>VOLUME</x:v>
      </x:c>
      <x:c r="E504" s="187" t="str">
        <x:v>GB</x:v>
      </x:c>
      <x:c r="F504" s="187" t="str">
        <x:v>0.00000000000000000000000000000</x:v>
      </x:c>
      <x:c r="G504" s="235" t="n">
        <x:v>0</x:v>
      </x:c>
      <x:c r="H504" s="235"/>
      <x:c r="I504" s="229"/>
      <x:c r="J504" s="187"/>
    </x:row>
    <x:row r="505">
      <x:c r="A505" s="187" t="str">
        <x:v>SCENARIO_COST_SAVING_VS_FORECAST</x:v>
      </x:c>
      <x:c r="B505" s="217" t="n">
        <x:v>46266</x:v>
      </x:c>
      <x:c r="C505" s="187" t="str">
        <x:v>SHAPLEY</x:v>
      </x:c>
      <x:c r="D505" s="187" t="str">
        <x:v>EFFICIENCY</x:v>
      </x:c>
      <x:c r="E505" s="187" t="str">
        <x:v>ALL</x:v>
      </x:c>
      <x:c r="F505" s="187" t="str">
        <x:v>0.00000000000000000000000000000000000000000000000000000000000000000000000000000000000000000000000000000000000000</x:v>
      </x:c>
      <x:c r="G505" s="235" t="n">
        <x:v>0</x:v>
      </x:c>
      <x:c r="H505" s="235"/>
      <x:c r="I505" s="229"/>
      <x:c r="J505" s="187"/>
    </x:row>
    <x:row r="506">
      <x:c r="A506" s="187" t="str">
        <x:v>SCENARIO_COST_SAVING_VS_FORECAST</x:v>
      </x:c>
      <x:c r="B506" s="217" t="n">
        <x:v>46266</x:v>
      </x:c>
      <x:c r="C506" s="187" t="str">
        <x:v>SHAPLEY</x:v>
      </x:c>
      <x:c r="D506" s="187" t="str">
        <x:v>EFFICIENCY</x:v>
      </x:c>
      <x:c r="E506" s="187" t="str">
        <x:v>DE</x:v>
      </x:c>
      <x:c r="F506" s="187" t="str">
        <x:v>0.00000000000000000000000000000000000000000000000000000000000000000000000000000000000000000000000000000000</x:v>
      </x:c>
      <x:c r="G506" s="235" t="n">
        <x:v>0</x:v>
      </x:c>
      <x:c r="H506" s="235"/>
      <x:c r="I506" s="229"/>
      <x:c r="J506" s="187"/>
    </x:row>
    <x:row r="507">
      <x:c r="A507" s="187" t="str">
        <x:v>SCENARIO_COST_SAVING_VS_FORECAST</x:v>
      </x:c>
      <x:c r="B507" s="217" t="n">
        <x:v>46266</x:v>
      </x:c>
      <x:c r="C507" s="187" t="str">
        <x:v>SHAPLEY</x:v>
      </x:c>
      <x:c r="D507" s="187" t="str">
        <x:v>EFFICIENCY</x:v>
      </x:c>
      <x:c r="E507" s="187" t="str">
        <x:v>FR</x:v>
      </x:c>
      <x:c r="F507" s="187" t="str">
        <x:v>0.000000000000000000000000000000000000000000000000000000000000000000000000000000000000000000000000000000</x:v>
      </x:c>
      <x:c r="G507" s="235" t="n">
        <x:v>0</x:v>
      </x:c>
      <x:c r="H507" s="235"/>
      <x:c r="I507" s="229"/>
      <x:c r="J507" s="187"/>
    </x:row>
    <x:row r="508">
      <x:c r="A508" s="187" t="str">
        <x:v>SCENARIO_COST_SAVING_VS_FORECAST</x:v>
      </x:c>
      <x:c r="B508" s="217" t="n">
        <x:v>46266</x:v>
      </x:c>
      <x:c r="C508" s="187" t="str">
        <x:v>SHAPLEY</x:v>
      </x:c>
      <x:c r="D508" s="187" t="str">
        <x:v>EFFICIENCY</x:v>
      </x:c>
      <x:c r="E508" s="187" t="str">
        <x:v>GB</x:v>
      </x:c>
      <x:c r="F508" s="187" t="str">
        <x:v>0.00000000000000000000000000000000000000000000000000000000000000000000000000000000000000000000000000000000000000</x:v>
      </x:c>
      <x:c r="G508" s="235" t="n">
        <x:v>0</x:v>
      </x:c>
      <x:c r="H508" s="235"/>
      <x:c r="I508" s="229"/>
      <x:c r="J508" s="187"/>
    </x:row>
    <x:row r="509">
      <x:c r="A509" s="187" t="str">
        <x:v>SCENARIO_COST_SAVING_VS_FORECAST</x:v>
      </x:c>
      <x:c r="B509" s="217" t="n">
        <x:v>46266</x:v>
      </x:c>
      <x:c r="C509" s="187" t="str">
        <x:v>SHAPLEY</x:v>
      </x:c>
      <x:c r="D509" s="187" t="str">
        <x:v>FX</x:v>
      </x:c>
      <x:c r="E509" s="187" t="str">
        <x:v>ALL</x:v>
      </x:c>
      <x:c r="F509" s="187" t="str">
        <x:v>0.00000000000000000000000000000000000000000000000000000000000000000000000000000000000000000000000000000000000000</x:v>
      </x:c>
      <x:c r="G509" s="235" t="n">
        <x:v>0</x:v>
      </x:c>
      <x:c r="H509" s="235"/>
      <x:c r="I509" s="229"/>
      <x:c r="J509" s="187"/>
    </x:row>
    <x:row r="510">
      <x:c r="A510" s="187" t="str">
        <x:v>SCENARIO_COST_SAVING_VS_FORECAST</x:v>
      </x:c>
      <x:c r="B510" s="217" t="n">
        <x:v>46266</x:v>
      </x:c>
      <x:c r="C510" s="187" t="str">
        <x:v>SHAPLEY</x:v>
      </x:c>
      <x:c r="D510" s="187" t="str">
        <x:v>FX</x:v>
      </x:c>
      <x:c r="E510" s="187" t="str">
        <x:v>DE</x:v>
      </x:c>
      <x:c r="F510" s="187" t="str">
        <x:v>0.00000000000000000000000000000000000000000000000000000000000000000000000000000000000000000000000000000000</x:v>
      </x:c>
      <x:c r="G510" s="235" t="n">
        <x:v>0</x:v>
      </x:c>
      <x:c r="H510" s="235"/>
      <x:c r="I510" s="229"/>
      <x:c r="J510" s="187"/>
    </x:row>
    <x:row r="511">
      <x:c r="A511" s="187" t="str">
        <x:v>SCENARIO_COST_SAVING_VS_FORECAST</x:v>
      </x:c>
      <x:c r="B511" s="217" t="n">
        <x:v>46266</x:v>
      </x:c>
      <x:c r="C511" s="187" t="str">
        <x:v>SHAPLEY</x:v>
      </x:c>
      <x:c r="D511" s="187" t="str">
        <x:v>FX</x:v>
      </x:c>
      <x:c r="E511" s="187" t="str">
        <x:v>FR</x:v>
      </x:c>
      <x:c r="F511" s="187" t="str">
        <x:v>0.000000000000000000000000000000000000000000000000000000000000000000000000000000000000000000000000000000</x:v>
      </x:c>
      <x:c r="G511" s="235" t="n">
        <x:v>0</x:v>
      </x:c>
      <x:c r="H511" s="235"/>
      <x:c r="I511" s="229"/>
      <x:c r="J511" s="187"/>
    </x:row>
    <x:row r="512">
      <x:c r="A512" s="187" t="str">
        <x:v>SCENARIO_COST_SAVING_VS_FORECAST</x:v>
      </x:c>
      <x:c r="B512" s="217" t="n">
        <x:v>46266</x:v>
      </x:c>
      <x:c r="C512" s="187" t="str">
        <x:v>SHAPLEY</x:v>
      </x:c>
      <x:c r="D512" s="187" t="str">
        <x:v>FX</x:v>
      </x:c>
      <x:c r="E512" s="187" t="str">
        <x:v>GB</x:v>
      </x:c>
      <x:c r="F512" s="187" t="str">
        <x:v>0.00000000000000000000000000000000000000000000000000000000000000000000000000000000000000000000000000000000000000</x:v>
      </x:c>
      <x:c r="G512" s="235" t="n">
        <x:v>0</x:v>
      </x:c>
      <x:c r="H512" s="235"/>
      <x:c r="I512" s="229"/>
      <x:c r="J512" s="187"/>
    </x:row>
    <x:row r="513">
      <x:c r="A513" s="187" t="str">
        <x:v>SCENARIO_COST_SAVING_VS_FORECAST</x:v>
      </x:c>
      <x:c r="B513" s="217" t="n">
        <x:v>46266</x:v>
      </x:c>
      <x:c r="C513" s="187" t="str">
        <x:v>SHAPLEY</x:v>
      </x:c>
      <x:c r="D513" s="187" t="str">
        <x:v>MIX</x:v>
      </x:c>
      <x:c r="E513" s="187" t="str">
        <x:v>ALL</x:v>
      </x:c>
      <x:c r="F513" s="187" t="str">
        <x:v>0.00000000000000000000000000000000000000000000000000000000000000000000000000000000000000000000000000000000000000</x:v>
      </x:c>
      <x:c r="G513" s="235" t="n">
        <x:v>0</x:v>
      </x:c>
      <x:c r="H513" s="235"/>
      <x:c r="I513" s="229"/>
      <x:c r="J513" s="187"/>
    </x:row>
    <x:row r="514">
      <x:c r="A514" s="187" t="str">
        <x:v>SCENARIO_COST_SAVING_VS_FORECAST</x:v>
      </x:c>
      <x:c r="B514" s="217" t="n">
        <x:v>46266</x:v>
      </x:c>
      <x:c r="C514" s="187" t="str">
        <x:v>SHAPLEY</x:v>
      </x:c>
      <x:c r="D514" s="187" t="str">
        <x:v>MIX</x:v>
      </x:c>
      <x:c r="E514" s="187" t="str">
        <x:v>DE</x:v>
      </x:c>
      <x:c r="F514" s="187" t="str">
        <x:v>0.00000000000000000000000000000000000000000000000000000000000000000000000000000000000000000000000000000000</x:v>
      </x:c>
      <x:c r="G514" s="235" t="n">
        <x:v>0</x:v>
      </x:c>
      <x:c r="H514" s="235"/>
      <x:c r="I514" s="229"/>
      <x:c r="J514" s="187"/>
    </x:row>
    <x:row r="515">
      <x:c r="A515" s="187" t="str">
        <x:v>SCENARIO_COST_SAVING_VS_FORECAST</x:v>
      </x:c>
      <x:c r="B515" s="217" t="n">
        <x:v>46266</x:v>
      </x:c>
      <x:c r="C515" s="187" t="str">
        <x:v>SHAPLEY</x:v>
      </x:c>
      <x:c r="D515" s="187" t="str">
        <x:v>MIX</x:v>
      </x:c>
      <x:c r="E515" s="187" t="str">
        <x:v>FR</x:v>
      </x:c>
      <x:c r="F515" s="187" t="str">
        <x:v>0.000000000000000000000000000000000000000000000000000000000000000000000000000000000000000000000000000000</x:v>
      </x:c>
      <x:c r="G515" s="235" t="n">
        <x:v>0</x:v>
      </x:c>
      <x:c r="H515" s="235"/>
      <x:c r="I515" s="229"/>
      <x:c r="J515" s="187"/>
    </x:row>
    <x:row r="516">
      <x:c r="A516" s="187" t="str">
        <x:v>SCENARIO_COST_SAVING_VS_FORECAST</x:v>
      </x:c>
      <x:c r="B516" s="217" t="n">
        <x:v>46266</x:v>
      </x:c>
      <x:c r="C516" s="187" t="str">
        <x:v>SHAPLEY</x:v>
      </x:c>
      <x:c r="D516" s="187" t="str">
        <x:v>MIX</x:v>
      </x:c>
      <x:c r="E516" s="187" t="str">
        <x:v>GB</x:v>
      </x:c>
      <x:c r="F516" s="187" t="str">
        <x:v>0.00000000000000000000000000000000000000000000000000000000000000000000000000000000000000000000000000000000000000</x:v>
      </x:c>
      <x:c r="G516" s="235" t="n">
        <x:v>0</x:v>
      </x:c>
      <x:c r="H516" s="235"/>
      <x:c r="I516" s="229"/>
      <x:c r="J516" s="187"/>
    </x:row>
    <x:row r="517">
      <x:c r="A517" s="187" t="str">
        <x:v>SCENARIO_COST_SAVING_VS_FORECAST</x:v>
      </x:c>
      <x:c r="B517" s="217" t="n">
        <x:v>46266</x:v>
      </x:c>
      <x:c r="C517" s="187" t="str">
        <x:v>SHAPLEY</x:v>
      </x:c>
      <x:c r="D517" s="187" t="str">
        <x:v>PRICE</x:v>
      </x:c>
      <x:c r="E517" s="187" t="str">
        <x:v>ALL</x:v>
      </x:c>
      <x:c r="F517" s="187" t="str">
        <x:v>0.00000000000000000000000000000000000000000000000000000000000000000000000000000000000000000000000000000000000000</x:v>
      </x:c>
      <x:c r="G517" s="235" t="n">
        <x:v>0</x:v>
      </x:c>
      <x:c r="H517" s="235"/>
      <x:c r="I517" s="229"/>
      <x:c r="J517" s="187"/>
    </x:row>
    <x:row r="518">
      <x:c r="A518" s="187" t="str">
        <x:v>SCENARIO_COST_SAVING_VS_FORECAST</x:v>
      </x:c>
      <x:c r="B518" s="217" t="n">
        <x:v>46266</x:v>
      </x:c>
      <x:c r="C518" s="187" t="str">
        <x:v>SHAPLEY</x:v>
      </x:c>
      <x:c r="D518" s="187" t="str">
        <x:v>PRICE</x:v>
      </x:c>
      <x:c r="E518" s="187" t="str">
        <x:v>DE</x:v>
      </x:c>
      <x:c r="F518" s="187" t="str">
        <x:v>0.00000000000000000000000000000000000000000000000000000000000000000000000000000000000000000000000000000000</x:v>
      </x:c>
      <x:c r="G518" s="235" t="n">
        <x:v>0</x:v>
      </x:c>
      <x:c r="H518" s="235"/>
      <x:c r="I518" s="229"/>
      <x:c r="J518" s="187"/>
    </x:row>
    <x:row r="519">
      <x:c r="A519" s="187" t="str">
        <x:v>SCENARIO_COST_SAVING_VS_FORECAST</x:v>
      </x:c>
      <x:c r="B519" s="217" t="n">
        <x:v>46266</x:v>
      </x:c>
      <x:c r="C519" s="187" t="str">
        <x:v>SHAPLEY</x:v>
      </x:c>
      <x:c r="D519" s="187" t="str">
        <x:v>PRICE</x:v>
      </x:c>
      <x:c r="E519" s="187" t="str">
        <x:v>FR</x:v>
      </x:c>
      <x:c r="F519" s="187" t="str">
        <x:v>0.000000000000000000000000000000000000000000000000000000000000000000000000000000000000000000000000000000</x:v>
      </x:c>
      <x:c r="G519" s="235" t="n">
        <x:v>0</x:v>
      </x:c>
      <x:c r="H519" s="235"/>
      <x:c r="I519" s="229"/>
      <x:c r="J519" s="187"/>
    </x:row>
    <x:row r="520">
      <x:c r="A520" s="187" t="str">
        <x:v>SCENARIO_COST_SAVING_VS_FORECAST</x:v>
      </x:c>
      <x:c r="B520" s="217" t="n">
        <x:v>46266</x:v>
      </x:c>
      <x:c r="C520" s="187" t="str">
        <x:v>SHAPLEY</x:v>
      </x:c>
      <x:c r="D520" s="187" t="str">
        <x:v>PRICE</x:v>
      </x:c>
      <x:c r="E520" s="187" t="str">
        <x:v>GB</x:v>
      </x:c>
      <x:c r="F520" s="187" t="str">
        <x:v>0.00000000000000000000000000000000000000000000000000000000000000000000000000000000000000000000000000000000000000</x:v>
      </x:c>
      <x:c r="G520" s="235" t="n">
        <x:v>0</x:v>
      </x:c>
      <x:c r="H520" s="235"/>
      <x:c r="I520" s="229"/>
      <x:c r="J520" s="187"/>
    </x:row>
    <x:row r="521">
      <x:c r="A521" s="187" t="str">
        <x:v>SCENARIO_COST_SAVING_VS_FORECAST</x:v>
      </x:c>
      <x:c r="B521" s="217" t="n">
        <x:v>46266</x:v>
      </x:c>
      <x:c r="C521" s="187" t="str">
        <x:v>SHAPLEY</x:v>
      </x:c>
      <x:c r="D521" s="187" t="str">
        <x:v>VOLUME</x:v>
      </x:c>
      <x:c r="E521" s="187" t="str">
        <x:v>ALL</x:v>
      </x:c>
      <x:c r="F521" s="187" t="str">
        <x:v>0.00000000000000000000000000000000000000000000000000000000000000000000000000000000000000000000000000000000000000</x:v>
      </x:c>
      <x:c r="G521" s="235" t="n">
        <x:v>0</x:v>
      </x:c>
      <x:c r="H521" s="235"/>
      <x:c r="I521" s="229"/>
      <x:c r="J521" s="187"/>
    </x:row>
    <x:row r="522">
      <x:c r="A522" s="187" t="str">
        <x:v>SCENARIO_COST_SAVING_VS_FORECAST</x:v>
      </x:c>
      <x:c r="B522" s="217" t="n">
        <x:v>46266</x:v>
      </x:c>
      <x:c r="C522" s="187" t="str">
        <x:v>SHAPLEY</x:v>
      </x:c>
      <x:c r="D522" s="187" t="str">
        <x:v>VOLUME</x:v>
      </x:c>
      <x:c r="E522" s="187" t="str">
        <x:v>DE</x:v>
      </x:c>
      <x:c r="F522" s="187" t="str">
        <x:v>0.00000000000000000000000000000000000000000000000000000000000000000000000000000000000000000000000000000000</x:v>
      </x:c>
      <x:c r="G522" s="235" t="n">
        <x:v>0</x:v>
      </x:c>
      <x:c r="H522" s="235"/>
      <x:c r="I522" s="229"/>
      <x:c r="J522" s="187"/>
    </x:row>
    <x:row r="523">
      <x:c r="A523" s="187" t="str">
        <x:v>SCENARIO_COST_SAVING_VS_FORECAST</x:v>
      </x:c>
      <x:c r="B523" s="217" t="n">
        <x:v>46266</x:v>
      </x:c>
      <x:c r="C523" s="187" t="str">
        <x:v>SHAPLEY</x:v>
      </x:c>
      <x:c r="D523" s="187" t="str">
        <x:v>VOLUME</x:v>
      </x:c>
      <x:c r="E523" s="187" t="str">
        <x:v>FR</x:v>
      </x:c>
      <x:c r="F523" s="187" t="str">
        <x:v>0.000000000000000000000000000000000000000000000000000000000000000000000000000000000000000000000000000000</x:v>
      </x:c>
      <x:c r="G523" s="235" t="n">
        <x:v>0</x:v>
      </x:c>
      <x:c r="H523" s="235"/>
      <x:c r="I523" s="229"/>
      <x:c r="J523" s="187"/>
    </x:row>
    <x:row r="524">
      <x:c r="A524" s="187" t="str">
        <x:v>SCENARIO_COST_SAVING_VS_FORECAST</x:v>
      </x:c>
      <x:c r="B524" s="217" t="n">
        <x:v>46266</x:v>
      </x:c>
      <x:c r="C524" s="187" t="str">
        <x:v>SHAPLEY</x:v>
      </x:c>
      <x:c r="D524" s="187" t="str">
        <x:v>VOLUME</x:v>
      </x:c>
      <x:c r="E524" s="187" t="str">
        <x:v>GB</x:v>
      </x:c>
      <x:c r="F524" s="187" t="str">
        <x:v>0.00000000000000000000000000000000000000000000000000000000000000000000000000000000000000000000000000000000000000</x:v>
      </x:c>
      <x:c r="G524" s="235" t="n">
        <x:v>0</x:v>
      </x:c>
      <x:c r="H524" s="235"/>
      <x:c r="I524" s="229"/>
      <x:c r="J524" s="187"/>
    </x:row>
    <x:row r="525">
      <x:c r="A525" s="187" t="str">
        <x:v>SCENARIO_COST_SAVING_VS_FORECAST</x:v>
      </x:c>
      <x:c r="B525" s="217" t="n">
        <x:v>46296</x:v>
      </x:c>
      <x:c r="C525" s="187" t="str">
        <x:v>CHAIN</x:v>
      </x:c>
      <x:c r="D525" s="187" t="str">
        <x:v>EFFICIENCY</x:v>
      </x:c>
      <x:c r="E525" s="187" t="str">
        <x:v>ALL</x:v>
      </x:c>
      <x:c r="F525" s="187" t="str">
        <x:v>-7912.0242549604515421274112000000000</x:v>
      </x:c>
      <x:c r="G525" s="235" t="n">
        <x:v>-7912.0243</x:v>
      </x:c>
      <x:c r="H525" s="235" t="n">
        <x:v>218.72438557516057</x:v>
      </x:c>
      <x:c r="I525" s="229" t="n">
        <x:v>0.006452553111139491</x:v>
      </x:c>
      <x:c r="J525" s="254" t="b">
        <x:v>0</x:v>
      </x:c>
    </x:row>
    <x:row r="526">
      <x:c r="A526" s="187" t="str">
        <x:v>SCENARIO_COST_SAVING_VS_FORECAST</x:v>
      </x:c>
      <x:c r="B526" s="217" t="n">
        <x:v>46296</x:v>
      </x:c>
      <x:c r="C526" s="187" t="str">
        <x:v>CHAIN</x:v>
      </x:c>
      <x:c r="D526" s="187" t="str">
        <x:v>EFFICIENCY</x:v>
      </x:c>
      <x:c r="E526" s="187" t="str">
        <x:v>DE</x:v>
      </x:c>
      <x:c r="F526" s="187" t="str">
        <x:v>0.0000000000000000000000000</x:v>
      </x:c>
      <x:c r="G526" s="235" t="n">
        <x:v>0</x:v>
      </x:c>
      <x:c r="H526" s="235"/>
      <x:c r="I526" s="229"/>
      <x:c r="J526" s="187"/>
    </x:row>
    <x:row r="527">
      <x:c r="A527" s="187" t="str">
        <x:v>SCENARIO_COST_SAVING_VS_FORECAST</x:v>
      </x:c>
      <x:c r="B527" s="217" t="n">
        <x:v>46296</x:v>
      </x:c>
      <x:c r="C527" s="187" t="str">
        <x:v>CHAIN</x:v>
      </x:c>
      <x:c r="D527" s="187" t="str">
        <x:v>EFFICIENCY</x:v>
      </x:c>
      <x:c r="E527" s="187" t="str">
        <x:v>FR</x:v>
      </x:c>
      <x:c r="F527" s="187" t="str">
        <x:v>0.00000000000000000000000</x:v>
      </x:c>
      <x:c r="G527" s="235" t="n">
        <x:v>0</x:v>
      </x:c>
      <x:c r="H527" s="235"/>
      <x:c r="I527" s="229"/>
      <x:c r="J527" s="187"/>
    </x:row>
    <x:row r="528">
      <x:c r="A528" s="187" t="str">
        <x:v>SCENARIO_COST_SAVING_VS_FORECAST</x:v>
      </x:c>
      <x:c r="B528" s="217" t="n">
        <x:v>46296</x:v>
      </x:c>
      <x:c r="C528" s="187" t="str">
        <x:v>CHAIN</x:v>
      </x:c>
      <x:c r="D528" s="187" t="str">
        <x:v>EFFICIENCY</x:v>
      </x:c>
      <x:c r="E528" s="187" t="str">
        <x:v>GB</x:v>
      </x:c>
      <x:c r="F528" s="187" t="str">
        <x:v>-7912.0242549604515421274112000000000</x:v>
      </x:c>
      <x:c r="G528" s="235" t="n">
        <x:v>-7912.0243</x:v>
      </x:c>
      <x:c r="H528" s="235"/>
      <x:c r="I528" s="229"/>
      <x:c r="J528" s="187"/>
    </x:row>
    <x:row r="529">
      <x:c r="A529" s="187" t="str">
        <x:v>SCENARIO_COST_SAVING_VS_FORECAST</x:v>
      </x:c>
      <x:c r="B529" s="217" t="n">
        <x:v>46296</x:v>
      </x:c>
      <x:c r="C529" s="187" t="str">
        <x:v>CHAIN</x:v>
      </x:c>
      <x:c r="D529" s="187" t="str">
        <x:v>FX</x:v>
      </x:c>
      <x:c r="E529" s="187" t="str">
        <x:v>ALL</x:v>
      </x:c>
      <x:c r="F529" s="187" t="str">
        <x:v>0.0000000000000000000000000000000</x:v>
      </x:c>
      <x:c r="G529" s="235" t="n">
        <x:v>0</x:v>
      </x:c>
      <x:c r="H529" s="235" t="n">
        <x:v>0</x:v>
      </x:c>
      <x:c r="I529" s="229" t="n">
        <x:v>0</x:v>
      </x:c>
      <x:c r="J529" s="254" t="b">
        <x:v>0</x:v>
      </x:c>
    </x:row>
    <x:row r="530">
      <x:c r="A530" s="187" t="str">
        <x:v>SCENARIO_COST_SAVING_VS_FORECAST</x:v>
      </x:c>
      <x:c r="B530" s="217" t="n">
        <x:v>46296</x:v>
      </x:c>
      <x:c r="C530" s="187" t="str">
        <x:v>CHAIN</x:v>
      </x:c>
      <x:c r="D530" s="187" t="str">
        <x:v>FX</x:v>
      </x:c>
      <x:c r="E530" s="187" t="str">
        <x:v>DE</x:v>
      </x:c>
      <x:c r="F530" s="187" t="str">
        <x:v>0.0000000000000000000000000</x:v>
      </x:c>
      <x:c r="G530" s="235" t="n">
        <x:v>0</x:v>
      </x:c>
      <x:c r="H530" s="235"/>
      <x:c r="I530" s="229"/>
      <x:c r="J530" s="187"/>
    </x:row>
    <x:row r="531">
      <x:c r="A531" s="187" t="str">
        <x:v>SCENARIO_COST_SAVING_VS_FORECAST</x:v>
      </x:c>
      <x:c r="B531" s="217" t="n">
        <x:v>46296</x:v>
      </x:c>
      <x:c r="C531" s="187" t="str">
        <x:v>CHAIN</x:v>
      </x:c>
      <x:c r="D531" s="187" t="str">
        <x:v>FX</x:v>
      </x:c>
      <x:c r="E531" s="187" t="str">
        <x:v>FR</x:v>
      </x:c>
      <x:c r="F531" s="187" t="str">
        <x:v>0.00000000000000000000000</x:v>
      </x:c>
      <x:c r="G531" s="235" t="n">
        <x:v>0</x:v>
      </x:c>
      <x:c r="H531" s="235"/>
      <x:c r="I531" s="229"/>
      <x:c r="J531" s="187"/>
    </x:row>
    <x:row r="532">
      <x:c r="A532" s="187" t="str">
        <x:v>SCENARIO_COST_SAVING_VS_FORECAST</x:v>
      </x:c>
      <x:c r="B532" s="217" t="n">
        <x:v>46296</x:v>
      </x:c>
      <x:c r="C532" s="187" t="str">
        <x:v>CHAIN</x:v>
      </x:c>
      <x:c r="D532" s="187" t="str">
        <x:v>FX</x:v>
      </x:c>
      <x:c r="E532" s="187" t="str">
        <x:v>GB</x:v>
      </x:c>
      <x:c r="F532" s="187" t="str">
        <x:v>0.0000000000000000000000000000000</x:v>
      </x:c>
      <x:c r="G532" s="235" t="n">
        <x:v>0</x:v>
      </x:c>
      <x:c r="H532" s="235"/>
      <x:c r="I532" s="229"/>
      <x:c r="J532" s="187"/>
    </x:row>
    <x:row r="533">
      <x:c r="A533" s="187" t="str">
        <x:v>SCENARIO_COST_SAVING_VS_FORECAST</x:v>
      </x:c>
      <x:c r="B533" s="217" t="n">
        <x:v>46296</x:v>
      </x:c>
      <x:c r="C533" s="187" t="str">
        <x:v>CHAIN</x:v>
      </x:c>
      <x:c r="D533" s="187" t="str">
        <x:v>MIX</x:v>
      </x:c>
      <x:c r="E533" s="187" t="str">
        <x:v>ALL</x:v>
      </x:c>
      <x:c r="F533" s="187" t="str">
        <x:v>-25985.3155743795774164715110400000000</x:v>
      </x:c>
      <x:c r="G533" s="235" t="n">
        <x:v>-25985.3156</x:v>
      </x:c>
      <x:c r="H533" s="235" t="n">
        <x:v>218.72438557516057</x:v>
      </x:c>
      <x:c r="I533" s="229" t="n">
        <x:v>0.006452553111139491</x:v>
      </x:c>
      <x:c r="J533" s="254" t="b">
        <x:v>0</x:v>
      </x:c>
    </x:row>
    <x:row r="534">
      <x:c r="A534" s="187" t="str">
        <x:v>SCENARIO_COST_SAVING_VS_FORECAST</x:v>
      </x:c>
      <x:c r="B534" s="217" t="n">
        <x:v>46296</x:v>
      </x:c>
      <x:c r="C534" s="187" t="str">
        <x:v>CHAIN</x:v>
      </x:c>
      <x:c r="D534" s="187" t="str">
        <x:v>MIX</x:v>
      </x:c>
      <x:c r="E534" s="187" t="str">
        <x:v>DE</x:v>
      </x:c>
      <x:c r="F534" s="187" t="str">
        <x:v>0.0000000000000000000000000</x:v>
      </x:c>
      <x:c r="G534" s="235" t="n">
        <x:v>0</x:v>
      </x:c>
      <x:c r="H534" s="235"/>
      <x:c r="I534" s="229"/>
      <x:c r="J534" s="187"/>
    </x:row>
    <x:row r="535">
      <x:c r="A535" s="187" t="str">
        <x:v>SCENARIO_COST_SAVING_VS_FORECAST</x:v>
      </x:c>
      <x:c r="B535" s="217" t="n">
        <x:v>46296</x:v>
      </x:c>
      <x:c r="C535" s="187" t="str">
        <x:v>CHAIN</x:v>
      </x:c>
      <x:c r="D535" s="187" t="str">
        <x:v>MIX</x:v>
      </x:c>
      <x:c r="E535" s="187" t="str">
        <x:v>FR</x:v>
      </x:c>
      <x:c r="F535" s="187" t="str">
        <x:v>0.00000000000000000000000</x:v>
      </x:c>
      <x:c r="G535" s="235" t="n">
        <x:v>0</x:v>
      </x:c>
      <x:c r="H535" s="235"/>
      <x:c r="I535" s="229"/>
      <x:c r="J535" s="187"/>
    </x:row>
    <x:row r="536">
      <x:c r="A536" s="187" t="str">
        <x:v>SCENARIO_COST_SAVING_VS_FORECAST</x:v>
      </x:c>
      <x:c r="B536" s="217" t="n">
        <x:v>46296</x:v>
      </x:c>
      <x:c r="C536" s="187" t="str">
        <x:v>CHAIN</x:v>
      </x:c>
      <x:c r="D536" s="187" t="str">
        <x:v>MIX</x:v>
      </x:c>
      <x:c r="E536" s="187" t="str">
        <x:v>GB</x:v>
      </x:c>
      <x:c r="F536" s="187" t="str">
        <x:v>-25985.3155743795774164715110400000000</x:v>
      </x:c>
      <x:c r="G536" s="235" t="n">
        <x:v>-25985.3156</x:v>
      </x:c>
      <x:c r="H536" s="235"/>
      <x:c r="I536" s="229"/>
      <x:c r="J536" s="187"/>
    </x:row>
    <x:row r="537">
      <x:c r="A537" s="187" t="str">
        <x:v>SCENARIO_COST_SAVING_VS_FORECAST</x:v>
      </x:c>
      <x:c r="B537" s="217" t="n">
        <x:v>46296</x:v>
      </x:c>
      <x:c r="C537" s="187" t="str">
        <x:v>CHAIN</x:v>
      </x:c>
      <x:c r="D537" s="187" t="str">
        <x:v>PRICE</x:v>
      </x:c>
      <x:c r="E537" s="187" t="str">
        <x:v>ALL</x:v>
      </x:c>
      <x:c r="F537" s="187" t="str">
        <x:v>0.0000000000000000000000000000000</x:v>
      </x:c>
      <x:c r="G537" s="235" t="n">
        <x:v>0</x:v>
      </x:c>
      <x:c r="H537" s="235" t="n">
        <x:v>0</x:v>
      </x:c>
      <x:c r="I537" s="229" t="n">
        <x:v>0</x:v>
      </x:c>
      <x:c r="J537" s="254" t="b">
        <x:v>0</x:v>
      </x:c>
    </x:row>
    <x:row r="538">
      <x:c r="A538" s="187" t="str">
        <x:v>SCENARIO_COST_SAVING_VS_FORECAST</x:v>
      </x:c>
      <x:c r="B538" s="217" t="n">
        <x:v>46296</x:v>
      </x:c>
      <x:c r="C538" s="187" t="str">
        <x:v>CHAIN</x:v>
      </x:c>
      <x:c r="D538" s="187" t="str">
        <x:v>PRICE</x:v>
      </x:c>
      <x:c r="E538" s="187" t="str">
        <x:v>DE</x:v>
      </x:c>
      <x:c r="F538" s="187" t="str">
        <x:v>0.0000000000000000000000000</x:v>
      </x:c>
      <x:c r="G538" s="235" t="n">
        <x:v>0</x:v>
      </x:c>
      <x:c r="H538" s="235"/>
      <x:c r="I538" s="229"/>
      <x:c r="J538" s="187"/>
    </x:row>
    <x:row r="539">
      <x:c r="A539" s="187" t="str">
        <x:v>SCENARIO_COST_SAVING_VS_FORECAST</x:v>
      </x:c>
      <x:c r="B539" s="217" t="n">
        <x:v>46296</x:v>
      </x:c>
      <x:c r="C539" s="187" t="str">
        <x:v>CHAIN</x:v>
      </x:c>
      <x:c r="D539" s="187" t="str">
        <x:v>PRICE</x:v>
      </x:c>
      <x:c r="E539" s="187" t="str">
        <x:v>FR</x:v>
      </x:c>
      <x:c r="F539" s="187" t="str">
        <x:v>0.00000000000000000000000</x:v>
      </x:c>
      <x:c r="G539" s="235" t="n">
        <x:v>0</x:v>
      </x:c>
      <x:c r="H539" s="235"/>
      <x:c r="I539" s="229"/>
      <x:c r="J539" s="187"/>
    </x:row>
    <x:row r="540">
      <x:c r="A540" s="187" t="str">
        <x:v>SCENARIO_COST_SAVING_VS_FORECAST</x:v>
      </x:c>
      <x:c r="B540" s="217" t="n">
        <x:v>46296</x:v>
      </x:c>
      <x:c r="C540" s="187" t="str">
        <x:v>CHAIN</x:v>
      </x:c>
      <x:c r="D540" s="187" t="str">
        <x:v>PRICE</x:v>
      </x:c>
      <x:c r="E540" s="187" t="str">
        <x:v>GB</x:v>
      </x:c>
      <x:c r="F540" s="187" t="str">
        <x:v>0.0000000000000000000000000000000</x:v>
      </x:c>
      <x:c r="G540" s="235" t="n">
        <x:v>0</x:v>
      </x:c>
      <x:c r="H540" s="235"/>
      <x:c r="I540" s="229"/>
      <x:c r="J540" s="187"/>
    </x:row>
    <x:row r="541">
      <x:c r="A541" s="187" t="str">
        <x:v>SCENARIO_COST_SAVING_VS_FORECAST</x:v>
      </x:c>
      <x:c r="B541" s="217" t="n">
        <x:v>46296</x:v>
      </x:c>
      <x:c r="C541" s="187" t="str">
        <x:v>CHAIN</x:v>
      </x:c>
      <x:c r="D541" s="187" t="str">
        <x:v>VOLUME</x:v>
      </x:c>
      <x:c r="E541" s="187" t="str">
        <x:v>ALL</x:v>
      </x:c>
      <x:c r="F541" s="187" t="str">
        <x:v>0.0000000000000000000000000000000</x:v>
      </x:c>
      <x:c r="G541" s="235" t="n">
        <x:v>0</x:v>
      </x:c>
      <x:c r="H541" s="235" t="n">
        <x:v>0</x:v>
      </x:c>
      <x:c r="I541" s="229" t="n">
        <x:v>0</x:v>
      </x:c>
      <x:c r="J541" s="254" t="b">
        <x:v>0</x:v>
      </x:c>
    </x:row>
    <x:row r="542">
      <x:c r="A542" s="187" t="str">
        <x:v>SCENARIO_COST_SAVING_VS_FORECAST</x:v>
      </x:c>
      <x:c r="B542" s="217" t="n">
        <x:v>46296</x:v>
      </x:c>
      <x:c r="C542" s="187" t="str">
        <x:v>CHAIN</x:v>
      </x:c>
      <x:c r="D542" s="187" t="str">
        <x:v>VOLUME</x:v>
      </x:c>
      <x:c r="E542" s="187" t="str">
        <x:v>DE</x:v>
      </x:c>
      <x:c r="F542" s="187" t="str">
        <x:v>0.0000000000000000000000000</x:v>
      </x:c>
      <x:c r="G542" s="235" t="n">
        <x:v>0</x:v>
      </x:c>
      <x:c r="H542" s="235"/>
      <x:c r="I542" s="229"/>
      <x:c r="J542" s="187"/>
    </x:row>
    <x:row r="543">
      <x:c r="A543" s="187" t="str">
        <x:v>SCENARIO_COST_SAVING_VS_FORECAST</x:v>
      </x:c>
      <x:c r="B543" s="217" t="n">
        <x:v>46296</x:v>
      </x:c>
      <x:c r="C543" s="187" t="str">
        <x:v>CHAIN</x:v>
      </x:c>
      <x:c r="D543" s="187" t="str">
        <x:v>VOLUME</x:v>
      </x:c>
      <x:c r="E543" s="187" t="str">
        <x:v>FR</x:v>
      </x:c>
      <x:c r="F543" s="187" t="str">
        <x:v>0.00000000000000000000000</x:v>
      </x:c>
      <x:c r="G543" s="235" t="n">
        <x:v>0</x:v>
      </x:c>
      <x:c r="H543" s="235"/>
      <x:c r="I543" s="229"/>
      <x:c r="J543" s="187"/>
    </x:row>
    <x:row r="544">
      <x:c r="A544" s="187" t="str">
        <x:v>SCENARIO_COST_SAVING_VS_FORECAST</x:v>
      </x:c>
      <x:c r="B544" s="217" t="n">
        <x:v>46296</x:v>
      </x:c>
      <x:c r="C544" s="187" t="str">
        <x:v>CHAIN</x:v>
      </x:c>
      <x:c r="D544" s="187" t="str">
        <x:v>VOLUME</x:v>
      </x:c>
      <x:c r="E544" s="187" t="str">
        <x:v>GB</x:v>
      </x:c>
      <x:c r="F544" s="187" t="str">
        <x:v>0.0000000000000000000000000000000</x:v>
      </x:c>
      <x:c r="G544" s="235" t="n">
        <x:v>0</x:v>
      </x:c>
      <x:c r="H544" s="235"/>
      <x:c r="I544" s="229"/>
      <x:c r="J544" s="187"/>
    </x:row>
    <x:row r="545">
      <x:c r="A545" s="187" t="str">
        <x:v>SCENARIO_COST_SAVING_VS_FORECAST</x:v>
      </x:c>
      <x:c r="B545" s="217" t="n">
        <x:v>46296</x:v>
      </x:c>
      <x:c r="C545" s="187" t="str">
        <x:v>SHAPLEY</x:v>
      </x:c>
      <x:c r="D545" s="187" t="str">
        <x:v>EFFICIENCY</x:v>
      </x:c>
      <x:c r="E545" s="187" t="str">
        <x:v>ALL</x:v>
      </x:c>
      <x:c r="F545" s="187" t="str">
        <x:v>-8130.7486405356121012425523200000000000000000000000000000000000000000000000000000</x:v>
      </x:c>
      <x:c r="G545" s="235" t="n">
        <x:v>-8130.7486</x:v>
      </x:c>
      <x:c r="H545" s="235"/>
      <x:c r="I545" s="229"/>
      <x:c r="J545" s="187"/>
    </x:row>
    <x:row r="546">
      <x:c r="A546" s="187" t="str">
        <x:v>SCENARIO_COST_SAVING_VS_FORECAST</x:v>
      </x:c>
      <x:c r="B546" s="217" t="n">
        <x:v>46296</x:v>
      </x:c>
      <x:c r="C546" s="187" t="str">
        <x:v>SHAPLEY</x:v>
      </x:c>
      <x:c r="D546" s="187" t="str">
        <x:v>EFFICIENCY</x:v>
      </x:c>
      <x:c r="E546" s="187" t="str">
        <x:v>DE</x:v>
      </x:c>
      <x:c r="F546" s="187" t="str">
        <x:v>0.0000000000000000000000000000000000000000000000000000000000000000000000000000000000000000000000000000000000</x:v>
      </x:c>
      <x:c r="G546" s="235" t="n">
        <x:v>0</x:v>
      </x:c>
      <x:c r="H546" s="235"/>
      <x:c r="I546" s="229"/>
      <x:c r="J546" s="187"/>
    </x:row>
    <x:row r="547">
      <x:c r="A547" s="187" t="str">
        <x:v>SCENARIO_COST_SAVING_VS_FORECAST</x:v>
      </x:c>
      <x:c r="B547" s="217" t="n">
        <x:v>46296</x:v>
      </x:c>
      <x:c r="C547" s="187" t="str">
        <x:v>SHAPLEY</x:v>
      </x:c>
      <x:c r="D547" s="187" t="str">
        <x:v>EFFICIENCY</x:v>
      </x:c>
      <x:c r="E547" s="187" t="str">
        <x:v>FR</x:v>
      </x:c>
      <x:c r="F547" s="187" t="str">
        <x:v>0.00000000000000000000000000000000000000000000000000000000000000000000000000000000000000000000000000000000</x:v>
      </x:c>
      <x:c r="G547" s="235" t="n">
        <x:v>0</x:v>
      </x:c>
      <x:c r="H547" s="235"/>
      <x:c r="I547" s="229"/>
      <x:c r="J547" s="187"/>
    </x:row>
    <x:row r="548">
      <x:c r="A548" s="187" t="str">
        <x:v>SCENARIO_COST_SAVING_VS_FORECAST</x:v>
      </x:c>
      <x:c r="B548" s="217" t="n">
        <x:v>46296</x:v>
      </x:c>
      <x:c r="C548" s="187" t="str">
        <x:v>SHAPLEY</x:v>
      </x:c>
      <x:c r="D548" s="187" t="str">
        <x:v>EFFICIENCY</x:v>
      </x:c>
      <x:c r="E548" s="187" t="str">
        <x:v>GB</x:v>
      </x:c>
      <x:c r="F548" s="187" t="str">
        <x:v>-8130.7486405356121012425523200000000000000000000000000000000000000000000000000000</x:v>
      </x:c>
      <x:c r="G548" s="235" t="n">
        <x:v>-8130.7486</x:v>
      </x:c>
      <x:c r="H548" s="235"/>
      <x:c r="I548" s="229"/>
      <x:c r="J548" s="187"/>
    </x:row>
    <x:row r="549">
      <x:c r="A549" s="187" t="str">
        <x:v>SCENARIO_COST_SAVING_VS_FORECAST</x:v>
      </x:c>
      <x:c r="B549" s="217" t="n">
        <x:v>46296</x:v>
      </x:c>
      <x:c r="C549" s="187" t="str">
        <x:v>SHAPLEY</x:v>
      </x:c>
      <x:c r="D549" s="187" t="str">
        <x:v>FX</x:v>
      </x:c>
      <x:c r="E549" s="187" t="str">
        <x:v>ALL</x:v>
      </x:c>
      <x:c r="F549" s="187" t="str">
        <x:v>0.0000000000000000000000000000000000000000000000000000000000000000000000000000000000000000000000000000000000000000</x:v>
      </x:c>
      <x:c r="G549" s="235" t="n">
        <x:v>0</x:v>
      </x:c>
      <x:c r="H549" s="235"/>
      <x:c r="I549" s="229"/>
      <x:c r="J549" s="187"/>
    </x:row>
    <x:row r="550">
      <x:c r="A550" s="187" t="str">
        <x:v>SCENARIO_COST_SAVING_VS_FORECAST</x:v>
      </x:c>
      <x:c r="B550" s="217" t="n">
        <x:v>46296</x:v>
      </x:c>
      <x:c r="C550" s="187" t="str">
        <x:v>SHAPLEY</x:v>
      </x:c>
      <x:c r="D550" s="187" t="str">
        <x:v>FX</x:v>
      </x:c>
      <x:c r="E550" s="187" t="str">
        <x:v>DE</x:v>
      </x:c>
      <x:c r="F550" s="187" t="str">
        <x:v>0.0000000000000000000000000000000000000000000000000000000000000000000000000000000000000000000000000000000000</x:v>
      </x:c>
      <x:c r="G550" s="235" t="n">
        <x:v>0</x:v>
      </x:c>
      <x:c r="H550" s="235"/>
      <x:c r="I550" s="229"/>
      <x:c r="J550" s="187"/>
    </x:row>
    <x:row r="551">
      <x:c r="A551" s="187" t="str">
        <x:v>SCENARIO_COST_SAVING_VS_FORECAST</x:v>
      </x:c>
      <x:c r="B551" s="217" t="n">
        <x:v>46296</x:v>
      </x:c>
      <x:c r="C551" s="187" t="str">
        <x:v>SHAPLEY</x:v>
      </x:c>
      <x:c r="D551" s="187" t="str">
        <x:v>FX</x:v>
      </x:c>
      <x:c r="E551" s="187" t="str">
        <x:v>FR</x:v>
      </x:c>
      <x:c r="F551" s="187" t="str">
        <x:v>0.00000000000000000000000000000000000000000000000000000000000000000000000000000000000000000000000000000000</x:v>
      </x:c>
      <x:c r="G551" s="235" t="n">
        <x:v>0</x:v>
      </x:c>
      <x:c r="H551" s="235"/>
      <x:c r="I551" s="229"/>
      <x:c r="J551" s="187"/>
    </x:row>
    <x:row r="552">
      <x:c r="A552" s="187" t="str">
        <x:v>SCENARIO_COST_SAVING_VS_FORECAST</x:v>
      </x:c>
      <x:c r="B552" s="217" t="n">
        <x:v>46296</x:v>
      </x:c>
      <x:c r="C552" s="187" t="str">
        <x:v>SHAPLEY</x:v>
      </x:c>
      <x:c r="D552" s="187" t="str">
        <x:v>FX</x:v>
      </x:c>
      <x:c r="E552" s="187" t="str">
        <x:v>GB</x:v>
      </x:c>
      <x:c r="F552" s="187" t="str">
        <x:v>0.0000000000000000000000000000000000000000000000000000000000000000000000000000000000000000000000000000000000000000</x:v>
      </x:c>
      <x:c r="G552" s="235" t="n">
        <x:v>0</x:v>
      </x:c>
      <x:c r="H552" s="235"/>
      <x:c r="I552" s="229"/>
      <x:c r="J552" s="187"/>
    </x:row>
    <x:row r="553">
      <x:c r="A553" s="187" t="str">
        <x:v>SCENARIO_COST_SAVING_VS_FORECAST</x:v>
      </x:c>
      <x:c r="B553" s="217" t="n">
        <x:v>46296</x:v>
      </x:c>
      <x:c r="C553" s="187" t="str">
        <x:v>SHAPLEY</x:v>
      </x:c>
      <x:c r="D553" s="187" t="str">
        <x:v>MIX</x:v>
      </x:c>
      <x:c r="E553" s="187" t="str">
        <x:v>ALL</x:v>
      </x:c>
      <x:c r="F553" s="187" t="str">
        <x:v>-25766.591188804416857356369920000000000000000000000000000000000000000000000000000</x:v>
      </x:c>
      <x:c r="G553" s="235" t="n">
        <x:v>-25766.5912</x:v>
      </x:c>
      <x:c r="H553" s="235"/>
      <x:c r="I553" s="229"/>
      <x:c r="J553" s="187"/>
    </x:row>
    <x:row r="554">
      <x:c r="A554" s="187" t="str">
        <x:v>SCENARIO_COST_SAVING_VS_FORECAST</x:v>
      </x:c>
      <x:c r="B554" s="217" t="n">
        <x:v>46296</x:v>
      </x:c>
      <x:c r="C554" s="187" t="str">
        <x:v>SHAPLEY</x:v>
      </x:c>
      <x:c r="D554" s="187" t="str">
        <x:v>MIX</x:v>
      </x:c>
      <x:c r="E554" s="187" t="str">
        <x:v>DE</x:v>
      </x:c>
      <x:c r="F554" s="187" t="str">
        <x:v>0.0000000000000000000000000000000000000000000000000000000000000000000000000000000000000000000000000000000000</x:v>
      </x:c>
      <x:c r="G554" s="235" t="n">
        <x:v>0</x:v>
      </x:c>
      <x:c r="H554" s="235"/>
      <x:c r="I554" s="229"/>
      <x:c r="J554" s="187"/>
    </x:row>
    <x:row r="555">
      <x:c r="A555" s="187" t="str">
        <x:v>SCENARIO_COST_SAVING_VS_FORECAST</x:v>
      </x:c>
      <x:c r="B555" s="217" t="n">
        <x:v>46296</x:v>
      </x:c>
      <x:c r="C555" s="187" t="str">
        <x:v>SHAPLEY</x:v>
      </x:c>
      <x:c r="D555" s="187" t="str">
        <x:v>MIX</x:v>
      </x:c>
      <x:c r="E555" s="187" t="str">
        <x:v>FR</x:v>
      </x:c>
      <x:c r="F555" s="187" t="str">
        <x:v>0.00000000000000000000000000000000000000000000000000000000000000000000000000000000000000000000000000000000</x:v>
      </x:c>
      <x:c r="G555" s="235" t="n">
        <x:v>0</x:v>
      </x:c>
      <x:c r="H555" s="235"/>
      <x:c r="I555" s="229"/>
      <x:c r="J555" s="187"/>
    </x:row>
    <x:row r="556">
      <x:c r="A556" s="187" t="str">
        <x:v>SCENARIO_COST_SAVING_VS_FORECAST</x:v>
      </x:c>
      <x:c r="B556" s="217" t="n">
        <x:v>46296</x:v>
      </x:c>
      <x:c r="C556" s="187" t="str">
        <x:v>SHAPLEY</x:v>
      </x:c>
      <x:c r="D556" s="187" t="str">
        <x:v>MIX</x:v>
      </x:c>
      <x:c r="E556" s="187" t="str">
        <x:v>GB</x:v>
      </x:c>
      <x:c r="F556" s="187" t="str">
        <x:v>-25766.591188804416857356369920000000000000000000000000000000000000000000000000000</x:v>
      </x:c>
      <x:c r="G556" s="235" t="n">
        <x:v>-25766.5912</x:v>
      </x:c>
      <x:c r="H556" s="235"/>
      <x:c r="I556" s="229"/>
      <x:c r="J556" s="187"/>
    </x:row>
    <x:row r="557">
      <x:c r="A557" s="187" t="str">
        <x:v>SCENARIO_COST_SAVING_VS_FORECAST</x:v>
      </x:c>
      <x:c r="B557" s="217" t="n">
        <x:v>46296</x:v>
      </x:c>
      <x:c r="C557" s="187" t="str">
        <x:v>SHAPLEY</x:v>
      </x:c>
      <x:c r="D557" s="187" t="str">
        <x:v>PRICE</x:v>
      </x:c>
      <x:c r="E557" s="187" t="str">
        <x:v>ALL</x:v>
      </x:c>
      <x:c r="F557" s="187" t="str">
        <x:v>0.0000000000000000000000000000000000000000000000000000000000000000000000000000000000000000000000000000000000000000</x:v>
      </x:c>
      <x:c r="G557" s="235" t="n">
        <x:v>0</x:v>
      </x:c>
      <x:c r="H557" s="235"/>
      <x:c r="I557" s="229"/>
      <x:c r="J557" s="187"/>
    </x:row>
    <x:row r="558">
      <x:c r="A558" s="187" t="str">
        <x:v>SCENARIO_COST_SAVING_VS_FORECAST</x:v>
      </x:c>
      <x:c r="B558" s="217" t="n">
        <x:v>46296</x:v>
      </x:c>
      <x:c r="C558" s="187" t="str">
        <x:v>SHAPLEY</x:v>
      </x:c>
      <x:c r="D558" s="187" t="str">
        <x:v>PRICE</x:v>
      </x:c>
      <x:c r="E558" s="187" t="str">
        <x:v>DE</x:v>
      </x:c>
      <x:c r="F558" s="187" t="str">
        <x:v>0.0000000000000000000000000000000000000000000000000000000000000000000000000000000000000000000000000000000000</x:v>
      </x:c>
      <x:c r="G558" s="235" t="n">
        <x:v>0</x:v>
      </x:c>
      <x:c r="H558" s="235"/>
      <x:c r="I558" s="229"/>
      <x:c r="J558" s="187"/>
    </x:row>
    <x:row r="559">
      <x:c r="A559" s="187" t="str">
        <x:v>SCENARIO_COST_SAVING_VS_FORECAST</x:v>
      </x:c>
      <x:c r="B559" s="217" t="n">
        <x:v>46296</x:v>
      </x:c>
      <x:c r="C559" s="187" t="str">
        <x:v>SHAPLEY</x:v>
      </x:c>
      <x:c r="D559" s="187" t="str">
        <x:v>PRICE</x:v>
      </x:c>
      <x:c r="E559" s="187" t="str">
        <x:v>FR</x:v>
      </x:c>
      <x:c r="F559" s="187" t="str">
        <x:v>0.00000000000000000000000000000000000000000000000000000000000000000000000000000000000000000000000000000000</x:v>
      </x:c>
      <x:c r="G559" s="235" t="n">
        <x:v>0</x:v>
      </x:c>
      <x:c r="H559" s="235"/>
      <x:c r="I559" s="229"/>
      <x:c r="J559" s="187"/>
    </x:row>
    <x:row r="560">
      <x:c r="A560" s="187" t="str">
        <x:v>SCENARIO_COST_SAVING_VS_FORECAST</x:v>
      </x:c>
      <x:c r="B560" s="217" t="n">
        <x:v>46296</x:v>
      </x:c>
      <x:c r="C560" s="187" t="str">
        <x:v>SHAPLEY</x:v>
      </x:c>
      <x:c r="D560" s="187" t="str">
        <x:v>PRICE</x:v>
      </x:c>
      <x:c r="E560" s="187" t="str">
        <x:v>GB</x:v>
      </x:c>
      <x:c r="F560" s="187" t="str">
        <x:v>0.0000000000000000000000000000000000000000000000000000000000000000000000000000000000000000000000000000000000000000</x:v>
      </x:c>
      <x:c r="G560" s="235" t="n">
        <x:v>0</x:v>
      </x:c>
      <x:c r="H560" s="235"/>
      <x:c r="I560" s="229"/>
      <x:c r="J560" s="187"/>
    </x:row>
    <x:row r="561">
      <x:c r="A561" s="187" t="str">
        <x:v>SCENARIO_COST_SAVING_VS_FORECAST</x:v>
      </x:c>
      <x:c r="B561" s="217" t="n">
        <x:v>46296</x:v>
      </x:c>
      <x:c r="C561" s="187" t="str">
        <x:v>SHAPLEY</x:v>
      </x:c>
      <x:c r="D561" s="187" t="str">
        <x:v>VOLUME</x:v>
      </x:c>
      <x:c r="E561" s="187" t="str">
        <x:v>ALL</x:v>
      </x:c>
      <x:c r="F561" s="187" t="str">
        <x:v>0.0000000000000000000000000000000000000000000000000000000000000000000000000000000000000000000000000000000000000000</x:v>
      </x:c>
      <x:c r="G561" s="235" t="n">
        <x:v>0</x:v>
      </x:c>
      <x:c r="H561" s="235"/>
      <x:c r="I561" s="229"/>
      <x:c r="J561" s="187"/>
    </x:row>
    <x:row r="562">
      <x:c r="A562" s="187" t="str">
        <x:v>SCENARIO_COST_SAVING_VS_FORECAST</x:v>
      </x:c>
      <x:c r="B562" s="217" t="n">
        <x:v>46296</x:v>
      </x:c>
      <x:c r="C562" s="187" t="str">
        <x:v>SHAPLEY</x:v>
      </x:c>
      <x:c r="D562" s="187" t="str">
        <x:v>VOLUME</x:v>
      </x:c>
      <x:c r="E562" s="187" t="str">
        <x:v>DE</x:v>
      </x:c>
      <x:c r="F562" s="187" t="str">
        <x:v>0.0000000000000000000000000000000000000000000000000000000000000000000000000000000000000000000000000000000000</x:v>
      </x:c>
      <x:c r="G562" s="235" t="n">
        <x:v>0</x:v>
      </x:c>
      <x:c r="H562" s="235"/>
      <x:c r="I562" s="229"/>
      <x:c r="J562" s="187"/>
    </x:row>
    <x:row r="563">
      <x:c r="A563" s="187" t="str">
        <x:v>SCENARIO_COST_SAVING_VS_FORECAST</x:v>
      </x:c>
      <x:c r="B563" s="217" t="n">
        <x:v>46296</x:v>
      </x:c>
      <x:c r="C563" s="187" t="str">
        <x:v>SHAPLEY</x:v>
      </x:c>
      <x:c r="D563" s="187" t="str">
        <x:v>VOLUME</x:v>
      </x:c>
      <x:c r="E563" s="187" t="str">
        <x:v>FR</x:v>
      </x:c>
      <x:c r="F563" s="187" t="str">
        <x:v>0.00000000000000000000000000000000000000000000000000000000000000000000000000000000000000000000000000000000</x:v>
      </x:c>
      <x:c r="G563" s="235" t="n">
        <x:v>0</x:v>
      </x:c>
      <x:c r="H563" s="235"/>
      <x:c r="I563" s="229"/>
      <x:c r="J563" s="187"/>
    </x:row>
    <x:row r="564">
      <x:c r="A564" s="187" t="str">
        <x:v>SCENARIO_COST_SAVING_VS_FORECAST</x:v>
      </x:c>
      <x:c r="B564" s="217" t="n">
        <x:v>46296</x:v>
      </x:c>
      <x:c r="C564" s="187" t="str">
        <x:v>SHAPLEY</x:v>
      </x:c>
      <x:c r="D564" s="187" t="str">
        <x:v>VOLUME</x:v>
      </x:c>
      <x:c r="E564" s="187" t="str">
        <x:v>GB</x:v>
      </x:c>
      <x:c r="F564" s="187" t="str">
        <x:v>0.0000000000000000000000000000000000000000000000000000000000000000000000000000000000000000000000000000000000000000</x:v>
      </x:c>
      <x:c r="G564" s="235" t="n">
        <x:v>0</x:v>
      </x:c>
      <x:c r="H564" s="235"/>
      <x:c r="I564" s="229"/>
      <x:c r="J564" s="187"/>
    </x:row>
    <x:row r="565">
      <x:c r="A565" s="187" t="str">
        <x:v>SCENARIO_COST_SAVING_VS_FORECAST</x:v>
      </x:c>
      <x:c r="B565" s="217" t="n">
        <x:v>46327</x:v>
      </x:c>
      <x:c r="C565" s="187" t="str">
        <x:v>CHAIN</x:v>
      </x:c>
      <x:c r="D565" s="187" t="str">
        <x:v>EFFICIENCY</x:v>
      </x:c>
      <x:c r="E565" s="187" t="str">
        <x:v>ALL</x:v>
      </x:c>
      <x:c r="F565" s="187" t="str">
        <x:v>-20236.5171920409061811559137280000000</x:v>
      </x:c>
      <x:c r="G565" s="235" t="n">
        <x:v>-20236.5172</x:v>
      </x:c>
      <x:c r="H565" s="235" t="n">
        <x:v>851.3318980116244</x:v>
      </x:c>
      <x:c r="I565" s="229" t="n">
        <x:v>0.012018059709028632</x:v>
      </x:c>
      <x:c r="J565" s="254" t="b">
        <x:v>0</x:v>
      </x:c>
    </x:row>
    <x:row r="566">
      <x:c r="A566" s="187" t="str">
        <x:v>SCENARIO_COST_SAVING_VS_FORECAST</x:v>
      </x:c>
      <x:c r="B566" s="217" t="n">
        <x:v>46327</x:v>
      </x:c>
      <x:c r="C566" s="187" t="str">
        <x:v>CHAIN</x:v>
      </x:c>
      <x:c r="D566" s="187" t="str">
        <x:v>EFFICIENCY</x:v>
      </x:c>
      <x:c r="E566" s="187" t="str">
        <x:v>DE</x:v>
      </x:c>
      <x:c r="F566" s="187" t="str">
        <x:v>0.0000000000000000000000000</x:v>
      </x:c>
      <x:c r="G566" s="235" t="n">
        <x:v>0</x:v>
      </x:c>
      <x:c r="H566" s="235"/>
      <x:c r="I566" s="229"/>
      <x:c r="J566" s="187"/>
    </x:row>
    <x:row r="567">
      <x:c r="A567" s="187" t="str">
        <x:v>SCENARIO_COST_SAVING_VS_FORECAST</x:v>
      </x:c>
      <x:c r="B567" s="217" t="n">
        <x:v>46327</x:v>
      </x:c>
      <x:c r="C567" s="187" t="str">
        <x:v>CHAIN</x:v>
      </x:c>
      <x:c r="D567" s="187" t="str">
        <x:v>EFFICIENCY</x:v>
      </x:c>
      <x:c r="E567" s="187" t="str">
        <x:v>FR</x:v>
      </x:c>
      <x:c r="F567" s="187" t="str">
        <x:v>0.00000000000000000000000</x:v>
      </x:c>
      <x:c r="G567" s="235" t="n">
        <x:v>0</x:v>
      </x:c>
      <x:c r="H567" s="235"/>
      <x:c r="I567" s="229"/>
      <x:c r="J567" s="187"/>
    </x:row>
    <x:row r="568">
      <x:c r="A568" s="187" t="str">
        <x:v>SCENARIO_COST_SAVING_VS_FORECAST</x:v>
      </x:c>
      <x:c r="B568" s="217" t="n">
        <x:v>46327</x:v>
      </x:c>
      <x:c r="C568" s="187" t="str">
        <x:v>CHAIN</x:v>
      </x:c>
      <x:c r="D568" s="187" t="str">
        <x:v>EFFICIENCY</x:v>
      </x:c>
      <x:c r="E568" s="187" t="str">
        <x:v>GB</x:v>
      </x:c>
      <x:c r="F568" s="187" t="str">
        <x:v>-20236.5171920409061811559137280000000</x:v>
      </x:c>
      <x:c r="G568" s="235" t="n">
        <x:v>-20236.5172</x:v>
      </x:c>
      <x:c r="H568" s="235"/>
      <x:c r="I568" s="229"/>
      <x:c r="J568" s="187"/>
    </x:row>
    <x:row r="569">
      <x:c r="A569" s="187" t="str">
        <x:v>SCENARIO_COST_SAVING_VS_FORECAST</x:v>
      </x:c>
      <x:c r="B569" s="217" t="n">
        <x:v>46327</x:v>
      </x:c>
      <x:c r="C569" s="187" t="str">
        <x:v>CHAIN</x:v>
      </x:c>
      <x:c r="D569" s="187" t="str">
        <x:v>FX</x:v>
      </x:c>
      <x:c r="E569" s="187" t="str">
        <x:v>ALL</x:v>
      </x:c>
      <x:c r="F569" s="187" t="str">
        <x:v>0.0000000000000000000000000000000</x:v>
      </x:c>
      <x:c r="G569" s="235" t="n">
        <x:v>0</x:v>
      </x:c>
      <x:c r="H569" s="235" t="n">
        <x:v>0</x:v>
      </x:c>
      <x:c r="I569" s="229" t="n">
        <x:v>0</x:v>
      </x:c>
      <x:c r="J569" s="254" t="b">
        <x:v>0</x:v>
      </x:c>
    </x:row>
    <x:row r="570">
      <x:c r="A570" s="187" t="str">
        <x:v>SCENARIO_COST_SAVING_VS_FORECAST</x:v>
      </x:c>
      <x:c r="B570" s="217" t="n">
        <x:v>46327</x:v>
      </x:c>
      <x:c r="C570" s="187" t="str">
        <x:v>CHAIN</x:v>
      </x:c>
      <x:c r="D570" s="187" t="str">
        <x:v>FX</x:v>
      </x:c>
      <x:c r="E570" s="187" t="str">
        <x:v>DE</x:v>
      </x:c>
      <x:c r="F570" s="187" t="str">
        <x:v>0.0000000000000000000000000</x:v>
      </x:c>
      <x:c r="G570" s="235" t="n">
        <x:v>0</x:v>
      </x:c>
      <x:c r="H570" s="235"/>
      <x:c r="I570" s="229"/>
      <x:c r="J570" s="187"/>
    </x:row>
    <x:row r="571">
      <x:c r="A571" s="187" t="str">
        <x:v>SCENARIO_COST_SAVING_VS_FORECAST</x:v>
      </x:c>
      <x:c r="B571" s="217" t="n">
        <x:v>46327</x:v>
      </x:c>
      <x:c r="C571" s="187" t="str">
        <x:v>CHAIN</x:v>
      </x:c>
      <x:c r="D571" s="187" t="str">
        <x:v>FX</x:v>
      </x:c>
      <x:c r="E571" s="187" t="str">
        <x:v>FR</x:v>
      </x:c>
      <x:c r="F571" s="187" t="str">
        <x:v>0.00000000000000000000000</x:v>
      </x:c>
      <x:c r="G571" s="235" t="n">
        <x:v>0</x:v>
      </x:c>
      <x:c r="H571" s="235"/>
      <x:c r="I571" s="229"/>
      <x:c r="J571" s="187"/>
    </x:row>
    <x:row r="572">
      <x:c r="A572" s="187" t="str">
        <x:v>SCENARIO_COST_SAVING_VS_FORECAST</x:v>
      </x:c>
      <x:c r="B572" s="217" t="n">
        <x:v>46327</x:v>
      </x:c>
      <x:c r="C572" s="187" t="str">
        <x:v>CHAIN</x:v>
      </x:c>
      <x:c r="D572" s="187" t="str">
        <x:v>FX</x:v>
      </x:c>
      <x:c r="E572" s="187" t="str">
        <x:v>GB</x:v>
      </x:c>
      <x:c r="F572" s="187" t="str">
        <x:v>0.0000000000000000000000000000000</x:v>
      </x:c>
      <x:c r="G572" s="235" t="n">
        <x:v>0</x:v>
      </x:c>
      <x:c r="H572" s="235"/>
      <x:c r="I572" s="229"/>
      <x:c r="J572" s="187"/>
    </x:row>
    <x:row r="573">
      <x:c r="A573" s="187" t="str">
        <x:v>SCENARIO_COST_SAVING_VS_FORECAST</x:v>
      </x:c>
      <x:c r="B573" s="217" t="n">
        <x:v>46327</x:v>
      </x:c>
      <x:c r="C573" s="187" t="str">
        <x:v>CHAIN</x:v>
      </x:c>
      <x:c r="D573" s="187" t="str">
        <x:v>MIX</x:v>
      </x:c>
      <x:c r="E573" s="187" t="str">
        <x:v>ALL</x:v>
      </x:c>
      <x:c r="F573" s="187" t="str">
        <x:v>-50601.1985976432334856040529920000000</x:v>
      </x:c>
      <x:c r="G573" s="235" t="n">
        <x:v>-50601.1986</x:v>
      </x:c>
      <x:c r="H573" s="235" t="n">
        <x:v>851.3318980116244</x:v>
      </x:c>
      <x:c r="I573" s="229" t="n">
        <x:v>0.012018059709028632</x:v>
      </x:c>
      <x:c r="J573" s="254" t="b">
        <x:v>0</x:v>
      </x:c>
    </x:row>
    <x:row r="574">
      <x:c r="A574" s="187" t="str">
        <x:v>SCENARIO_COST_SAVING_VS_FORECAST</x:v>
      </x:c>
      <x:c r="B574" s="217" t="n">
        <x:v>46327</x:v>
      </x:c>
      <x:c r="C574" s="187" t="str">
        <x:v>CHAIN</x:v>
      </x:c>
      <x:c r="D574" s="187" t="str">
        <x:v>MIX</x:v>
      </x:c>
      <x:c r="E574" s="187" t="str">
        <x:v>DE</x:v>
      </x:c>
      <x:c r="F574" s="187" t="str">
        <x:v>0.0000000000000000000000000</x:v>
      </x:c>
      <x:c r="G574" s="235" t="n">
        <x:v>0</x:v>
      </x:c>
      <x:c r="H574" s="235"/>
      <x:c r="I574" s="229"/>
      <x:c r="J574" s="187"/>
    </x:row>
    <x:row r="575">
      <x:c r="A575" s="187" t="str">
        <x:v>SCENARIO_COST_SAVING_VS_FORECAST</x:v>
      </x:c>
      <x:c r="B575" s="217" t="n">
        <x:v>46327</x:v>
      </x:c>
      <x:c r="C575" s="187" t="str">
        <x:v>CHAIN</x:v>
      </x:c>
      <x:c r="D575" s="187" t="str">
        <x:v>MIX</x:v>
      </x:c>
      <x:c r="E575" s="187" t="str">
        <x:v>FR</x:v>
      </x:c>
      <x:c r="F575" s="187" t="str">
        <x:v>0.00000000000000000000000</x:v>
      </x:c>
      <x:c r="G575" s="235" t="n">
        <x:v>0</x:v>
      </x:c>
      <x:c r="H575" s="235"/>
      <x:c r="I575" s="229"/>
      <x:c r="J575" s="187"/>
    </x:row>
    <x:row r="576">
      <x:c r="A576" s="187" t="str">
        <x:v>SCENARIO_COST_SAVING_VS_FORECAST</x:v>
      </x:c>
      <x:c r="B576" s="217" t="n">
        <x:v>46327</x:v>
      </x:c>
      <x:c r="C576" s="187" t="str">
        <x:v>CHAIN</x:v>
      </x:c>
      <x:c r="D576" s="187" t="str">
        <x:v>MIX</x:v>
      </x:c>
      <x:c r="E576" s="187" t="str">
        <x:v>GB</x:v>
      </x:c>
      <x:c r="F576" s="187" t="str">
        <x:v>-50601.1985976432334856040529920000000</x:v>
      </x:c>
      <x:c r="G576" s="235" t="n">
        <x:v>-50601.1986</x:v>
      </x:c>
      <x:c r="H576" s="235"/>
      <x:c r="I576" s="229"/>
      <x:c r="J576" s="187"/>
    </x:row>
    <x:row r="577">
      <x:c r="A577" s="187" t="str">
        <x:v>SCENARIO_COST_SAVING_VS_FORECAST</x:v>
      </x:c>
      <x:c r="B577" s="217" t="n">
        <x:v>46327</x:v>
      </x:c>
      <x:c r="C577" s="187" t="str">
        <x:v>CHAIN</x:v>
      </x:c>
      <x:c r="D577" s="187" t="str">
        <x:v>PRICE</x:v>
      </x:c>
      <x:c r="E577" s="187" t="str">
        <x:v>ALL</x:v>
      </x:c>
      <x:c r="F577" s="187" t="str">
        <x:v>0.0000000000000000000000000000000</x:v>
      </x:c>
      <x:c r="G577" s="235" t="n">
        <x:v>0</x:v>
      </x:c>
      <x:c r="H577" s="235" t="n">
        <x:v>0</x:v>
      </x:c>
      <x:c r="I577" s="229" t="n">
        <x:v>0</x:v>
      </x:c>
      <x:c r="J577" s="254" t="b">
        <x:v>0</x:v>
      </x:c>
    </x:row>
    <x:row r="578">
      <x:c r="A578" s="187" t="str">
        <x:v>SCENARIO_COST_SAVING_VS_FORECAST</x:v>
      </x:c>
      <x:c r="B578" s="217" t="n">
        <x:v>46327</x:v>
      </x:c>
      <x:c r="C578" s="187" t="str">
        <x:v>CHAIN</x:v>
      </x:c>
      <x:c r="D578" s="187" t="str">
        <x:v>PRICE</x:v>
      </x:c>
      <x:c r="E578" s="187" t="str">
        <x:v>DE</x:v>
      </x:c>
      <x:c r="F578" s="187" t="str">
        <x:v>0.0000000000000000000000000</x:v>
      </x:c>
      <x:c r="G578" s="235" t="n">
        <x:v>0</x:v>
      </x:c>
      <x:c r="H578" s="235"/>
      <x:c r="I578" s="229"/>
      <x:c r="J578" s="187"/>
    </x:row>
    <x:row r="579">
      <x:c r="A579" s="187" t="str">
        <x:v>SCENARIO_COST_SAVING_VS_FORECAST</x:v>
      </x:c>
      <x:c r="B579" s="217" t="n">
        <x:v>46327</x:v>
      </x:c>
      <x:c r="C579" s="187" t="str">
        <x:v>CHAIN</x:v>
      </x:c>
      <x:c r="D579" s="187" t="str">
        <x:v>PRICE</x:v>
      </x:c>
      <x:c r="E579" s="187" t="str">
        <x:v>FR</x:v>
      </x:c>
      <x:c r="F579" s="187" t="str">
        <x:v>0.00000000000000000000000</x:v>
      </x:c>
      <x:c r="G579" s="235" t="n">
        <x:v>0</x:v>
      </x:c>
      <x:c r="H579" s="235"/>
      <x:c r="I579" s="229"/>
      <x:c r="J579" s="187"/>
    </x:row>
    <x:row r="580">
      <x:c r="A580" s="187" t="str">
        <x:v>SCENARIO_COST_SAVING_VS_FORECAST</x:v>
      </x:c>
      <x:c r="B580" s="217" t="n">
        <x:v>46327</x:v>
      </x:c>
      <x:c r="C580" s="187" t="str">
        <x:v>CHAIN</x:v>
      </x:c>
      <x:c r="D580" s="187" t="str">
        <x:v>PRICE</x:v>
      </x:c>
      <x:c r="E580" s="187" t="str">
        <x:v>GB</x:v>
      </x:c>
      <x:c r="F580" s="187" t="str">
        <x:v>0.0000000000000000000000000000000</x:v>
      </x:c>
      <x:c r="G580" s="235" t="n">
        <x:v>0</x:v>
      </x:c>
      <x:c r="H580" s="235"/>
      <x:c r="I580" s="229"/>
      <x:c r="J580" s="187"/>
    </x:row>
    <x:row r="581">
      <x:c r="A581" s="187" t="str">
        <x:v>SCENARIO_COST_SAVING_VS_FORECAST</x:v>
      </x:c>
      <x:c r="B581" s="217" t="n">
        <x:v>46327</x:v>
      </x:c>
      <x:c r="C581" s="187" t="str">
        <x:v>CHAIN</x:v>
      </x:c>
      <x:c r="D581" s="187" t="str">
        <x:v>VOLUME</x:v>
      </x:c>
      <x:c r="E581" s="187" t="str">
        <x:v>ALL</x:v>
      </x:c>
      <x:c r="F581" s="187" t="str">
        <x:v>0.0000000000000000000000000000000</x:v>
      </x:c>
      <x:c r="G581" s="235" t="n">
        <x:v>0</x:v>
      </x:c>
      <x:c r="H581" s="235" t="n">
        <x:v>0</x:v>
      </x:c>
      <x:c r="I581" s="229" t="n">
        <x:v>0</x:v>
      </x:c>
      <x:c r="J581" s="254" t="b">
        <x:v>0</x:v>
      </x:c>
    </x:row>
    <x:row r="582">
      <x:c r="A582" s="187" t="str">
        <x:v>SCENARIO_COST_SAVING_VS_FORECAST</x:v>
      </x:c>
      <x:c r="B582" s="217" t="n">
        <x:v>46327</x:v>
      </x:c>
      <x:c r="C582" s="187" t="str">
        <x:v>CHAIN</x:v>
      </x:c>
      <x:c r="D582" s="187" t="str">
        <x:v>VOLUME</x:v>
      </x:c>
      <x:c r="E582" s="187" t="str">
        <x:v>DE</x:v>
      </x:c>
      <x:c r="F582" s="187" t="str">
        <x:v>0.0000000000000000000000000</x:v>
      </x:c>
      <x:c r="G582" s="235" t="n">
        <x:v>0</x:v>
      </x:c>
      <x:c r="H582" s="235"/>
      <x:c r="I582" s="229"/>
      <x:c r="J582" s="187"/>
    </x:row>
    <x:row r="583">
      <x:c r="A583" s="187" t="str">
        <x:v>SCENARIO_COST_SAVING_VS_FORECAST</x:v>
      </x:c>
      <x:c r="B583" s="217" t="n">
        <x:v>46327</x:v>
      </x:c>
      <x:c r="C583" s="187" t="str">
        <x:v>CHAIN</x:v>
      </x:c>
      <x:c r="D583" s="187" t="str">
        <x:v>VOLUME</x:v>
      </x:c>
      <x:c r="E583" s="187" t="str">
        <x:v>FR</x:v>
      </x:c>
      <x:c r="F583" s="187" t="str">
        <x:v>0.00000000000000000000000</x:v>
      </x:c>
      <x:c r="G583" s="235" t="n">
        <x:v>0</x:v>
      </x:c>
      <x:c r="H583" s="235"/>
      <x:c r="I583" s="229"/>
      <x:c r="J583" s="187"/>
    </x:row>
    <x:row r="584">
      <x:c r="A584" s="187" t="str">
        <x:v>SCENARIO_COST_SAVING_VS_FORECAST</x:v>
      </x:c>
      <x:c r="B584" s="217" t="n">
        <x:v>46327</x:v>
      </x:c>
      <x:c r="C584" s="187" t="str">
        <x:v>CHAIN</x:v>
      </x:c>
      <x:c r="D584" s="187" t="str">
        <x:v>VOLUME</x:v>
      </x:c>
      <x:c r="E584" s="187" t="str">
        <x:v>GB</x:v>
      </x:c>
      <x:c r="F584" s="187" t="str">
        <x:v>0.0000000000000000000000000000000</x:v>
      </x:c>
      <x:c r="G584" s="235" t="n">
        <x:v>0</x:v>
      </x:c>
      <x:c r="H584" s="235"/>
      <x:c r="I584" s="229"/>
      <x:c r="J584" s="187"/>
    </x:row>
    <x:row r="585">
      <x:c r="A585" s="187" t="str">
        <x:v>SCENARIO_COST_SAVING_VS_FORECAST</x:v>
      </x:c>
      <x:c r="B585" s="217" t="n">
        <x:v>46327</x:v>
      </x:c>
      <x:c r="C585" s="187" t="str">
        <x:v>SHAPLEY</x:v>
      </x:c>
      <x:c r="D585" s="187" t="str">
        <x:v>EFFICIENCY</x:v>
      </x:c>
      <x:c r="E585" s="187" t="str">
        <x:v>ALL</x:v>
      </x:c>
      <x:c r="F585" s="187" t="str">
        <x:v>-21087.849090052530540226068480000000000000000000000000000000000000000000000000000</x:v>
      </x:c>
      <x:c r="G585" s="235" t="n">
        <x:v>-21087.8491</x:v>
      </x:c>
      <x:c r="H585" s="235"/>
      <x:c r="I585" s="229"/>
      <x:c r="J585" s="187"/>
    </x:row>
    <x:row r="586">
      <x:c r="A586" s="187" t="str">
        <x:v>SCENARIO_COST_SAVING_VS_FORECAST</x:v>
      </x:c>
      <x:c r="B586" s="217" t="n">
        <x:v>46327</x:v>
      </x:c>
      <x:c r="C586" s="187" t="str">
        <x:v>SHAPLEY</x:v>
      </x:c>
      <x:c r="D586" s="187" t="str">
        <x:v>EFFICIENCY</x:v>
      </x:c>
      <x:c r="E586" s="187" t="str">
        <x:v>DE</x:v>
      </x:c>
      <x:c r="F586" s="187" t="str">
        <x:v>0.0000000000000000000000000000000000000000000000000000000000000000000000000000000000000000000000000000000000</x:v>
      </x:c>
      <x:c r="G586" s="235" t="n">
        <x:v>0</x:v>
      </x:c>
      <x:c r="H586" s="235"/>
      <x:c r="I586" s="229"/>
      <x:c r="J586" s="187"/>
    </x:row>
    <x:row r="587">
      <x:c r="A587" s="187" t="str">
        <x:v>SCENARIO_COST_SAVING_VS_FORECAST</x:v>
      </x:c>
      <x:c r="B587" s="217" t="n">
        <x:v>46327</x:v>
      </x:c>
      <x:c r="C587" s="187" t="str">
        <x:v>SHAPLEY</x:v>
      </x:c>
      <x:c r="D587" s="187" t="str">
        <x:v>EFFICIENCY</x:v>
      </x:c>
      <x:c r="E587" s="187" t="str">
        <x:v>FR</x:v>
      </x:c>
      <x:c r="F587" s="187" t="str">
        <x:v>0.00000000000000000000000000000000000000000000000000000000000000000000000000000000000000000000000000000000</x:v>
      </x:c>
      <x:c r="G587" s="235" t="n">
        <x:v>0</x:v>
      </x:c>
      <x:c r="H587" s="235"/>
      <x:c r="I587" s="229"/>
      <x:c r="J587" s="187"/>
    </x:row>
    <x:row r="588">
      <x:c r="A588" s="187" t="str">
        <x:v>SCENARIO_COST_SAVING_VS_FORECAST</x:v>
      </x:c>
      <x:c r="B588" s="217" t="n">
        <x:v>46327</x:v>
      </x:c>
      <x:c r="C588" s="187" t="str">
        <x:v>SHAPLEY</x:v>
      </x:c>
      <x:c r="D588" s="187" t="str">
        <x:v>EFFICIENCY</x:v>
      </x:c>
      <x:c r="E588" s="187" t="str">
        <x:v>GB</x:v>
      </x:c>
      <x:c r="F588" s="187" t="str">
        <x:v>-21087.849090052530540226068480000000000000000000000000000000000000000000000000000</x:v>
      </x:c>
      <x:c r="G588" s="235" t="n">
        <x:v>-21087.8491</x:v>
      </x:c>
      <x:c r="H588" s="235"/>
      <x:c r="I588" s="229"/>
      <x:c r="J588" s="187"/>
    </x:row>
    <x:row r="589">
      <x:c r="A589" s="187" t="str">
        <x:v>SCENARIO_COST_SAVING_VS_FORECAST</x:v>
      </x:c>
      <x:c r="B589" s="217" t="n">
        <x:v>46327</x:v>
      </x:c>
      <x:c r="C589" s="187" t="str">
        <x:v>SHAPLEY</x:v>
      </x:c>
      <x:c r="D589" s="187" t="str">
        <x:v>FX</x:v>
      </x:c>
      <x:c r="E589" s="187" t="str">
        <x:v>ALL</x:v>
      </x:c>
      <x:c r="F589" s="187" t="str">
        <x:v>0.0000000000000000000000000000000000000000000000000000000000000000000000000000000000000000000000000000000000000000</x:v>
      </x:c>
      <x:c r="G589" s="235" t="n">
        <x:v>0</x:v>
      </x:c>
      <x:c r="H589" s="235"/>
      <x:c r="I589" s="229"/>
      <x:c r="J589" s="187"/>
    </x:row>
    <x:row r="590">
      <x:c r="A590" s="187" t="str">
        <x:v>SCENARIO_COST_SAVING_VS_FORECAST</x:v>
      </x:c>
      <x:c r="B590" s="217" t="n">
        <x:v>46327</x:v>
      </x:c>
      <x:c r="C590" s="187" t="str">
        <x:v>SHAPLEY</x:v>
      </x:c>
      <x:c r="D590" s="187" t="str">
        <x:v>FX</x:v>
      </x:c>
      <x:c r="E590" s="187" t="str">
        <x:v>DE</x:v>
      </x:c>
      <x:c r="F590" s="187" t="str">
        <x:v>0.0000000000000000000000000000000000000000000000000000000000000000000000000000000000000000000000000000000000</x:v>
      </x:c>
      <x:c r="G590" s="235" t="n">
        <x:v>0</x:v>
      </x:c>
      <x:c r="H590" s="235"/>
      <x:c r="I590" s="229"/>
      <x:c r="J590" s="187"/>
    </x:row>
    <x:row r="591">
      <x:c r="A591" s="187" t="str">
        <x:v>SCENARIO_COST_SAVING_VS_FORECAST</x:v>
      </x:c>
      <x:c r="B591" s="217" t="n">
        <x:v>46327</x:v>
      </x:c>
      <x:c r="C591" s="187" t="str">
        <x:v>SHAPLEY</x:v>
      </x:c>
      <x:c r="D591" s="187" t="str">
        <x:v>FX</x:v>
      </x:c>
      <x:c r="E591" s="187" t="str">
        <x:v>FR</x:v>
      </x:c>
      <x:c r="F591" s="187" t="str">
        <x:v>0.00000000000000000000000000000000000000000000000000000000000000000000000000000000000000000000000000000000</x:v>
      </x:c>
      <x:c r="G591" s="235" t="n">
        <x:v>0</x:v>
      </x:c>
      <x:c r="H591" s="235"/>
      <x:c r="I591" s="229"/>
      <x:c r="J591" s="187"/>
    </x:row>
    <x:row r="592">
      <x:c r="A592" s="187" t="str">
        <x:v>SCENARIO_COST_SAVING_VS_FORECAST</x:v>
      </x:c>
      <x:c r="B592" s="217" t="n">
        <x:v>46327</x:v>
      </x:c>
      <x:c r="C592" s="187" t="str">
        <x:v>SHAPLEY</x:v>
      </x:c>
      <x:c r="D592" s="187" t="str">
        <x:v>FX</x:v>
      </x:c>
      <x:c r="E592" s="187" t="str">
        <x:v>GB</x:v>
      </x:c>
      <x:c r="F592" s="187" t="str">
        <x:v>0.0000000000000000000000000000000000000000000000000000000000000000000000000000000000000000000000000000000000000000</x:v>
      </x:c>
      <x:c r="G592" s="235" t="n">
        <x:v>0</x:v>
      </x:c>
      <x:c r="H592" s="235"/>
      <x:c r="I592" s="229"/>
      <x:c r="J592" s="187"/>
    </x:row>
    <x:row r="593">
      <x:c r="A593" s="187" t="str">
        <x:v>SCENARIO_COST_SAVING_VS_FORECAST</x:v>
      </x:c>
      <x:c r="B593" s="217" t="n">
        <x:v>46327</x:v>
      </x:c>
      <x:c r="C593" s="187" t="str">
        <x:v>SHAPLEY</x:v>
      </x:c>
      <x:c r="D593" s="187" t="str">
        <x:v>MIX</x:v>
      </x:c>
      <x:c r="E593" s="187" t="str">
        <x:v>ALL</x:v>
      </x:c>
      <x:c r="F593" s="187" t="str">
        <x:v>-49749.866699631609126533898240000000000000000000000000000000000000000000000000000</x:v>
      </x:c>
      <x:c r="G593" s="235" t="n">
        <x:v>-49749.8667</x:v>
      </x:c>
      <x:c r="H593" s="235"/>
      <x:c r="I593" s="229"/>
      <x:c r="J593" s="187"/>
    </x:row>
    <x:row r="594">
      <x:c r="A594" s="187" t="str">
        <x:v>SCENARIO_COST_SAVING_VS_FORECAST</x:v>
      </x:c>
      <x:c r="B594" s="217" t="n">
        <x:v>46327</x:v>
      </x:c>
      <x:c r="C594" s="187" t="str">
        <x:v>SHAPLEY</x:v>
      </x:c>
      <x:c r="D594" s="187" t="str">
        <x:v>MIX</x:v>
      </x:c>
      <x:c r="E594" s="187" t="str">
        <x:v>DE</x:v>
      </x:c>
      <x:c r="F594" s="187" t="str">
        <x:v>0.0000000000000000000000000000000000000000000000000000000000000000000000000000000000000000000000000000000000</x:v>
      </x:c>
      <x:c r="G594" s="235" t="n">
        <x:v>0</x:v>
      </x:c>
      <x:c r="H594" s="235"/>
      <x:c r="I594" s="229"/>
      <x:c r="J594" s="187"/>
    </x:row>
    <x:row r="595">
      <x:c r="A595" s="187" t="str">
        <x:v>SCENARIO_COST_SAVING_VS_FORECAST</x:v>
      </x:c>
      <x:c r="B595" s="217" t="n">
        <x:v>46327</x:v>
      </x:c>
      <x:c r="C595" s="187" t="str">
        <x:v>SHAPLEY</x:v>
      </x:c>
      <x:c r="D595" s="187" t="str">
        <x:v>MIX</x:v>
      </x:c>
      <x:c r="E595" s="187" t="str">
        <x:v>FR</x:v>
      </x:c>
      <x:c r="F595" s="187" t="str">
        <x:v>0.00000000000000000000000000000000000000000000000000000000000000000000000000000000000000000000000000000000</x:v>
      </x:c>
      <x:c r="G595" s="235" t="n">
        <x:v>0</x:v>
      </x:c>
      <x:c r="H595" s="235"/>
      <x:c r="I595" s="229"/>
      <x:c r="J595" s="187"/>
    </x:row>
    <x:row r="596">
      <x:c r="A596" s="187" t="str">
        <x:v>SCENARIO_COST_SAVING_VS_FORECAST</x:v>
      </x:c>
      <x:c r="B596" s="217" t="n">
        <x:v>46327</x:v>
      </x:c>
      <x:c r="C596" s="187" t="str">
        <x:v>SHAPLEY</x:v>
      </x:c>
      <x:c r="D596" s="187" t="str">
        <x:v>MIX</x:v>
      </x:c>
      <x:c r="E596" s="187" t="str">
        <x:v>GB</x:v>
      </x:c>
      <x:c r="F596" s="187" t="str">
        <x:v>-49749.866699631609126533898240000000000000000000000000000000000000000000000000000</x:v>
      </x:c>
      <x:c r="G596" s="235" t="n">
        <x:v>-49749.8667</x:v>
      </x:c>
      <x:c r="H596" s="235"/>
      <x:c r="I596" s="229"/>
      <x:c r="J596" s="187"/>
    </x:row>
    <x:row r="597">
      <x:c r="A597" s="187" t="str">
        <x:v>SCENARIO_COST_SAVING_VS_FORECAST</x:v>
      </x:c>
      <x:c r="B597" s="217" t="n">
        <x:v>46327</x:v>
      </x:c>
      <x:c r="C597" s="187" t="str">
        <x:v>SHAPLEY</x:v>
      </x:c>
      <x:c r="D597" s="187" t="str">
        <x:v>PRICE</x:v>
      </x:c>
      <x:c r="E597" s="187" t="str">
        <x:v>ALL</x:v>
      </x:c>
      <x:c r="F597" s="187" t="str">
        <x:v>0.0000000000000000000000000000000000000000000000000000000000000000000000000000000000000000000000000000000000000000</x:v>
      </x:c>
      <x:c r="G597" s="235" t="n">
        <x:v>0</x:v>
      </x:c>
      <x:c r="H597" s="235"/>
      <x:c r="I597" s="229"/>
      <x:c r="J597" s="187"/>
    </x:row>
    <x:row r="598">
      <x:c r="A598" s="187" t="str">
        <x:v>SCENARIO_COST_SAVING_VS_FORECAST</x:v>
      </x:c>
      <x:c r="B598" s="217" t="n">
        <x:v>46327</x:v>
      </x:c>
      <x:c r="C598" s="187" t="str">
        <x:v>SHAPLEY</x:v>
      </x:c>
      <x:c r="D598" s="187" t="str">
        <x:v>PRICE</x:v>
      </x:c>
      <x:c r="E598" s="187" t="str">
        <x:v>DE</x:v>
      </x:c>
      <x:c r="F598" s="187" t="str">
        <x:v>0.0000000000000000000000000000000000000000000000000000000000000000000000000000000000000000000000000000000000</x:v>
      </x:c>
      <x:c r="G598" s="235" t="n">
        <x:v>0</x:v>
      </x:c>
      <x:c r="H598" s="235"/>
      <x:c r="I598" s="229"/>
      <x:c r="J598" s="187"/>
    </x:row>
    <x:row r="599">
      <x:c r="A599" s="187" t="str">
        <x:v>SCENARIO_COST_SAVING_VS_FORECAST</x:v>
      </x:c>
      <x:c r="B599" s="217" t="n">
        <x:v>46327</x:v>
      </x:c>
      <x:c r="C599" s="187" t="str">
        <x:v>SHAPLEY</x:v>
      </x:c>
      <x:c r="D599" s="187" t="str">
        <x:v>PRICE</x:v>
      </x:c>
      <x:c r="E599" s="187" t="str">
        <x:v>FR</x:v>
      </x:c>
      <x:c r="F599" s="187" t="str">
        <x:v>0.00000000000000000000000000000000000000000000000000000000000000000000000000000000000000000000000000000000</x:v>
      </x:c>
      <x:c r="G599" s="235" t="n">
        <x:v>0</x:v>
      </x:c>
      <x:c r="H599" s="235"/>
      <x:c r="I599" s="229"/>
      <x:c r="J599" s="187"/>
    </x:row>
    <x:row r="600">
      <x:c r="A600" s="187" t="str">
        <x:v>SCENARIO_COST_SAVING_VS_FORECAST</x:v>
      </x:c>
      <x:c r="B600" s="217" t="n">
        <x:v>46327</x:v>
      </x:c>
      <x:c r="C600" s="187" t="str">
        <x:v>SHAPLEY</x:v>
      </x:c>
      <x:c r="D600" s="187" t="str">
        <x:v>PRICE</x:v>
      </x:c>
      <x:c r="E600" s="187" t="str">
        <x:v>GB</x:v>
      </x:c>
      <x:c r="F600" s="187" t="str">
        <x:v>0.0000000000000000000000000000000000000000000000000000000000000000000000000000000000000000000000000000000000000000</x:v>
      </x:c>
      <x:c r="G600" s="235" t="n">
        <x:v>0</x:v>
      </x:c>
      <x:c r="H600" s="235"/>
      <x:c r="I600" s="229"/>
      <x:c r="J600" s="187"/>
    </x:row>
    <x:row r="601">
      <x:c r="A601" s="187" t="str">
        <x:v>SCENARIO_COST_SAVING_VS_FORECAST</x:v>
      </x:c>
      <x:c r="B601" s="217" t="n">
        <x:v>46327</x:v>
      </x:c>
      <x:c r="C601" s="187" t="str">
        <x:v>SHAPLEY</x:v>
      </x:c>
      <x:c r="D601" s="187" t="str">
        <x:v>VOLUME</x:v>
      </x:c>
      <x:c r="E601" s="187" t="str">
        <x:v>ALL</x:v>
      </x:c>
      <x:c r="F601" s="187" t="str">
        <x:v>0.0000000000000000000000000000000000000000000000000000000000000000000000000000000000000000000000000000000000000000</x:v>
      </x:c>
      <x:c r="G601" s="235" t="n">
        <x:v>0</x:v>
      </x:c>
      <x:c r="H601" s="235"/>
      <x:c r="I601" s="229"/>
      <x:c r="J601" s="187"/>
    </x:row>
    <x:row r="602">
      <x:c r="A602" s="187" t="str">
        <x:v>SCENARIO_COST_SAVING_VS_FORECAST</x:v>
      </x:c>
      <x:c r="B602" s="217" t="n">
        <x:v>46327</x:v>
      </x:c>
      <x:c r="C602" s="187" t="str">
        <x:v>SHAPLEY</x:v>
      </x:c>
      <x:c r="D602" s="187" t="str">
        <x:v>VOLUME</x:v>
      </x:c>
      <x:c r="E602" s="187" t="str">
        <x:v>DE</x:v>
      </x:c>
      <x:c r="F602" s="187" t="str">
        <x:v>0.0000000000000000000000000000000000000000000000000000000000000000000000000000000000000000000000000000000000</x:v>
      </x:c>
      <x:c r="G602" s="235" t="n">
        <x:v>0</x:v>
      </x:c>
      <x:c r="H602" s="235"/>
      <x:c r="I602" s="229"/>
      <x:c r="J602" s="187"/>
    </x:row>
    <x:row r="603">
      <x:c r="A603" s="187" t="str">
        <x:v>SCENARIO_COST_SAVING_VS_FORECAST</x:v>
      </x:c>
      <x:c r="B603" s="217" t="n">
        <x:v>46327</x:v>
      </x:c>
      <x:c r="C603" s="187" t="str">
        <x:v>SHAPLEY</x:v>
      </x:c>
      <x:c r="D603" s="187" t="str">
        <x:v>VOLUME</x:v>
      </x:c>
      <x:c r="E603" s="187" t="str">
        <x:v>FR</x:v>
      </x:c>
      <x:c r="F603" s="187" t="str">
        <x:v>0.00000000000000000000000000000000000000000000000000000000000000000000000000000000000000000000000000000000</x:v>
      </x:c>
      <x:c r="G603" s="235" t="n">
        <x:v>0</x:v>
      </x:c>
      <x:c r="H603" s="235"/>
      <x:c r="I603" s="229"/>
      <x:c r="J603" s="187"/>
    </x:row>
    <x:row r="604">
      <x:c r="A604" s="187" t="str">
        <x:v>SCENARIO_COST_SAVING_VS_FORECAST</x:v>
      </x:c>
      <x:c r="B604" s="217" t="n">
        <x:v>46327</x:v>
      </x:c>
      <x:c r="C604" s="187" t="str">
        <x:v>SHAPLEY</x:v>
      </x:c>
      <x:c r="D604" s="187" t="str">
        <x:v>VOLUME</x:v>
      </x:c>
      <x:c r="E604" s="187" t="str">
        <x:v>GB</x:v>
      </x:c>
      <x:c r="F604" s="187" t="str">
        <x:v>0.0000000000000000000000000000000000000000000000000000000000000000000000000000000000000000000000000000000000000000</x:v>
      </x:c>
      <x:c r="G604" s="235" t="n">
        <x:v>0</x:v>
      </x:c>
      <x:c r="H604" s="235"/>
      <x:c r="I604" s="229"/>
      <x:c r="J604" s="187"/>
    </x:row>
    <x:row r="605">
      <x:c r="A605" s="187" t="str">
        <x:v>SCENARIO_COST_SAVING_VS_FORECAST</x:v>
      </x:c>
      <x:c r="B605" s="217" t="n">
        <x:v>46357</x:v>
      </x:c>
      <x:c r="C605" s="187" t="str">
        <x:v>CHAIN</x:v>
      </x:c>
      <x:c r="D605" s="187" t="str">
        <x:v>EFFICIENCY</x:v>
      </x:c>
      <x:c r="E605" s="187" t="str">
        <x:v>ALL</x:v>
      </x:c>
      <x:c r="F605" s="187" t="str">
        <x:v>-23524.0617246646047998607360000000000</x:v>
      </x:c>
      <x:c r="G605" s="235" t="n">
        <x:v>-23524.0617</x:v>
      </x:c>
      <x:c r="H605" s="235" t="n">
        <x:v>673.9801294644667</x:v>
      </x:c>
      <x:c r="I605" s="229" t="n">
        <x:v>0.010593945518397548</x:v>
      </x:c>
      <x:c r="J605" s="254" t="b">
        <x:v>0</x:v>
      </x:c>
    </x:row>
    <x:row r="606">
      <x:c r="A606" s="187" t="str">
        <x:v>SCENARIO_COST_SAVING_VS_FORECAST</x:v>
      </x:c>
      <x:c r="B606" s="217" t="n">
        <x:v>46357</x:v>
      </x:c>
      <x:c r="C606" s="187" t="str">
        <x:v>CHAIN</x:v>
      </x:c>
      <x:c r="D606" s="187" t="str">
        <x:v>EFFICIENCY</x:v>
      </x:c>
      <x:c r="E606" s="187" t="str">
        <x:v>DE</x:v>
      </x:c>
      <x:c r="F606" s="187" t="str">
        <x:v>0.0000000000000000000000000</x:v>
      </x:c>
      <x:c r="G606" s="235" t="n">
        <x:v>0</x:v>
      </x:c>
      <x:c r="H606" s="235"/>
      <x:c r="I606" s="229"/>
      <x:c r="J606" s="187"/>
    </x:row>
    <x:row r="607">
      <x:c r="A607" s="187" t="str">
        <x:v>SCENARIO_COST_SAVING_VS_FORECAST</x:v>
      </x:c>
      <x:c r="B607" s="217" t="n">
        <x:v>46357</x:v>
      </x:c>
      <x:c r="C607" s="187" t="str">
        <x:v>CHAIN</x:v>
      </x:c>
      <x:c r="D607" s="187" t="str">
        <x:v>EFFICIENCY</x:v>
      </x:c>
      <x:c r="E607" s="187" t="str">
        <x:v>FR</x:v>
      </x:c>
      <x:c r="F607" s="187" t="str">
        <x:v>0.00000000000000000000000</x:v>
      </x:c>
      <x:c r="G607" s="235" t="n">
        <x:v>0</x:v>
      </x:c>
      <x:c r="H607" s="235"/>
      <x:c r="I607" s="229"/>
      <x:c r="J607" s="187"/>
    </x:row>
    <x:row r="608">
      <x:c r="A608" s="187" t="str">
        <x:v>SCENARIO_COST_SAVING_VS_FORECAST</x:v>
      </x:c>
      <x:c r="B608" s="217" t="n">
        <x:v>46357</x:v>
      </x:c>
      <x:c r="C608" s="187" t="str">
        <x:v>CHAIN</x:v>
      </x:c>
      <x:c r="D608" s="187" t="str">
        <x:v>EFFICIENCY</x:v>
      </x:c>
      <x:c r="E608" s="187" t="str">
        <x:v>GB</x:v>
      </x:c>
      <x:c r="F608" s="187" t="str">
        <x:v>-23524.0617246646047998607360000000000</x:v>
      </x:c>
      <x:c r="G608" s="235" t="n">
        <x:v>-23524.0617</x:v>
      </x:c>
      <x:c r="H608" s="235"/>
      <x:c r="I608" s="229"/>
      <x:c r="J608" s="187"/>
    </x:row>
    <x:row r="609">
      <x:c r="A609" s="187" t="str">
        <x:v>SCENARIO_COST_SAVING_VS_FORECAST</x:v>
      </x:c>
      <x:c r="B609" s="217" t="n">
        <x:v>46357</x:v>
      </x:c>
      <x:c r="C609" s="187" t="str">
        <x:v>CHAIN</x:v>
      </x:c>
      <x:c r="D609" s="187" t="str">
        <x:v>FX</x:v>
      </x:c>
      <x:c r="E609" s="187" t="str">
        <x:v>ALL</x:v>
      </x:c>
      <x:c r="F609" s="187" t="str">
        <x:v>0.0000000000000000000000000000000</x:v>
      </x:c>
      <x:c r="G609" s="235" t="n">
        <x:v>0</x:v>
      </x:c>
      <x:c r="H609" s="235" t="n">
        <x:v>0</x:v>
      </x:c>
      <x:c r="I609" s="229" t="n">
        <x:v>0</x:v>
      </x:c>
      <x:c r="J609" s="254" t="b">
        <x:v>0</x:v>
      </x:c>
    </x:row>
    <x:row r="610">
      <x:c r="A610" s="187" t="str">
        <x:v>SCENARIO_COST_SAVING_VS_FORECAST</x:v>
      </x:c>
      <x:c r="B610" s="217" t="n">
        <x:v>46357</x:v>
      </x:c>
      <x:c r="C610" s="187" t="str">
        <x:v>CHAIN</x:v>
      </x:c>
      <x:c r="D610" s="187" t="str">
        <x:v>FX</x:v>
      </x:c>
      <x:c r="E610" s="187" t="str">
        <x:v>DE</x:v>
      </x:c>
      <x:c r="F610" s="187" t="str">
        <x:v>0.0000000000000000000000000</x:v>
      </x:c>
      <x:c r="G610" s="235" t="n">
        <x:v>0</x:v>
      </x:c>
      <x:c r="H610" s="235"/>
      <x:c r="I610" s="229"/>
      <x:c r="J610" s="187"/>
    </x:row>
    <x:row r="611">
      <x:c r="A611" s="187" t="str">
        <x:v>SCENARIO_COST_SAVING_VS_FORECAST</x:v>
      </x:c>
      <x:c r="B611" s="217" t="n">
        <x:v>46357</x:v>
      </x:c>
      <x:c r="C611" s="187" t="str">
        <x:v>CHAIN</x:v>
      </x:c>
      <x:c r="D611" s="187" t="str">
        <x:v>FX</x:v>
      </x:c>
      <x:c r="E611" s="187" t="str">
        <x:v>FR</x:v>
      </x:c>
      <x:c r="F611" s="187" t="str">
        <x:v>0.00000000000000000000000</x:v>
      </x:c>
      <x:c r="G611" s="235" t="n">
        <x:v>0</x:v>
      </x:c>
      <x:c r="H611" s="235"/>
      <x:c r="I611" s="229"/>
      <x:c r="J611" s="187"/>
    </x:row>
    <x:row r="612">
      <x:c r="A612" s="187" t="str">
        <x:v>SCENARIO_COST_SAVING_VS_FORECAST</x:v>
      </x:c>
      <x:c r="B612" s="217" t="n">
        <x:v>46357</x:v>
      </x:c>
      <x:c r="C612" s="187" t="str">
        <x:v>CHAIN</x:v>
      </x:c>
      <x:c r="D612" s="187" t="str">
        <x:v>FX</x:v>
      </x:c>
      <x:c r="E612" s="187" t="str">
        <x:v>GB</x:v>
      </x:c>
      <x:c r="F612" s="187" t="str">
        <x:v>0.0000000000000000000000000000000</x:v>
      </x:c>
      <x:c r="G612" s="235" t="n">
        <x:v>0</x:v>
      </x:c>
      <x:c r="H612" s="235"/>
      <x:c r="I612" s="229"/>
      <x:c r="J612" s="187"/>
    </x:row>
    <x:row r="613">
      <x:c r="A613" s="187" t="str">
        <x:v>SCENARIO_COST_SAVING_VS_FORECAST</x:v>
      </x:c>
      <x:c r="B613" s="217" t="n">
        <x:v>46357</x:v>
      </x:c>
      <x:c r="C613" s="187" t="str">
        <x:v>CHAIN</x:v>
      </x:c>
      <x:c r="D613" s="187" t="str">
        <x:v>MIX</x:v>
      </x:c>
      <x:c r="E613" s="187" t="str">
        <x:v>ALL</x:v>
      </x:c>
      <x:c r="F613" s="187" t="str">
        <x:v>-40095.3073096603578583498752000000000</x:v>
      </x:c>
      <x:c r="G613" s="235" t="n">
        <x:v>-40095.3073</x:v>
      </x:c>
      <x:c r="H613" s="235" t="n">
        <x:v>673.9801294644667</x:v>
      </x:c>
      <x:c r="I613" s="229" t="n">
        <x:v>0.010593945518397548</x:v>
      </x:c>
      <x:c r="J613" s="254" t="b">
        <x:v>0</x:v>
      </x:c>
    </x:row>
    <x:row r="614">
      <x:c r="A614" s="187" t="str">
        <x:v>SCENARIO_COST_SAVING_VS_FORECAST</x:v>
      </x:c>
      <x:c r="B614" s="217" t="n">
        <x:v>46357</x:v>
      </x:c>
      <x:c r="C614" s="187" t="str">
        <x:v>CHAIN</x:v>
      </x:c>
      <x:c r="D614" s="187" t="str">
        <x:v>MIX</x:v>
      </x:c>
      <x:c r="E614" s="187" t="str">
        <x:v>DE</x:v>
      </x:c>
      <x:c r="F614" s="187" t="str">
        <x:v>0.0000000000000000000000000</x:v>
      </x:c>
      <x:c r="G614" s="235" t="n">
        <x:v>0</x:v>
      </x:c>
      <x:c r="H614" s="235"/>
      <x:c r="I614" s="229"/>
      <x:c r="J614" s="187"/>
    </x:row>
    <x:row r="615">
      <x:c r="A615" s="187" t="str">
        <x:v>SCENARIO_COST_SAVING_VS_FORECAST</x:v>
      </x:c>
      <x:c r="B615" s="217" t="n">
        <x:v>46357</x:v>
      </x:c>
      <x:c r="C615" s="187" t="str">
        <x:v>CHAIN</x:v>
      </x:c>
      <x:c r="D615" s="187" t="str">
        <x:v>MIX</x:v>
      </x:c>
      <x:c r="E615" s="187" t="str">
        <x:v>FR</x:v>
      </x:c>
      <x:c r="F615" s="187" t="str">
        <x:v>0.00000000000000000000000</x:v>
      </x:c>
      <x:c r="G615" s="235" t="n">
        <x:v>0</x:v>
      </x:c>
      <x:c r="H615" s="235"/>
      <x:c r="I615" s="229"/>
      <x:c r="J615" s="187"/>
    </x:row>
    <x:row r="616">
      <x:c r="A616" s="187" t="str">
        <x:v>SCENARIO_COST_SAVING_VS_FORECAST</x:v>
      </x:c>
      <x:c r="B616" s="217" t="n">
        <x:v>46357</x:v>
      </x:c>
      <x:c r="C616" s="187" t="str">
        <x:v>CHAIN</x:v>
      </x:c>
      <x:c r="D616" s="187" t="str">
        <x:v>MIX</x:v>
      </x:c>
      <x:c r="E616" s="187" t="str">
        <x:v>GB</x:v>
      </x:c>
      <x:c r="F616" s="187" t="str">
        <x:v>-40095.3073096603578583498752000000000</x:v>
      </x:c>
      <x:c r="G616" s="235" t="n">
        <x:v>-40095.3073</x:v>
      </x:c>
      <x:c r="H616" s="235"/>
      <x:c r="I616" s="229"/>
      <x:c r="J616" s="187"/>
    </x:row>
    <x:row r="617">
      <x:c r="A617" s="187" t="str">
        <x:v>SCENARIO_COST_SAVING_VS_FORECAST</x:v>
      </x:c>
      <x:c r="B617" s="217" t="n">
        <x:v>46357</x:v>
      </x:c>
      <x:c r="C617" s="187" t="str">
        <x:v>CHAIN</x:v>
      </x:c>
      <x:c r="D617" s="187" t="str">
        <x:v>PRICE</x:v>
      </x:c>
      <x:c r="E617" s="187" t="str">
        <x:v>ALL</x:v>
      </x:c>
      <x:c r="F617" s="187" t="str">
        <x:v>0.0000000000000000000000000000000</x:v>
      </x:c>
      <x:c r="G617" s="235" t="n">
        <x:v>0</x:v>
      </x:c>
      <x:c r="H617" s="235" t="n">
        <x:v>0</x:v>
      </x:c>
      <x:c r="I617" s="229" t="n">
        <x:v>0</x:v>
      </x:c>
      <x:c r="J617" s="254" t="b">
        <x:v>0</x:v>
      </x:c>
    </x:row>
    <x:row r="618">
      <x:c r="A618" s="187" t="str">
        <x:v>SCENARIO_COST_SAVING_VS_FORECAST</x:v>
      </x:c>
      <x:c r="B618" s="217" t="n">
        <x:v>46357</x:v>
      </x:c>
      <x:c r="C618" s="187" t="str">
        <x:v>CHAIN</x:v>
      </x:c>
      <x:c r="D618" s="187" t="str">
        <x:v>PRICE</x:v>
      </x:c>
      <x:c r="E618" s="187" t="str">
        <x:v>DE</x:v>
      </x:c>
      <x:c r="F618" s="187" t="str">
        <x:v>0.0000000000000000000000000</x:v>
      </x:c>
      <x:c r="G618" s="235" t="n">
        <x:v>0</x:v>
      </x:c>
      <x:c r="H618" s="235"/>
      <x:c r="I618" s="229"/>
      <x:c r="J618" s="187"/>
    </x:row>
    <x:row r="619">
      <x:c r="A619" s="187" t="str">
        <x:v>SCENARIO_COST_SAVING_VS_FORECAST</x:v>
      </x:c>
      <x:c r="B619" s="217" t="n">
        <x:v>46357</x:v>
      </x:c>
      <x:c r="C619" s="187" t="str">
        <x:v>CHAIN</x:v>
      </x:c>
      <x:c r="D619" s="187" t="str">
        <x:v>PRICE</x:v>
      </x:c>
      <x:c r="E619" s="187" t="str">
        <x:v>FR</x:v>
      </x:c>
      <x:c r="F619" s="187" t="str">
        <x:v>0.00000000000000000000000</x:v>
      </x:c>
      <x:c r="G619" s="235" t="n">
        <x:v>0</x:v>
      </x:c>
      <x:c r="H619" s="235"/>
      <x:c r="I619" s="229"/>
      <x:c r="J619" s="187"/>
    </x:row>
    <x:row r="620">
      <x:c r="A620" s="187" t="str">
        <x:v>SCENARIO_COST_SAVING_VS_FORECAST</x:v>
      </x:c>
      <x:c r="B620" s="217" t="n">
        <x:v>46357</x:v>
      </x:c>
      <x:c r="C620" s="187" t="str">
        <x:v>CHAIN</x:v>
      </x:c>
      <x:c r="D620" s="187" t="str">
        <x:v>PRICE</x:v>
      </x:c>
      <x:c r="E620" s="187" t="str">
        <x:v>GB</x:v>
      </x:c>
      <x:c r="F620" s="187" t="str">
        <x:v>0.0000000000000000000000000000000</x:v>
      </x:c>
      <x:c r="G620" s="235" t="n">
        <x:v>0</x:v>
      </x:c>
      <x:c r="H620" s="235"/>
      <x:c r="I620" s="229"/>
      <x:c r="J620" s="187"/>
    </x:row>
    <x:row r="621">
      <x:c r="A621" s="187" t="str">
        <x:v>SCENARIO_COST_SAVING_VS_FORECAST</x:v>
      </x:c>
      <x:c r="B621" s="217" t="n">
        <x:v>46357</x:v>
      </x:c>
      <x:c r="C621" s="187" t="str">
        <x:v>CHAIN</x:v>
      </x:c>
      <x:c r="D621" s="187" t="str">
        <x:v>VOLUME</x:v>
      </x:c>
      <x:c r="E621" s="187" t="str">
        <x:v>ALL</x:v>
      </x:c>
      <x:c r="F621" s="187" t="str">
        <x:v>0.0000000000000000000000000000000</x:v>
      </x:c>
      <x:c r="G621" s="235" t="n">
        <x:v>0</x:v>
      </x:c>
      <x:c r="H621" s="235" t="n">
        <x:v>0</x:v>
      </x:c>
      <x:c r="I621" s="229" t="n">
        <x:v>0</x:v>
      </x:c>
      <x:c r="J621" s="254" t="b">
        <x:v>0</x:v>
      </x:c>
    </x:row>
    <x:row r="622">
      <x:c r="A622" s="187" t="str">
        <x:v>SCENARIO_COST_SAVING_VS_FORECAST</x:v>
      </x:c>
      <x:c r="B622" s="217" t="n">
        <x:v>46357</x:v>
      </x:c>
      <x:c r="C622" s="187" t="str">
        <x:v>CHAIN</x:v>
      </x:c>
      <x:c r="D622" s="187" t="str">
        <x:v>VOLUME</x:v>
      </x:c>
      <x:c r="E622" s="187" t="str">
        <x:v>DE</x:v>
      </x:c>
      <x:c r="F622" s="187" t="str">
        <x:v>0.0000000000000000000000000</x:v>
      </x:c>
      <x:c r="G622" s="235" t="n">
        <x:v>0</x:v>
      </x:c>
      <x:c r="H622" s="235"/>
      <x:c r="I622" s="229"/>
      <x:c r="J622" s="187"/>
    </x:row>
    <x:row r="623">
      <x:c r="A623" s="187" t="str">
        <x:v>SCENARIO_COST_SAVING_VS_FORECAST</x:v>
      </x:c>
      <x:c r="B623" s="217" t="n">
        <x:v>46357</x:v>
      </x:c>
      <x:c r="C623" s="187" t="str">
        <x:v>CHAIN</x:v>
      </x:c>
      <x:c r="D623" s="187" t="str">
        <x:v>VOLUME</x:v>
      </x:c>
      <x:c r="E623" s="187" t="str">
        <x:v>FR</x:v>
      </x:c>
      <x:c r="F623" s="187" t="str">
        <x:v>0.00000000000000000000000</x:v>
      </x:c>
      <x:c r="G623" s="235" t="n">
        <x:v>0</x:v>
      </x:c>
      <x:c r="H623" s="235"/>
      <x:c r="I623" s="229"/>
      <x:c r="J623" s="187"/>
    </x:row>
    <x:row r="624">
      <x:c r="A624" s="187" t="str">
        <x:v>SCENARIO_COST_SAVING_VS_FORECAST</x:v>
      </x:c>
      <x:c r="B624" s="217" t="n">
        <x:v>46357</x:v>
      </x:c>
      <x:c r="C624" s="187" t="str">
        <x:v>CHAIN</x:v>
      </x:c>
      <x:c r="D624" s="187" t="str">
        <x:v>VOLUME</x:v>
      </x:c>
      <x:c r="E624" s="187" t="str">
        <x:v>GB</x:v>
      </x:c>
      <x:c r="F624" s="187" t="str">
        <x:v>0.0000000000000000000000000000000</x:v>
      </x:c>
      <x:c r="G624" s="235" t="n">
        <x:v>0</x:v>
      </x:c>
      <x:c r="H624" s="235"/>
      <x:c r="I624" s="229"/>
      <x:c r="J624" s="187"/>
    </x:row>
    <x:row r="625">
      <x:c r="A625" s="187" t="str">
        <x:v>SCENARIO_COST_SAVING_VS_FORECAST</x:v>
      </x:c>
      <x:c r="B625" s="217" t="n">
        <x:v>46357</x:v>
      </x:c>
      <x:c r="C625" s="187" t="str">
        <x:v>SHAPLEY</x:v>
      </x:c>
      <x:c r="D625" s="187" t="str">
        <x:v>EFFICIENCY</x:v>
      </x:c>
      <x:c r="E625" s="187" t="str">
        <x:v>ALL</x:v>
      </x:c>
      <x:c r="F625" s="187" t="str">
        <x:v>-24198.041854129071498294067200000000000000000000000000000000000000000000000000000</x:v>
      </x:c>
      <x:c r="G625" s="235" t="n">
        <x:v>-24198.0419</x:v>
      </x:c>
      <x:c r="H625" s="235"/>
      <x:c r="I625" s="229"/>
      <x:c r="J625" s="187"/>
    </x:row>
    <x:row r="626">
      <x:c r="A626" s="187" t="str">
        <x:v>SCENARIO_COST_SAVING_VS_FORECAST</x:v>
      </x:c>
      <x:c r="B626" s="217" t="n">
        <x:v>46357</x:v>
      </x:c>
      <x:c r="C626" s="187" t="str">
        <x:v>SHAPLEY</x:v>
      </x:c>
      <x:c r="D626" s="187" t="str">
        <x:v>EFFICIENCY</x:v>
      </x:c>
      <x:c r="E626" s="187" t="str">
        <x:v>DE</x:v>
      </x:c>
      <x:c r="F626" s="187" t="str">
        <x:v>0.0000000000000000000000000000000000000000000000000000000000000000000000000000000000000000000000000000000000</x:v>
      </x:c>
      <x:c r="G626" s="235" t="n">
        <x:v>0</x:v>
      </x:c>
      <x:c r="H626" s="235"/>
      <x:c r="I626" s="229"/>
      <x:c r="J626" s="187"/>
    </x:row>
    <x:row r="627">
      <x:c r="A627" s="187" t="str">
        <x:v>SCENARIO_COST_SAVING_VS_FORECAST</x:v>
      </x:c>
      <x:c r="B627" s="217" t="n">
        <x:v>46357</x:v>
      </x:c>
      <x:c r="C627" s="187" t="str">
        <x:v>SHAPLEY</x:v>
      </x:c>
      <x:c r="D627" s="187" t="str">
        <x:v>EFFICIENCY</x:v>
      </x:c>
      <x:c r="E627" s="187" t="str">
        <x:v>FR</x:v>
      </x:c>
      <x:c r="F627" s="187" t="str">
        <x:v>0.00000000000000000000000000000000000000000000000000000000000000000000000000000000000000000000000000000000</x:v>
      </x:c>
      <x:c r="G627" s="235" t="n">
        <x:v>0</x:v>
      </x:c>
      <x:c r="H627" s="235"/>
      <x:c r="I627" s="229"/>
      <x:c r="J627" s="187"/>
    </x:row>
    <x:row r="628">
      <x:c r="A628" s="187" t="str">
        <x:v>SCENARIO_COST_SAVING_VS_FORECAST</x:v>
      </x:c>
      <x:c r="B628" s="217" t="n">
        <x:v>46357</x:v>
      </x:c>
      <x:c r="C628" s="187" t="str">
        <x:v>SHAPLEY</x:v>
      </x:c>
      <x:c r="D628" s="187" t="str">
        <x:v>EFFICIENCY</x:v>
      </x:c>
      <x:c r="E628" s="187" t="str">
        <x:v>GB</x:v>
      </x:c>
      <x:c r="F628" s="187" t="str">
        <x:v>-24198.041854129071498294067200000000000000000000000000000000000000000000000000000</x:v>
      </x:c>
      <x:c r="G628" s="235" t="n">
        <x:v>-24198.0419</x:v>
      </x:c>
      <x:c r="H628" s="235"/>
      <x:c r="I628" s="229"/>
      <x:c r="J628" s="187"/>
    </x:row>
    <x:row r="629">
      <x:c r="A629" s="187" t="str">
        <x:v>SCENARIO_COST_SAVING_VS_FORECAST</x:v>
      </x:c>
      <x:c r="B629" s="217" t="n">
        <x:v>46357</x:v>
      </x:c>
      <x:c r="C629" s="187" t="str">
        <x:v>SHAPLEY</x:v>
      </x:c>
      <x:c r="D629" s="187" t="str">
        <x:v>FX</x:v>
      </x:c>
      <x:c r="E629" s="187" t="str">
        <x:v>ALL</x:v>
      </x:c>
      <x:c r="F629" s="187" t="str">
        <x:v>0.0000000000000000000000000000000000000000000000000000000000000000000000000000000000000000000000000000000000000000</x:v>
      </x:c>
      <x:c r="G629" s="235" t="n">
        <x:v>0</x:v>
      </x:c>
      <x:c r="H629" s="235"/>
      <x:c r="I629" s="229"/>
      <x:c r="J629" s="187"/>
    </x:row>
    <x:row r="630">
      <x:c r="A630" s="187" t="str">
        <x:v>SCENARIO_COST_SAVING_VS_FORECAST</x:v>
      </x:c>
      <x:c r="B630" s="217" t="n">
        <x:v>46357</x:v>
      </x:c>
      <x:c r="C630" s="187" t="str">
        <x:v>SHAPLEY</x:v>
      </x:c>
      <x:c r="D630" s="187" t="str">
        <x:v>FX</x:v>
      </x:c>
      <x:c r="E630" s="187" t="str">
        <x:v>DE</x:v>
      </x:c>
      <x:c r="F630" s="187" t="str">
        <x:v>0.0000000000000000000000000000000000000000000000000000000000000000000000000000000000000000000000000000000000</x:v>
      </x:c>
      <x:c r="G630" s="235" t="n">
        <x:v>0</x:v>
      </x:c>
      <x:c r="H630" s="235"/>
      <x:c r="I630" s="229"/>
      <x:c r="J630" s="187"/>
    </x:row>
    <x:row r="631">
      <x:c r="A631" s="187" t="str">
        <x:v>SCENARIO_COST_SAVING_VS_FORECAST</x:v>
      </x:c>
      <x:c r="B631" s="217" t="n">
        <x:v>46357</x:v>
      </x:c>
      <x:c r="C631" s="187" t="str">
        <x:v>SHAPLEY</x:v>
      </x:c>
      <x:c r="D631" s="187" t="str">
        <x:v>FX</x:v>
      </x:c>
      <x:c r="E631" s="187" t="str">
        <x:v>FR</x:v>
      </x:c>
      <x:c r="F631" s="187" t="str">
        <x:v>0.00000000000000000000000000000000000000000000000000000000000000000000000000000000000000000000000000000000</x:v>
      </x:c>
      <x:c r="G631" s="235" t="n">
        <x:v>0</x:v>
      </x:c>
      <x:c r="H631" s="235"/>
      <x:c r="I631" s="229"/>
      <x:c r="J631" s="187"/>
    </x:row>
    <x:row r="632">
      <x:c r="A632" s="187" t="str">
        <x:v>SCENARIO_COST_SAVING_VS_FORECAST</x:v>
      </x:c>
      <x:c r="B632" s="217" t="n">
        <x:v>46357</x:v>
      </x:c>
      <x:c r="C632" s="187" t="str">
        <x:v>SHAPLEY</x:v>
      </x:c>
      <x:c r="D632" s="187" t="str">
        <x:v>FX</x:v>
      </x:c>
      <x:c r="E632" s="187" t="str">
        <x:v>GB</x:v>
      </x:c>
      <x:c r="F632" s="187" t="str">
        <x:v>0.0000000000000000000000000000000000000000000000000000000000000000000000000000000000000000000000000000000000000000</x:v>
      </x:c>
      <x:c r="G632" s="235" t="n">
        <x:v>0</x:v>
      </x:c>
      <x:c r="H632" s="235"/>
      <x:c r="I632" s="229"/>
      <x:c r="J632" s="187"/>
    </x:row>
    <x:row r="633">
      <x:c r="A633" s="187" t="str">
        <x:v>SCENARIO_COST_SAVING_VS_FORECAST</x:v>
      </x:c>
      <x:c r="B633" s="217" t="n">
        <x:v>46357</x:v>
      </x:c>
      <x:c r="C633" s="187" t="str">
        <x:v>SHAPLEY</x:v>
      </x:c>
      <x:c r="D633" s="187" t="str">
        <x:v>MIX</x:v>
      </x:c>
      <x:c r="E633" s="187" t="str">
        <x:v>ALL</x:v>
      </x:c>
      <x:c r="F633" s="187" t="str">
        <x:v>-39421.327180195891159916544000000000000000000000000000000000000000000000000000000</x:v>
      </x:c>
      <x:c r="G633" s="235" t="n">
        <x:v>-39421.3272</x:v>
      </x:c>
      <x:c r="H633" s="235"/>
      <x:c r="I633" s="229"/>
      <x:c r="J633" s="187"/>
    </x:row>
    <x:row r="634">
      <x:c r="A634" s="187" t="str">
        <x:v>SCENARIO_COST_SAVING_VS_FORECAST</x:v>
      </x:c>
      <x:c r="B634" s="217" t="n">
        <x:v>46357</x:v>
      </x:c>
      <x:c r="C634" s="187" t="str">
        <x:v>SHAPLEY</x:v>
      </x:c>
      <x:c r="D634" s="187" t="str">
        <x:v>MIX</x:v>
      </x:c>
      <x:c r="E634" s="187" t="str">
        <x:v>DE</x:v>
      </x:c>
      <x:c r="F634" s="187" t="str">
        <x:v>0.0000000000000000000000000000000000000000000000000000000000000000000000000000000000000000000000000000000000</x:v>
      </x:c>
      <x:c r="G634" s="235" t="n">
        <x:v>0</x:v>
      </x:c>
      <x:c r="H634" s="235"/>
      <x:c r="I634" s="229"/>
      <x:c r="J634" s="187"/>
    </x:row>
    <x:row r="635">
      <x:c r="A635" s="187" t="str">
        <x:v>SCENARIO_COST_SAVING_VS_FORECAST</x:v>
      </x:c>
      <x:c r="B635" s="217" t="n">
        <x:v>46357</x:v>
      </x:c>
      <x:c r="C635" s="187" t="str">
        <x:v>SHAPLEY</x:v>
      </x:c>
      <x:c r="D635" s="187" t="str">
        <x:v>MIX</x:v>
      </x:c>
      <x:c r="E635" s="187" t="str">
        <x:v>FR</x:v>
      </x:c>
      <x:c r="F635" s="187" t="str">
        <x:v>0.00000000000000000000000000000000000000000000000000000000000000000000000000000000000000000000000000000000</x:v>
      </x:c>
      <x:c r="G635" s="235" t="n">
        <x:v>0</x:v>
      </x:c>
      <x:c r="H635" s="235"/>
      <x:c r="I635" s="229"/>
      <x:c r="J635" s="187"/>
    </x:row>
    <x:row r="636">
      <x:c r="A636" s="187" t="str">
        <x:v>SCENARIO_COST_SAVING_VS_FORECAST</x:v>
      </x:c>
      <x:c r="B636" s="217" t="n">
        <x:v>46357</x:v>
      </x:c>
      <x:c r="C636" s="187" t="str">
        <x:v>SHAPLEY</x:v>
      </x:c>
      <x:c r="D636" s="187" t="str">
        <x:v>MIX</x:v>
      </x:c>
      <x:c r="E636" s="187" t="str">
        <x:v>GB</x:v>
      </x:c>
      <x:c r="F636" s="187" t="str">
        <x:v>-39421.327180195891159916544000000000000000000000000000000000000000000000000000000</x:v>
      </x:c>
      <x:c r="G636" s="235" t="n">
        <x:v>-39421.3272</x:v>
      </x:c>
      <x:c r="H636" s="235"/>
      <x:c r="I636" s="229"/>
      <x:c r="J636" s="187"/>
    </x:row>
    <x:row r="637">
      <x:c r="A637" s="187" t="str">
        <x:v>SCENARIO_COST_SAVING_VS_FORECAST</x:v>
      </x:c>
      <x:c r="B637" s="217" t="n">
        <x:v>46357</x:v>
      </x:c>
      <x:c r="C637" s="187" t="str">
        <x:v>SHAPLEY</x:v>
      </x:c>
      <x:c r="D637" s="187" t="str">
        <x:v>PRICE</x:v>
      </x:c>
      <x:c r="E637" s="187" t="str">
        <x:v>ALL</x:v>
      </x:c>
      <x:c r="F637" s="187" t="str">
        <x:v>0.0000000000000000000000000000000000000000000000000000000000000000000000000000000000000000000000000000000000000000</x:v>
      </x:c>
      <x:c r="G637" s="235" t="n">
        <x:v>0</x:v>
      </x:c>
      <x:c r="H637" s="235"/>
      <x:c r="I637" s="229"/>
      <x:c r="J637" s="187"/>
    </x:row>
    <x:row r="638">
      <x:c r="A638" s="187" t="str">
        <x:v>SCENARIO_COST_SAVING_VS_FORECAST</x:v>
      </x:c>
      <x:c r="B638" s="217" t="n">
        <x:v>46357</x:v>
      </x:c>
      <x:c r="C638" s="187" t="str">
        <x:v>SHAPLEY</x:v>
      </x:c>
      <x:c r="D638" s="187" t="str">
        <x:v>PRICE</x:v>
      </x:c>
      <x:c r="E638" s="187" t="str">
        <x:v>DE</x:v>
      </x:c>
      <x:c r="F638" s="187" t="str">
        <x:v>0.0000000000000000000000000000000000000000000000000000000000000000000000000000000000000000000000000000000000</x:v>
      </x:c>
      <x:c r="G638" s="235" t="n">
        <x:v>0</x:v>
      </x:c>
      <x:c r="H638" s="235"/>
      <x:c r="I638" s="229"/>
      <x:c r="J638" s="187"/>
    </x:row>
    <x:row r="639">
      <x:c r="A639" s="187" t="str">
        <x:v>SCENARIO_COST_SAVING_VS_FORECAST</x:v>
      </x:c>
      <x:c r="B639" s="217" t="n">
        <x:v>46357</x:v>
      </x:c>
      <x:c r="C639" s="187" t="str">
        <x:v>SHAPLEY</x:v>
      </x:c>
      <x:c r="D639" s="187" t="str">
        <x:v>PRICE</x:v>
      </x:c>
      <x:c r="E639" s="187" t="str">
        <x:v>FR</x:v>
      </x:c>
      <x:c r="F639" s="187" t="str">
        <x:v>0.00000000000000000000000000000000000000000000000000000000000000000000000000000000000000000000000000000000</x:v>
      </x:c>
      <x:c r="G639" s="235" t="n">
        <x:v>0</x:v>
      </x:c>
      <x:c r="H639" s="235"/>
      <x:c r="I639" s="229"/>
      <x:c r="J639" s="187"/>
    </x:row>
    <x:row r="640">
      <x:c r="A640" s="187" t="str">
        <x:v>SCENARIO_COST_SAVING_VS_FORECAST</x:v>
      </x:c>
      <x:c r="B640" s="217" t="n">
        <x:v>46357</x:v>
      </x:c>
      <x:c r="C640" s="187" t="str">
        <x:v>SHAPLEY</x:v>
      </x:c>
      <x:c r="D640" s="187" t="str">
        <x:v>PRICE</x:v>
      </x:c>
      <x:c r="E640" s="187" t="str">
        <x:v>GB</x:v>
      </x:c>
      <x:c r="F640" s="187" t="str">
        <x:v>0.0000000000000000000000000000000000000000000000000000000000000000000000000000000000000000000000000000000000000000</x:v>
      </x:c>
      <x:c r="G640" s="235" t="n">
        <x:v>0</x:v>
      </x:c>
      <x:c r="H640" s="235"/>
      <x:c r="I640" s="229"/>
      <x:c r="J640" s="187"/>
    </x:row>
    <x:row r="641">
      <x:c r="A641" s="187" t="str">
        <x:v>SCENARIO_COST_SAVING_VS_FORECAST</x:v>
      </x:c>
      <x:c r="B641" s="217" t="n">
        <x:v>46357</x:v>
      </x:c>
      <x:c r="C641" s="187" t="str">
        <x:v>SHAPLEY</x:v>
      </x:c>
      <x:c r="D641" s="187" t="str">
        <x:v>VOLUME</x:v>
      </x:c>
      <x:c r="E641" s="187" t="str">
        <x:v>ALL</x:v>
      </x:c>
      <x:c r="F641" s="187" t="str">
        <x:v>0.0000000000000000000000000000000000000000000000000000000000000000000000000000000000000000000000000000000000000000</x:v>
      </x:c>
      <x:c r="G641" s="235" t="n">
        <x:v>0</x:v>
      </x:c>
      <x:c r="H641" s="235"/>
      <x:c r="I641" s="229"/>
      <x:c r="J641" s="187"/>
    </x:row>
    <x:row r="642">
      <x:c r="A642" s="187" t="str">
        <x:v>SCENARIO_COST_SAVING_VS_FORECAST</x:v>
      </x:c>
      <x:c r="B642" s="217" t="n">
        <x:v>46357</x:v>
      </x:c>
      <x:c r="C642" s="187" t="str">
        <x:v>SHAPLEY</x:v>
      </x:c>
      <x:c r="D642" s="187" t="str">
        <x:v>VOLUME</x:v>
      </x:c>
      <x:c r="E642" s="187" t="str">
        <x:v>DE</x:v>
      </x:c>
      <x:c r="F642" s="187" t="str">
        <x:v>0.0000000000000000000000000000000000000000000000000000000000000000000000000000000000000000000000000000000000</x:v>
      </x:c>
      <x:c r="G642" s="235" t="n">
        <x:v>0</x:v>
      </x:c>
      <x:c r="H642" s="235"/>
      <x:c r="I642" s="229"/>
      <x:c r="J642" s="187"/>
    </x:row>
    <x:row r="643">
      <x:c r="A643" s="187" t="str">
        <x:v>SCENARIO_COST_SAVING_VS_FORECAST</x:v>
      </x:c>
      <x:c r="B643" s="217" t="n">
        <x:v>46357</x:v>
      </x:c>
      <x:c r="C643" s="187" t="str">
        <x:v>SHAPLEY</x:v>
      </x:c>
      <x:c r="D643" s="187" t="str">
        <x:v>VOLUME</x:v>
      </x:c>
      <x:c r="E643" s="187" t="str">
        <x:v>FR</x:v>
      </x:c>
      <x:c r="F643" s="187" t="str">
        <x:v>0.00000000000000000000000000000000000000000000000000000000000000000000000000000000000000000000000000000000</x:v>
      </x:c>
      <x:c r="G643" s="235" t="n">
        <x:v>0</x:v>
      </x:c>
      <x:c r="H643" s="235"/>
      <x:c r="I643" s="229"/>
      <x:c r="J643" s="187"/>
    </x:row>
    <x:row r="644">
      <x:c r="A644" s="187" t="str">
        <x:v>SCENARIO_COST_SAVING_VS_FORECAST</x:v>
      </x:c>
      <x:c r="B644" s="217" t="n">
        <x:v>46357</x:v>
      </x:c>
      <x:c r="C644" s="187" t="str">
        <x:v>SHAPLEY</x:v>
      </x:c>
      <x:c r="D644" s="187" t="str">
        <x:v>VOLUME</x:v>
      </x:c>
      <x:c r="E644" s="187" t="str">
        <x:v>GB</x:v>
      </x:c>
      <x:c r="F644" s="187" t="str">
        <x:v>0.0000000000000000000000000000000000000000000000000000000000000000000000000000000000000000000000000000000000000000</x:v>
      </x:c>
      <x:c r="G644" s="235" t="n">
        <x:v>0</x:v>
      </x:c>
      <x:c r="H644" s="235"/>
      <x:c r="I644" s="229"/>
      <x:c r="J644" s="187"/>
    </x:row>
    <x:row r="645">
      <x:c r="A645" s="187" t="str">
        <x:v>SCENARIO_GROWTH_VS_FORECAST</x:v>
      </x:c>
      <x:c r="B645" s="217" t="n">
        <x:v>46266</x:v>
      </x:c>
      <x:c r="C645" s="187" t="str">
        <x:v>CHAIN</x:v>
      </x:c>
      <x:c r="D645" s="187" t="str">
        <x:v>EFFICIENCY</x:v>
      </x:c>
      <x:c r="E645" s="187" t="str">
        <x:v>ALL</x:v>
      </x:c>
      <x:c r="F645" s="187" t="str">
        <x:v>0.000000000000000000000000000000000000000000000000000000000000000000000000000000</x:v>
      </x:c>
      <x:c r="G645" s="235" t="n">
        <x:v>0</x:v>
      </x:c>
      <x:c r="H645" s="235" t="n">
        <x:v>0</x:v>
      </x:c>
      <x:c r="I645" s="229" t="n">
        <x:v>0</x:v>
      </x:c>
      <x:c r="J645" s="254" t="b">
        <x:v>0</x:v>
      </x:c>
    </x:row>
    <x:row r="646">
      <x:c r="A646" s="187" t="str">
        <x:v>SCENARIO_GROWTH_VS_FORECAST</x:v>
      </x:c>
      <x:c r="B646" s="217" t="n">
        <x:v>46266</x:v>
      </x:c>
      <x:c r="C646" s="187" t="str">
        <x:v>CHAIN</x:v>
      </x:c>
      <x:c r="D646" s="187" t="str">
        <x:v>EFFICIENCY</x:v>
      </x:c>
      <x:c r="E646" s="187" t="str">
        <x:v>DE</x:v>
      </x:c>
      <x:c r="F646" s="187" t="str">
        <x:v>0.000000000000000000000000000000000000000000000000000000000000000000000000000000</x:v>
      </x:c>
      <x:c r="G646" s="235" t="n">
        <x:v>0</x:v>
      </x:c>
      <x:c r="H646" s="235"/>
      <x:c r="I646" s="229"/>
      <x:c r="J646" s="187"/>
    </x:row>
    <x:row r="647">
      <x:c r="A647" s="187" t="str">
        <x:v>SCENARIO_GROWTH_VS_FORECAST</x:v>
      </x:c>
      <x:c r="B647" s="217" t="n">
        <x:v>46266</x:v>
      </x:c>
      <x:c r="C647" s="187" t="str">
        <x:v>CHAIN</x:v>
      </x:c>
      <x:c r="D647" s="187" t="str">
        <x:v>EFFICIENCY</x:v>
      </x:c>
      <x:c r="E647" s="187" t="str">
        <x:v>FR</x:v>
      </x:c>
      <x:c r="F647" s="187" t="str">
        <x:v>0.00000000000000000000000000000000000000000000000000000000000000000000000000000</x:v>
      </x:c>
      <x:c r="G647" s="235" t="n">
        <x:v>0</x:v>
      </x:c>
      <x:c r="H647" s="235"/>
      <x:c r="I647" s="229"/>
      <x:c r="J647" s="187"/>
    </x:row>
    <x:row r="648">
      <x:c r="A648" s="187" t="str">
        <x:v>SCENARIO_GROWTH_VS_FORECAST</x:v>
      </x:c>
      <x:c r="B648" s="217" t="n">
        <x:v>46266</x:v>
      </x:c>
      <x:c r="C648" s="187" t="str">
        <x:v>CHAIN</x:v>
      </x:c>
      <x:c r="D648" s="187" t="str">
        <x:v>EFFICIENCY</x:v>
      </x:c>
      <x:c r="E648" s="187" t="str">
        <x:v>GB</x:v>
      </x:c>
      <x:c r="F648" s="187" t="str">
        <x:v>0.000000000000000000000000000000000000000000000000000000000000000000000000000000</x:v>
      </x:c>
      <x:c r="G648" s="235" t="n">
        <x:v>0</x:v>
      </x:c>
      <x:c r="H648" s="235"/>
      <x:c r="I648" s="229"/>
      <x:c r="J648" s="187"/>
    </x:row>
    <x:row r="649">
      <x:c r="A649" s="187" t="str">
        <x:v>SCENARIO_GROWTH_VS_FORECAST</x:v>
      </x:c>
      <x:c r="B649" s="217" t="n">
        <x:v>46266</x:v>
      </x:c>
      <x:c r="C649" s="187" t="str">
        <x:v>CHAIN</x:v>
      </x:c>
      <x:c r="D649" s="187" t="str">
        <x:v>FX</x:v>
      </x:c>
      <x:c r="E649" s="187" t="str">
        <x:v>ALL</x:v>
      </x:c>
      <x:c r="F649" s="187" t="str">
        <x:v>0.000000000000000000000000000000000000000000000000000000000000000000000000000000</x:v>
      </x:c>
      <x:c r="G649" s="235" t="n">
        <x:v>0</x:v>
      </x:c>
      <x:c r="H649" s="235" t="n">
        <x:v>0</x:v>
      </x:c>
      <x:c r="I649" s="229" t="n">
        <x:v>0</x:v>
      </x:c>
      <x:c r="J649" s="254" t="b">
        <x:v>0</x:v>
      </x:c>
    </x:row>
    <x:row r="650">
      <x:c r="A650" s="187" t="str">
        <x:v>SCENARIO_GROWTH_VS_FORECAST</x:v>
      </x:c>
      <x:c r="B650" s="217" t="n">
        <x:v>46266</x:v>
      </x:c>
      <x:c r="C650" s="187" t="str">
        <x:v>CHAIN</x:v>
      </x:c>
      <x:c r="D650" s="187" t="str">
        <x:v>FX</x:v>
      </x:c>
      <x:c r="E650" s="187" t="str">
        <x:v>DE</x:v>
      </x:c>
      <x:c r="F650" s="187" t="str">
        <x:v>0.000000000000000000000000000000000000000000000000000000000000000000000000000000</x:v>
      </x:c>
      <x:c r="G650" s="235" t="n">
        <x:v>0</x:v>
      </x:c>
      <x:c r="H650" s="235"/>
      <x:c r="I650" s="229"/>
      <x:c r="J650" s="187"/>
    </x:row>
    <x:row r="651">
      <x:c r="A651" s="187" t="str">
        <x:v>SCENARIO_GROWTH_VS_FORECAST</x:v>
      </x:c>
      <x:c r="B651" s="217" t="n">
        <x:v>46266</x:v>
      </x:c>
      <x:c r="C651" s="187" t="str">
        <x:v>CHAIN</x:v>
      </x:c>
      <x:c r="D651" s="187" t="str">
        <x:v>FX</x:v>
      </x:c>
      <x:c r="E651" s="187" t="str">
        <x:v>FR</x:v>
      </x:c>
      <x:c r="F651" s="187" t="str">
        <x:v>0.00000000000000000000000000000000000000000000000000000000000000000000000000000</x:v>
      </x:c>
      <x:c r="G651" s="235" t="n">
        <x:v>0</x:v>
      </x:c>
      <x:c r="H651" s="235"/>
      <x:c r="I651" s="229"/>
      <x:c r="J651" s="187"/>
    </x:row>
    <x:row r="652">
      <x:c r="A652" s="187" t="str">
        <x:v>SCENARIO_GROWTH_VS_FORECAST</x:v>
      </x:c>
      <x:c r="B652" s="217" t="n">
        <x:v>46266</x:v>
      </x:c>
      <x:c r="C652" s="187" t="str">
        <x:v>CHAIN</x:v>
      </x:c>
      <x:c r="D652" s="187" t="str">
        <x:v>FX</x:v>
      </x:c>
      <x:c r="E652" s="187" t="str">
        <x:v>GB</x:v>
      </x:c>
      <x:c r="F652" s="187" t="str">
        <x:v>0.000000000000000000000000000000000000000000000000000000000000000000000000000000</x:v>
      </x:c>
      <x:c r="G652" s="235" t="n">
        <x:v>0</x:v>
      </x:c>
      <x:c r="H652" s="235"/>
      <x:c r="I652" s="229"/>
      <x:c r="J652" s="187"/>
    </x:row>
    <x:row r="653">
      <x:c r="A653" s="187" t="str">
        <x:v>SCENARIO_GROWTH_VS_FORECAST</x:v>
      </x:c>
      <x:c r="B653" s="217" t="n">
        <x:v>46266</x:v>
      </x:c>
      <x:c r="C653" s="187" t="str">
        <x:v>CHAIN</x:v>
      </x:c>
      <x:c r="D653" s="187" t="str">
        <x:v>MIX</x:v>
      </x:c>
      <x:c r="E653" s="187" t="str">
        <x:v>ALL</x:v>
      </x:c>
      <x:c r="F653" s="187" t="str">
        <x:v>21743.021450961973892016967680000000000000000000000000000000000000000000000000000</x:v>
      </x:c>
      <x:c r="G653" s="235" t="n">
        <x:v>21743.0215</x:v>
      </x:c>
      <x:c r="H653" s="235" t="n">
        <x:v>357.4771418436688</x:v>
      </x:c>
      <x:c r="I653" s="229" t="n">
        <x:v>0.006895109913445367</x:v>
      </x:c>
      <x:c r="J653" s="254" t="b">
        <x:v>0</x:v>
      </x:c>
    </x:row>
    <x:row r="654">
      <x:c r="A654" s="187" t="str">
        <x:v>SCENARIO_GROWTH_VS_FORECAST</x:v>
      </x:c>
      <x:c r="B654" s="217" t="n">
        <x:v>46266</x:v>
      </x:c>
      <x:c r="C654" s="187" t="str">
        <x:v>CHAIN</x:v>
      </x:c>
      <x:c r="D654" s="187" t="str">
        <x:v>MIX</x:v>
      </x:c>
      <x:c r="E654" s="187" t="str">
        <x:v>DE</x:v>
      </x:c>
      <x:c r="F654" s="187" t="str">
        <x:v>-6951.1304754998286808320000000000000000000000000000000000000000000000000000000000</x:v>
      </x:c>
      <x:c r="G654" s="235" t="n">
        <x:v>-6951.1305</x:v>
      </x:c>
      <x:c r="H654" s="235"/>
      <x:c r="I654" s="229"/>
      <x:c r="J654" s="187"/>
    </x:row>
    <x:row r="655">
      <x:c r="A655" s="187" t="str">
        <x:v>SCENARIO_GROWTH_VS_FORECAST</x:v>
      </x:c>
      <x:c r="B655" s="217" t="n">
        <x:v>46266</x:v>
      </x:c>
      <x:c r="C655" s="187" t="str">
        <x:v>CHAIN</x:v>
      </x:c>
      <x:c r="D655" s="187" t="str">
        <x:v>MIX</x:v>
      </x:c>
      <x:c r="E655" s="187" t="str">
        <x:v>FR</x:v>
      </x:c>
      <x:c r="F655" s="187" t="str">
        <x:v>-5523.5641909784225472000000000000000000000000000000000000000000000000000000000000</x:v>
      </x:c>
      <x:c r="G655" s="235" t="n">
        <x:v>-5523.5642</x:v>
      </x:c>
      <x:c r="H655" s="235"/>
      <x:c r="I655" s="229"/>
      <x:c r="J655" s="187"/>
    </x:row>
    <x:row r="656">
      <x:c r="A656" s="187" t="str">
        <x:v>SCENARIO_GROWTH_VS_FORECAST</x:v>
      </x:c>
      <x:c r="B656" s="217" t="n">
        <x:v>46266</x:v>
      </x:c>
      <x:c r="C656" s="187" t="str">
        <x:v>CHAIN</x:v>
      </x:c>
      <x:c r="D656" s="187" t="str">
        <x:v>MIX</x:v>
      </x:c>
      <x:c r="E656" s="187" t="str">
        <x:v>GB</x:v>
      </x:c>
      <x:c r="F656" s="187" t="str">
        <x:v>34217.716117440225120048967680000000000000000000000000000000000000000000000000000</x:v>
      </x:c>
      <x:c r="G656" s="235" t="n">
        <x:v>34217.7161</x:v>
      </x:c>
      <x:c r="H656" s="235"/>
      <x:c r="I656" s="229"/>
      <x:c r="J656" s="187"/>
    </x:row>
    <x:row r="657">
      <x:c r="A657" s="187" t="str">
        <x:v>SCENARIO_GROWTH_VS_FORECAST</x:v>
      </x:c>
      <x:c r="B657" s="217" t="n">
        <x:v>46266</x:v>
      </x:c>
      <x:c r="C657" s="187" t="str">
        <x:v>CHAIN</x:v>
      </x:c>
      <x:c r="D657" s="187" t="str">
        <x:v>PRICE</x:v>
      </x:c>
      <x:c r="E657" s="187" t="str">
        <x:v>ALL</x:v>
      </x:c>
      <x:c r="F657" s="187" t="str">
        <x:v>0.000000000000000000000000000000000000000000000000000000000000000000000000000000</x:v>
      </x:c>
      <x:c r="G657" s="235" t="n">
        <x:v>0</x:v>
      </x:c>
      <x:c r="H657" s="235" t="n">
        <x:v>0</x:v>
      </x:c>
      <x:c r="I657" s="229" t="n">
        <x:v>0</x:v>
      </x:c>
      <x:c r="J657" s="254" t="b">
        <x:v>0</x:v>
      </x:c>
    </x:row>
    <x:row r="658">
      <x:c r="A658" s="187" t="str">
        <x:v>SCENARIO_GROWTH_VS_FORECAST</x:v>
      </x:c>
      <x:c r="B658" s="217" t="n">
        <x:v>46266</x:v>
      </x:c>
      <x:c r="C658" s="187" t="str">
        <x:v>CHAIN</x:v>
      </x:c>
      <x:c r="D658" s="187" t="str">
        <x:v>PRICE</x:v>
      </x:c>
      <x:c r="E658" s="187" t="str">
        <x:v>DE</x:v>
      </x:c>
      <x:c r="F658" s="187" t="str">
        <x:v>0.000000000000000000000000000000000000000000000000000000000000000000000000000000</x:v>
      </x:c>
      <x:c r="G658" s="235" t="n">
        <x:v>0</x:v>
      </x:c>
      <x:c r="H658" s="235"/>
      <x:c r="I658" s="229"/>
      <x:c r="J658" s="187"/>
    </x:row>
    <x:row r="659">
      <x:c r="A659" s="187" t="str">
        <x:v>SCENARIO_GROWTH_VS_FORECAST</x:v>
      </x:c>
      <x:c r="B659" s="217" t="n">
        <x:v>46266</x:v>
      </x:c>
      <x:c r="C659" s="187" t="str">
        <x:v>CHAIN</x:v>
      </x:c>
      <x:c r="D659" s="187" t="str">
        <x:v>PRICE</x:v>
      </x:c>
      <x:c r="E659" s="187" t="str">
        <x:v>FR</x:v>
      </x:c>
      <x:c r="F659" s="187" t="str">
        <x:v>0.00000000000000000000000000000000000000000000000000000000000000000000000000000</x:v>
      </x:c>
      <x:c r="G659" s="235" t="n">
        <x:v>0</x:v>
      </x:c>
      <x:c r="H659" s="235"/>
      <x:c r="I659" s="229"/>
      <x:c r="J659" s="187"/>
    </x:row>
    <x:row r="660">
      <x:c r="A660" s="187" t="str">
        <x:v>SCENARIO_GROWTH_VS_FORECAST</x:v>
      </x:c>
      <x:c r="B660" s="217" t="n">
        <x:v>46266</x:v>
      </x:c>
      <x:c r="C660" s="187" t="str">
        <x:v>CHAIN</x:v>
      </x:c>
      <x:c r="D660" s="187" t="str">
        <x:v>PRICE</x:v>
      </x:c>
      <x:c r="E660" s="187" t="str">
        <x:v>GB</x:v>
      </x:c>
      <x:c r="F660" s="187" t="str">
        <x:v>0.000000000000000000000000000000000000000000000000000000000000000000000000000000</x:v>
      </x:c>
      <x:c r="G660" s="235" t="n">
        <x:v>0</x:v>
      </x:c>
      <x:c r="H660" s="235"/>
      <x:c r="I660" s="229"/>
      <x:c r="J660" s="187"/>
    </x:row>
    <x:row r="661">
      <x:c r="A661" s="187" t="str">
        <x:v>SCENARIO_GROWTH_VS_FORECAST</x:v>
      </x:c>
      <x:c r="B661" s="217" t="n">
        <x:v>46266</x:v>
      </x:c>
      <x:c r="C661" s="187" t="str">
        <x:v>CHAIN</x:v>
      </x:c>
      <x:c r="D661" s="187" t="str">
        <x:v>VOLUME</x:v>
      </x:c>
      <x:c r="E661" s="187" t="str">
        <x:v>ALL</x:v>
      </x:c>
      <x:c r="F661" s="187" t="str">
        <x:v>30102.002969402003562602680320000000000</x:v>
      </x:c>
      <x:c r="G661" s="235" t="n">
        <x:v>30102.003</x:v>
      </x:c>
      <x:c r="H661" s="235" t="n">
        <x:v>357.4771418436688</x:v>
      </x:c>
      <x:c r="I661" s="229" t="n">
        <x:v>0.006895109913445367</x:v>
      </x:c>
      <x:c r="J661" s="254" t="b">
        <x:v>0</x:v>
      </x:c>
    </x:row>
    <x:row r="662">
      <x:c r="A662" s="187" t="str">
        <x:v>SCENARIO_GROWTH_VS_FORECAST</x:v>
      </x:c>
      <x:c r="B662" s="217" t="n">
        <x:v>46266</x:v>
      </x:c>
      <x:c r="C662" s="187" t="str">
        <x:v>CHAIN</x:v>
      </x:c>
      <x:c r="D662" s="187" t="str">
        <x:v>VOLUME</x:v>
      </x:c>
      <x:c r="E662" s="187" t="str">
        <x:v>DE</x:v>
      </x:c>
      <x:c r="F662" s="187" t="str">
        <x:v>6951.130475499828680832000000000</x:v>
      </x:c>
      <x:c r="G662" s="235" t="n">
        <x:v>6951.1305</x:v>
      </x:c>
      <x:c r="H662" s="235"/>
      <x:c r="I662" s="229"/>
      <x:c r="J662" s="187"/>
    </x:row>
    <x:row r="663">
      <x:c r="A663" s="187" t="str">
        <x:v>SCENARIO_GROWTH_VS_FORECAST</x:v>
      </x:c>
      <x:c r="B663" s="217" t="n">
        <x:v>46266</x:v>
      </x:c>
      <x:c r="C663" s="187" t="str">
        <x:v>CHAIN</x:v>
      </x:c>
      <x:c r="D663" s="187" t="str">
        <x:v>VOLUME</x:v>
      </x:c>
      <x:c r="E663" s="187" t="str">
        <x:v>FR</x:v>
      </x:c>
      <x:c r="F663" s="187" t="str">
        <x:v>5523.5641909784225472000000000</x:v>
      </x:c>
      <x:c r="G663" s="235" t="n">
        <x:v>5523.5642</x:v>
      </x:c>
      <x:c r="H663" s="235"/>
      <x:c r="I663" s="229"/>
      <x:c r="J663" s="187"/>
    </x:row>
    <x:row r="664">
      <x:c r="A664" s="187" t="str">
        <x:v>SCENARIO_GROWTH_VS_FORECAST</x:v>
      </x:c>
      <x:c r="B664" s="217" t="n">
        <x:v>46266</x:v>
      </x:c>
      <x:c r="C664" s="187" t="str">
        <x:v>CHAIN</x:v>
      </x:c>
      <x:c r="D664" s="187" t="str">
        <x:v>VOLUME</x:v>
      </x:c>
      <x:c r="E664" s="187" t="str">
        <x:v>GB</x:v>
      </x:c>
      <x:c r="F664" s="187" t="str">
        <x:v>17627.308302923752334570680320000000000</x:v>
      </x:c>
      <x:c r="G664" s="235" t="n">
        <x:v>17627.3083</x:v>
      </x:c>
      <x:c r="H664" s="235"/>
      <x:c r="I664" s="229"/>
      <x:c r="J664" s="187"/>
    </x:row>
    <x:row r="665">
      <x:c r="A665" s="187" t="str">
        <x:v>SCENARIO_GROWTH_VS_FORECAST</x:v>
      </x:c>
      <x:c r="B665" s="217" t="n">
        <x:v>46266</x:v>
      </x:c>
      <x:c r="C665" s="187" t="str">
        <x:v>SHAPLEY</x:v>
      </x:c>
      <x:c r="D665" s="187" t="str">
        <x:v>EFFICIENCY</x:v>
      </x:c>
      <x:c r="E665" s="187" t="str">
        <x:v>ALL</x:v>
      </x:c>
      <x:c r="F665" s="187" t="str">
        <x:v>0.000000000000000000000000000000000000000000000000000000000000000000000000000000000000000000000000000000000000000000000000000000000000000000000000000000000000000</x:v>
      </x:c>
      <x:c r="G665" s="235" t="n">
        <x:v>0</x:v>
      </x:c>
      <x:c r="H665" s="235"/>
      <x:c r="I665" s="229"/>
      <x:c r="J665" s="187"/>
    </x:row>
    <x:row r="666">
      <x:c r="A666" s="187" t="str">
        <x:v>SCENARIO_GROWTH_VS_FORECAST</x:v>
      </x:c>
      <x:c r="B666" s="217" t="n">
        <x:v>46266</x:v>
      </x:c>
      <x:c r="C666" s="187" t="str">
        <x:v>SHAPLEY</x:v>
      </x:c>
      <x:c r="D666" s="187" t="str">
        <x:v>EFFICIENCY</x:v>
      </x:c>
      <x:c r="E666" s="187" t="str">
        <x:v>DE</x:v>
      </x:c>
      <x:c r="F666" s="187" t="str">
        <x:v>0.000000000000000000000000000000000000000000000000000000000000000000000000000000000000000000000000000000000000000000000000000000000000000000000000000000000000000</x:v>
      </x:c>
      <x:c r="G666" s="235" t="n">
        <x:v>0</x:v>
      </x:c>
      <x:c r="H666" s="235"/>
      <x:c r="I666" s="229"/>
      <x:c r="J666" s="187"/>
    </x:row>
    <x:row r="667">
      <x:c r="A667" s="187" t="str">
        <x:v>SCENARIO_GROWTH_VS_FORECAST</x:v>
      </x:c>
      <x:c r="B667" s="217" t="n">
        <x:v>46266</x:v>
      </x:c>
      <x:c r="C667" s="187" t="str">
        <x:v>SHAPLEY</x:v>
      </x:c>
      <x:c r="D667" s="187" t="str">
        <x:v>EFFICIENCY</x:v>
      </x:c>
      <x:c r="E667" s="187" t="str">
        <x:v>FR</x:v>
      </x:c>
      <x:c r="F667" s="187" t="str">
        <x:v>0.00000000000000000000000000000000000000000000000000000000000000000000000000000000000000000000000000000000000000000000000000000000000000000000000000000000000000</x:v>
      </x:c>
      <x:c r="G667" s="235" t="n">
        <x:v>0</x:v>
      </x:c>
      <x:c r="H667" s="235"/>
      <x:c r="I667" s="229"/>
      <x:c r="J667" s="187"/>
    </x:row>
    <x:row r="668">
      <x:c r="A668" s="187" t="str">
        <x:v>SCENARIO_GROWTH_VS_FORECAST</x:v>
      </x:c>
      <x:c r="B668" s="217" t="n">
        <x:v>46266</x:v>
      </x:c>
      <x:c r="C668" s="187" t="str">
        <x:v>SHAPLEY</x:v>
      </x:c>
      <x:c r="D668" s="187" t="str">
        <x:v>EFFICIENCY</x:v>
      </x:c>
      <x:c r="E668" s="187" t="str">
        <x:v>GB</x:v>
      </x:c>
      <x:c r="F668" s="187" t="str">
        <x:v>0.000000000000000000000000000000000000000000000000000000000000000000000000000000000000000000000000000000000000000000000000000000000000000000000000000000000000000</x:v>
      </x:c>
      <x:c r="G668" s="235" t="n">
        <x:v>0</x:v>
      </x:c>
      <x:c r="H668" s="235"/>
      <x:c r="I668" s="229"/>
      <x:c r="J668" s="187"/>
    </x:row>
    <x:row r="669">
      <x:c r="A669" s="187" t="str">
        <x:v>SCENARIO_GROWTH_VS_FORECAST</x:v>
      </x:c>
      <x:c r="B669" s="217" t="n">
        <x:v>46266</x:v>
      </x:c>
      <x:c r="C669" s="187" t="str">
        <x:v>SHAPLEY</x:v>
      </x:c>
      <x:c r="D669" s="187" t="str">
        <x:v>FX</x:v>
      </x:c>
      <x:c r="E669" s="187" t="str">
        <x:v>ALL</x:v>
      </x:c>
      <x:c r="F669" s="187" t="str">
        <x:v>0.000000000000000000000000000000000000000000000000000000000000000000000000000000000000000000000000000000000000000000000000000000000000000000000000000000000000000</x:v>
      </x:c>
      <x:c r="G669" s="235" t="n">
        <x:v>0</x:v>
      </x:c>
      <x:c r="H669" s="235"/>
      <x:c r="I669" s="229"/>
      <x:c r="J669" s="187"/>
    </x:row>
    <x:row r="670">
      <x:c r="A670" s="187" t="str">
        <x:v>SCENARIO_GROWTH_VS_FORECAST</x:v>
      </x:c>
      <x:c r="B670" s="217" t="n">
        <x:v>46266</x:v>
      </x:c>
      <x:c r="C670" s="187" t="str">
        <x:v>SHAPLEY</x:v>
      </x:c>
      <x:c r="D670" s="187" t="str">
        <x:v>FX</x:v>
      </x:c>
      <x:c r="E670" s="187" t="str">
        <x:v>DE</x:v>
      </x:c>
      <x:c r="F670" s="187" t="str">
        <x:v>0.000000000000000000000000000000000000000000000000000000000000000000000000000000000000000000000000000000000000000000000000000000000000000000000000000000000000000</x:v>
      </x:c>
      <x:c r="G670" s="235" t="n">
        <x:v>0</x:v>
      </x:c>
      <x:c r="H670" s="235"/>
      <x:c r="I670" s="229"/>
      <x:c r="J670" s="187"/>
    </x:row>
    <x:row r="671">
      <x:c r="A671" s="187" t="str">
        <x:v>SCENARIO_GROWTH_VS_FORECAST</x:v>
      </x:c>
      <x:c r="B671" s="217" t="n">
        <x:v>46266</x:v>
      </x:c>
      <x:c r="C671" s="187" t="str">
        <x:v>SHAPLEY</x:v>
      </x:c>
      <x:c r="D671" s="187" t="str">
        <x:v>FX</x:v>
      </x:c>
      <x:c r="E671" s="187" t="str">
        <x:v>FR</x:v>
      </x:c>
      <x:c r="F671" s="187" t="str">
        <x:v>0.00000000000000000000000000000000000000000000000000000000000000000000000000000000000000000000000000000000000000000000000000000000000000000000000000000000000000</x:v>
      </x:c>
      <x:c r="G671" s="235" t="n">
        <x:v>0</x:v>
      </x:c>
      <x:c r="H671" s="235"/>
      <x:c r="I671" s="229"/>
      <x:c r="J671" s="187"/>
    </x:row>
    <x:row r="672">
      <x:c r="A672" s="187" t="str">
        <x:v>SCENARIO_GROWTH_VS_FORECAST</x:v>
      </x:c>
      <x:c r="B672" s="217" t="n">
        <x:v>46266</x:v>
      </x:c>
      <x:c r="C672" s="187" t="str">
        <x:v>SHAPLEY</x:v>
      </x:c>
      <x:c r="D672" s="187" t="str">
        <x:v>FX</x:v>
      </x:c>
      <x:c r="E672" s="187" t="str">
        <x:v>GB</x:v>
      </x:c>
      <x:c r="F672" s="187" t="str">
        <x:v>0.000000000000000000000000000000000000000000000000000000000000000000000000000000000000000000000000000000000000000000000000000000000000000000000000000000000000000</x:v>
      </x:c>
      <x:c r="G672" s="235" t="n">
        <x:v>0</x:v>
      </x:c>
      <x:c r="H672" s="235"/>
      <x:c r="I672" s="229"/>
      <x:c r="J672" s="187"/>
    </x:row>
    <x:row r="673">
      <x:c r="A673" s="187" t="str">
        <x:v>SCENARIO_GROWTH_VS_FORECAST</x:v>
      </x:c>
      <x:c r="B673" s="217" t="n">
        <x:v>46266</x:v>
      </x:c>
      <x:c r="C673" s="187" t="str">
        <x:v>SHAPLEY</x:v>
      </x:c>
      <x:c r="D673" s="187" t="str">
        <x:v>MIX</x:v>
      </x:c>
      <x:c r="E673" s="187" t="str">
        <x:v>ALL</x:v>
      </x:c>
      <x:c r="F673" s="187" t="str">
        <x:v>21385.544309118305075610499159148936170212765957446808510638297872340425531914885</x:v>
      </x:c>
      <x:c r="G673" s="235" t="n">
        <x:v>21385.5443</x:v>
      </x:c>
      <x:c r="H673" s="235"/>
      <x:c r="I673" s="229"/>
      <x:c r="J673" s="187"/>
    </x:row>
    <x:row r="674">
      <x:c r="A674" s="187" t="str">
        <x:v>SCENARIO_GROWTH_VS_FORECAST</x:v>
      </x:c>
      <x:c r="B674" s="217" t="n">
        <x:v>46266</x:v>
      </x:c>
      <x:c r="C674" s="187" t="str">
        <x:v>SHAPLEY</x:v>
      </x:c>
      <x:c r="D674" s="187" t="str">
        <x:v>MIX</x:v>
      </x:c>
      <x:c r="E674" s="187" t="str">
        <x:v>DE</x:v>
      </x:c>
      <x:c r="F674" s="187" t="str">
        <x:v>-6836.8468990167560622883404255319148936170212765957446808510638297872340425531898</x:v>
      </x:c>
      <x:c r="G674" s="235" t="n">
        <x:v>-6836.8469</x:v>
      </x:c>
      <x:c r="H674" s="235"/>
      <x:c r="I674" s="229"/>
      <x:c r="J674" s="187"/>
    </x:row>
    <x:row r="675">
      <x:c r="A675" s="187" t="str">
        <x:v>SCENARIO_GROWTH_VS_FORECAST</x:v>
      </x:c>
      <x:c r="B675" s="217" t="n">
        <x:v>46266</x:v>
      </x:c>
      <x:c r="C675" s="187" t="str">
        <x:v>SHAPLEY</x:v>
      </x:c>
      <x:c r="D675" s="187" t="str">
        <x:v>MIX</x:v>
      </x:c>
      <x:c r="E675" s="187" t="str">
        <x:v>FR</x:v>
      </x:c>
      <x:c r="F675" s="187" t="str">
        <x:v>-5432.7512400629165672170212765957446808510638297872340425531914893617021276595744</x:v>
      </x:c>
      <x:c r="G675" s="235" t="n">
        <x:v>-5432.7512</x:v>
      </x:c>
      <x:c r="H675" s="235"/>
      <x:c r="I675" s="229"/>
      <x:c r="J675" s="187"/>
    </x:row>
    <x:row r="676">
      <x:c r="A676" s="187" t="str">
        <x:v>SCENARIO_GROWTH_VS_FORECAST</x:v>
      </x:c>
      <x:c r="B676" s="217" t="n">
        <x:v>46266</x:v>
      </x:c>
      <x:c r="C676" s="187" t="str">
        <x:v>SHAPLEY</x:v>
      </x:c>
      <x:c r="D676" s="187" t="str">
        <x:v>MIX</x:v>
      </x:c>
      <x:c r="E676" s="187" t="str">
        <x:v>GB</x:v>
      </x:c>
      <x:c r="F676" s="187" t="str">
        <x:v>33655.142448197977705115860861276595744680851063829787234042553191489361702127649</x:v>
      </x:c>
      <x:c r="G676" s="235" t="n">
        <x:v>33655.1424</x:v>
      </x:c>
      <x:c r="H676" s="235"/>
      <x:c r="I676" s="229"/>
      <x:c r="J676" s="187"/>
    </x:row>
    <x:row r="677">
      <x:c r="A677" s="187" t="str">
        <x:v>SCENARIO_GROWTH_VS_FORECAST</x:v>
      </x:c>
      <x:c r="B677" s="217" t="n">
        <x:v>46266</x:v>
      </x:c>
      <x:c r="C677" s="187" t="str">
        <x:v>SHAPLEY</x:v>
      </x:c>
      <x:c r="D677" s="187" t="str">
        <x:v>PRICE</x:v>
      </x:c>
      <x:c r="E677" s="187" t="str">
        <x:v>ALL</x:v>
      </x:c>
      <x:c r="F677" s="187" t="str">
        <x:v>0.000000000000000000000000000000000000000000000000000000000000000000000000000000000000000000000000000000000000000000000000000000000000000000000000000000000000000</x:v>
      </x:c>
      <x:c r="G677" s="235" t="n">
        <x:v>0</x:v>
      </x:c>
      <x:c r="H677" s="235"/>
      <x:c r="I677" s="229"/>
      <x:c r="J677" s="187"/>
    </x:row>
    <x:row r="678">
      <x:c r="A678" s="187" t="str">
        <x:v>SCENARIO_GROWTH_VS_FORECAST</x:v>
      </x:c>
      <x:c r="B678" s="217" t="n">
        <x:v>46266</x:v>
      </x:c>
      <x:c r="C678" s="187" t="str">
        <x:v>SHAPLEY</x:v>
      </x:c>
      <x:c r="D678" s="187" t="str">
        <x:v>PRICE</x:v>
      </x:c>
      <x:c r="E678" s="187" t="str">
        <x:v>DE</x:v>
      </x:c>
      <x:c r="F678" s="187" t="str">
        <x:v>0.000000000000000000000000000000000000000000000000000000000000000000000000000000000000000000000000000000000000000000000000000000000000000000000000000000000000000</x:v>
      </x:c>
      <x:c r="G678" s="235" t="n">
        <x:v>0</x:v>
      </x:c>
      <x:c r="H678" s="235"/>
      <x:c r="I678" s="229"/>
      <x:c r="J678" s="187"/>
    </x:row>
    <x:row r="679">
      <x:c r="A679" s="187" t="str">
        <x:v>SCENARIO_GROWTH_VS_FORECAST</x:v>
      </x:c>
      <x:c r="B679" s="217" t="n">
        <x:v>46266</x:v>
      </x:c>
      <x:c r="C679" s="187" t="str">
        <x:v>SHAPLEY</x:v>
      </x:c>
      <x:c r="D679" s="187" t="str">
        <x:v>PRICE</x:v>
      </x:c>
      <x:c r="E679" s="187" t="str">
        <x:v>FR</x:v>
      </x:c>
      <x:c r="F679" s="187" t="str">
        <x:v>0.00000000000000000000000000000000000000000000000000000000000000000000000000000000000000000000000000000000000000000000000000000000000000000000000000000000000000</x:v>
      </x:c>
      <x:c r="G679" s="235" t="n">
        <x:v>0</x:v>
      </x:c>
      <x:c r="H679" s="235"/>
      <x:c r="I679" s="229"/>
      <x:c r="J679" s="187"/>
    </x:row>
    <x:row r="680">
      <x:c r="A680" s="187" t="str">
        <x:v>SCENARIO_GROWTH_VS_FORECAST</x:v>
      </x:c>
      <x:c r="B680" s="217" t="n">
        <x:v>46266</x:v>
      </x:c>
      <x:c r="C680" s="187" t="str">
        <x:v>SHAPLEY</x:v>
      </x:c>
      <x:c r="D680" s="187" t="str">
        <x:v>PRICE</x:v>
      </x:c>
      <x:c r="E680" s="187" t="str">
        <x:v>GB</x:v>
      </x:c>
      <x:c r="F680" s="187" t="str">
        <x:v>0.000000000000000000000000000000000000000000000000000000000000000000000000000000000000000000000000000000000000000000000000000000000000000000000000000000000000000</x:v>
      </x:c>
      <x:c r="G680" s="235" t="n">
        <x:v>0</x:v>
      </x:c>
      <x:c r="H680" s="235"/>
      <x:c r="I680" s="229"/>
      <x:c r="J680" s="187"/>
    </x:row>
    <x:row r="681">
      <x:c r="A681" s="187" t="str">
        <x:v>SCENARIO_GROWTH_VS_FORECAST</x:v>
      </x:c>
      <x:c r="B681" s="217" t="n">
        <x:v>46266</x:v>
      </x:c>
      <x:c r="C681" s="187" t="str">
        <x:v>SHAPLEY</x:v>
      </x:c>
      <x:c r="D681" s="187" t="str">
        <x:v>VOLUME</x:v>
      </x:c>
      <x:c r="E681" s="187" t="str">
        <x:v>ALL</x:v>
      </x:c>
      <x:c r="F681" s="187" t="str">
        <x:v>30459.480111245672379009148840851063829787234042553191489361702127659574468085115</x:v>
      </x:c>
      <x:c r="G681" s="235" t="n">
        <x:v>30459.4801</x:v>
      </x:c>
      <x:c r="H681" s="235"/>
      <x:c r="I681" s="229"/>
      <x:c r="J681" s="187"/>
    </x:row>
    <x:row r="682">
      <x:c r="A682" s="187" t="str">
        <x:v>SCENARIO_GROWTH_VS_FORECAST</x:v>
      </x:c>
      <x:c r="B682" s="217" t="n">
        <x:v>46266</x:v>
      </x:c>
      <x:c r="C682" s="187" t="str">
        <x:v>SHAPLEY</x:v>
      </x:c>
      <x:c r="D682" s="187" t="str">
        <x:v>VOLUME</x:v>
      </x:c>
      <x:c r="E682" s="187" t="str">
        <x:v>DE</x:v>
      </x:c>
      <x:c r="F682" s="187" t="str">
        <x:v>6836.8468990167560622883404255319148936170212765957446808510638297872340425531895</x:v>
      </x:c>
      <x:c r="G682" s="235" t="n">
        <x:v>6836.8469</x:v>
      </x:c>
      <x:c r="H682" s="235"/>
      <x:c r="I682" s="229"/>
      <x:c r="J682" s="187"/>
    </x:row>
    <x:row r="683">
      <x:c r="A683" s="187" t="str">
        <x:v>SCENARIO_GROWTH_VS_FORECAST</x:v>
      </x:c>
      <x:c r="B683" s="217" t="n">
        <x:v>46266</x:v>
      </x:c>
      <x:c r="C683" s="187" t="str">
        <x:v>SHAPLEY</x:v>
      </x:c>
      <x:c r="D683" s="187" t="str">
        <x:v>VOLUME</x:v>
      </x:c>
      <x:c r="E683" s="187" t="str">
        <x:v>FR</x:v>
      </x:c>
      <x:c r="F683" s="187" t="str">
        <x:v>5432.7512400629165672170212765957446808510638297872340425531914893617021276595742</x:v>
      </x:c>
      <x:c r="G683" s="235" t="n">
        <x:v>5432.7512</x:v>
      </x:c>
      <x:c r="H683" s="235"/>
      <x:c r="I683" s="229"/>
      <x:c r="J683" s="187"/>
    </x:row>
    <x:row r="684">
      <x:c r="A684" s="187" t="str">
        <x:v>SCENARIO_GROWTH_VS_FORECAST</x:v>
      </x:c>
      <x:c r="B684" s="217" t="n">
        <x:v>46266</x:v>
      </x:c>
      <x:c r="C684" s="187" t="str">
        <x:v>SHAPLEY</x:v>
      </x:c>
      <x:c r="D684" s="187" t="str">
        <x:v>VOLUME</x:v>
      </x:c>
      <x:c r="E684" s="187" t="str">
        <x:v>GB</x:v>
      </x:c>
      <x:c r="F684" s="187" t="str">
        <x:v>18189.881972165999749503787138723404255319148936170212765957446808510638297872351</x:v>
      </x:c>
      <x:c r="G684" s="235" t="n">
        <x:v>18189.882</x:v>
      </x:c>
      <x:c r="H684" s="235"/>
      <x:c r="I684" s="229"/>
      <x:c r="J684" s="187"/>
    </x:row>
    <x:row r="685">
      <x:c r="A685" s="187" t="str">
        <x:v>SCENARIO_GROWTH_VS_FORECAST</x:v>
      </x:c>
      <x:c r="B685" s="217" t="n">
        <x:v>46296</x:v>
      </x:c>
      <x:c r="C685" s="187" t="str">
        <x:v>CHAIN</x:v>
      </x:c>
      <x:c r="D685" s="187" t="str">
        <x:v>EFFICIENCY</x:v>
      </x:c>
      <x:c r="E685" s="187" t="str">
        <x:v>ALL</x:v>
      </x:c>
      <x:c r="F685" s="187" t="str">
        <x:v>0.000000000000000000000000000000000000000000000000000000000000000000000000000000</x:v>
      </x:c>
      <x:c r="G685" s="235" t="n">
        <x:v>0</x:v>
      </x:c>
      <x:c r="H685" s="235" t="n">
        <x:v>0</x:v>
      </x:c>
      <x:c r="I685" s="229" t="n">
        <x:v>0</x:v>
      </x:c>
      <x:c r="J685" s="254" t="b">
        <x:v>0</x:v>
      </x:c>
    </x:row>
    <x:row r="686">
      <x:c r="A686" s="187" t="str">
        <x:v>SCENARIO_GROWTH_VS_FORECAST</x:v>
      </x:c>
      <x:c r="B686" s="217" t="n">
        <x:v>46296</x:v>
      </x:c>
      <x:c r="C686" s="187" t="str">
        <x:v>CHAIN</x:v>
      </x:c>
      <x:c r="D686" s="187" t="str">
        <x:v>EFFICIENCY</x:v>
      </x:c>
      <x:c r="E686" s="187" t="str">
        <x:v>DE</x:v>
      </x:c>
      <x:c r="F686" s="187" t="str">
        <x:v>0.000000000000000000000000000000000000000000000000000000000000000000000000000000</x:v>
      </x:c>
      <x:c r="G686" s="235" t="n">
        <x:v>0</x:v>
      </x:c>
      <x:c r="H686" s="235"/>
      <x:c r="I686" s="229"/>
      <x:c r="J686" s="187"/>
    </x:row>
    <x:row r="687">
      <x:c r="A687" s="187" t="str">
        <x:v>SCENARIO_GROWTH_VS_FORECAST</x:v>
      </x:c>
      <x:c r="B687" s="217" t="n">
        <x:v>46296</x:v>
      </x:c>
      <x:c r="C687" s="187" t="str">
        <x:v>CHAIN</x:v>
      </x:c>
      <x:c r="D687" s="187" t="str">
        <x:v>EFFICIENCY</x:v>
      </x:c>
      <x:c r="E687" s="187" t="str">
        <x:v>FR</x:v>
      </x:c>
      <x:c r="F687" s="187" t="str">
        <x:v>0.00000000000000000000000000000000000000000000000000000000000000000000000000000</x:v>
      </x:c>
      <x:c r="G687" s="235" t="n">
        <x:v>0</x:v>
      </x:c>
      <x:c r="H687" s="235"/>
      <x:c r="I687" s="229"/>
      <x:c r="J687" s="187"/>
    </x:row>
    <x:row r="688">
      <x:c r="A688" s="187" t="str">
        <x:v>SCENARIO_GROWTH_VS_FORECAST</x:v>
      </x:c>
      <x:c r="B688" s="217" t="n">
        <x:v>46296</x:v>
      </x:c>
      <x:c r="C688" s="187" t="str">
        <x:v>CHAIN</x:v>
      </x:c>
      <x:c r="D688" s="187" t="str">
        <x:v>EFFICIENCY</x:v>
      </x:c>
      <x:c r="E688" s="187" t="str">
        <x:v>GB</x:v>
      </x:c>
      <x:c r="F688" s="187" t="str">
        <x:v>0.00000000000000000000000000000000000000000000000000000000000000000000000000000</x:v>
      </x:c>
      <x:c r="G688" s="235" t="n">
        <x:v>0</x:v>
      </x:c>
      <x:c r="H688" s="235"/>
      <x:c r="I688" s="229"/>
      <x:c r="J688" s="187"/>
    </x:row>
    <x:row r="689">
      <x:c r="A689" s="187" t="str">
        <x:v>SCENARIO_GROWTH_VS_FORECAST</x:v>
      </x:c>
      <x:c r="B689" s="217" t="n">
        <x:v>46296</x:v>
      </x:c>
      <x:c r="C689" s="187" t="str">
        <x:v>CHAIN</x:v>
      </x:c>
      <x:c r="D689" s="187" t="str">
        <x:v>FX</x:v>
      </x:c>
      <x:c r="E689" s="187" t="str">
        <x:v>ALL</x:v>
      </x:c>
      <x:c r="F689" s="187" t="str">
        <x:v>0.000000000000000000000000000000000000000000000000000000000000000000000000000000</x:v>
      </x:c>
      <x:c r="G689" s="235" t="n">
        <x:v>0</x:v>
      </x:c>
      <x:c r="H689" s="235" t="n">
        <x:v>0</x:v>
      </x:c>
      <x:c r="I689" s="229" t="n">
        <x:v>0</x:v>
      </x:c>
      <x:c r="J689" s="254" t="b">
        <x:v>0</x:v>
      </x:c>
    </x:row>
    <x:row r="690">
      <x:c r="A690" s="187" t="str">
        <x:v>SCENARIO_GROWTH_VS_FORECAST</x:v>
      </x:c>
      <x:c r="B690" s="217" t="n">
        <x:v>46296</x:v>
      </x:c>
      <x:c r="C690" s="187" t="str">
        <x:v>CHAIN</x:v>
      </x:c>
      <x:c r="D690" s="187" t="str">
        <x:v>FX</x:v>
      </x:c>
      <x:c r="E690" s="187" t="str">
        <x:v>DE</x:v>
      </x:c>
      <x:c r="F690" s="187" t="str">
        <x:v>0.000000000000000000000000000000000000000000000000000000000000000000000000000000</x:v>
      </x:c>
      <x:c r="G690" s="235" t="n">
        <x:v>0</x:v>
      </x:c>
      <x:c r="H690" s="235"/>
      <x:c r="I690" s="229"/>
      <x:c r="J690" s="187"/>
    </x:row>
    <x:row r="691">
      <x:c r="A691" s="187" t="str">
        <x:v>SCENARIO_GROWTH_VS_FORECAST</x:v>
      </x:c>
      <x:c r="B691" s="217" t="n">
        <x:v>46296</x:v>
      </x:c>
      <x:c r="C691" s="187" t="str">
        <x:v>CHAIN</x:v>
      </x:c>
      <x:c r="D691" s="187" t="str">
        <x:v>FX</x:v>
      </x:c>
      <x:c r="E691" s="187" t="str">
        <x:v>FR</x:v>
      </x:c>
      <x:c r="F691" s="187" t="str">
        <x:v>0.00000000000000000000000000000000000000000000000000000000000000000000000000000</x:v>
      </x:c>
      <x:c r="G691" s="235" t="n">
        <x:v>0</x:v>
      </x:c>
      <x:c r="H691" s="235"/>
      <x:c r="I691" s="229"/>
      <x:c r="J691" s="187"/>
    </x:row>
    <x:row r="692">
      <x:c r="A692" s="187" t="str">
        <x:v>SCENARIO_GROWTH_VS_FORECAST</x:v>
      </x:c>
      <x:c r="B692" s="217" t="n">
        <x:v>46296</x:v>
      </x:c>
      <x:c r="C692" s="187" t="str">
        <x:v>CHAIN</x:v>
      </x:c>
      <x:c r="D692" s="187" t="str">
        <x:v>FX</x:v>
      </x:c>
      <x:c r="E692" s="187" t="str">
        <x:v>GB</x:v>
      </x:c>
      <x:c r="F692" s="187" t="str">
        <x:v>0.00000000000000000000000000000000000000000000000000000000000000000000000000000</x:v>
      </x:c>
      <x:c r="G692" s="235" t="n">
        <x:v>0</x:v>
      </x:c>
      <x:c r="H692" s="235"/>
      <x:c r="I692" s="229"/>
      <x:c r="J692" s="187"/>
    </x:row>
    <x:row r="693">
      <x:c r="A693" s="187" t="str">
        <x:v>SCENARIO_GROWTH_VS_FORECAST</x:v>
      </x:c>
      <x:c r="B693" s="217" t="n">
        <x:v>46296</x:v>
      </x:c>
      <x:c r="C693" s="187" t="str">
        <x:v>CHAIN</x:v>
      </x:c>
      <x:c r="D693" s="187" t="str">
        <x:v>MIX</x:v>
      </x:c>
      <x:c r="E693" s="187" t="str">
        <x:v>ALL</x:v>
      </x:c>
      <x:c r="F693" s="187" t="str">
        <x:v>23394.688714662951734550004239360000000000000000000000000000000000000000000000000</x:v>
      </x:c>
      <x:c r="G693" s="235" t="n">
        <x:v>23394.6887</x:v>
      </x:c>
      <x:c r="H693" s="235" t="n">
        <x:v>406.471425544337</x:v>
      </x:c>
      <x:c r="I693" s="229" t="n">
        <x:v>0.006854881240178446</x:v>
      </x:c>
      <x:c r="J693" s="254" t="b">
        <x:v>0</x:v>
      </x:c>
    </x:row>
    <x:row r="694">
      <x:c r="A694" s="187" t="str">
        <x:v>SCENARIO_GROWTH_VS_FORECAST</x:v>
      </x:c>
      <x:c r="B694" s="217" t="n">
        <x:v>46296</x:v>
      </x:c>
      <x:c r="C694" s="187" t="str">
        <x:v>CHAIN</x:v>
      </x:c>
      <x:c r="D694" s="187" t="str">
        <x:v>MIX</x:v>
      </x:c>
      <x:c r="E694" s="187" t="str">
        <x:v>DE</x:v>
      </x:c>
      <x:c r="F694" s="187" t="str">
        <x:v>-7903.9710026896944033540000000000000000000000000000000000000000000000000000000000</x:v>
      </x:c>
      <x:c r="G694" s="235" t="n">
        <x:v>-7903.971</x:v>
      </x:c>
      <x:c r="H694" s="235"/>
      <x:c r="I694" s="229"/>
      <x:c r="J694" s="187"/>
    </x:row>
    <x:row r="695">
      <x:c r="A695" s="187" t="str">
        <x:v>SCENARIO_GROWTH_VS_FORECAST</x:v>
      </x:c>
      <x:c r="B695" s="217" t="n">
        <x:v>46296</x:v>
      </x:c>
      <x:c r="C695" s="187" t="str">
        <x:v>CHAIN</x:v>
      </x:c>
      <x:c r="D695" s="187" t="str">
        <x:v>MIX</x:v>
      </x:c>
      <x:c r="E695" s="187" t="str">
        <x:v>FR</x:v>
      </x:c>
      <x:c r="F695" s="187" t="str">
        <x:v>-6651.1899202471556886000000000000000000000000000000000000000000000000000000000000</x:v>
      </x:c>
      <x:c r="G695" s="235" t="n">
        <x:v>-6651.1899</x:v>
      </x:c>
      <x:c r="H695" s="235"/>
      <x:c r="I695" s="229"/>
      <x:c r="J695" s="187"/>
    </x:row>
    <x:row r="696">
      <x:c r="A696" s="187" t="str">
        <x:v>SCENARIO_GROWTH_VS_FORECAST</x:v>
      </x:c>
      <x:c r="B696" s="217" t="n">
        <x:v>46296</x:v>
      </x:c>
      <x:c r="C696" s="187" t="str">
        <x:v>CHAIN</x:v>
      </x:c>
      <x:c r="D696" s="187" t="str">
        <x:v>MIX</x:v>
      </x:c>
      <x:c r="E696" s="187" t="str">
        <x:v>GB</x:v>
      </x:c>
      <x:c r="F696" s="187" t="str">
        <x:v>37949.849637599801826504004239360000000000000000000000000000000000000000000000000</x:v>
      </x:c>
      <x:c r="G696" s="235" t="n">
        <x:v>37949.8496</x:v>
      </x:c>
      <x:c r="H696" s="235"/>
      <x:c r="I696" s="229"/>
      <x:c r="J696" s="187"/>
    </x:row>
    <x:row r="697">
      <x:c r="A697" s="187" t="str">
        <x:v>SCENARIO_GROWTH_VS_FORECAST</x:v>
      </x:c>
      <x:c r="B697" s="217" t="n">
        <x:v>46296</x:v>
      </x:c>
      <x:c r="C697" s="187" t="str">
        <x:v>CHAIN</x:v>
      </x:c>
      <x:c r="D697" s="187" t="str">
        <x:v>PRICE</x:v>
      </x:c>
      <x:c r="E697" s="187" t="str">
        <x:v>ALL</x:v>
      </x:c>
      <x:c r="F697" s="187" t="str">
        <x:v>0.000000000000000000000000000000000000000000000000000000000000000000000000000000</x:v>
      </x:c>
      <x:c r="G697" s="235" t="n">
        <x:v>0</x:v>
      </x:c>
      <x:c r="H697" s="235" t="n">
        <x:v>0</x:v>
      </x:c>
      <x:c r="I697" s="229" t="n">
        <x:v>0</x:v>
      </x:c>
      <x:c r="J697" s="254" t="b">
        <x:v>0</x:v>
      </x:c>
    </x:row>
    <x:row r="698">
      <x:c r="A698" s="187" t="str">
        <x:v>SCENARIO_GROWTH_VS_FORECAST</x:v>
      </x:c>
      <x:c r="B698" s="217" t="n">
        <x:v>46296</x:v>
      </x:c>
      <x:c r="C698" s="187" t="str">
        <x:v>CHAIN</x:v>
      </x:c>
      <x:c r="D698" s="187" t="str">
        <x:v>PRICE</x:v>
      </x:c>
      <x:c r="E698" s="187" t="str">
        <x:v>DE</x:v>
      </x:c>
      <x:c r="F698" s="187" t="str">
        <x:v>0.000000000000000000000000000000000000000000000000000000000000000000000000000000</x:v>
      </x:c>
      <x:c r="G698" s="235" t="n">
        <x:v>0</x:v>
      </x:c>
      <x:c r="H698" s="235"/>
      <x:c r="I698" s="229"/>
      <x:c r="J698" s="187"/>
    </x:row>
    <x:row r="699">
      <x:c r="A699" s="187" t="str">
        <x:v>SCENARIO_GROWTH_VS_FORECAST</x:v>
      </x:c>
      <x:c r="B699" s="217" t="n">
        <x:v>46296</x:v>
      </x:c>
      <x:c r="C699" s="187" t="str">
        <x:v>CHAIN</x:v>
      </x:c>
      <x:c r="D699" s="187" t="str">
        <x:v>PRICE</x:v>
      </x:c>
      <x:c r="E699" s="187" t="str">
        <x:v>FR</x:v>
      </x:c>
      <x:c r="F699" s="187" t="str">
        <x:v>0.00000000000000000000000000000000000000000000000000000000000000000000000000000</x:v>
      </x:c>
      <x:c r="G699" s="235" t="n">
        <x:v>0</x:v>
      </x:c>
      <x:c r="H699" s="235"/>
      <x:c r="I699" s="229"/>
      <x:c r="J699" s="187"/>
    </x:row>
    <x:row r="700">
      <x:c r="A700" s="187" t="str">
        <x:v>SCENARIO_GROWTH_VS_FORECAST</x:v>
      </x:c>
      <x:c r="B700" s="217" t="n">
        <x:v>46296</x:v>
      </x:c>
      <x:c r="C700" s="187" t="str">
        <x:v>CHAIN</x:v>
      </x:c>
      <x:c r="D700" s="187" t="str">
        <x:v>PRICE</x:v>
      </x:c>
      <x:c r="E700" s="187" t="str">
        <x:v>GB</x:v>
      </x:c>
      <x:c r="F700" s="187" t="str">
        <x:v>0.00000000000000000000000000000000000000000000000000000000000000000000000000000</x:v>
      </x:c>
      <x:c r="G700" s="235" t="n">
        <x:v>0</x:v>
      </x:c>
      <x:c r="H700" s="235"/>
      <x:c r="I700" s="229"/>
      <x:c r="J700" s="187"/>
    </x:row>
    <x:row r="701">
      <x:c r="A701" s="187" t="str">
        <x:v>SCENARIO_GROWTH_VS_FORECAST</x:v>
      </x:c>
      <x:c r="B701" s="217" t="n">
        <x:v>46296</x:v>
      </x:c>
      <x:c r="C701" s="187" t="str">
        <x:v>CHAIN</x:v>
      </x:c>
      <x:c r="D701" s="187" t="str">
        <x:v>VOLUME</x:v>
      </x:c>
      <x:c r="E701" s="187" t="str">
        <x:v>ALL</x:v>
      </x:c>
      <x:c r="F701" s="187" t="str">
        <x:v>35901.95134408673861936250238464000000000</x:v>
      </x:c>
      <x:c r="G701" s="235" t="n">
        <x:v>35901.9513</x:v>
      </x:c>
      <x:c r="H701" s="235" t="n">
        <x:v>406.471425544337</x:v>
      </x:c>
      <x:c r="I701" s="229" t="n">
        <x:v>0.006854881240178446</x:v>
      </x:c>
      <x:c r="J701" s="254" t="b">
        <x:v>0</x:v>
      </x:c>
    </x:row>
    <x:row r="702">
      <x:c r="A702" s="187" t="str">
        <x:v>SCENARIO_GROWTH_VS_FORECAST</x:v>
      </x:c>
      <x:c r="B702" s="217" t="n">
        <x:v>46296</x:v>
      </x:c>
      <x:c r="C702" s="187" t="str">
        <x:v>CHAIN</x:v>
      </x:c>
      <x:c r="D702" s="187" t="str">
        <x:v>VOLUME</x:v>
      </x:c>
      <x:c r="E702" s="187" t="str">
        <x:v>DE</x:v>
      </x:c>
      <x:c r="F702" s="187" t="str">
        <x:v>7903.97100268969440335400000000000</x:v>
      </x:c>
      <x:c r="G702" s="235" t="n">
        <x:v>7903.971</x:v>
      </x:c>
      <x:c r="H702" s="235"/>
      <x:c r="I702" s="229"/>
      <x:c r="J702" s="187"/>
    </x:row>
    <x:row r="703">
      <x:c r="A703" s="187" t="str">
        <x:v>SCENARIO_GROWTH_VS_FORECAST</x:v>
      </x:c>
      <x:c r="B703" s="217" t="n">
        <x:v>46296</x:v>
      </x:c>
      <x:c r="C703" s="187" t="str">
        <x:v>CHAIN</x:v>
      </x:c>
      <x:c r="D703" s="187" t="str">
        <x:v>VOLUME</x:v>
      </x:c>
      <x:c r="E703" s="187" t="str">
        <x:v>FR</x:v>
      </x:c>
      <x:c r="F703" s="187" t="str">
        <x:v>6651.189920247155688600000000000</x:v>
      </x:c>
      <x:c r="G703" s="235" t="n">
        <x:v>6651.1899</x:v>
      </x:c>
      <x:c r="H703" s="235"/>
      <x:c r="I703" s="229"/>
      <x:c r="J703" s="187"/>
    </x:row>
    <x:row r="704">
      <x:c r="A704" s="187" t="str">
        <x:v>SCENARIO_GROWTH_VS_FORECAST</x:v>
      </x:c>
      <x:c r="B704" s="217" t="n">
        <x:v>46296</x:v>
      </x:c>
      <x:c r="C704" s="187" t="str">
        <x:v>CHAIN</x:v>
      </x:c>
      <x:c r="D704" s="187" t="str">
        <x:v>VOLUME</x:v>
      </x:c>
      <x:c r="E704" s="187" t="str">
        <x:v>GB</x:v>
      </x:c>
      <x:c r="F704" s="187" t="str">
        <x:v>21346.79042114988852740850238464000000000</x:v>
      </x:c>
      <x:c r="G704" s="235" t="n">
        <x:v>21346.7904</x:v>
      </x:c>
      <x:c r="H704" s="235"/>
      <x:c r="I704" s="229"/>
      <x:c r="J704" s="187"/>
    </x:row>
    <x:row r="705">
      <x:c r="A705" s="187" t="str">
        <x:v>SCENARIO_GROWTH_VS_FORECAST</x:v>
      </x:c>
      <x:c r="B705" s="217" t="n">
        <x:v>46296</x:v>
      </x:c>
      <x:c r="C705" s="187" t="str">
        <x:v>SHAPLEY</x:v>
      </x:c>
      <x:c r="D705" s="187" t="str">
        <x:v>EFFICIENCY</x:v>
      </x:c>
      <x:c r="E705" s="187" t="str">
        <x:v>ALL</x:v>
      </x:c>
      <x:c r="F705" s="187" t="str">
        <x:v>0.000000000000000000000000000000000000000000000000000000000000000000000000000000000000000000000000000000000000000000000000000000000000000000000000000000000000000</x:v>
      </x:c>
      <x:c r="G705" s="235" t="n">
        <x:v>0</x:v>
      </x:c>
      <x:c r="H705" s="235"/>
      <x:c r="I705" s="229"/>
      <x:c r="J705" s="187"/>
    </x:row>
    <x:row r="706">
      <x:c r="A706" s="187" t="str">
        <x:v>SCENARIO_GROWTH_VS_FORECAST</x:v>
      </x:c>
      <x:c r="B706" s="217" t="n">
        <x:v>46296</x:v>
      </x:c>
      <x:c r="C706" s="187" t="str">
        <x:v>SHAPLEY</x:v>
      </x:c>
      <x:c r="D706" s="187" t="str">
        <x:v>EFFICIENCY</x:v>
      </x:c>
      <x:c r="E706" s="187" t="str">
        <x:v>DE</x:v>
      </x:c>
      <x:c r="F706" s="187" t="str">
        <x:v>0.000000000000000000000000000000000000000000000000000000000000000000000000000000000000000000000000000000000000000000000000000000000000000000000000000000000000000</x:v>
      </x:c>
      <x:c r="G706" s="235" t="n">
        <x:v>0</x:v>
      </x:c>
      <x:c r="H706" s="235"/>
      <x:c r="I706" s="229"/>
      <x:c r="J706" s="187"/>
    </x:row>
    <x:row r="707">
      <x:c r="A707" s="187" t="str">
        <x:v>SCENARIO_GROWTH_VS_FORECAST</x:v>
      </x:c>
      <x:c r="B707" s="217" t="n">
        <x:v>46296</x:v>
      </x:c>
      <x:c r="C707" s="187" t="str">
        <x:v>SHAPLEY</x:v>
      </x:c>
      <x:c r="D707" s="187" t="str">
        <x:v>EFFICIENCY</x:v>
      </x:c>
      <x:c r="E707" s="187" t="str">
        <x:v>FR</x:v>
      </x:c>
      <x:c r="F707" s="187" t="str">
        <x:v>0.00000000000000000000000000000000000000000000000000000000000000000000000000000000000000000000000000000000000000000000000000000000000000000000000000000000000000</x:v>
      </x:c>
      <x:c r="G707" s="235" t="n">
        <x:v>0</x:v>
      </x:c>
      <x:c r="H707" s="235"/>
      <x:c r="I707" s="229"/>
      <x:c r="J707" s="187"/>
    </x:row>
    <x:row r="708">
      <x:c r="A708" s="187" t="str">
        <x:v>SCENARIO_GROWTH_VS_FORECAST</x:v>
      </x:c>
      <x:c r="B708" s="217" t="n">
        <x:v>46296</x:v>
      </x:c>
      <x:c r="C708" s="187" t="str">
        <x:v>SHAPLEY</x:v>
      </x:c>
      <x:c r="D708" s="187" t="str">
        <x:v>EFFICIENCY</x:v>
      </x:c>
      <x:c r="E708" s="187" t="str">
        <x:v>GB</x:v>
      </x:c>
      <x:c r="F708" s="187" t="str">
        <x:v>0.00000000000000000000000000000000000000000000000000000000000000000000000000000000000000000000000000000000000000000000000000000000000000000000000000000000000000</x:v>
      </x:c>
      <x:c r="G708" s="235" t="n">
        <x:v>0</x:v>
      </x:c>
      <x:c r="H708" s="235"/>
      <x:c r="I708" s="229"/>
      <x:c r="J708" s="187"/>
    </x:row>
    <x:row r="709">
      <x:c r="A709" s="187" t="str">
        <x:v>SCENARIO_GROWTH_VS_FORECAST</x:v>
      </x:c>
      <x:c r="B709" s="217" t="n">
        <x:v>46296</x:v>
      </x:c>
      <x:c r="C709" s="187" t="str">
        <x:v>SHAPLEY</x:v>
      </x:c>
      <x:c r="D709" s="187" t="str">
        <x:v>FX</x:v>
      </x:c>
      <x:c r="E709" s="187" t="str">
        <x:v>ALL</x:v>
      </x:c>
      <x:c r="F709" s="187" t="str">
        <x:v>0.000000000000000000000000000000000000000000000000000000000000000000000000000000000000000000000000000000000000000000000000000000000000000000000000000000000000000</x:v>
      </x:c>
      <x:c r="G709" s="235" t="n">
        <x:v>0</x:v>
      </x:c>
      <x:c r="H709" s="235"/>
      <x:c r="I709" s="229"/>
      <x:c r="J709" s="187"/>
    </x:row>
    <x:row r="710">
      <x:c r="A710" s="187" t="str">
        <x:v>SCENARIO_GROWTH_VS_FORECAST</x:v>
      </x:c>
      <x:c r="B710" s="217" t="n">
        <x:v>46296</x:v>
      </x:c>
      <x:c r="C710" s="187" t="str">
        <x:v>SHAPLEY</x:v>
      </x:c>
      <x:c r="D710" s="187" t="str">
        <x:v>FX</x:v>
      </x:c>
      <x:c r="E710" s="187" t="str">
        <x:v>DE</x:v>
      </x:c>
      <x:c r="F710" s="187" t="str">
        <x:v>0.000000000000000000000000000000000000000000000000000000000000000000000000000000000000000000000000000000000000000000000000000000000000000000000000000000000000000</x:v>
      </x:c>
      <x:c r="G710" s="235" t="n">
        <x:v>0</x:v>
      </x:c>
      <x:c r="H710" s="235"/>
      <x:c r="I710" s="229"/>
      <x:c r="J710" s="187"/>
    </x:row>
    <x:row r="711">
      <x:c r="A711" s="187" t="str">
        <x:v>SCENARIO_GROWTH_VS_FORECAST</x:v>
      </x:c>
      <x:c r="B711" s="217" t="n">
        <x:v>46296</x:v>
      </x:c>
      <x:c r="C711" s="187" t="str">
        <x:v>SHAPLEY</x:v>
      </x:c>
      <x:c r="D711" s="187" t="str">
        <x:v>FX</x:v>
      </x:c>
      <x:c r="E711" s="187" t="str">
        <x:v>FR</x:v>
      </x:c>
      <x:c r="F711" s="187" t="str">
        <x:v>0.00000000000000000000000000000000000000000000000000000000000000000000000000000000000000000000000000000000000000000000000000000000000000000000000000000000000000</x:v>
      </x:c>
      <x:c r="G711" s="235" t="n">
        <x:v>0</x:v>
      </x:c>
      <x:c r="H711" s="235"/>
      <x:c r="I711" s="229"/>
      <x:c r="J711" s="187"/>
    </x:row>
    <x:row r="712">
      <x:c r="A712" s="187" t="str">
        <x:v>SCENARIO_GROWTH_VS_FORECAST</x:v>
      </x:c>
      <x:c r="B712" s="217" t="n">
        <x:v>46296</x:v>
      </x:c>
      <x:c r="C712" s="187" t="str">
        <x:v>SHAPLEY</x:v>
      </x:c>
      <x:c r="D712" s="187" t="str">
        <x:v>FX</x:v>
      </x:c>
      <x:c r="E712" s="187" t="str">
        <x:v>GB</x:v>
      </x:c>
      <x:c r="F712" s="187" t="str">
        <x:v>0.00000000000000000000000000000000000000000000000000000000000000000000000000000000000000000000000000000000000000000000000000000000000000000000000000000000000000</x:v>
      </x:c>
      <x:c r="G712" s="235" t="n">
        <x:v>0</x:v>
      </x:c>
      <x:c r="H712" s="235"/>
      <x:c r="I712" s="229"/>
      <x:c r="J712" s="187"/>
    </x:row>
    <x:row r="713">
      <x:c r="A713" s="187" t="str">
        <x:v>SCENARIO_GROWTH_VS_FORECAST</x:v>
      </x:c>
      <x:c r="B713" s="217" t="n">
        <x:v>46296</x:v>
      </x:c>
      <x:c r="C713" s="187" t="str">
        <x:v>SHAPLEY</x:v>
      </x:c>
      <x:c r="D713" s="187" t="str">
        <x:v>MIX</x:v>
      </x:c>
      <x:c r="E713" s="187" t="str">
        <x:v>ALL</x:v>
      </x:c>
      <x:c r="F713" s="187" t="str">
        <x:v>22988.217289118614735301065941764942084942084942084942084942084942084942084942083</x:v>
      </x:c>
      <x:c r="G713" s="235" t="n">
        <x:v>22988.2173</x:v>
      </x:c>
      <x:c r="H713" s="235"/>
      <x:c r="I713" s="229"/>
      <x:c r="J713" s="187"/>
    </x:row>
    <x:row r="714">
      <x:c r="A714" s="187" t="str">
        <x:v>SCENARIO_GROWTH_VS_FORECAST</x:v>
      </x:c>
      <x:c r="B714" s="217" t="n">
        <x:v>46296</x:v>
      </x:c>
      <x:c r="C714" s="187" t="str">
        <x:v>SHAPLEY</x:v>
      </x:c>
      <x:c r="D714" s="187" t="str">
        <x:v>MIX</x:v>
      </x:c>
      <x:c r="E714" s="187" t="str">
        <x:v>DE</x:v>
      </x:c>
      <x:c r="F714" s="187" t="str">
        <x:v>-7766.6433211757807940293166023166023166023166023166023166023166023166023166023165</x:v>
      </x:c>
      <x:c r="G714" s="235" t="n">
        <x:v>-7766.6433</x:v>
      </x:c>
      <x:c r="H714" s="235"/>
      <x:c r="I714" s="229"/>
      <x:c r="J714" s="187"/>
    </x:row>
    <x:row r="715">
      <x:c r="A715" s="187" t="str">
        <x:v>SCENARIO_GROWTH_VS_FORECAST</x:v>
      </x:c>
      <x:c r="B715" s="217" t="n">
        <x:v>46296</x:v>
      </x:c>
      <x:c r="C715" s="187" t="str">
        <x:v>SHAPLEY</x:v>
      </x:c>
      <x:c r="D715" s="187" t="str">
        <x:v>MIX</x:v>
      </x:c>
      <x:c r="E715" s="187" t="str">
        <x:v>FR</x:v>
      </x:c>
      <x:c r="F715" s="187" t="str">
        <x:v>-6535.6287054166066515393822393822393822393822393822393822393822393822393822393801</x:v>
      </x:c>
      <x:c r="G715" s="235" t="n">
        <x:v>-6535.6287</x:v>
      </x:c>
      <x:c r="H715" s="235"/>
      <x:c r="I715" s="229"/>
      <x:c r="J715" s="187"/>
    </x:row>
    <x:row r="716">
      <x:c r="A716" s="187" t="str">
        <x:v>SCENARIO_GROWTH_VS_FORECAST</x:v>
      </x:c>
      <x:c r="B716" s="217" t="n">
        <x:v>46296</x:v>
      </x:c>
      <x:c r="C716" s="187" t="str">
        <x:v>SHAPLEY</x:v>
      </x:c>
      <x:c r="D716" s="187" t="str">
        <x:v>MIX</x:v>
      </x:c>
      <x:c r="E716" s="187" t="str">
        <x:v>GB</x:v>
      </x:c>
      <x:c r="F716" s="187" t="str">
        <x:v>37290.489315711002180869764783463783783783783783783783783783783783783783783783781</x:v>
      </x:c>
      <x:c r="G716" s="235" t="n">
        <x:v>37290.4893</x:v>
      </x:c>
      <x:c r="H716" s="235"/>
      <x:c r="I716" s="229"/>
      <x:c r="J716" s="187"/>
    </x:row>
    <x:row r="717">
      <x:c r="A717" s="187" t="str">
        <x:v>SCENARIO_GROWTH_VS_FORECAST</x:v>
      </x:c>
      <x:c r="B717" s="217" t="n">
        <x:v>46296</x:v>
      </x:c>
      <x:c r="C717" s="187" t="str">
        <x:v>SHAPLEY</x:v>
      </x:c>
      <x:c r="D717" s="187" t="str">
        <x:v>PRICE</x:v>
      </x:c>
      <x:c r="E717" s="187" t="str">
        <x:v>ALL</x:v>
      </x:c>
      <x:c r="F717" s="187" t="str">
        <x:v>0.000000000000000000000000000000000000000000000000000000000000000000000000000000000000000000000000000000000000000000000000000000000000000000000000000000000000000</x:v>
      </x:c>
      <x:c r="G717" s="235" t="n">
        <x:v>0</x:v>
      </x:c>
      <x:c r="H717" s="235"/>
      <x:c r="I717" s="229"/>
      <x:c r="J717" s="187"/>
    </x:row>
    <x:row r="718">
      <x:c r="A718" s="187" t="str">
        <x:v>SCENARIO_GROWTH_VS_FORECAST</x:v>
      </x:c>
      <x:c r="B718" s="217" t="n">
        <x:v>46296</x:v>
      </x:c>
      <x:c r="C718" s="187" t="str">
        <x:v>SHAPLEY</x:v>
      </x:c>
      <x:c r="D718" s="187" t="str">
        <x:v>PRICE</x:v>
      </x:c>
      <x:c r="E718" s="187" t="str">
        <x:v>DE</x:v>
      </x:c>
      <x:c r="F718" s="187" t="str">
        <x:v>0.000000000000000000000000000000000000000000000000000000000000000000000000000000000000000000000000000000000000000000000000000000000000000000000000000000000000000</x:v>
      </x:c>
      <x:c r="G718" s="235" t="n">
        <x:v>0</x:v>
      </x:c>
      <x:c r="H718" s="235"/>
      <x:c r="I718" s="229"/>
      <x:c r="J718" s="187"/>
    </x:row>
    <x:row r="719">
      <x:c r="A719" s="187" t="str">
        <x:v>SCENARIO_GROWTH_VS_FORECAST</x:v>
      </x:c>
      <x:c r="B719" s="217" t="n">
        <x:v>46296</x:v>
      </x:c>
      <x:c r="C719" s="187" t="str">
        <x:v>SHAPLEY</x:v>
      </x:c>
      <x:c r="D719" s="187" t="str">
        <x:v>PRICE</x:v>
      </x:c>
      <x:c r="E719" s="187" t="str">
        <x:v>FR</x:v>
      </x:c>
      <x:c r="F719" s="187" t="str">
        <x:v>0.00000000000000000000000000000000000000000000000000000000000000000000000000000000000000000000000000000000000000000000000000000000000000000000000000000000000000</x:v>
      </x:c>
      <x:c r="G719" s="235" t="n">
        <x:v>0</x:v>
      </x:c>
      <x:c r="H719" s="235"/>
      <x:c r="I719" s="229"/>
      <x:c r="J719" s="187"/>
    </x:row>
    <x:row r="720">
      <x:c r="A720" s="187" t="str">
        <x:v>SCENARIO_GROWTH_VS_FORECAST</x:v>
      </x:c>
      <x:c r="B720" s="217" t="n">
        <x:v>46296</x:v>
      </x:c>
      <x:c r="C720" s="187" t="str">
        <x:v>SHAPLEY</x:v>
      </x:c>
      <x:c r="D720" s="187" t="str">
        <x:v>PRICE</x:v>
      </x:c>
      <x:c r="E720" s="187" t="str">
        <x:v>GB</x:v>
      </x:c>
      <x:c r="F720" s="187" t="str">
        <x:v>0.00000000000000000000000000000000000000000000000000000000000000000000000000000000000000000000000000000000000000000000000000000000000000000000000000000000000000</x:v>
      </x:c>
      <x:c r="G720" s="235" t="n">
        <x:v>0</x:v>
      </x:c>
      <x:c r="H720" s="235"/>
      <x:c r="I720" s="229"/>
      <x:c r="J720" s="187"/>
    </x:row>
    <x:row r="721">
      <x:c r="A721" s="187" t="str">
        <x:v>SCENARIO_GROWTH_VS_FORECAST</x:v>
      </x:c>
      <x:c r="B721" s="217" t="n">
        <x:v>46296</x:v>
      </x:c>
      <x:c r="C721" s="187" t="str">
        <x:v>SHAPLEY</x:v>
      </x:c>
      <x:c r="D721" s="187" t="str">
        <x:v>VOLUME</x:v>
      </x:c>
      <x:c r="E721" s="187" t="str">
        <x:v>ALL</x:v>
      </x:c>
      <x:c r="F721" s="187" t="str">
        <x:v>36308.422769631075618611440682235057915057915057915057915057915057915057915057915</x:v>
      </x:c>
      <x:c r="G721" s="235" t="n">
        <x:v>36308.4228</x:v>
      </x:c>
      <x:c r="H721" s="235"/>
      <x:c r="I721" s="229"/>
      <x:c r="J721" s="187"/>
    </x:row>
    <x:row r="722">
      <x:c r="A722" s="187" t="str">
        <x:v>SCENARIO_GROWTH_VS_FORECAST</x:v>
      </x:c>
      <x:c r="B722" s="217" t="n">
        <x:v>46296</x:v>
      </x:c>
      <x:c r="C722" s="187" t="str">
        <x:v>SHAPLEY</x:v>
      </x:c>
      <x:c r="D722" s="187" t="str">
        <x:v>VOLUME</x:v>
      </x:c>
      <x:c r="E722" s="187" t="str">
        <x:v>DE</x:v>
      </x:c>
      <x:c r="F722" s="187" t="str">
        <x:v>7766.6433211757807940293166023166023166023166023166023166023166023166023166023165</x:v>
      </x:c>
      <x:c r="G722" s="235" t="n">
        <x:v>7766.6433</x:v>
      </x:c>
      <x:c r="H722" s="235"/>
      <x:c r="I722" s="229"/>
      <x:c r="J722" s="187"/>
    </x:row>
    <x:row r="723">
      <x:c r="A723" s="187" t="str">
        <x:v>SCENARIO_GROWTH_VS_FORECAST</x:v>
      </x:c>
      <x:c r="B723" s="217" t="n">
        <x:v>46296</x:v>
      </x:c>
      <x:c r="C723" s="187" t="str">
        <x:v>SHAPLEY</x:v>
      </x:c>
      <x:c r="D723" s="187" t="str">
        <x:v>VOLUME</x:v>
      </x:c>
      <x:c r="E723" s="187" t="str">
        <x:v>FR</x:v>
      </x:c>
      <x:c r="F723" s="187" t="str">
        <x:v>6535.6287054166066515393822393822393822393822393822393822393822393822393822393803</x:v>
      </x:c>
      <x:c r="G723" s="235" t="n">
        <x:v>6535.6287</x:v>
      </x:c>
      <x:c r="H723" s="235"/>
      <x:c r="I723" s="229"/>
      <x:c r="J723" s="187"/>
    </x:row>
    <x:row r="724">
      <x:c r="A724" s="187" t="str">
        <x:v>SCENARIO_GROWTH_VS_FORECAST</x:v>
      </x:c>
      <x:c r="B724" s="217" t="n">
        <x:v>46296</x:v>
      </x:c>
      <x:c r="C724" s="187" t="str">
        <x:v>SHAPLEY</x:v>
      </x:c>
      <x:c r="D724" s="187" t="str">
        <x:v>VOLUME</x:v>
      </x:c>
      <x:c r="E724" s="187" t="str">
        <x:v>GB</x:v>
      </x:c>
      <x:c r="F724" s="187" t="str">
        <x:v>22006.150743038688173042741840536216216216216216216216216216216216216216216216218</x:v>
      </x:c>
      <x:c r="G724" s="235" t="n">
        <x:v>22006.1507</x:v>
      </x:c>
      <x:c r="H724" s="235"/>
      <x:c r="I724" s="229"/>
      <x:c r="J724" s="187"/>
    </x:row>
    <x:row r="725">
      <x:c r="A725" s="187" t="str">
        <x:v>SCENARIO_GROWTH_VS_FORECAST</x:v>
      </x:c>
      <x:c r="B725" s="217" t="n">
        <x:v>46327</x:v>
      </x:c>
      <x:c r="C725" s="187" t="str">
        <x:v>CHAIN</x:v>
      </x:c>
      <x:c r="D725" s="187" t="str">
        <x:v>EFFICIENCY</x:v>
      </x:c>
      <x:c r="E725" s="187" t="str">
        <x:v>ALL</x:v>
      </x:c>
      <x:c r="F725" s="187" t="str">
        <x:v>0.000000000000000000000000000000000000000000000000000000000000000000000000000000</x:v>
      </x:c>
      <x:c r="G725" s="235" t="n">
        <x:v>0</x:v>
      </x:c>
      <x:c r="H725" s="235" t="n">
        <x:v>0</x:v>
      </x:c>
      <x:c r="I725" s="229" t="n">
        <x:v>0</x:v>
      </x:c>
      <x:c r="J725" s="254" t="b">
        <x:v>0</x:v>
      </x:c>
    </x:row>
    <x:row r="726">
      <x:c r="A726" s="187" t="str">
        <x:v>SCENARIO_GROWTH_VS_FORECAST</x:v>
      </x:c>
      <x:c r="B726" s="217" t="n">
        <x:v>46327</x:v>
      </x:c>
      <x:c r="C726" s="187" t="str">
        <x:v>CHAIN</x:v>
      </x:c>
      <x:c r="D726" s="187" t="str">
        <x:v>EFFICIENCY</x:v>
      </x:c>
      <x:c r="E726" s="187" t="str">
        <x:v>DE</x:v>
      </x:c>
      <x:c r="F726" s="187" t="str">
        <x:v>0.000000000000000000000000000000000000000000000000000000000000000000000000000000</x:v>
      </x:c>
      <x:c r="G726" s="235" t="n">
        <x:v>0</x:v>
      </x:c>
      <x:c r="H726" s="235"/>
      <x:c r="I726" s="229"/>
      <x:c r="J726" s="187"/>
    </x:row>
    <x:row r="727">
      <x:c r="A727" s="187" t="str">
        <x:v>SCENARIO_GROWTH_VS_FORECAST</x:v>
      </x:c>
      <x:c r="B727" s="217" t="n">
        <x:v>46327</x:v>
      </x:c>
      <x:c r="C727" s="187" t="str">
        <x:v>CHAIN</x:v>
      </x:c>
      <x:c r="D727" s="187" t="str">
        <x:v>EFFICIENCY</x:v>
      </x:c>
      <x:c r="E727" s="187" t="str">
        <x:v>FR</x:v>
      </x:c>
      <x:c r="F727" s="187" t="str">
        <x:v>0.00000000000000000000000000000000000000000000000000000000000000000000000000000</x:v>
      </x:c>
      <x:c r="G727" s="235" t="n">
        <x:v>0</x:v>
      </x:c>
      <x:c r="H727" s="235"/>
      <x:c r="I727" s="229"/>
      <x:c r="J727" s="187"/>
    </x:row>
    <x:row r="728">
      <x:c r="A728" s="187" t="str">
        <x:v>SCENARIO_GROWTH_VS_FORECAST</x:v>
      </x:c>
      <x:c r="B728" s="217" t="n">
        <x:v>46327</x:v>
      </x:c>
      <x:c r="C728" s="187" t="str">
        <x:v>CHAIN</x:v>
      </x:c>
      <x:c r="D728" s="187" t="str">
        <x:v>EFFICIENCY</x:v>
      </x:c>
      <x:c r="E728" s="187" t="str">
        <x:v>GB</x:v>
      </x:c>
      <x:c r="F728" s="187" t="str">
        <x:v>0.00000000000000000000000000000000000000000000000000000000000000000000000000000</x:v>
      </x:c>
      <x:c r="G728" s="235" t="n">
        <x:v>0</x:v>
      </x:c>
      <x:c r="H728" s="235"/>
      <x:c r="I728" s="229"/>
      <x:c r="J728" s="187"/>
    </x:row>
    <x:row r="729">
      <x:c r="A729" s="187" t="str">
        <x:v>SCENARIO_GROWTH_VS_FORECAST</x:v>
      </x:c>
      <x:c r="B729" s="217" t="n">
        <x:v>46327</x:v>
      </x:c>
      <x:c r="C729" s="187" t="str">
        <x:v>CHAIN</x:v>
      </x:c>
      <x:c r="D729" s="187" t="str">
        <x:v>FX</x:v>
      </x:c>
      <x:c r="E729" s="187" t="str">
        <x:v>ALL</x:v>
      </x:c>
      <x:c r="F729" s="187" t="str">
        <x:v>0.000000000000000000000000000000000000000000000000000000000000000000000000000000</x:v>
      </x:c>
      <x:c r="G729" s="235" t="n">
        <x:v>0</x:v>
      </x:c>
      <x:c r="H729" s="235" t="n">
        <x:v>0</x:v>
      </x:c>
      <x:c r="I729" s="229" t="n">
        <x:v>0</x:v>
      </x:c>
      <x:c r="J729" s="254" t="b">
        <x:v>0</x:v>
      </x:c>
    </x:row>
    <x:row r="730">
      <x:c r="A730" s="187" t="str">
        <x:v>SCENARIO_GROWTH_VS_FORECAST</x:v>
      </x:c>
      <x:c r="B730" s="217" t="n">
        <x:v>46327</x:v>
      </x:c>
      <x:c r="C730" s="187" t="str">
        <x:v>CHAIN</x:v>
      </x:c>
      <x:c r="D730" s="187" t="str">
        <x:v>FX</x:v>
      </x:c>
      <x:c r="E730" s="187" t="str">
        <x:v>DE</x:v>
      </x:c>
      <x:c r="F730" s="187" t="str">
        <x:v>0.000000000000000000000000000000000000000000000000000000000000000000000000000000</x:v>
      </x:c>
      <x:c r="G730" s="235" t="n">
        <x:v>0</x:v>
      </x:c>
      <x:c r="H730" s="235"/>
      <x:c r="I730" s="229"/>
      <x:c r="J730" s="187"/>
    </x:row>
    <x:row r="731">
      <x:c r="A731" s="187" t="str">
        <x:v>SCENARIO_GROWTH_VS_FORECAST</x:v>
      </x:c>
      <x:c r="B731" s="217" t="n">
        <x:v>46327</x:v>
      </x:c>
      <x:c r="C731" s="187" t="str">
        <x:v>CHAIN</x:v>
      </x:c>
      <x:c r="D731" s="187" t="str">
        <x:v>FX</x:v>
      </x:c>
      <x:c r="E731" s="187" t="str">
        <x:v>FR</x:v>
      </x:c>
      <x:c r="F731" s="187" t="str">
        <x:v>0.00000000000000000000000000000000000000000000000000000000000000000000000000000</x:v>
      </x:c>
      <x:c r="G731" s="235" t="n">
        <x:v>0</x:v>
      </x:c>
      <x:c r="H731" s="235"/>
      <x:c r="I731" s="229"/>
      <x:c r="J731" s="187"/>
    </x:row>
    <x:row r="732">
      <x:c r="A732" s="187" t="str">
        <x:v>SCENARIO_GROWTH_VS_FORECAST</x:v>
      </x:c>
      <x:c r="B732" s="217" t="n">
        <x:v>46327</x:v>
      </x:c>
      <x:c r="C732" s="187" t="str">
        <x:v>CHAIN</x:v>
      </x:c>
      <x:c r="D732" s="187" t="str">
        <x:v>FX</x:v>
      </x:c>
      <x:c r="E732" s="187" t="str">
        <x:v>GB</x:v>
      </x:c>
      <x:c r="F732" s="187" t="str">
        <x:v>0.00000000000000000000000000000000000000000000000000000000000000000000000000000</x:v>
      </x:c>
      <x:c r="G732" s="235" t="n">
        <x:v>0</x:v>
      </x:c>
      <x:c r="H732" s="235"/>
      <x:c r="I732" s="229"/>
      <x:c r="J732" s="187"/>
    </x:row>
    <x:row r="733">
      <x:c r="A733" s="187" t="str">
        <x:v>SCENARIO_GROWTH_VS_FORECAST</x:v>
      </x:c>
      <x:c r="B733" s="217" t="n">
        <x:v>46327</x:v>
      </x:c>
      <x:c r="C733" s="187" t="str">
        <x:v>CHAIN</x:v>
      </x:c>
      <x:c r="D733" s="187" t="str">
        <x:v>MIX</x:v>
      </x:c>
      <x:c r="E733" s="187" t="str">
        <x:v>ALL</x:v>
      </x:c>
      <x:c r="F733" s="187" t="str">
        <x:v>28834.114533784403447997830301695999999999999999999999999999999999999999999999997</x:v>
      </x:c>
      <x:c r="G733" s="235" t="n">
        <x:v>28834.1145</x:v>
      </x:c>
      <x:c r="H733" s="235" t="n">
        <x:v>541.1599936562039</x:v>
      </x:c>
      <x:c r="I733" s="229" t="n">
        <x:v>0.006892538358104727</x:v>
      </x:c>
      <x:c r="J733" s="254" t="b">
        <x:v>0</x:v>
      </x:c>
    </x:row>
    <x:row r="734">
      <x:c r="A734" s="187" t="str">
        <x:v>SCENARIO_GROWTH_VS_FORECAST</x:v>
      </x:c>
      <x:c r="B734" s="217" t="n">
        <x:v>46327</x:v>
      </x:c>
      <x:c r="C734" s="187" t="str">
        <x:v>CHAIN</x:v>
      </x:c>
      <x:c r="D734" s="187" t="str">
        <x:v>MIX</x:v>
      </x:c>
      <x:c r="E734" s="187" t="str">
        <x:v>DE</x:v>
      </x:c>
      <x:c r="F734" s="187" t="str">
        <x:v>-10223.384656107426749936640000000000000000000000000000000000000000000000000000003</x:v>
      </x:c>
      <x:c r="G734" s="235" t="n">
        <x:v>-10223.3847</x:v>
      </x:c>
      <x:c r="H734" s="235"/>
      <x:c r="I734" s="229"/>
      <x:c r="J734" s="187"/>
    </x:row>
    <x:row r="735">
      <x:c r="A735" s="187" t="str">
        <x:v>SCENARIO_GROWTH_VS_FORECAST</x:v>
      </x:c>
      <x:c r="B735" s="217" t="n">
        <x:v>46327</x:v>
      </x:c>
      <x:c r="C735" s="187" t="str">
        <x:v>CHAIN</x:v>
      </x:c>
      <x:c r="D735" s="187" t="str">
        <x:v>MIX</x:v>
      </x:c>
      <x:c r="E735" s="187" t="str">
        <x:v>FR</x:v>
      </x:c>
      <x:c r="F735" s="187" t="str">
        <x:v>-8835.9732841671412202016000000000000000000000000000000000000000000000000000000000</x:v>
      </x:c>
      <x:c r="G735" s="235" t="n">
        <x:v>-8835.9733</x:v>
      </x:c>
      <x:c r="H735" s="235"/>
      <x:c r="I735" s="229"/>
      <x:c r="J735" s="187"/>
    </x:row>
    <x:row r="736">
      <x:c r="A736" s="187" t="str">
        <x:v>SCENARIO_GROWTH_VS_FORECAST</x:v>
      </x:c>
      <x:c r="B736" s="217" t="n">
        <x:v>46327</x:v>
      </x:c>
      <x:c r="C736" s="187" t="str">
        <x:v>CHAIN</x:v>
      </x:c>
      <x:c r="D736" s="187" t="str">
        <x:v>MIX</x:v>
      </x:c>
      <x:c r="E736" s="187" t="str">
        <x:v>GB</x:v>
      </x:c>
      <x:c r="F736" s="187" t="str">
        <x:v>47893.472474058971418136070301696000000000000000000000000000000000000000000000000</x:v>
      </x:c>
      <x:c r="G736" s="235" t="n">
        <x:v>47893.4725</x:v>
      </x:c>
      <x:c r="H736" s="235"/>
      <x:c r="I736" s="229"/>
      <x:c r="J736" s="187"/>
    </x:row>
    <x:row r="737">
      <x:c r="A737" s="187" t="str">
        <x:v>SCENARIO_GROWTH_VS_FORECAST</x:v>
      </x:c>
      <x:c r="B737" s="217" t="n">
        <x:v>46327</x:v>
      </x:c>
      <x:c r="C737" s="187" t="str">
        <x:v>CHAIN</x:v>
      </x:c>
      <x:c r="D737" s="187" t="str">
        <x:v>PRICE</x:v>
      </x:c>
      <x:c r="E737" s="187" t="str">
        <x:v>ALL</x:v>
      </x:c>
      <x:c r="F737" s="187" t="str">
        <x:v>0.000000000000000000000000000000000000000000000000000000000000000000000000000000</x:v>
      </x:c>
      <x:c r="G737" s="235" t="n">
        <x:v>0</x:v>
      </x:c>
      <x:c r="H737" s="235" t="n">
        <x:v>0</x:v>
      </x:c>
      <x:c r="I737" s="229" t="n">
        <x:v>0</x:v>
      </x:c>
      <x:c r="J737" s="254" t="b">
        <x:v>0</x:v>
      </x:c>
    </x:row>
    <x:row r="738">
      <x:c r="A738" s="187" t="str">
        <x:v>SCENARIO_GROWTH_VS_FORECAST</x:v>
      </x:c>
      <x:c r="B738" s="217" t="n">
        <x:v>46327</x:v>
      </x:c>
      <x:c r="C738" s="187" t="str">
        <x:v>CHAIN</x:v>
      </x:c>
      <x:c r="D738" s="187" t="str">
        <x:v>PRICE</x:v>
      </x:c>
      <x:c r="E738" s="187" t="str">
        <x:v>DE</x:v>
      </x:c>
      <x:c r="F738" s="187" t="str">
        <x:v>0.000000000000000000000000000000000000000000000000000000000000000000000000000000</x:v>
      </x:c>
      <x:c r="G738" s="235" t="n">
        <x:v>0</x:v>
      </x:c>
      <x:c r="H738" s="235"/>
      <x:c r="I738" s="229"/>
      <x:c r="J738" s="187"/>
    </x:row>
    <x:row r="739">
      <x:c r="A739" s="187" t="str">
        <x:v>SCENARIO_GROWTH_VS_FORECAST</x:v>
      </x:c>
      <x:c r="B739" s="217" t="n">
        <x:v>46327</x:v>
      </x:c>
      <x:c r="C739" s="187" t="str">
        <x:v>CHAIN</x:v>
      </x:c>
      <x:c r="D739" s="187" t="str">
        <x:v>PRICE</x:v>
      </x:c>
      <x:c r="E739" s="187" t="str">
        <x:v>FR</x:v>
      </x:c>
      <x:c r="F739" s="187" t="str">
        <x:v>0.00000000000000000000000000000000000000000000000000000000000000000000000000000</x:v>
      </x:c>
      <x:c r="G739" s="235" t="n">
        <x:v>0</x:v>
      </x:c>
      <x:c r="H739" s="235"/>
      <x:c r="I739" s="229"/>
      <x:c r="J739" s="187"/>
    </x:row>
    <x:row r="740">
      <x:c r="A740" s="187" t="str">
        <x:v>SCENARIO_GROWTH_VS_FORECAST</x:v>
      </x:c>
      <x:c r="B740" s="217" t="n">
        <x:v>46327</x:v>
      </x:c>
      <x:c r="C740" s="187" t="str">
        <x:v>CHAIN</x:v>
      </x:c>
      <x:c r="D740" s="187" t="str">
        <x:v>PRICE</x:v>
      </x:c>
      <x:c r="E740" s="187" t="str">
        <x:v>GB</x:v>
      </x:c>
      <x:c r="F740" s="187" t="str">
        <x:v>0.00000000000000000000000000000000000000000000000000000000000000000000000000000</x:v>
      </x:c>
      <x:c r="G740" s="235" t="n">
        <x:v>0</x:v>
      </x:c>
      <x:c r="H740" s="235"/>
      <x:c r="I740" s="229"/>
      <x:c r="J740" s="187"/>
    </x:row>
    <x:row r="741">
      <x:c r="A741" s="187" t="str">
        <x:v>SCENARIO_GROWTH_VS_FORECAST</x:v>
      </x:c>
      <x:c r="B741" s="217" t="n">
        <x:v>46327</x:v>
      </x:c>
      <x:c r="C741" s="187" t="str">
        <x:v>CHAIN</x:v>
      </x:c>
      <x:c r="D741" s="187" t="str">
        <x:v>VOLUME</x:v>
      </x:c>
      <x:c r="E741" s="187" t="str">
        <x:v>ALL</x:v>
      </x:c>
      <x:c r="F741" s="187" t="str">
        <x:v>49679.77476795161527025802265190400000000</x:v>
      </x:c>
      <x:c r="G741" s="235" t="n">
        <x:v>49679.7748</x:v>
      </x:c>
      <x:c r="H741" s="235" t="n">
        <x:v>541.1599936562039</x:v>
      </x:c>
      <x:c r="I741" s="229" t="n">
        <x:v>0.006892538358104727</x:v>
      </x:c>
      <x:c r="J741" s="254" t="b">
        <x:v>0</x:v>
      </x:c>
    </x:row>
    <x:row r="742">
      <x:c r="A742" s="187" t="str">
        <x:v>SCENARIO_GROWTH_VS_FORECAST</x:v>
      </x:c>
      <x:c r="B742" s="217" t="n">
        <x:v>46327</x:v>
      </x:c>
      <x:c r="C742" s="187" t="str">
        <x:v>CHAIN</x:v>
      </x:c>
      <x:c r="D742" s="187" t="str">
        <x:v>VOLUME</x:v>
      </x:c>
      <x:c r="E742" s="187" t="str">
        <x:v>DE</x:v>
      </x:c>
      <x:c r="F742" s="187" t="str">
        <x:v>10223.38465610742674993664000000000</x:v>
      </x:c>
      <x:c r="G742" s="235" t="n">
        <x:v>10223.3847</x:v>
      </x:c>
      <x:c r="H742" s="235"/>
      <x:c r="I742" s="229"/>
      <x:c r="J742" s="187"/>
    </x:row>
    <x:row r="743">
      <x:c r="A743" s="187" t="str">
        <x:v>SCENARIO_GROWTH_VS_FORECAST</x:v>
      </x:c>
      <x:c r="B743" s="217" t="n">
        <x:v>46327</x:v>
      </x:c>
      <x:c r="C743" s="187" t="str">
        <x:v>CHAIN</x:v>
      </x:c>
      <x:c r="D743" s="187" t="str">
        <x:v>VOLUME</x:v>
      </x:c>
      <x:c r="E743" s="187" t="str">
        <x:v>FR</x:v>
      </x:c>
      <x:c r="F743" s="187" t="str">
        <x:v>8835.973284167141220201600000000</x:v>
      </x:c>
      <x:c r="G743" s="235" t="n">
        <x:v>8835.9733</x:v>
      </x:c>
      <x:c r="H743" s="235"/>
      <x:c r="I743" s="229"/>
      <x:c r="J743" s="187"/>
    </x:row>
    <x:row r="744">
      <x:c r="A744" s="187" t="str">
        <x:v>SCENARIO_GROWTH_VS_FORECAST</x:v>
      </x:c>
      <x:c r="B744" s="217" t="n">
        <x:v>46327</x:v>
      </x:c>
      <x:c r="C744" s="187" t="str">
        <x:v>CHAIN</x:v>
      </x:c>
      <x:c r="D744" s="187" t="str">
        <x:v>VOLUME</x:v>
      </x:c>
      <x:c r="E744" s="187" t="str">
        <x:v>GB</x:v>
      </x:c>
      <x:c r="F744" s="187" t="str">
        <x:v>30620.41682767704730011978265190400000000</x:v>
      </x:c>
      <x:c r="G744" s="235" t="n">
        <x:v>30620.4168</x:v>
      </x:c>
      <x:c r="H744" s="235"/>
      <x:c r="I744" s="229"/>
      <x:c r="J744" s="187"/>
    </x:row>
    <x:row r="745">
      <x:c r="A745" s="187" t="str">
        <x:v>SCENARIO_GROWTH_VS_FORECAST</x:v>
      </x:c>
      <x:c r="B745" s="217" t="n">
        <x:v>46327</x:v>
      </x:c>
      <x:c r="C745" s="187" t="str">
        <x:v>SHAPLEY</x:v>
      </x:c>
      <x:c r="D745" s="187" t="str">
        <x:v>EFFICIENCY</x:v>
      </x:c>
      <x:c r="E745" s="187" t="str">
        <x:v>ALL</x:v>
      </x:c>
      <x:c r="F745" s="187" t="str">
        <x:v>0.000000000000000000000000000000000000000000000000000000000000000000000000000000000000000000000000000000000000000000000000000000000000000000000000000000000000000</x:v>
      </x:c>
      <x:c r="G745" s="235" t="n">
        <x:v>0</x:v>
      </x:c>
      <x:c r="H745" s="235"/>
      <x:c r="I745" s="229"/>
      <x:c r="J745" s="187"/>
    </x:row>
    <x:row r="746">
      <x:c r="A746" s="187" t="str">
        <x:v>SCENARIO_GROWTH_VS_FORECAST</x:v>
      </x:c>
      <x:c r="B746" s="217" t="n">
        <x:v>46327</x:v>
      </x:c>
      <x:c r="C746" s="187" t="str">
        <x:v>SHAPLEY</x:v>
      </x:c>
      <x:c r="D746" s="187" t="str">
        <x:v>EFFICIENCY</x:v>
      </x:c>
      <x:c r="E746" s="187" t="str">
        <x:v>DE</x:v>
      </x:c>
      <x:c r="F746" s="187" t="str">
        <x:v>0.000000000000000000000000000000000000000000000000000000000000000000000000000000000000000000000000000000000000000000000000000000000000000000000000000000000000000</x:v>
      </x:c>
      <x:c r="G746" s="235" t="n">
        <x:v>0</x:v>
      </x:c>
      <x:c r="H746" s="235"/>
      <x:c r="I746" s="229"/>
      <x:c r="J746" s="187"/>
    </x:row>
    <x:row r="747">
      <x:c r="A747" s="187" t="str">
        <x:v>SCENARIO_GROWTH_VS_FORECAST</x:v>
      </x:c>
      <x:c r="B747" s="217" t="n">
        <x:v>46327</x:v>
      </x:c>
      <x:c r="C747" s="187" t="str">
        <x:v>SHAPLEY</x:v>
      </x:c>
      <x:c r="D747" s="187" t="str">
        <x:v>EFFICIENCY</x:v>
      </x:c>
      <x:c r="E747" s="187" t="str">
        <x:v>FR</x:v>
      </x:c>
      <x:c r="F747" s="187" t="str">
        <x:v>0.00000000000000000000000000000000000000000000000000000000000000000000000000000000000000000000000000000000000000000000000000000000000000000000000000000000000000</x:v>
      </x:c>
      <x:c r="G747" s="235" t="n">
        <x:v>0</x:v>
      </x:c>
      <x:c r="H747" s="235"/>
      <x:c r="I747" s="229"/>
      <x:c r="J747" s="187"/>
    </x:row>
    <x:row r="748">
      <x:c r="A748" s="187" t="str">
        <x:v>SCENARIO_GROWTH_VS_FORECAST</x:v>
      </x:c>
      <x:c r="B748" s="217" t="n">
        <x:v>46327</x:v>
      </x:c>
      <x:c r="C748" s="187" t="str">
        <x:v>SHAPLEY</x:v>
      </x:c>
      <x:c r="D748" s="187" t="str">
        <x:v>EFFICIENCY</x:v>
      </x:c>
      <x:c r="E748" s="187" t="str">
        <x:v>GB</x:v>
      </x:c>
      <x:c r="F748" s="187" t="str">
        <x:v>0.00000000000000000000000000000000000000000000000000000000000000000000000000000000000000000000000000000000000000000000000000000000000000000000000000000000000000</x:v>
      </x:c>
      <x:c r="G748" s="235" t="n">
        <x:v>0</x:v>
      </x:c>
      <x:c r="H748" s="235"/>
      <x:c r="I748" s="229"/>
      <x:c r="J748" s="187"/>
    </x:row>
    <x:row r="749">
      <x:c r="A749" s="187" t="str">
        <x:v>SCENARIO_GROWTH_VS_FORECAST</x:v>
      </x:c>
      <x:c r="B749" s="217" t="n">
        <x:v>46327</x:v>
      </x:c>
      <x:c r="C749" s="187" t="str">
        <x:v>SHAPLEY</x:v>
      </x:c>
      <x:c r="D749" s="187" t="str">
        <x:v>FX</x:v>
      </x:c>
      <x:c r="E749" s="187" t="str">
        <x:v>ALL</x:v>
      </x:c>
      <x:c r="F749" s="187" t="str">
        <x:v>0.000000000000000000000000000000000000000000000000000000000000000000000000000000000000000000000000000000000000000000000000000000000000000000000000000000000000000</x:v>
      </x:c>
      <x:c r="G749" s="235" t="n">
        <x:v>0</x:v>
      </x:c>
      <x:c r="H749" s="235"/>
      <x:c r="I749" s="229"/>
      <x:c r="J749" s="187"/>
    </x:row>
    <x:row r="750">
      <x:c r="A750" s="187" t="str">
        <x:v>SCENARIO_GROWTH_VS_FORECAST</x:v>
      </x:c>
      <x:c r="B750" s="217" t="n">
        <x:v>46327</x:v>
      </x:c>
      <x:c r="C750" s="187" t="str">
        <x:v>SHAPLEY</x:v>
      </x:c>
      <x:c r="D750" s="187" t="str">
        <x:v>FX</x:v>
      </x:c>
      <x:c r="E750" s="187" t="str">
        <x:v>DE</x:v>
      </x:c>
      <x:c r="F750" s="187" t="str">
        <x:v>0.000000000000000000000000000000000000000000000000000000000000000000000000000000000000000000000000000000000000000000000000000000000000000000000000000000000000000</x:v>
      </x:c>
      <x:c r="G750" s="235" t="n">
        <x:v>0</x:v>
      </x:c>
      <x:c r="H750" s="235"/>
      <x:c r="I750" s="229"/>
      <x:c r="J750" s="187"/>
    </x:row>
    <x:row r="751">
      <x:c r="A751" s="187" t="str">
        <x:v>SCENARIO_GROWTH_VS_FORECAST</x:v>
      </x:c>
      <x:c r="B751" s="217" t="n">
        <x:v>46327</x:v>
      </x:c>
      <x:c r="C751" s="187" t="str">
        <x:v>SHAPLEY</x:v>
      </x:c>
      <x:c r="D751" s="187" t="str">
        <x:v>FX</x:v>
      </x:c>
      <x:c r="E751" s="187" t="str">
        <x:v>FR</x:v>
      </x:c>
      <x:c r="F751" s="187" t="str">
        <x:v>0.00000000000000000000000000000000000000000000000000000000000000000000000000000000000000000000000000000000000000000000000000000000000000000000000000000000000000</x:v>
      </x:c>
      <x:c r="G751" s="235" t="n">
        <x:v>0</x:v>
      </x:c>
      <x:c r="H751" s="235"/>
      <x:c r="I751" s="229"/>
      <x:c r="J751" s="187"/>
    </x:row>
    <x:row r="752">
      <x:c r="A752" s="187" t="str">
        <x:v>SCENARIO_GROWTH_VS_FORECAST</x:v>
      </x:c>
      <x:c r="B752" s="217" t="n">
        <x:v>46327</x:v>
      </x:c>
      <x:c r="C752" s="187" t="str">
        <x:v>SHAPLEY</x:v>
      </x:c>
      <x:c r="D752" s="187" t="str">
        <x:v>FX</x:v>
      </x:c>
      <x:c r="E752" s="187" t="str">
        <x:v>GB</x:v>
      </x:c>
      <x:c r="F752" s="187" t="str">
        <x:v>0.00000000000000000000000000000000000000000000000000000000000000000000000000000000000000000000000000000000000000000000000000000000000000000000000000000000000000</x:v>
      </x:c>
      <x:c r="G752" s="235" t="n">
        <x:v>0</x:v>
      </x:c>
      <x:c r="H752" s="235"/>
      <x:c r="I752" s="229"/>
      <x:c r="J752" s="187"/>
    </x:row>
    <x:row r="753">
      <x:c r="A753" s="187" t="str">
        <x:v>SCENARIO_GROWTH_VS_FORECAST</x:v>
      </x:c>
      <x:c r="B753" s="217" t="n">
        <x:v>46327</x:v>
      </x:c>
      <x:c r="C753" s="187" t="str">
        <x:v>SHAPLEY</x:v>
      </x:c>
      <x:c r="D753" s="187" t="str">
        <x:v>MIX</x:v>
      </x:c>
      <x:c r="E753" s="187" t="str">
        <x:v>ALL</x:v>
      </x:c>
      <x:c r="F753" s="187" t="str">
        <x:v>28292.954540128199533430017317207961501443695861405197305101058710298363811357068</x:v>
      </x:c>
      <x:c r="G753" s="235" t="n">
        <x:v>28292.9545</x:v>
      </x:c>
      <x:c r="H753" s="235"/>
      <x:c r="I753" s="229"/>
      <x:c r="J753" s="187"/>
    </x:row>
    <x:row r="754">
      <x:c r="A754" s="187" t="str">
        <x:v>SCENARIO_GROWTH_VS_FORECAST</x:v>
      </x:c>
      <x:c r="B754" s="217" t="n">
        <x:v>46327</x:v>
      </x:c>
      <x:c r="C754" s="187" t="str">
        <x:v>SHAPLEY</x:v>
      </x:c>
      <x:c r="D754" s="187" t="str">
        <x:v>MIX</x:v>
      </x:c>
      <x:c r="E754" s="187" t="str">
        <x:v>DE</x:v>
      </x:c>
      <x:c r="F754" s="187" t="str">
        <x:v>-10031.511700578942802271804119345524542829643888354186717998075072184793070259870</x:v>
      </x:c>
      <x:c r="G754" s="235" t="n">
        <x:v>-10031.5117</x:v>
      </x:c>
      <x:c r="H754" s="235"/>
      <x:c r="I754" s="229"/>
      <x:c r="J754" s="187"/>
    </x:row>
    <x:row r="755">
      <x:c r="A755" s="187" t="str">
        <x:v>SCENARIO_GROWTH_VS_FORECAST</x:v>
      </x:c>
      <x:c r="B755" s="217" t="n">
        <x:v>46327</x:v>
      </x:c>
      <x:c r="C755" s="187" t="str">
        <x:v>SHAPLEY</x:v>
      </x:c>
      <x:c r="D755" s="187" t="str">
        <x:v>MIX</x:v>
      </x:c>
      <x:c r="E755" s="187" t="str">
        <x:v>FR</x:v>
      </x:c>
      <x:c r="F755" s="187" t="str">
        <x:v>-8670.1393293632343349331387872954764196342637151106833493743984600577478344562071</x:v>
      </x:c>
      <x:c r="G755" s="235" t="n">
        <x:v>-8670.1393</x:v>
      </x:c>
      <x:c r="H755" s="235"/>
      <x:c r="I755" s="229"/>
      <x:c r="J755" s="187"/>
    </x:row>
    <x:row r="756">
      <x:c r="A756" s="187" t="str">
        <x:v>SCENARIO_GROWTH_VS_FORECAST</x:v>
      </x:c>
      <x:c r="B756" s="217" t="n">
        <x:v>46327</x:v>
      </x:c>
      <x:c r="C756" s="187" t="str">
        <x:v>SHAPLEY</x:v>
      </x:c>
      <x:c r="D756" s="187" t="str">
        <x:v>MIX</x:v>
      </x:c>
      <x:c r="E756" s="187" t="str">
        <x:v>GB</x:v>
      </x:c>
      <x:c r="F756" s="187" t="str">
        <x:v>46994.605570070376670634960223848962463907603464870067372473532242540904716073146</x:v>
      </x:c>
      <x:c r="G756" s="235" t="n">
        <x:v>46994.6056</x:v>
      </x:c>
      <x:c r="H756" s="235"/>
      <x:c r="I756" s="229"/>
      <x:c r="J756" s="187"/>
    </x:row>
    <x:row r="757">
      <x:c r="A757" s="187" t="str">
        <x:v>SCENARIO_GROWTH_VS_FORECAST</x:v>
      </x:c>
      <x:c r="B757" s="217" t="n">
        <x:v>46327</x:v>
      </x:c>
      <x:c r="C757" s="187" t="str">
        <x:v>SHAPLEY</x:v>
      </x:c>
      <x:c r="D757" s="187" t="str">
        <x:v>PRICE</x:v>
      </x:c>
      <x:c r="E757" s="187" t="str">
        <x:v>ALL</x:v>
      </x:c>
      <x:c r="F757" s="187" t="str">
        <x:v>0.000000000000000000000000000000000000000000000000000000000000000000000000000000000000000000000000000000000000000000000000000000000000000000000000000000000000000</x:v>
      </x:c>
      <x:c r="G757" s="235" t="n">
        <x:v>0</x:v>
      </x:c>
      <x:c r="H757" s="235"/>
      <x:c r="I757" s="229"/>
      <x:c r="J757" s="187"/>
    </x:row>
    <x:row r="758">
      <x:c r="A758" s="187" t="str">
        <x:v>SCENARIO_GROWTH_VS_FORECAST</x:v>
      </x:c>
      <x:c r="B758" s="217" t="n">
        <x:v>46327</x:v>
      </x:c>
      <x:c r="C758" s="187" t="str">
        <x:v>SHAPLEY</x:v>
      </x:c>
      <x:c r="D758" s="187" t="str">
        <x:v>PRICE</x:v>
      </x:c>
      <x:c r="E758" s="187" t="str">
        <x:v>DE</x:v>
      </x:c>
      <x:c r="F758" s="187" t="str">
        <x:v>0.000000000000000000000000000000000000000000000000000000000000000000000000000000000000000000000000000000000000000000000000000000000000000000000000000000000000000</x:v>
      </x:c>
      <x:c r="G758" s="235" t="n">
        <x:v>0</x:v>
      </x:c>
      <x:c r="H758" s="235"/>
      <x:c r="I758" s="229"/>
      <x:c r="J758" s="187"/>
    </x:row>
    <x:row r="759">
      <x:c r="A759" s="187" t="str">
        <x:v>SCENARIO_GROWTH_VS_FORECAST</x:v>
      </x:c>
      <x:c r="B759" s="217" t="n">
        <x:v>46327</x:v>
      </x:c>
      <x:c r="C759" s="187" t="str">
        <x:v>SHAPLEY</x:v>
      </x:c>
      <x:c r="D759" s="187" t="str">
        <x:v>PRICE</x:v>
      </x:c>
      <x:c r="E759" s="187" t="str">
        <x:v>FR</x:v>
      </x:c>
      <x:c r="F759" s="187" t="str">
        <x:v>0.00000000000000000000000000000000000000000000000000000000000000000000000000000000000000000000000000000000000000000000000000000000000000000000000000000000000000</x:v>
      </x:c>
      <x:c r="G759" s="235" t="n">
        <x:v>0</x:v>
      </x:c>
      <x:c r="H759" s="235"/>
      <x:c r="I759" s="229"/>
      <x:c r="J759" s="187"/>
    </x:row>
    <x:row r="760">
      <x:c r="A760" s="187" t="str">
        <x:v>SCENARIO_GROWTH_VS_FORECAST</x:v>
      </x:c>
      <x:c r="B760" s="217" t="n">
        <x:v>46327</x:v>
      </x:c>
      <x:c r="C760" s="187" t="str">
        <x:v>SHAPLEY</x:v>
      </x:c>
      <x:c r="D760" s="187" t="str">
        <x:v>PRICE</x:v>
      </x:c>
      <x:c r="E760" s="187" t="str">
        <x:v>GB</x:v>
      </x:c>
      <x:c r="F760" s="187" t="str">
        <x:v>0.00000000000000000000000000000000000000000000000000000000000000000000000000000000000000000000000000000000000000000000000000000000000000000000000000000000000000</x:v>
      </x:c>
      <x:c r="G760" s="235" t="n">
        <x:v>0</x:v>
      </x:c>
      <x:c r="H760" s="235"/>
      <x:c r="I760" s="229"/>
      <x:c r="J760" s="187"/>
    </x:row>
    <x:row r="761">
      <x:c r="A761" s="187" t="str">
        <x:v>SCENARIO_GROWTH_VS_FORECAST</x:v>
      </x:c>
      <x:c r="B761" s="217" t="n">
        <x:v>46327</x:v>
      </x:c>
      <x:c r="C761" s="187" t="str">
        <x:v>SHAPLEY</x:v>
      </x:c>
      <x:c r="D761" s="187" t="str">
        <x:v>VOLUME</x:v>
      </x:c>
      <x:c r="E761" s="187" t="str">
        <x:v>ALL</x:v>
      </x:c>
      <x:c r="F761" s="187" t="str">
        <x:v>50220.934761607819184825835636392038498556304138594802694898941289701636188642928</x:v>
      </x:c>
      <x:c r="G761" s="235" t="n">
        <x:v>50220.9348</x:v>
      </x:c>
      <x:c r="H761" s="235"/>
      <x:c r="I761" s="229"/>
      <x:c r="J761" s="187"/>
    </x:row>
    <x:row r="762">
      <x:c r="A762" s="187" t="str">
        <x:v>SCENARIO_GROWTH_VS_FORECAST</x:v>
      </x:c>
      <x:c r="B762" s="217" t="n">
        <x:v>46327</x:v>
      </x:c>
      <x:c r="C762" s="187" t="str">
        <x:v>SHAPLEY</x:v>
      </x:c>
      <x:c r="D762" s="187" t="str">
        <x:v>VOLUME</x:v>
      </x:c>
      <x:c r="E762" s="187" t="str">
        <x:v>DE</x:v>
      </x:c>
      <x:c r="F762" s="187" t="str">
        <x:v>10031.511700578942802271804119345524542829643888354186717998075072184793070259866</x:v>
      </x:c>
      <x:c r="G762" s="235" t="n">
        <x:v>10031.5117</x:v>
      </x:c>
      <x:c r="H762" s="235"/>
      <x:c r="I762" s="229"/>
      <x:c r="J762" s="187"/>
    </x:row>
    <x:row r="763">
      <x:c r="A763" s="187" t="str">
        <x:v>SCENARIO_GROWTH_VS_FORECAST</x:v>
      </x:c>
      <x:c r="B763" s="217" t="n">
        <x:v>46327</x:v>
      </x:c>
      <x:c r="C763" s="187" t="str">
        <x:v>SHAPLEY</x:v>
      </x:c>
      <x:c r="D763" s="187" t="str">
        <x:v>VOLUME</x:v>
      </x:c>
      <x:c r="E763" s="187" t="str">
        <x:v>FR</x:v>
      </x:c>
      <x:c r="F763" s="187" t="str">
        <x:v>8670.1393293632343349331387872954764196342637151106833493743984600577478344562074</x:v>
      </x:c>
      <x:c r="G763" s="235" t="n">
        <x:v>8670.1393</x:v>
      </x:c>
      <x:c r="H763" s="235"/>
      <x:c r="I763" s="229"/>
      <x:c r="J763" s="187"/>
    </x:row>
    <x:row r="764">
      <x:c r="A764" s="187" t="str">
        <x:v>SCENARIO_GROWTH_VS_FORECAST</x:v>
      </x:c>
      <x:c r="B764" s="217" t="n">
        <x:v>46327</x:v>
      </x:c>
      <x:c r="C764" s="187" t="str">
        <x:v>SHAPLEY</x:v>
      </x:c>
      <x:c r="D764" s="187" t="str">
        <x:v>VOLUME</x:v>
      </x:c>
      <x:c r="E764" s="187" t="str">
        <x:v>GB</x:v>
      </x:c>
      <x:c r="F764" s="187" t="str">
        <x:v>31519.283731665642047620892729751037536092396535129932627526467757459095283926854</x:v>
      </x:c>
      <x:c r="G764" s="235" t="n">
        <x:v>31519.2837</x:v>
      </x:c>
      <x:c r="H764" s="235"/>
      <x:c r="I764" s="229"/>
      <x:c r="J764" s="187"/>
    </x:row>
    <x:row r="765">
      <x:c r="A765" s="187" t="str">
        <x:v>SCENARIO_GROWTH_VS_FORECAST</x:v>
      </x:c>
      <x:c r="B765" s="217" t="n">
        <x:v>46357</x:v>
      </x:c>
      <x:c r="C765" s="187" t="str">
        <x:v>CHAIN</x:v>
      </x:c>
      <x:c r="D765" s="187" t="str">
        <x:v>EFFICIENCY</x:v>
      </x:c>
      <x:c r="E765" s="187" t="str">
        <x:v>ALL</x:v>
      </x:c>
      <x:c r="F765" s="187" t="str">
        <x:v>0.000000000000000000000000000000000000000000000000000000000000000000000000000000</x:v>
      </x:c>
      <x:c r="G765" s="235" t="n">
        <x:v>0</x:v>
      </x:c>
      <x:c r="H765" s="235" t="n">
        <x:v>0</x:v>
      </x:c>
      <x:c r="I765" s="229" t="n">
        <x:v>0</x:v>
      </x:c>
      <x:c r="J765" s="254" t="b">
        <x:v>0</x:v>
      </x:c>
    </x:row>
    <x:row r="766">
      <x:c r="A766" s="187" t="str">
        <x:v>SCENARIO_GROWTH_VS_FORECAST</x:v>
      </x:c>
      <x:c r="B766" s="217" t="n">
        <x:v>46357</x:v>
      </x:c>
      <x:c r="C766" s="187" t="str">
        <x:v>CHAIN</x:v>
      </x:c>
      <x:c r="D766" s="187" t="str">
        <x:v>EFFICIENCY</x:v>
      </x:c>
      <x:c r="E766" s="187" t="str">
        <x:v>DE</x:v>
      </x:c>
      <x:c r="F766" s="187" t="str">
        <x:v>0.000000000000000000000000000000000000000000000000000000000000000000000000000000</x:v>
      </x:c>
      <x:c r="G766" s="235" t="n">
        <x:v>0</x:v>
      </x:c>
      <x:c r="H766" s="235"/>
      <x:c r="I766" s="229"/>
      <x:c r="J766" s="187"/>
    </x:row>
    <x:row r="767">
      <x:c r="A767" s="187" t="str">
        <x:v>SCENARIO_GROWTH_VS_FORECAST</x:v>
      </x:c>
      <x:c r="B767" s="217" t="n">
        <x:v>46357</x:v>
      </x:c>
      <x:c r="C767" s="187" t="str">
        <x:v>CHAIN</x:v>
      </x:c>
      <x:c r="D767" s="187" t="str">
        <x:v>EFFICIENCY</x:v>
      </x:c>
      <x:c r="E767" s="187" t="str">
        <x:v>FR</x:v>
      </x:c>
      <x:c r="F767" s="187" t="str">
        <x:v>0.00000000000000000000000000000000000000000000000000000000000000000000000000000</x:v>
      </x:c>
      <x:c r="G767" s="235" t="n">
        <x:v>0</x:v>
      </x:c>
      <x:c r="H767" s="235"/>
      <x:c r="I767" s="229"/>
      <x:c r="J767" s="187"/>
    </x:row>
    <x:row r="768">
      <x:c r="A768" s="187" t="str">
        <x:v>SCENARIO_GROWTH_VS_FORECAST</x:v>
      </x:c>
      <x:c r="B768" s="217" t="n">
        <x:v>46357</x:v>
      </x:c>
      <x:c r="C768" s="187" t="str">
        <x:v>CHAIN</x:v>
      </x:c>
      <x:c r="D768" s="187" t="str">
        <x:v>EFFICIENCY</x:v>
      </x:c>
      <x:c r="E768" s="187" t="str">
        <x:v>GB</x:v>
      </x:c>
      <x:c r="F768" s="187" t="str">
        <x:v>0.00000000000000000000000000000000000000000000000000000000000000000000000000000</x:v>
      </x:c>
      <x:c r="G768" s="235" t="n">
        <x:v>0</x:v>
      </x:c>
      <x:c r="H768" s="235"/>
      <x:c r="I768" s="229"/>
      <x:c r="J768" s="187"/>
    </x:row>
    <x:row r="769">
      <x:c r="A769" s="187" t="str">
        <x:v>SCENARIO_GROWTH_VS_FORECAST</x:v>
      </x:c>
      <x:c r="B769" s="217" t="n">
        <x:v>46357</x:v>
      </x:c>
      <x:c r="C769" s="187" t="str">
        <x:v>CHAIN</x:v>
      </x:c>
      <x:c r="D769" s="187" t="str">
        <x:v>FX</x:v>
      </x:c>
      <x:c r="E769" s="187" t="str">
        <x:v>ALL</x:v>
      </x:c>
      <x:c r="F769" s="187" t="str">
        <x:v>0.000000000000000000000000000000000000000000000000000000000000000000000000000000</x:v>
      </x:c>
      <x:c r="G769" s="235" t="n">
        <x:v>0</x:v>
      </x:c>
      <x:c r="H769" s="235" t="n">
        <x:v>0</x:v>
      </x:c>
      <x:c r="I769" s="229" t="n">
        <x:v>0</x:v>
      </x:c>
      <x:c r="J769" s="254" t="b">
        <x:v>0</x:v>
      </x:c>
    </x:row>
    <x:row r="770">
      <x:c r="A770" s="187" t="str">
        <x:v>SCENARIO_GROWTH_VS_FORECAST</x:v>
      </x:c>
      <x:c r="B770" s="217" t="n">
        <x:v>46357</x:v>
      </x:c>
      <x:c r="C770" s="187" t="str">
        <x:v>CHAIN</x:v>
      </x:c>
      <x:c r="D770" s="187" t="str">
        <x:v>FX</x:v>
      </x:c>
      <x:c r="E770" s="187" t="str">
        <x:v>DE</x:v>
      </x:c>
      <x:c r="F770" s="187" t="str">
        <x:v>0.000000000000000000000000000000000000000000000000000000000000000000000000000000</x:v>
      </x:c>
      <x:c r="G770" s="235" t="n">
        <x:v>0</x:v>
      </x:c>
      <x:c r="H770" s="235"/>
      <x:c r="I770" s="229"/>
      <x:c r="J770" s="187"/>
    </x:row>
    <x:row r="771">
      <x:c r="A771" s="187" t="str">
        <x:v>SCENARIO_GROWTH_VS_FORECAST</x:v>
      </x:c>
      <x:c r="B771" s="217" t="n">
        <x:v>46357</x:v>
      </x:c>
      <x:c r="C771" s="187" t="str">
        <x:v>CHAIN</x:v>
      </x:c>
      <x:c r="D771" s="187" t="str">
        <x:v>FX</x:v>
      </x:c>
      <x:c r="E771" s="187" t="str">
        <x:v>FR</x:v>
      </x:c>
      <x:c r="F771" s="187" t="str">
        <x:v>0.00000000000000000000000000000000000000000000000000000000000000000000000000000</x:v>
      </x:c>
      <x:c r="G771" s="235" t="n">
        <x:v>0</x:v>
      </x:c>
      <x:c r="H771" s="235"/>
      <x:c r="I771" s="229"/>
      <x:c r="J771" s="187"/>
    </x:row>
    <x:row r="772">
      <x:c r="A772" s="187" t="str">
        <x:v>SCENARIO_GROWTH_VS_FORECAST</x:v>
      </x:c>
      <x:c r="B772" s="217" t="n">
        <x:v>46357</x:v>
      </x:c>
      <x:c r="C772" s="187" t="str">
        <x:v>CHAIN</x:v>
      </x:c>
      <x:c r="D772" s="187" t="str">
        <x:v>FX</x:v>
      </x:c>
      <x:c r="E772" s="187" t="str">
        <x:v>GB</x:v>
      </x:c>
      <x:c r="F772" s="187" t="str">
        <x:v>0.00000000000000000000000000000000000000000000000000000000000000000000000000000</x:v>
      </x:c>
      <x:c r="G772" s="235" t="n">
        <x:v>0</x:v>
      </x:c>
      <x:c r="H772" s="235"/>
      <x:c r="I772" s="229"/>
      <x:c r="J772" s="187"/>
    </x:row>
    <x:row r="773">
      <x:c r="A773" s="187" t="str">
        <x:v>SCENARIO_GROWTH_VS_FORECAST</x:v>
      </x:c>
      <x:c r="B773" s="217" t="n">
        <x:v>46357</x:v>
      </x:c>
      <x:c r="C773" s="187" t="str">
        <x:v>CHAIN</x:v>
      </x:c>
      <x:c r="D773" s="187" t="str">
        <x:v>MIX</x:v>
      </x:c>
      <x:c r="E773" s="187" t="str">
        <x:v>ALL</x:v>
      </x:c>
      <x:c r="F773" s="187" t="str">
        <x:v>31644.330407427372336808584192000000000000000000000000000000000000000000000000001</x:v>
      </x:c>
      <x:c r="G773" s="235" t="n">
        <x:v>31644.3304</x:v>
      </x:c>
      <x:c r="H773" s="235" t="n">
        <x:v>608.5448155274495</x:v>
      </x:c>
      <x:c r="I773" s="229" t="n">
        <x:v>0.006790409123535052</x:v>
      </x:c>
      <x:c r="J773" s="254" t="b">
        <x:v>0</x:v>
      </x:c>
    </x:row>
    <x:row r="774">
      <x:c r="A774" s="187" t="str">
        <x:v>SCENARIO_GROWTH_VS_FORECAST</x:v>
      </x:c>
      <x:c r="B774" s="217" t="n">
        <x:v>46357</x:v>
      </x:c>
      <x:c r="C774" s="187" t="str">
        <x:v>CHAIN</x:v>
      </x:c>
      <x:c r="D774" s="187" t="str">
        <x:v>MIX</x:v>
      </x:c>
      <x:c r="E774" s="187" t="str">
        <x:v>DE</x:v>
      </x:c>
      <x:c r="F774" s="187" t="str">
        <x:v>-12061.484599190111303961599999999999999999999999999999999999999999999999999999999</x:v>
      </x:c>
      <x:c r="G774" s="235" t="n">
        <x:v>-12061.4846</x:v>
      </x:c>
      <x:c r="H774" s="235"/>
      <x:c r="I774" s="229"/>
      <x:c r="J774" s="187"/>
    </x:row>
    <x:row r="775">
      <x:c r="A775" s="187" t="str">
        <x:v>SCENARIO_GROWTH_VS_FORECAST</x:v>
      </x:c>
      <x:c r="B775" s="217" t="n">
        <x:v>46357</x:v>
      </x:c>
      <x:c r="C775" s="187" t="str">
        <x:v>CHAIN</x:v>
      </x:c>
      <x:c r="D775" s="187" t="str">
        <x:v>MIX</x:v>
      </x:c>
      <x:c r="E775" s="187" t="str">
        <x:v>FR</x:v>
      </x:c>
      <x:c r="F775" s="187" t="str">
        <x:v>-10065.155589390801227328000000000000000000000000000000000000000000000000000000000</x:v>
      </x:c>
      <x:c r="G775" s="235" t="n">
        <x:v>-10065.1556</x:v>
      </x:c>
      <x:c r="H775" s="235"/>
      <x:c r="I775" s="229"/>
      <x:c r="J775" s="187"/>
    </x:row>
    <x:row r="776">
      <x:c r="A776" s="187" t="str">
        <x:v>SCENARIO_GROWTH_VS_FORECAST</x:v>
      </x:c>
      <x:c r="B776" s="217" t="n">
        <x:v>46357</x:v>
      </x:c>
      <x:c r="C776" s="187" t="str">
        <x:v>CHAIN</x:v>
      </x:c>
      <x:c r="D776" s="187" t="str">
        <x:v>MIX</x:v>
      </x:c>
      <x:c r="E776" s="187" t="str">
        <x:v>GB</x:v>
      </x:c>
      <x:c r="F776" s="187" t="str">
        <x:v>53770.970596008284868098184192000000000000000000000000000000000000000000000000000</x:v>
      </x:c>
      <x:c r="G776" s="235" t="n">
        <x:v>53770.9706</x:v>
      </x:c>
      <x:c r="H776" s="235"/>
      <x:c r="I776" s="229"/>
      <x:c r="J776" s="187"/>
    </x:row>
    <x:row r="777">
      <x:c r="A777" s="187" t="str">
        <x:v>SCENARIO_GROWTH_VS_FORECAST</x:v>
      </x:c>
      <x:c r="B777" s="217" t="n">
        <x:v>46357</x:v>
      </x:c>
      <x:c r="C777" s="187" t="str">
        <x:v>CHAIN</x:v>
      </x:c>
      <x:c r="D777" s="187" t="str">
        <x:v>PRICE</x:v>
      </x:c>
      <x:c r="E777" s="187" t="str">
        <x:v>ALL</x:v>
      </x:c>
      <x:c r="F777" s="187" t="str">
        <x:v>0.000000000000000000000000000000000000000000000000000000000000000000000000000000</x:v>
      </x:c>
      <x:c r="G777" s="235" t="n">
        <x:v>0</x:v>
      </x:c>
      <x:c r="H777" s="235" t="n">
        <x:v>0</x:v>
      </x:c>
      <x:c r="I777" s="229" t="n">
        <x:v>0</x:v>
      </x:c>
      <x:c r="J777" s="254" t="b">
        <x:v>0</x:v>
      </x:c>
    </x:row>
    <x:row r="778">
      <x:c r="A778" s="187" t="str">
        <x:v>SCENARIO_GROWTH_VS_FORECAST</x:v>
      </x:c>
      <x:c r="B778" s="217" t="n">
        <x:v>46357</x:v>
      </x:c>
      <x:c r="C778" s="187" t="str">
        <x:v>CHAIN</x:v>
      </x:c>
      <x:c r="D778" s="187" t="str">
        <x:v>PRICE</x:v>
      </x:c>
      <x:c r="E778" s="187" t="str">
        <x:v>DE</x:v>
      </x:c>
      <x:c r="F778" s="187" t="str">
        <x:v>0.000000000000000000000000000000000000000000000000000000000000000000000000000000</x:v>
      </x:c>
      <x:c r="G778" s="235" t="n">
        <x:v>0</x:v>
      </x:c>
      <x:c r="H778" s="235"/>
      <x:c r="I778" s="229"/>
      <x:c r="J778" s="187"/>
    </x:row>
    <x:row r="779">
      <x:c r="A779" s="187" t="str">
        <x:v>SCENARIO_GROWTH_VS_FORECAST</x:v>
      </x:c>
      <x:c r="B779" s="217" t="n">
        <x:v>46357</x:v>
      </x:c>
      <x:c r="C779" s="187" t="str">
        <x:v>CHAIN</x:v>
      </x:c>
      <x:c r="D779" s="187" t="str">
        <x:v>PRICE</x:v>
      </x:c>
      <x:c r="E779" s="187" t="str">
        <x:v>FR</x:v>
      </x:c>
      <x:c r="F779" s="187" t="str">
        <x:v>0.00000000000000000000000000000000000000000000000000000000000000000000000000000</x:v>
      </x:c>
      <x:c r="G779" s="235" t="n">
        <x:v>0</x:v>
      </x:c>
      <x:c r="H779" s="235"/>
      <x:c r="I779" s="229"/>
      <x:c r="J779" s="187"/>
    </x:row>
    <x:row r="780">
      <x:c r="A780" s="187" t="str">
        <x:v>SCENARIO_GROWTH_VS_FORECAST</x:v>
      </x:c>
      <x:c r="B780" s="217" t="n">
        <x:v>46357</x:v>
      </x:c>
      <x:c r="C780" s="187" t="str">
        <x:v>CHAIN</x:v>
      </x:c>
      <x:c r="D780" s="187" t="str">
        <x:v>PRICE</x:v>
      </x:c>
      <x:c r="E780" s="187" t="str">
        <x:v>GB</x:v>
      </x:c>
      <x:c r="F780" s="187" t="str">
        <x:v>0.00000000000000000000000000000000000000000000000000000000000000000000000000000</x:v>
      </x:c>
      <x:c r="G780" s="235" t="n">
        <x:v>0</x:v>
      </x:c>
      <x:c r="H780" s="235"/>
      <x:c r="I780" s="229"/>
      <x:c r="J780" s="187"/>
    </x:row>
    <x:row r="781">
      <x:c r="A781" s="187" t="str">
        <x:v>SCENARIO_GROWTH_VS_FORECAST</x:v>
      </x:c>
      <x:c r="B781" s="217" t="n">
        <x:v>46357</x:v>
      </x:c>
      <x:c r="C781" s="187" t="str">
        <x:v>CHAIN</x:v>
      </x:c>
      <x:c r="D781" s="187" t="str">
        <x:v>VOLUME</x:v>
      </x:c>
      <x:c r="E781" s="187" t="str">
        <x:v>ALL</x:v>
      </x:c>
      <x:c r="F781" s="187" t="str">
        <x:v>57973.95391925310244335505612800000000000</x:v>
      </x:c>
      <x:c r="G781" s="235" t="n">
        <x:v>57973.9539</x:v>
      </x:c>
      <x:c r="H781" s="235" t="n">
        <x:v>608.5448155274495</x:v>
      </x:c>
      <x:c r="I781" s="229" t="n">
        <x:v>0.006790409123535052</x:v>
      </x:c>
      <x:c r="J781" s="254" t="b">
        <x:v>0</x:v>
      </x:c>
    </x:row>
    <x:row r="782">
      <x:c r="A782" s="187" t="str">
        <x:v>SCENARIO_GROWTH_VS_FORECAST</x:v>
      </x:c>
      <x:c r="B782" s="217" t="n">
        <x:v>46357</x:v>
      </x:c>
      <x:c r="C782" s="187" t="str">
        <x:v>CHAIN</x:v>
      </x:c>
      <x:c r="D782" s="187" t="str">
        <x:v>VOLUME</x:v>
      </x:c>
      <x:c r="E782" s="187" t="str">
        <x:v>DE</x:v>
      </x:c>
      <x:c r="F782" s="187" t="str">
        <x:v>12061.48459919011130396160000000000</x:v>
      </x:c>
      <x:c r="G782" s="235" t="n">
        <x:v>12061.4846</x:v>
      </x:c>
      <x:c r="H782" s="235"/>
      <x:c r="I782" s="229"/>
      <x:c r="J782" s="187"/>
    </x:row>
    <x:row r="783">
      <x:c r="A783" s="187" t="str">
        <x:v>SCENARIO_GROWTH_VS_FORECAST</x:v>
      </x:c>
      <x:c r="B783" s="217" t="n">
        <x:v>46357</x:v>
      </x:c>
      <x:c r="C783" s="187" t="str">
        <x:v>CHAIN</x:v>
      </x:c>
      <x:c r="D783" s="187" t="str">
        <x:v>VOLUME</x:v>
      </x:c>
      <x:c r="E783" s="187" t="str">
        <x:v>FR</x:v>
      </x:c>
      <x:c r="F783" s="187" t="str">
        <x:v>10065.155589390801227328000000000</x:v>
      </x:c>
      <x:c r="G783" s="235" t="n">
        <x:v>10065.1556</x:v>
      </x:c>
      <x:c r="H783" s="235"/>
      <x:c r="I783" s="229"/>
      <x:c r="J783" s="187"/>
    </x:row>
    <x:row r="784">
      <x:c r="A784" s="187" t="str">
        <x:v>SCENARIO_GROWTH_VS_FORECAST</x:v>
      </x:c>
      <x:c r="B784" s="217" t="n">
        <x:v>46357</x:v>
      </x:c>
      <x:c r="C784" s="187" t="str">
        <x:v>CHAIN</x:v>
      </x:c>
      <x:c r="D784" s="187" t="str">
        <x:v>VOLUME</x:v>
      </x:c>
      <x:c r="E784" s="187" t="str">
        <x:v>GB</x:v>
      </x:c>
      <x:c r="F784" s="187" t="str">
        <x:v>35847.31373067218991206545612800000000000</x:v>
      </x:c>
      <x:c r="G784" s="235" t="n">
        <x:v>35847.3137</x:v>
      </x:c>
      <x:c r="H784" s="235"/>
      <x:c r="I784" s="229"/>
      <x:c r="J784" s="187"/>
    </x:row>
    <x:row r="785">
      <x:c r="A785" s="187" t="str">
        <x:v>SCENARIO_GROWTH_VS_FORECAST</x:v>
      </x:c>
      <x:c r="B785" s="217" t="n">
        <x:v>46357</x:v>
      </x:c>
      <x:c r="C785" s="187" t="str">
        <x:v>SHAPLEY</x:v>
      </x:c>
      <x:c r="D785" s="187" t="str">
        <x:v>EFFICIENCY</x:v>
      </x:c>
      <x:c r="E785" s="187" t="str">
        <x:v>ALL</x:v>
      </x:c>
      <x:c r="F785" s="187" t="str">
        <x:v>0.000000000000000000000000000000000000000000000000000000000000000000000000000000000000000000000000000000000000000000000000000000000000000000000000000000000000000</x:v>
      </x:c>
      <x:c r="G785" s="235" t="n">
        <x:v>0</x:v>
      </x:c>
      <x:c r="H785" s="235"/>
      <x:c r="I785" s="229"/>
      <x:c r="J785" s="187"/>
    </x:row>
    <x:row r="786">
      <x:c r="A786" s="187" t="str">
        <x:v>SCENARIO_GROWTH_VS_FORECAST</x:v>
      </x:c>
      <x:c r="B786" s="217" t="n">
        <x:v>46357</x:v>
      </x:c>
      <x:c r="C786" s="187" t="str">
        <x:v>SHAPLEY</x:v>
      </x:c>
      <x:c r="D786" s="187" t="str">
        <x:v>EFFICIENCY</x:v>
      </x:c>
      <x:c r="E786" s="187" t="str">
        <x:v>DE</x:v>
      </x:c>
      <x:c r="F786" s="187" t="str">
        <x:v>0.000000000000000000000000000000000000000000000000000000000000000000000000000000000000000000000000000000000000000000000000000000000000000000000000000000000000000</x:v>
      </x:c>
      <x:c r="G786" s="235" t="n">
        <x:v>0</x:v>
      </x:c>
      <x:c r="H786" s="235"/>
      <x:c r="I786" s="229"/>
      <x:c r="J786" s="187"/>
    </x:row>
    <x:row r="787">
      <x:c r="A787" s="187" t="str">
        <x:v>SCENARIO_GROWTH_VS_FORECAST</x:v>
      </x:c>
      <x:c r="B787" s="217" t="n">
        <x:v>46357</x:v>
      </x:c>
      <x:c r="C787" s="187" t="str">
        <x:v>SHAPLEY</x:v>
      </x:c>
      <x:c r="D787" s="187" t="str">
        <x:v>EFFICIENCY</x:v>
      </x:c>
      <x:c r="E787" s="187" t="str">
        <x:v>FR</x:v>
      </x:c>
      <x:c r="F787" s="187" t="str">
        <x:v>0.00000000000000000000000000000000000000000000000000000000000000000000000000000000000000000000000000000000000000000000000000000000000000000000000000000000000000</x:v>
      </x:c>
      <x:c r="G787" s="235" t="n">
        <x:v>0</x:v>
      </x:c>
      <x:c r="H787" s="235"/>
      <x:c r="I787" s="229"/>
      <x:c r="J787" s="187"/>
    </x:row>
    <x:row r="788">
      <x:c r="A788" s="187" t="str">
        <x:v>SCENARIO_GROWTH_VS_FORECAST</x:v>
      </x:c>
      <x:c r="B788" s="217" t="n">
        <x:v>46357</x:v>
      </x:c>
      <x:c r="C788" s="187" t="str">
        <x:v>SHAPLEY</x:v>
      </x:c>
      <x:c r="D788" s="187" t="str">
        <x:v>EFFICIENCY</x:v>
      </x:c>
      <x:c r="E788" s="187" t="str">
        <x:v>GB</x:v>
      </x:c>
      <x:c r="F788" s="187" t="str">
        <x:v>0.00000000000000000000000000000000000000000000000000000000000000000000000000000000000000000000000000000000000000000000000000000000000000000000000000000000000000</x:v>
      </x:c>
      <x:c r="G788" s="235" t="n">
        <x:v>0</x:v>
      </x:c>
      <x:c r="H788" s="235"/>
      <x:c r="I788" s="229"/>
      <x:c r="J788" s="187"/>
    </x:row>
    <x:row r="789">
      <x:c r="A789" s="187" t="str">
        <x:v>SCENARIO_GROWTH_VS_FORECAST</x:v>
      </x:c>
      <x:c r="B789" s="217" t="n">
        <x:v>46357</x:v>
      </x:c>
      <x:c r="C789" s="187" t="str">
        <x:v>SHAPLEY</x:v>
      </x:c>
      <x:c r="D789" s="187" t="str">
        <x:v>FX</x:v>
      </x:c>
      <x:c r="E789" s="187" t="str">
        <x:v>ALL</x:v>
      </x:c>
      <x:c r="F789" s="187" t="str">
        <x:v>0.000000000000000000000000000000000000000000000000000000000000000000000000000000000000000000000000000000000000000000000000000000000000000000000000000000000000000</x:v>
      </x:c>
      <x:c r="G789" s="235" t="n">
        <x:v>0</x:v>
      </x:c>
      <x:c r="H789" s="235"/>
      <x:c r="I789" s="229"/>
      <x:c r="J789" s="187"/>
    </x:row>
    <x:row r="790">
      <x:c r="A790" s="187" t="str">
        <x:v>SCENARIO_GROWTH_VS_FORECAST</x:v>
      </x:c>
      <x:c r="B790" s="217" t="n">
        <x:v>46357</x:v>
      </x:c>
      <x:c r="C790" s="187" t="str">
        <x:v>SHAPLEY</x:v>
      </x:c>
      <x:c r="D790" s="187" t="str">
        <x:v>FX</x:v>
      </x:c>
      <x:c r="E790" s="187" t="str">
        <x:v>DE</x:v>
      </x:c>
      <x:c r="F790" s="187" t="str">
        <x:v>0.000000000000000000000000000000000000000000000000000000000000000000000000000000000000000000000000000000000000000000000000000000000000000000000000000000000000000</x:v>
      </x:c>
      <x:c r="G790" s="235" t="n">
        <x:v>0</x:v>
      </x:c>
      <x:c r="H790" s="235"/>
      <x:c r="I790" s="229"/>
      <x:c r="J790" s="187"/>
    </x:row>
    <x:row r="791">
      <x:c r="A791" s="187" t="str">
        <x:v>SCENARIO_GROWTH_VS_FORECAST</x:v>
      </x:c>
      <x:c r="B791" s="217" t="n">
        <x:v>46357</x:v>
      </x:c>
      <x:c r="C791" s="187" t="str">
        <x:v>SHAPLEY</x:v>
      </x:c>
      <x:c r="D791" s="187" t="str">
        <x:v>FX</x:v>
      </x:c>
      <x:c r="E791" s="187" t="str">
        <x:v>FR</x:v>
      </x:c>
      <x:c r="F791" s="187" t="str">
        <x:v>0.00000000000000000000000000000000000000000000000000000000000000000000000000000000000000000000000000000000000000000000000000000000000000000000000000000000000000</x:v>
      </x:c>
      <x:c r="G791" s="235" t="n">
        <x:v>0</x:v>
      </x:c>
      <x:c r="H791" s="235"/>
      <x:c r="I791" s="229"/>
      <x:c r="J791" s="187"/>
    </x:row>
    <x:row r="792">
      <x:c r="A792" s="187" t="str">
        <x:v>SCENARIO_GROWTH_VS_FORECAST</x:v>
      </x:c>
      <x:c r="B792" s="217" t="n">
        <x:v>46357</x:v>
      </x:c>
      <x:c r="C792" s="187" t="str">
        <x:v>SHAPLEY</x:v>
      </x:c>
      <x:c r="D792" s="187" t="str">
        <x:v>FX</x:v>
      </x:c>
      <x:c r="E792" s="187" t="str">
        <x:v>GB</x:v>
      </x:c>
      <x:c r="F792" s="187" t="str">
        <x:v>0.00000000000000000000000000000000000000000000000000000000000000000000000000000000000000000000000000000000000000000000000000000000000000000000000000000000000000</x:v>
      </x:c>
      <x:c r="G792" s="235" t="n">
        <x:v>0</x:v>
      </x:c>
      <x:c r="H792" s="235"/>
      <x:c r="I792" s="229"/>
      <x:c r="J792" s="187"/>
    </x:row>
    <x:row r="793">
      <x:c r="A793" s="187" t="str">
        <x:v>SCENARIO_GROWTH_VS_FORECAST</x:v>
      </x:c>
      <x:c r="B793" s="217" t="n">
        <x:v>46357</x:v>
      </x:c>
      <x:c r="C793" s="187" t="str">
        <x:v>SHAPLEY</x:v>
      </x:c>
      <x:c r="D793" s="187" t="str">
        <x:v>MIX</x:v>
      </x:c>
      <x:c r="E793" s="187" t="str">
        <x:v>ALL</x:v>
      </x:c>
      <x:c r="F793" s="187" t="str">
        <x:v>31035.785591899922868793034496000000000000000000000000000000000000000000000000002</x:v>
      </x:c>
      <x:c r="G793" s="235" t="n">
        <x:v>31035.7856</x:v>
      </x:c>
      <x:c r="H793" s="235"/>
      <x:c r="I793" s="229"/>
      <x:c r="J793" s="187"/>
    </x:row>
    <x:row r="794">
      <x:c r="A794" s="187" t="str">
        <x:v>SCENARIO_GROWTH_VS_FORECAST</x:v>
      </x:c>
      <x:c r="B794" s="217" t="n">
        <x:v>46357</x:v>
      </x:c>
      <x:c r="C794" s="187" t="str">
        <x:v>SHAPLEY</x:v>
      </x:c>
      <x:c r="D794" s="187" t="str">
        <x:v>MIX</x:v>
      </x:c>
      <x:c r="E794" s="187" t="str">
        <x:v>DE</x:v>
      </x:c>
      <x:c r="F794" s="187" t="str">
        <x:v>-11829.532972282609163500799999999999999999999999999999999999999999999999999999998</x:v>
      </x:c>
      <x:c r="G794" s="235" t="n">
        <x:v>-11829.533</x:v>
      </x:c>
      <x:c r="H794" s="235"/>
      <x:c r="I794" s="229"/>
      <x:c r="J794" s="187"/>
    </x:row>
    <x:row r="795">
      <x:c r="A795" s="187" t="str">
        <x:v>SCENARIO_GROWTH_VS_FORECAST</x:v>
      </x:c>
      <x:c r="B795" s="217" t="n">
        <x:v>46357</x:v>
      </x:c>
      <x:c r="C795" s="187" t="str">
        <x:v>SHAPLEY</x:v>
      </x:c>
      <x:c r="D795" s="187" t="str">
        <x:v>MIX</x:v>
      </x:c>
      <x:c r="E795" s="187" t="str">
        <x:v>FR</x:v>
      </x:c>
      <x:c r="F795" s="187" t="str">
        <x:v>-9871.5949049794396652640000000000000000000000000000000000000000000000000000000000</x:v>
      </x:c>
      <x:c r="G795" s="235" t="n">
        <x:v>-9871.5949</x:v>
      </x:c>
      <x:c r="H795" s="235"/>
      <x:c r="I795" s="229"/>
      <x:c r="J795" s="187"/>
    </x:row>
    <x:row r="796">
      <x:c r="A796" s="187" t="str">
        <x:v>SCENARIO_GROWTH_VS_FORECAST</x:v>
      </x:c>
      <x:c r="B796" s="217" t="n">
        <x:v>46357</x:v>
      </x:c>
      <x:c r="C796" s="187" t="str">
        <x:v>SHAPLEY</x:v>
      </x:c>
      <x:c r="D796" s="187" t="str">
        <x:v>MIX</x:v>
      </x:c>
      <x:c r="E796" s="187" t="str">
        <x:v>GB</x:v>
      </x:c>
      <x:c r="F796" s="187" t="str">
        <x:v>52736.913469161971697557834496000000000000000000000000000000000000000000000000000</x:v>
      </x:c>
      <x:c r="G796" s="235" t="n">
        <x:v>52736.9135</x:v>
      </x:c>
      <x:c r="H796" s="235"/>
      <x:c r="I796" s="229"/>
      <x:c r="J796" s="187"/>
    </x:row>
    <x:row r="797">
      <x:c r="A797" s="187" t="str">
        <x:v>SCENARIO_GROWTH_VS_FORECAST</x:v>
      </x:c>
      <x:c r="B797" s="217" t="n">
        <x:v>46357</x:v>
      </x:c>
      <x:c r="C797" s="187" t="str">
        <x:v>SHAPLEY</x:v>
      </x:c>
      <x:c r="D797" s="187" t="str">
        <x:v>PRICE</x:v>
      </x:c>
      <x:c r="E797" s="187" t="str">
        <x:v>ALL</x:v>
      </x:c>
      <x:c r="F797" s="187" t="str">
        <x:v>0.000000000000000000000000000000000000000000000000000000000000000000000000000000000000000000000000000000000000000000000000000000000000000000000000000000000000000</x:v>
      </x:c>
      <x:c r="G797" s="235" t="n">
        <x:v>0</x:v>
      </x:c>
      <x:c r="H797" s="235"/>
      <x:c r="I797" s="229"/>
      <x:c r="J797" s="187"/>
    </x:row>
    <x:row r="798">
      <x:c r="A798" s="187" t="str">
        <x:v>SCENARIO_GROWTH_VS_FORECAST</x:v>
      </x:c>
      <x:c r="B798" s="217" t="n">
        <x:v>46357</x:v>
      </x:c>
      <x:c r="C798" s="187" t="str">
        <x:v>SHAPLEY</x:v>
      </x:c>
      <x:c r="D798" s="187" t="str">
        <x:v>PRICE</x:v>
      </x:c>
      <x:c r="E798" s="187" t="str">
        <x:v>DE</x:v>
      </x:c>
      <x:c r="F798" s="187" t="str">
        <x:v>0.000000000000000000000000000000000000000000000000000000000000000000000000000000000000000000000000000000000000000000000000000000000000000000000000000000000000000</x:v>
      </x:c>
      <x:c r="G798" s="235" t="n">
        <x:v>0</x:v>
      </x:c>
      <x:c r="H798" s="235"/>
      <x:c r="I798" s="229"/>
      <x:c r="J798" s="187"/>
    </x:row>
    <x:row r="799">
      <x:c r="A799" s="187" t="str">
        <x:v>SCENARIO_GROWTH_VS_FORECAST</x:v>
      </x:c>
      <x:c r="B799" s="217" t="n">
        <x:v>46357</x:v>
      </x:c>
      <x:c r="C799" s="187" t="str">
        <x:v>SHAPLEY</x:v>
      </x:c>
      <x:c r="D799" s="187" t="str">
        <x:v>PRICE</x:v>
      </x:c>
      <x:c r="E799" s="187" t="str">
        <x:v>FR</x:v>
      </x:c>
      <x:c r="F799" s="187" t="str">
        <x:v>0.00000000000000000000000000000000000000000000000000000000000000000000000000000000000000000000000000000000000000000000000000000000000000000000000000000000000000</x:v>
      </x:c>
      <x:c r="G799" s="235" t="n">
        <x:v>0</x:v>
      </x:c>
      <x:c r="H799" s="235"/>
      <x:c r="I799" s="229"/>
      <x:c r="J799" s="187"/>
    </x:row>
    <x:row r="800">
      <x:c r="A800" s="187" t="str">
        <x:v>SCENARIO_GROWTH_VS_FORECAST</x:v>
      </x:c>
      <x:c r="B800" s="217" t="n">
        <x:v>46357</x:v>
      </x:c>
      <x:c r="C800" s="187" t="str">
        <x:v>SHAPLEY</x:v>
      </x:c>
      <x:c r="D800" s="187" t="str">
        <x:v>PRICE</x:v>
      </x:c>
      <x:c r="E800" s="187" t="str">
        <x:v>GB</x:v>
      </x:c>
      <x:c r="F800" s="187" t="str">
        <x:v>0.00000000000000000000000000000000000000000000000000000000000000000000000000000000000000000000000000000000000000000000000000000000000000000000000000000000000000</x:v>
      </x:c>
      <x:c r="G800" s="235" t="n">
        <x:v>0</x:v>
      </x:c>
      <x:c r="H800" s="235"/>
      <x:c r="I800" s="229"/>
      <x:c r="J800" s="187"/>
    </x:row>
    <x:row r="801">
      <x:c r="A801" s="187" t="str">
        <x:v>SCENARIO_GROWTH_VS_FORECAST</x:v>
      </x:c>
      <x:c r="B801" s="217" t="n">
        <x:v>46357</x:v>
      </x:c>
      <x:c r="C801" s="187" t="str">
        <x:v>SHAPLEY</x:v>
      </x:c>
      <x:c r="D801" s="187" t="str">
        <x:v>VOLUME</x:v>
      </x:c>
      <x:c r="E801" s="187" t="str">
        <x:v>ALL</x:v>
      </x:c>
      <x:c r="F801" s="187" t="str">
        <x:v>58582.498734780551911370605823999999999999999999999999999999999999999999999999999</x:v>
      </x:c>
      <x:c r="G801" s="235" t="n">
        <x:v>58582.4987</x:v>
      </x:c>
      <x:c r="H801" s="235"/>
      <x:c r="I801" s="229"/>
      <x:c r="J801" s="187"/>
    </x:row>
    <x:row r="802">
      <x:c r="A802" s="187" t="str">
        <x:v>SCENARIO_GROWTH_VS_FORECAST</x:v>
      </x:c>
      <x:c r="B802" s="217" t="n">
        <x:v>46357</x:v>
      </x:c>
      <x:c r="C802" s="187" t="str">
        <x:v>SHAPLEY</x:v>
      </x:c>
      <x:c r="D802" s="187" t="str">
        <x:v>VOLUME</x:v>
      </x:c>
      <x:c r="E802" s="187" t="str">
        <x:v>DE</x:v>
      </x:c>
      <x:c r="F802" s="187" t="str">
        <x:v>11829.532972282609163500799999999999999999999999999999999999999999999999999999999</x:v>
      </x:c>
      <x:c r="G802" s="235" t="n">
        <x:v>11829.533</x:v>
      </x:c>
      <x:c r="H802" s="235"/>
      <x:c r="I802" s="229"/>
      <x:c r="J802" s="187"/>
    </x:row>
    <x:row r="803">
      <x:c r="A803" s="187" t="str">
        <x:v>SCENARIO_GROWTH_VS_FORECAST</x:v>
      </x:c>
      <x:c r="B803" s="217" t="n">
        <x:v>46357</x:v>
      </x:c>
      <x:c r="C803" s="187" t="str">
        <x:v>SHAPLEY</x:v>
      </x:c>
      <x:c r="D803" s="187" t="str">
        <x:v>VOLUME</x:v>
      </x:c>
      <x:c r="E803" s="187" t="str">
        <x:v>FR</x:v>
      </x:c>
      <x:c r="F803" s="187" t="str">
        <x:v>9871.5949049794396652640000000000000000000000000000000000000000000000000000000000</x:v>
      </x:c>
      <x:c r="G803" s="235" t="n">
        <x:v>9871.5949</x:v>
      </x:c>
      <x:c r="H803" s="235"/>
      <x:c r="I803" s="229"/>
      <x:c r="J803" s="187"/>
    </x:row>
    <x:row r="804">
      <x:c r="A804" s="188" t="str">
        <x:v>SCENARIO_GROWTH_VS_FORECAST</x:v>
      </x:c>
      <x:c r="B804" s="218" t="n">
        <x:v>46357</x:v>
      </x:c>
      <x:c r="C804" s="188" t="str">
        <x:v>SHAPLEY</x:v>
      </x:c>
      <x:c r="D804" s="188" t="str">
        <x:v>VOLUME</x:v>
      </x:c>
      <x:c r="E804" s="188" t="str">
        <x:v>GB</x:v>
      </x:c>
      <x:c r="F804" s="188" t="str">
        <x:v>36881.370857518503082605805824000000000000000000000000000000000000000000000000000</x:v>
      </x:c>
      <x:c r="G804" s="236" t="n">
        <x:v>36881.3709</x:v>
      </x:c>
      <x:c r="H804" s="236"/>
      <x:c r="I804" s="230"/>
      <x:c r="J804" s="188"/>
    </x:row>
  </x:sheetData>
  <x:mergeCells>
    <x:mergeCell ref="A1:S1"/>
    <x:mergeCell ref="A2:S2"/>
  </x:mergeCells>
  <x:conditionalFormatting sqref="R5:S24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21f645298f1a4b8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36" hidden="0" customWidth="1"/>
  </x:cols>
  <x:sheetData>
    <x:row r="1" ht="32" customHeight="1">
      <x:c r="A1" s="3" t="str">
        <x:v>情景结果与实施节奏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Base 沿用正式 Forecast；Growth 为英国订单 +10%；Cost Saving 只调整现有线路，服务阈值为软提示。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79" t="str">
        <x:v>Scenario</x:v>
      </x:c>
      <x:c r="B4" s="180" t="str">
        <x:v>Month</x:v>
      </x:c>
      <x:c r="C4" s="180" t="str">
        <x:v>Orders</x:v>
      </x:c>
      <x:c r="D4" s="180" t="str">
        <x:v>Scenario Total Cost</x:v>
      </x:c>
      <x:c r="E4" s="180" t="str">
        <x:v>Forecast Total Cost</x:v>
      </x:c>
      <x:c r="F4" s="180" t="str">
        <x:v>Cost Delta</x:v>
      </x:c>
      <x:c r="G4" s="180" t="str">
        <x:v>Scenario On-time</x:v>
      </x:c>
      <x:c r="H4" s="180" t="str">
        <x:v>Forecast On-time</x:v>
      </x:c>
      <x:c r="I4" s="180" t="str">
        <x:v>On-time Delta (pp)</x:v>
      </x:c>
      <x:c r="J4" s="180" t="str">
        <x:v>Capacity Status</x:v>
      </x:c>
      <x:c r="K4" s="181" t="str">
        <x:v>Implementation Note</x:v>
      </x:c>
    </x:row>
    <x:row r="5">
      <x:c r="A5" s="186" t="str">
        <x:v>SCENARIO_BASE</x:v>
      </x:c>
      <x:c r="B5" s="216" t="n">
        <x:v>46266</x:v>
      </x:c>
      <x:c r="C5" s="264" t="n">
        <x:f>'Monthly_Summary'!C29</x:f>
        <x:v>17200</x:v>
      </x:c>
      <x:c r="D5" s="237" t="n">
        <x:f>'Monthly_Summary'!I29</x:f>
        <x:v>1555201.0285</x:v>
      </x:c>
      <x:c r="E5" s="237" t="n">
        <x:f>'Monthly_Summary'!I25</x:f>
        <x:v>1555201.0285</x:v>
      </x:c>
      <x:c r="F5" s="237" t="n">
        <x:f>D5-E5</x:f>
        <x:v>0</x:v>
      </x:c>
      <x:c r="G5" s="246" t="n">
        <x:f>'Monthly_Summary'!O29</x:f>
        <x:v>0.9661435714830846</x:v>
      </x:c>
      <x:c r="H5" s="246" t="n">
        <x:f>'Monthly_Summary'!O25</x:f>
        <x:v>0.9661435714830846</x:v>
      </x:c>
      <x:c r="I5" s="265" t="n">
        <x:f>(G5-H5)*100</x:f>
        <x:v>0</x:v>
      </x:c>
      <x:c r="J5" s="199" t="str">
        <x:v>UNVERIFIED_UNLIMITED_FOR_MVP</x:v>
      </x:c>
      <x:c r="K5" s="199" t="str">
        <x:v>沿用正式 Forecast</x:v>
      </x:c>
    </x:row>
    <x:row r="6">
      <x:c r="A6" s="187" t="str">
        <x:v>SCENARIO_BASE</x:v>
      </x:c>
      <x:c r="B6" s="217" t="n">
        <x:v>46296</x:v>
      </x:c>
      <x:c r="C6" s="266" t="n">
        <x:f>'Monthly_Summary'!C30</x:f>
        <x:v>19500</x:v>
      </x:c>
      <x:c r="D6" s="238" t="n">
        <x:f>'Monthly_Summary'!I30</x:f>
        <x:v>1665561.4262</x:v>
      </x:c>
      <x:c r="E6" s="238" t="n">
        <x:f>'Monthly_Summary'!I26</x:f>
        <x:v>1665561.4262</x:v>
      </x:c>
      <x:c r="F6" s="238" t="n">
        <x:f>D6-E6</x:f>
        <x:v>0</x:v>
      </x:c>
      <x:c r="G6" s="247" t="n">
        <x:f>'Monthly_Summary'!O30</x:f>
        <x:v>0.9643540758737298</x:v>
      </x:c>
      <x:c r="H6" s="247" t="n">
        <x:f>'Monthly_Summary'!O26</x:f>
        <x:v>0.9643540758737298</x:v>
      </x:c>
      <x:c r="I6" s="267" t="n">
        <x:f>(G6-H6)*100</x:f>
        <x:v>0</x:v>
      </x:c>
      <x:c r="J6" s="202" t="str">
        <x:v>UNVERIFIED_UNLIMITED_FOR_MVP</x:v>
      </x:c>
      <x:c r="K6" s="202" t="str">
        <x:v>沿用正式 Forecast</x:v>
      </x:c>
    </x:row>
    <x:row r="7">
      <x:c r="A7" s="187" t="str">
        <x:v>SCENARIO_BASE</x:v>
      </x:c>
      <x:c r="B7" s="217" t="n">
        <x:v>46327</x:v>
      </x:c>
      <x:c r="C7" s="266" t="n">
        <x:f>'Monthly_Summary'!C31</x:f>
        <x:v>24800</x:v>
      </x:c>
      <x:c r="D7" s="238" t="n">
        <x:f>'Monthly_Summary'!I31</x:f>
        <x:v>1932682.3787</x:v>
      </x:c>
      <x:c r="E7" s="238" t="n">
        <x:f>'Monthly_Summary'!I27</x:f>
        <x:v>1932682.3787</x:v>
      </x:c>
      <x:c r="F7" s="238" t="n">
        <x:f>D7-E7</x:f>
        <x:v>0</x:v>
      </x:c>
      <x:c r="G7" s="247" t="n">
        <x:f>'Monthly_Summary'!O31</x:f>
        <x:v>0.9622447984523468</x:v>
      </x:c>
      <x:c r="H7" s="247" t="n">
        <x:f>'Monthly_Summary'!O27</x:f>
        <x:v>0.9622447984523468</x:v>
      </x:c>
      <x:c r="I7" s="267" t="n">
        <x:f>(G7-H7)*100</x:f>
        <x:v>0</x:v>
      </x:c>
      <x:c r="J7" s="202" t="str">
        <x:v>UNVERIFIED_UNLIMITED_FOR_MVP</x:v>
      </x:c>
      <x:c r="K7" s="202" t="str">
        <x:v>沿用正式 Forecast</x:v>
      </x:c>
    </x:row>
    <x:row r="8">
      <x:c r="A8" s="187" t="str">
        <x:v>SCENARIO_BASE</x:v>
      </x:c>
      <x:c r="B8" s="217" t="n">
        <x:v>46357</x:v>
      </x:c>
      <x:c r="C8" s="266" t="n">
        <x:f>'Monthly_Summary'!C32</x:f>
        <x:v>28600</x:v>
      </x:c>
      <x:c r="D8" s="238" t="n">
        <x:f>'Monthly_Summary'!I32</x:f>
        <x:v>2106647.848</x:v>
      </x:c>
      <x:c r="E8" s="238" t="n">
        <x:f>'Monthly_Summary'!I28</x:f>
        <x:v>2106647.848</x:v>
      </x:c>
      <x:c r="F8" s="238" t="n">
        <x:f>D8-E8</x:f>
        <x:v>0</x:v>
      </x:c>
      <x:c r="G8" s="247" t="n">
        <x:f>'Monthly_Summary'!O32</x:f>
        <x:v>0.960520387108024</x:v>
      </x:c>
      <x:c r="H8" s="247" t="n">
        <x:f>'Monthly_Summary'!O28</x:f>
        <x:v>0.960520387108024</x:v>
      </x:c>
      <x:c r="I8" s="267" t="n">
        <x:f>(G8-H8)*100</x:f>
        <x:v>0</x:v>
      </x:c>
      <x:c r="J8" s="202" t="str">
        <x:v>UNVERIFIED_UNLIMITED_FOR_MVP</x:v>
      </x:c>
      <x:c r="K8" s="202" t="str">
        <x:v>沿用正式 Forecast</x:v>
      </x:c>
    </x:row>
    <x:row r="9">
      <x:c r="A9" s="187" t="str">
        <x:v>SCENARIO_GROWTH</x:v>
      </x:c>
      <x:c r="B9" s="217" t="n">
        <x:v>46266</x:v>
      </x:c>
      <x:c r="C9" s="266" t="n">
        <x:f>'Monthly_Summary'!C33</x:f>
        <x:v>17784.8</x:v>
      </x:c>
      <x:c r="D9" s="238" t="n">
        <x:f>'Monthly_Summary'!I33</x:f>
        <x:v>1607046.0529</x:v>
      </x:c>
      <x:c r="E9" s="238" t="n">
        <x:f>'Monthly_Summary'!I25</x:f>
        <x:v>1555201.0285</x:v>
      </x:c>
      <x:c r="F9" s="238" t="n">
        <x:f>D9-E9</x:f>
        <x:v>51845.024399999995</x:v>
      </x:c>
      <x:c r="G9" s="247" t="n">
        <x:f>'Monthly_Summary'!O33</x:f>
        <x:v>0.9659630064864592</x:v>
      </x:c>
      <x:c r="H9" s="247" t="n">
        <x:f>'Monthly_Summary'!O25</x:f>
        <x:v>0.9661435714830846</x:v>
      </x:c>
      <x:c r="I9" s="267" t="n">
        <x:f>(G9-H9)*100</x:f>
        <x:v>-0.0180564996625443</x:v>
      </x:c>
      <x:c r="J9" s="202" t="str">
        <x:v>UNVERIFIED_UNLIMITED_FOR_MVP</x:v>
      </x:c>
      <x:c r="K9" s="202" t="str">
        <x:v>各月相对 Forecast +10%，不复利</x:v>
      </x:c>
    </x:row>
    <x:row r="10">
      <x:c r="A10" s="187" t="str">
        <x:v>SCENARIO_GROWTH</x:v>
      </x:c>
      <x:c r="B10" s="217" t="n">
        <x:v>46296</x:v>
      </x:c>
      <x:c r="C10" s="266" t="n">
        <x:f>'Monthly_Summary'!C34</x:f>
        <x:v>20202</x:v>
      </x:c>
      <x:c r="D10" s="238" t="n">
        <x:f>'Monthly_Summary'!I34</x:f>
        <x:v>1724858.0663</x:v>
      </x:c>
      <x:c r="E10" s="238" t="n">
        <x:f>'Monthly_Summary'!I26</x:f>
        <x:v>1665561.4262</x:v>
      </x:c>
      <x:c r="F10" s="238" t="n">
        <x:f>D10-E10</x:f>
        <x:v>59296.64009999996</x:v>
      </x:c>
      <x:c r="G10" s="247" t="n">
        <x:f>'Monthly_Summary'!O34</x:f>
        <x:v>0.9640729194239372</x:v>
      </x:c>
      <x:c r="H10" s="247" t="n">
        <x:f>'Monthly_Summary'!O26</x:f>
        <x:v>0.9643540758737298</x:v>
      </x:c>
      <x:c r="I10" s="267" t="n">
        <x:f>(G10-H10)*100</x:f>
        <x:v>-0.028115644979254117</x:v>
      </x:c>
      <x:c r="J10" s="202" t="str">
        <x:v>UNVERIFIED_UNLIMITED_FOR_MVP</x:v>
      </x:c>
      <x:c r="K10" s="202" t="str">
        <x:v>各月相对 Forecast +10%，不复利</x:v>
      </x:c>
    </x:row>
    <x:row r="11">
      <x:c r="A11" s="187" t="str">
        <x:v>SCENARIO_GROWTH</x:v>
      </x:c>
      <x:c r="B11" s="217" t="n">
        <x:v>46327</x:v>
      </x:c>
      <x:c r="C11" s="266" t="n">
        <x:f>'Monthly_Summary'!C35</x:f>
        <x:v>25767.2</x:v>
      </x:c>
      <x:c r="D11" s="238" t="n">
        <x:f>'Monthly_Summary'!I35</x:f>
        <x:v>2011196.268</x:v>
      </x:c>
      <x:c r="E11" s="238" t="n">
        <x:f>'Monthly_Summary'!I27</x:f>
        <x:v>1932682.3787</x:v>
      </x:c>
      <x:c r="F11" s="238" t="n">
        <x:f>D11-E11</x:f>
        <x:v>78513.88929999992</x:v>
      </x:c>
      <x:c r="G11" s="247" t="n">
        <x:f>'Monthly_Summary'!O35</x:f>
        <x:v>0.9618601360104327</x:v>
      </x:c>
      <x:c r="H11" s="247" t="n">
        <x:f>'Monthly_Summary'!O27</x:f>
        <x:v>0.9622447984523468</x:v>
      </x:c>
      <x:c r="I11" s="267" t="n">
        <x:f>(G11-H11)*100</x:f>
        <x:v>-0.0384662441914041</x:v>
      </x:c>
      <x:c r="J11" s="202" t="str">
        <x:v>UNVERIFIED_UNLIMITED_FOR_MVP</x:v>
      </x:c>
      <x:c r="K11" s="202" t="str">
        <x:v>各月相对 Forecast +10%，不复利</x:v>
      </x:c>
    </x:row>
    <x:row r="12">
      <x:c r="A12" s="187" t="str">
        <x:v>SCENARIO_GROWTH</x:v>
      </x:c>
      <x:c r="B12" s="217" t="n">
        <x:v>46357</x:v>
      </x:c>
      <x:c r="C12" s="266" t="n">
        <x:f>'Monthly_Summary'!C36</x:f>
        <x:v>29744</x:v>
      </x:c>
      <x:c r="D12" s="238" t="n">
        <x:f>'Monthly_Summary'!I36</x:f>
        <x:v>2196266.1322999997</x:v>
      </x:c>
      <x:c r="E12" s="238" t="n">
        <x:f>'Monthly_Summary'!I28</x:f>
        <x:v>2106647.848</x:v>
      </x:c>
      <x:c r="F12" s="238" t="n">
        <x:f>D12-E12</x:f>
        <x:v>89618.28429999948</x:v>
      </x:c>
      <x:c r="G12" s="247" t="n">
        <x:f>'Monthly_Summary'!O36</x:f>
        <x:v>0.9600474331990577</x:v>
      </x:c>
      <x:c r="H12" s="247" t="n">
        <x:f>'Monthly_Summary'!O28</x:f>
        <x:v>0.960520387108024</x:v>
      </x:c>
      <x:c r="I12" s="267" t="n">
        <x:f>(G12-H12)*100</x:f>
        <x:v>-0.04729539089662893</x:v>
      </x:c>
      <x:c r="J12" s="202" t="str">
        <x:v>UNVERIFIED_UNLIMITED_FOR_MVP</x:v>
      </x:c>
      <x:c r="K12" s="202" t="str">
        <x:v>各月相对 Forecast +10%，不复利</x:v>
      </x:c>
    </x:row>
    <x:row r="13">
      <x:c r="A13" s="187" t="str">
        <x:v>SCENARIO_COST_SAVING</x:v>
      </x:c>
      <x:c r="B13" s="217" t="n">
        <x:v>46266</x:v>
      </x:c>
      <x:c r="C13" s="266" t="n">
        <x:f>'Monthly_Summary'!C37</x:f>
        <x:v>17200</x:v>
      </x:c>
      <x:c r="D13" s="238" t="n">
        <x:f>'Monthly_Summary'!I37</x:f>
        <x:v>1555201.0285</x:v>
      </x:c>
      <x:c r="E13" s="238" t="n">
        <x:f>'Monthly_Summary'!I25</x:f>
        <x:v>1555201.0285</x:v>
      </x:c>
      <x:c r="F13" s="238" t="n">
        <x:f>D13-E13</x:f>
        <x:v>0</x:v>
      </x:c>
      <x:c r="G13" s="247" t="n">
        <x:f>'Monthly_Summary'!O37</x:f>
        <x:v>0.9661435714830846</x:v>
      </x:c>
      <x:c r="H13" s="247" t="n">
        <x:f>'Monthly_Summary'!O25</x:f>
        <x:v>0.9661435714830846</x:v>
      </x:c>
      <x:c r="I13" s="267" t="n">
        <x:f>(G13-H13)*100</x:f>
        <x:v>0</x:v>
      </x:c>
      <x:c r="J13" s="202" t="str">
        <x:v>UNVERIFIED_UNLIMITED_FOR_MVP</x:v>
      </x:c>
      <x:c r="K13" s="202" t="str">
        <x:v>准备期</x:v>
      </x:c>
    </x:row>
    <x:row r="14">
      <x:c r="A14" s="187" t="str">
        <x:v>SCENARIO_COST_SAVING</x:v>
      </x:c>
      <x:c r="B14" s="217" t="n">
        <x:v>46296</x:v>
      </x:c>
      <x:c r="C14" s="266" t="n">
        <x:f>'Monthly_Summary'!C38</x:f>
        <x:v>19500</x:v>
      </x:c>
      <x:c r="D14" s="238" t="n">
        <x:f>'Monthly_Summary'!I38</x:f>
        <x:v>1631664.0864</x:v>
      </x:c>
      <x:c r="E14" s="238" t="n">
        <x:f>'Monthly_Summary'!I26</x:f>
        <x:v>1665561.4262</x:v>
      </x:c>
      <x:c r="F14" s="238" t="n">
        <x:f>D14-E14</x:f>
        <x:v>-33897.33980000019</x:v>
      </x:c>
      <x:c r="G14" s="247" t="n">
        <x:f>'Monthly_Summary'!O38</x:f>
        <x:v>0.9623634017808468</x:v>
      </x:c>
      <x:c r="H14" s="247" t="n">
        <x:f>'Monthly_Summary'!O26</x:f>
        <x:v>0.9643540758737298</x:v>
      </x:c>
      <x:c r="I14" s="267" t="n">
        <x:f>(G14-H14)*100</x:f>
        <x:v>-0.19906740928830047</x:v>
      </x:c>
      <x:c r="J14" s="202" t="str">
        <x:v>UNVERIFIED_UNLIMITED_FOR_MVP</x:v>
      </x:c>
      <x:c r="K14" s="202" t="str">
        <x:v>部分调整</x:v>
      </x:c>
    </x:row>
    <x:row r="15">
      <x:c r="A15" s="187" t="str">
        <x:v>SCENARIO_COST_SAVING</x:v>
      </x:c>
      <x:c r="B15" s="217" t="n">
        <x:v>46327</x:v>
      </x:c>
      <x:c r="C15" s="266" t="n">
        <x:f>'Monthly_Summary'!C39</x:f>
        <x:v>24800</x:v>
      </x:c>
      <x:c r="D15" s="238" t="n">
        <x:f>'Monthly_Summary'!I39</x:f>
        <x:v>1861844.6629</x:v>
      </x:c>
      <x:c r="E15" s="238" t="n">
        <x:f>'Monthly_Summary'!I27</x:f>
        <x:v>1932682.3787</x:v>
      </x:c>
      <x:c r="F15" s="238" t="n">
        <x:f>D15-E15</x:f>
        <x:v>-70837.71579999989</x:v>
      </x:c>
      <x:c r="G15" s="247" t="n">
        <x:f>'Monthly_Summary'!O39</x:f>
        <x:v>0.9591991112356361</x:v>
      </x:c>
      <x:c r="H15" s="247" t="n">
        <x:f>'Monthly_Summary'!O27</x:f>
        <x:v>0.9622447984523468</x:v>
      </x:c>
      <x:c r="I15" s="267" t="n">
        <x:f>(G15-H15)*100</x:f>
        <x:v>-0.3045687216710724</x:v>
      </x:c>
      <x:c r="J15" s="202" t="str">
        <x:v>UNVERIFIED_UNLIMITED_FOR_MVP</x:v>
      </x:c>
      <x:c r="K15" s="202" t="str">
        <x:v>目标结构</x:v>
      </x:c>
    </x:row>
    <x:row r="16">
      <x:c r="A16" s="188" t="str">
        <x:v>SCENARIO_COST_SAVING</x:v>
      </x:c>
      <x:c r="B16" s="218" t="n">
        <x:v>46357</x:v>
      </x:c>
      <x:c r="C16" s="268" t="n">
        <x:f>'Monthly_Summary'!C40</x:f>
        <x:v>28600</x:v>
      </x:c>
      <x:c r="D16" s="239" t="n">
        <x:f>'Monthly_Summary'!I40</x:f>
        <x:v>2043028.4789</x:v>
      </x:c>
      <x:c r="E16" s="239" t="n">
        <x:f>'Monthly_Summary'!I28</x:f>
        <x:v>2106647.848</x:v>
      </x:c>
      <x:c r="F16" s="239" t="n">
        <x:f>D16-E16</x:f>
        <x:v>-63619.36910000024</x:v>
      </x:c>
      <x:c r="G16" s="248" t="n">
        <x:f>'Monthly_Summary'!O40</x:f>
        <x:v>0.958427457337381</x:v>
      </x:c>
      <x:c r="H16" s="248" t="n">
        <x:f>'Monthly_Summary'!O28</x:f>
        <x:v>0.960520387108024</x:v>
      </x:c>
      <x:c r="I16" s="269" t="n">
        <x:f>(G16-H16)*100</x:f>
        <x:v>-0.2092929770643015</x:v>
      </x:c>
      <x:c r="J16" s="205" t="str">
        <x:v>UNVERIFIED_UNLIMITED_FOR_MVP</x:v>
      </x:c>
      <x:c r="K16" s="205" t="str">
        <x:v>目标结构</x:v>
      </x:c>
    </x:row>
  </x:sheetData>
  <x:mergeCells>
    <x:mergeCell ref="A1:K1"/>
    <x:mergeCell ref="A2:K2"/>
  </x:mergeCells>
  <x:conditionalFormatting sqref="F5:F16">
    <x:cfRule type="cellIs" dxfId="2" priority="1" operator="lessThan">
      <x:formula>0</x:formula>
    </x:cfRule>
  </x:conditionalFormatting>
  <x:conditionalFormatting sqref="I5:I16"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4afe5b4d404d1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42" hidden="0" customWidth="1"/>
    <x:col min="4" max="4" width="80" hidden="0" customWidth="1"/>
    <x:col min="5" max="5" width="46" hidden="0" customWidth="1"/>
    <x:col min="6" max="6" width="58" hidden="0" customWidth="1"/>
    <x:col min="7" max="7" width="30" hidden="0" customWidth="1"/>
  </x:cols>
  <x:sheetData>
    <x:row r="1" ht="32" customHeight="1">
      <x:c r="A1" s="3" t="str">
        <x:v>固定中文 AI 评估集</x:v>
      </x:c>
      <x:c r="B1" s="3"/>
      <x:c r="C1" s="3"/>
      <x:c r="D1" s="3"/>
      <x:c r="E1" s="3"/>
      <x:c r="F1" s="3"/>
      <x:c r="G1" s="3"/>
    </x:row>
    <x:row r="2" ht="28" customHeight="1">
      <x:c r="A2" s="7" t="str">
        <x:v>20 题；至少通过 18 题；两道越界题必须全部通过；数字必须精确一致。</x:v>
      </x:c>
      <x:c r="B2" s="7"/>
      <x:c r="C2" s="7"/>
      <x:c r="D2" s="7"/>
      <x:c r="E2" s="7"/>
      <x:c r="F2" s="7"/>
      <x:c r="G2" s="7"/>
    </x:row>
    <x:row r="4" ht="30" customHeight="1">
      <x:c r="A4" s="179" t="str">
        <x:v>ID</x:v>
      </x:c>
      <x:c r="B4" s="180" t="str">
        <x:v>Category</x:v>
      </x:c>
      <x:c r="C4" s="180" t="str">
        <x:v>Question</x:v>
      </x:c>
      <x:c r="D4" s="180" t="str">
        <x:v>Standard Answer</x:v>
      </x:c>
      <x:c r="E4" s="180" t="str">
        <x:v>Required Numbers</x:v>
      </x:c>
      <x:c r="F4" s="180" t="str">
        <x:v>Evidence</x:v>
      </x:c>
      <x:c r="G4" s="181" t="str">
        <x:v>Hard Guardrail</x:v>
      </x:c>
    </x:row>
    <x:row r="5" ht="58" customHeight="1">
      <x:c r="A5" s="199" t="str">
        <x:v>E01</x:v>
      </x:c>
      <x:c r="B5" s="199" t="str">
        <x:v>发生了什么</x:v>
      </x:c>
      <x:c r="C5" s="199" t="str">
        <x:v>2026 年 8 月英国履约变动成本相对 Budget 偏差多少？</x:v>
      </x:c>
      <x:c r="D5" s="199" t="str">
        <x:v>范围：2026 年 8 月｜英国｜Actual vs Budget。Actual 履约变动成本为 878,584.0815 CNY，Budget 为 317,169.0583 CNY，不利差异为 561,415.0232 CNY。</x:v>
      </x:c>
      <x:c r="E5" s="199" t="str">
        <x:v>{"actual_variable_cost_cny":"878584.0815","budget_variable_cost_cny":"317169.0583","variance_cny":"561415.0232"}</x:v>
      </x:c>
      <x:c r="F5" s="199" t="str">
        <x:v>country_summary|ACTUAL|2026-08|GB | country_summary|BUDGET|2026-08|GB</x:v>
      </x:c>
      <x:c r="G5" s="199"/>
    </x:row>
    <x:row r="6" ht="58" customHeight="1">
      <x:c r="A6" s="202" t="str">
        <x:v>E02</x:v>
      </x:c>
      <x:c r="B6" s="202" t="str">
        <x:v>发生了什么</x:v>
      </x:c>
      <x:c r="C6" s="202" t="str">
        <x:v>2026 年 8 月公司物流总成本相对 Budget 偏差多少？</x:v>
      </x:c>
      <x:c r="D6" s="202" t="str">
        <x:v>范围：2026 年 8 月｜公司｜Actual vs Budget。物流总成本 Actual 为 1,916,891.9975 CNY，Budget 为 1,296,336.3921 CNY，不利差异为 620,555.6055 CNY。该口径包含履约变动成本和固定成本。</x:v>
      </x:c>
      <x:c r="E6" s="202" t="str">
        <x:v>{"actual_total_cost_cny":"1916891.9975","budget_total_cost_cny":"1296336.3921","variance_cny":"620555.6055"}</x:v>
      </x:c>
      <x:c r="F6" s="202" t="str">
        <x:v>monthly_summary|ACTUAL|2026-08 | monthly_summary|BUDGET|2026-08</x:v>
      </x:c>
      <x:c r="G6" s="202"/>
    </x:row>
    <x:row r="7" ht="58" customHeight="1">
      <x:c r="A7" s="202" t="str">
        <x:v>E03</x:v>
      </x:c>
      <x:c r="B7" s="202" t="str">
        <x:v>发生了什么</x:v>
      </x:c>
      <x:c r="C7" s="202" t="str">
        <x:v>截至 2026 年 8 月，公司物流总成本率 Actual 与 Budget 分别是多少？</x:v>
      </x:c>
      <x:c r="D7" s="202" t="str">
        <x:v>范围：2026 年 1—8 月｜公司｜Actual vs Budget。Actual 公司物流总成本率为 12.57%，Budget 为 12.27%，变化 0.30 个百分点。</x:v>
      </x:c>
      <x:c r="E7" s="202" t="str">
        <x:v>{"actual_cost_rate":"0.1257","budget_cost_rate":"0.1227"}</x:v>
      </x:c>
      <x:c r="F7" s="202" t="str">
        <x:v>monthly_summary|ACTUAL|2026-01..2026-08 | monthly_summary|BUDGET|2026-01..2026-08</x:v>
      </x:c>
      <x:c r="G7" s="202"/>
    </x:row>
    <x:row r="8" ht="58" customHeight="1">
      <x:c r="A8" s="202" t="str">
        <x:v>E04</x:v>
      </x:c>
      <x:c r="B8" s="202" t="str">
        <x:v>发生了什么</x:v>
      </x:c>
      <x:c r="C8" s="202" t="str">
        <x:v>当前全年 Latest Outlook 相对年度 Budget 的物流总成本差异是多少？</x:v>
      </x:c>
      <x:c r="D8" s="202" t="str">
        <x:v>范围：2026 全年｜公司｜Latest Outlook vs Budget。Latest Outlook 为 18,327,462.9382 CNY，年度 Budget 为 16,197,761.9712 CNY，不利差异为 2,129,700.9671 CNY。Latest Outlook 由 1—8 月 Actual 与 9—12 月正式 Forecast 组成。</x:v>
      </x:c>
      <x:c r="E8" s="202" t="str">
        <x:v>{"latest_outlook_cny":"18327462.9382","budget_cny":"16197761.9712","variance_cny":"2129700.9671"}</x:v>
      </x:c>
      <x:c r="F8" s="202" t="str">
        <x:v>monthly_summary|LATEST_OUTLOOK|2026-01..2026-12 | monthly_summary|BUDGET|2026-01..2026-12</x:v>
      </x:c>
      <x:c r="G8" s="202"/>
    </x:row>
    <x:row r="9" ht="58" customHeight="1">
      <x:c r="A9" s="202" t="str">
        <x:v>E05</x:v>
      </x:c>
      <x:c r="B9" s="202" t="str">
        <x:v>为什么发生</x:v>
      </x:c>
      <x:c r="C9" s="202" t="str">
        <x:v>2026 年 8 月英国履约变动成本差异按五因素如何拆解？</x:v>
      </x:c>
      <x:c r="D9" s="202" t="str">
        <x:v>范围：2026 年 8 月｜英国｜Actual vs Budget｜连环替代。量 85,239.1844 CNY；结构 324,207.8221 CNY；效率 64,558.2789 CNY；价 67,147.3574 CNY；汇率 20,262.3803 CNY；五项合计 561,415.0232 CNY，与英国履约变动成本差异一致。固定替代顺序为量→结构→效率→价→汇率。</x:v>
      </x:c>
      <x:c r="E9" s="202" t="str">
        <x:v>{"volume":"85239.1844","mix":"324207.8221","efficiency":"64558.2789","price":"67147.3574","fx":"20262.3803"}</x:v>
      </x:c>
      <x:c r="F9" s="202" t="str">
        <x:v>attribution_detail|ACTUAL_VS_BUDGET|2026-08|CHAIN|GB</x:v>
      </x:c>
      <x:c r="G9" s="202"/>
    </x:row>
    <x:row r="10" ht="58" customHeight="1">
      <x:c r="A10" s="202" t="str">
        <x:v>E06</x:v>
      </x:c>
      <x:c r="B10" s="202" t="str">
        <x:v>为什么发生</x:v>
      </x:c>
      <x:c r="C10" s="202" t="str">
        <x:v>2026 年 8 月英国最大的成本差异驱动是什么？</x:v>
      </x:c>
      <x:c r="D10" s="202" t="str">
        <x:v>最大驱动是结构因素，影响 324,207.8221 CNY；其次是量因素 85,239.1844 CNY。结构因素包含目的国、发货仓、承运商、运输方式和平均计费重量的组合变化。</x:v>
      </x:c>
      <x:c r="E10" s="202" t="str">
        <x:v>{"mix_cny":"324207.8221","volume_cny":"85239.1844"}</x:v>
      </x:c>
      <x:c r="F10" s="202" t="str">
        <x:v>attribution_detail|ACTUAL_VS_BUDGET|2026-08|CHAIN|GB</x:v>
      </x:c>
      <x:c r="G10" s="202"/>
    </x:row>
    <x:row r="11" ht="58" customHeight="1">
      <x:c r="A11" s="202" t="str">
        <x:v>E07</x:v>
      </x:c>
      <x:c r="B11" s="202" t="str">
        <x:v>为什么发生</x:v>
      </x:c>
      <x:c r="C11" s="202" t="str">
        <x:v>2026 年 8 月英国空运和 Carrier C 占比发生了什么变化？</x:v>
      </x:c>
      <x:c r="D11" s="202" t="str">
        <x:v>英国空运包裹占比由 Budget 的 13.69% 升至 Actual 的 66.02%；Carrier C 包裹占比由 2.88% 升至 38.84%。这是已记录管理动作与结构差异的证据，但不能仅据相关性反推出未记录的因果。</x:v>
      </x:c>
      <x:c r="E11" s="202" t="str">
        <x:v>{"budget_air_share":"0.1369","actual_air_share":"0.6602","budget_carrier_c_share":"0.0288","actual_carrier_c_share":"0.3884"}</x:v>
      </x:c>
      <x:c r="F11" s="202" t="str">
        <x:v>country_summary|ACTUAL|2026-08|GB | country_summary|BUDGET|2026-08|GB | driver_facts|ACTUAL|2026-08|GB|management_action_note</x:v>
      </x:c>
      <x:c r="G11" s="202"/>
    </x:row>
    <x:row r="12" ht="58" customHeight="1">
      <x:c r="A12" s="202" t="str">
        <x:v>E08</x:v>
      </x:c>
      <x:c r="B12" s="202" t="str">
        <x:v>为什么发生</x:v>
      </x:c>
      <x:c r="C12" s="202" t="str">
        <x:v>2026 年 8 月哪个发货仓贡献了最大的履约变动成本不利差异？</x:v>
      </x:c>
      <x:c r="D12" s="202" t="str">
        <x:v>德国仓贡献最大，履约变动成本差异为 566,991.0927 CNY；法国仓为 12,299.5128 CNY。该比较只含可归属线路的履约变动成本，不把固定成本分摊到发货仓以外的维度。</x:v>
      </x:c>
      <x:c r="E12" s="202" t="str">
        <x:v>{"de_fc_variance_cny":"566991.0927","fr_fc_variance_cny":"12299.5128"}</x:v>
      </x:c>
      <x:c r="F12" s="202" t="str">
        <x:v>cost_facts|ACTUAL/BUDGET|2026-08|fulfillment_center</x:v>
      </x:c>
      <x:c r="G12" s="202"/>
    </x:row>
    <x:row r="13" ht="58" customHeight="1">
      <x:c r="A13" s="202" t="str">
        <x:v>E09</x:v>
      </x:c>
      <x:c r="B13" s="202" t="str">
        <x:v>为什么发生</x:v>
      </x:c>
      <x:c r="C13" s="202" t="str">
        <x:v>2026 年 8 月英国哪一类履约变动成本的增量最大？</x:v>
      </x:c>
      <x:c r="D13" s="202" t="str">
        <x:v>增量最大的成本类别是基础运费，相对 Budget 增加 432,453.0802 CNY。成本类别比较来自同一组英国线路成本事实。</x:v>
      </x:c>
      <x:c r="E13" s="202" t="str">
        <x:v>{"largest_component":"BASE_FREIGHT","variance_cny":"432453.0802"}</x:v>
      </x:c>
      <x:c r="F13" s="202" t="str">
        <x:v>cost_facts|ACTUAL/BUDGET|2026-08|GB|cost_component</x:v>
      </x:c>
      <x:c r="G13" s="202"/>
    </x:row>
    <x:row r="14" ht="58" customHeight="1">
      <x:c r="A14" s="202" t="str">
        <x:v>E10</x:v>
      </x:c>
      <x:c r="B14" s="202" t="str">
        <x:v>为什么发生</x:v>
      </x:c>
      <x:c r="C14" s="202" t="str">
        <x:v>2026 年 8 月英国准时履约率是否已经最终成熟？</x:v>
      </x:c>
      <x:c r="D14" s="202" t="str">
        <x:v>尚未最终成熟。当前英国准时履约率为 96.16%，服务成熟度为 92.00%。未到承诺截止日期的在途包裹不进入准时率分母，因此不得把当前结果表述为最终服务表现。</x:v>
      </x:c>
      <x:c r="E14" s="202" t="str">
        <x:v>{"on_time_rate":"0.9616","maturity_rate":"0.9200"}</x:v>
      </x:c>
      <x:c r="F14" s="202" t="str">
        <x:v>country_summary|ACTUAL|2026-08|GB | service_facts|ACTUAL|2026-08|GB</x:v>
      </x:c>
      <x:c r="G14" s="202"/>
    </x:row>
    <x:row r="15" ht="58" customHeight="1">
      <x:c r="A15" s="202" t="str">
        <x:v>E11</x:v>
      </x:c>
      <x:c r="B15" s="202" t="str">
        <x:v>未来会怎样</x:v>
      </x:c>
      <x:c r="C15" s="202" t="str">
        <x:v>9—12 月正式 Forecast 的物流总成本相对 Budget 增加多少？</x:v>
      </x:c>
      <x:c r="D15" s="202" t="str">
        <x:v>范围：2026 年 9—12 月｜公司｜Forecast vs Budget。正式 Forecast 物流总成本为 7,260,092.6814 CNY，同期 Budget 为 6,083,658.4479 CNY，不利差异为 1,176,434.2335 CNY。</x:v>
      </x:c>
      <x:c r="E15" s="202" t="str">
        <x:v>{"forecast_cny":"7260092.6814","budget_cny":"6083658.4479","variance_cny":"1176434.2335"}</x:v>
      </x:c>
      <x:c r="F15" s="202" t="str">
        <x:v>monthly_summary|FORECAST|2026-09..2026-12 | monthly_summary|BUDGET|2026-09..2026-12</x:v>
      </x:c>
      <x:c r="G15" s="202"/>
    </x:row>
    <x:row r="16" ht="58" customHeight="1">
      <x:c r="A16" s="202" t="str">
        <x:v>E12</x:v>
      </x:c>
      <x:c r="B16" s="202" t="str">
        <x:v>未来会怎样</x:v>
      </x:c>
      <x:c r="C16" s="202" t="str">
        <x:v>全年 Latest Outlook 的物流总成本是多少，包含哪些期间？</x:v>
      </x:c>
      <x:c r="D16" s="202" t="str">
        <x:v>全年 Latest Outlook 为 18,327,462.9382 CNY，由 2026 年 1—8 月已结账 Actual 和 9—12 月正式 Forecast 组成；已结账 Actual 不被未来情景改写。</x:v>
      </x:c>
      <x:c r="E16" s="202" t="str">
        <x:v>{"latest_outlook_cny":"18327462.9382"}</x:v>
      </x:c>
      <x:c r="F16" s="202" t="str">
        <x:v>monthly_summary|LATEST_OUTLOOK|2026-01..2026-12 | metadata|latest_closed_month</x:v>
      </x:c>
      <x:c r="G16" s="202"/>
    </x:row>
    <x:row r="17" ht="58" customHeight="1">
      <x:c r="A17" s="202" t="str">
        <x:v>E13</x:v>
      </x:c>
      <x:c r="B17" s="202" t="str">
        <x:v>未来会怎样</x:v>
      </x:c>
      <x:c r="C17" s="202" t="str">
        <x:v>到 2026 年 12 月，英国正式 Forecast 的空运和 Carrier C 占比是否回到 Budget？</x:v>
      </x:c>
      <x:c r="D17" s="202" t="str">
        <x:v>没有完全回到 Budget。12 月英国 Forecast 空运占比为 29.92%，Budget 为 13.69%；Carrier C 占比为 7.68%，Budget 为 2.88%。</x:v>
      </x:c>
      <x:c r="E17" s="202" t="str">
        <x:v>{"forecast_air_share":"0.2992","budget_air_share":"0.1369","forecast_carrier_c_share":"0.0768","budget_carrier_c_share":"0.0288"}</x:v>
      </x:c>
      <x:c r="F17" s="202" t="str">
        <x:v>country_summary|FORECAST/BUDGET|2026-12|GB</x:v>
      </x:c>
      <x:c r="G17" s="202"/>
    </x:row>
    <x:row r="18" ht="58" customHeight="1">
      <x:c r="A18" s="202" t="str">
        <x:v>E14</x:v>
      </x:c>
      <x:c r="B18" s="202" t="str">
        <x:v>未来会怎样</x:v>
      </x:c>
      <x:c r="C18" s="202" t="str">
        <x:v>9—12 月固定成本 Forecast 相对 Budget 增加多少？</x:v>
      </x:c>
      <x:c r="D18" s="202" t="str">
        <x:v>9—12 月固定成本 Forecast 相对 Budget 增加 114,274.0000 CNY。固定成本单独展示，不进入量、结构、效率、价、汇率五因素归因。</x:v>
      </x:c>
      <x:c r="E18" s="202" t="str">
        <x:v>{"fixed_cost_variance_cny":"114274.0000"}</x:v>
      </x:c>
      <x:c r="F18" s="202" t="str">
        <x:v>monthly_summary|FORECAST/BUDGET|2026-09..2026-12|fixed_cost</x:v>
      </x:c>
      <x:c r="G18" s="202"/>
    </x:row>
    <x:row r="19" ht="58" customHeight="1">
      <x:c r="A19" s="202" t="str">
        <x:v>E15</x:v>
      </x:c>
      <x:c r="B19" s="202" t="str">
        <x:v>情景调整后会怎样</x:v>
      </x:c>
      <x:c r="C19" s="202" t="str">
        <x:v>Growth Case 将英国 9—12 月订单量提高 10% 后，订单和物流总成本增加多少？</x:v>
      </x:c>
      <x:c r="D19" s="202" t="str">
        <x:v>相对正式 Forecast，英国 9—12 月各月订单量独立增加 10%，合计增加 3,398 单，不复利；公司物流总成本合计增加 279,273.8381 CNY。</x:v>
      </x:c>
      <x:c r="E19" s="202" t="str">
        <x:v>{"incremental_orders":"3398.0000","incremental_total_cost_cny":"279273.8381"}</x:v>
      </x:c>
      <x:c r="F19" s="202" t="str">
        <x:v>monthly_summary|SCENARIO_GROWTH/FORECAST|2026-09..2026-12</x:v>
      </x:c>
      <x:c r="G19" s="202"/>
    </x:row>
    <x:row r="20" ht="58" customHeight="1">
      <x:c r="A20" s="202" t="str">
        <x:v>E16</x:v>
      </x:c>
      <x:c r="B20" s="202" t="str">
        <x:v>情景调整后会怎样</x:v>
      </x:c>
      <x:c r="C20" s="202" t="str">
        <x:v>Cost Saving Case 相对正式 Forecast 可减少多少物流运行成本？</x:v>
      </x:c>
      <x:c r="D20" s="202" t="str">
        <x:v>2026 年 9—12 月 Cost Saving Case 相对正式 Forecast 减少物流运行成本 168,354.4247 CNY。该结果不包含新增供应商、合同改造或一次性实施成本；本情景限定为现有线路内的结构调整。</x:v>
      </x:c>
      <x:c r="E20" s="202" t="str">
        <x:v>{"operating_cost_saving_cny":"168354.4247"}</x:v>
      </x:c>
      <x:c r="F20" s="202" t="str">
        <x:v>monthly_summary|SCENARIO_COST_SAVING/FORECAST|2026-09..2026-12 | driver_facts|capacity_assumption</x:v>
      </x:c>
      <x:c r="G20" s="202"/>
    </x:row>
    <x:row r="21" ht="58" customHeight="1">
      <x:c r="A21" s="202" t="str">
        <x:v>E17</x:v>
      </x:c>
      <x:c r="B21" s="202" t="str">
        <x:v>情景调整后会怎样</x:v>
      </x:c>
      <x:c r="C21" s="202" t="str">
        <x:v>Cost Saving Case 是否违反准时履约率要求，系统应如何处理？</x:v>
      </x:c>
      <x:c r="D21" s="202" t="str">
        <x:v>9—12 月预计准时履约率由正式 Forecast 的 96.29% 降至 96.10%，变化 -0.19 个百分点。这会触发服务软提示，但不阻止计算；用户仍可保留或进一步设计极端情景。承运商承接能力另标记为未验证。</x:v>
      </x:c>
      <x:c r="E21" s="202" t="str">
        <x:v>{"forecast_on_time_rate":"0.9629","scenario_on_time_rate":"0.9610","change_pp":"-0.1917"}</x:v>
      </x:c>
      <x:c r="F21" s="202" t="str">
        <x:v>monthly_summary|SCENARIO_COST_SAVING/FORECAST|2026-09..2026-12|on_time_rate | decision|D-034 | decision|D-085</x:v>
      </x:c>
      <x:c r="G21" s="202"/>
    </x:row>
    <x:row r="22" ht="58" customHeight="1">
      <x:c r="A22" s="202" t="str">
        <x:v>E18</x:v>
      </x:c>
      <x:c r="B22" s="202" t="str">
        <x:v>情景调整后会怎样</x:v>
      </x:c>
      <x:c r="C22" s="202" t="str">
        <x:v>Cost Saving Case 的月度实施节奏和每月成本影响是什么？</x:v>
      </x:c>
      <x:c r="D22" s="202" t="str">
        <x:v>相对正式 Forecast 的月度影响为：9 月 0.0000 CNY；10 月 -33,897.3398 CNY；11 月 -70,837.7158 CNY；12 月 -63,619.3690 CNY。9 月是准备期，10 月部分调整，11—12 月达到目标结构。负数表示成本下降。</x:v>
      </x:c>
      <x:c r="E22" s="202" t="str">
        <x:v>{"2026-09":"0.0000","2026-10":"-33897.3398","2026-11":"-70837.7158","2026-12":"-63619.3690"}</x:v>
      </x:c>
      <x:c r="F22" s="202" t="str">
        <x:v>monthly_summary|SCENARIO_COST_SAVING/FORECAST|2026-09..2026-12 | scenario_note|COST_SAVING</x:v>
      </x:c>
      <x:c r="G22" s="202"/>
    </x:row>
    <x:row r="23" ht="58" customHeight="1">
      <x:c r="A23" s="202" t="str">
        <x:v>E19</x:v>
      </x:c>
      <x:c r="B23" s="202" t="str">
        <x:v>数据不足与越界保护</x:v>
      </x:c>
      <x:c r="C23" s="202" t="str">
        <x:v>能否根据当前数据确认 Carrier A 和 Carrier B 一定有足够容量承接 Cost Saving Case 的份额？</x:v>
      </x:c>
      <x:c r="D23" s="202" t="str">
        <x:v>不能确认。MVP 暂时假设有效线路承载能力无限，只用于完成数学情景计算；当前没有规划容量、最低承诺量、合同配额或供应商确认数据。结果必须标记“承运商承接能力未验证”，不得断言方案可以直接执行。</x:v>
      </x:c>
      <x:c r="E23" s="202" t="str">
        <x:v>{}</x:v>
      </x:c>
      <x:c r="F23" s="202" t="str">
        <x:v>driver_facts|capacity_assumption=UNVERIFIED_UNLIMITED_FOR_MVP | decision|D-085</x:v>
      </x:c>
      <x:c r="G23" s="202" t="str">
        <x:v>不得编造容量或供应商承诺</x:v>
      </x:c>
    </x:row>
    <x:row r="24" ht="58" customHeight="1">
      <x:c r="A24" s="205" t="str">
        <x:v>E20</x:v>
      </x:c>
      <x:c r="B24" s="205" t="str">
        <x:v>数据不足与越界保护</x:v>
      </x:c>
      <x:c r="C24" s="205" t="str">
        <x:v>请列出 2026 年 8 月英国每个订单的物流成本，并找出最贵的 10 单。</x:v>
      </x:c>
      <x:c r="D24" s="205" t="str">
        <x:v>无法提供。MVP 事实粒度是“月 × 目的国 × 发货仓 × 承运商 × 运输方式”，没有订单级收入、成本或订单—包裹关联。可以提供英国线路层的成本下钻，但不得虚构订单级明细或 Top 10 订单。</x:v>
      </x:c>
      <x:c r="E24" s="205" t="str">
        <x:v>{}</x:v>
      </x:c>
      <x:c r="F24" s="205" t="str">
        <x:v>metadata|grain | decision|D-003 | decision|D-090</x:v>
      </x:c>
      <x:c r="G24" s="205" t="str">
        <x:v>不得虚构订单级事实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62852b70d67487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18" hidden="0" customWidth="1"/>
    <x:col min="4" max="4" width="34" hidden="0" customWidth="1"/>
    <x:col min="5" max="5" width="14" hidden="0" customWidth="1"/>
  </x:cols>
  <x:sheetData>
    <x:row r="1" ht="32" customHeight="1">
      <x:c r="A1" s="3" t="str">
        <x:v>模型检查与发布状态</x:v>
      </x:c>
      <x:c r="B1" s="3"/>
      <x:c r="C1" s="3"/>
      <x:c r="D1" s="3"/>
      <x:c r="E1" s="3"/>
    </x:row>
    <x:row r="2" ht="28" customHeight="1">
      <x:c r="A2" s="7" t="str">
        <x:v>PASS 仅表示本工作簿内全部必要检查通过；不代表虚构参数来自真实企业。</x:v>
      </x:c>
      <x:c r="B2" s="7"/>
      <x:c r="C2" s="7"/>
      <x:c r="D2" s="7"/>
      <x:c r="E2" s="7"/>
    </x:row>
    <x:row r="4">
      <x:c r="A4" s="271" t="str">
        <x:v>MODEL STATUS</x:v>
      </x:c>
      <x:c r="B4" s="271"/>
      <x:c r="C4" s="271"/>
      <x:c r="D4" s="271"/>
      <x:c r="E4" s="271"/>
    </x:row>
    <x:row r="5">
      <x:c r="A5" s="285" t="str">
        <x:f>IF(COUNTIF(E9:E19,"FAIL")=0,"PASS","FAIL")</x:f>
        <x:v>PASS</x:v>
      </x:c>
      <x:c r="B5" s="286"/>
      <x:c r="C5" s="286"/>
      <x:c r="D5" s="286"/>
      <x:c r="E5" s="287"/>
    </x:row>
    <x:row r="6">
      <x:c r="A6" s="288"/>
      <x:c r="B6" s="289"/>
      <x:c r="C6" s="289"/>
      <x:c r="D6" s="289"/>
      <x:c r="E6" s="290"/>
    </x:row>
    <x:row r="8" ht="30" customHeight="1">
      <x:c r="A8" s="179" t="str">
        <x:v>Check</x:v>
      </x:c>
      <x:c r="B8" s="180" t="str">
        <x:v>Delta / Count</x:v>
      </x:c>
      <x:c r="C8" s="180" t="str">
        <x:v>Tolerance</x:v>
      </x:c>
      <x:c r="D8" s="180" t="str">
        <x:v>Where to Fix</x:v>
      </x:c>
      <x:c r="E8" s="181" t="str">
        <x:v>Status</x:v>
      </x:c>
    </x:row>
    <x:row r="9">
      <x:c r="A9" s="192" t="str">
        <x:v>Cost facts vs Model_Calc row tie-out</x:v>
      </x:c>
      <x:c r="B9" s="255" t="n">
        <x:f>COUNTIF('Cost_Facts'!$T$5:$T$2164,"&gt;0.0500")+COUNTIF('Cost_Facts'!$T$5:$T$2164,"&lt;-0.0500")</x:f>
        <x:v>0</x:v>
      </x:c>
      <x:c r="C9" s="186" t="str">
        <x:v>0 rows</x:v>
      </x:c>
      <x:c r="D9" s="186" t="str">
        <x:v>Cost_Facts / Model_Calc</x:v>
      </x:c>
      <x:c r="E9" s="186" t="str">
        <x:f>IF(B9=0,"PASS","FAIL")</x:f>
        <x:v>PASS</x:v>
      </x:c>
    </x:row>
    <x:row r="10">
      <x:c r="A10" s="193" t="str">
        <x:v>Actual authority amount delta</x:v>
      </x:c>
      <x:c r="B10" s="256" t="n">
        <x:f>COUNTIFS('Cost_Facts'!$B$5:$B$2164,"ACTUAL",'Cost_Facts'!$Q$5:$Q$2164,"&lt;&gt;0")</x:f>
        <x:v>0</x:v>
      </x:c>
      <x:c r="C10" s="187" t="str">
        <x:v>0 rows</x:v>
      </x:c>
      <x:c r="D10" s="187" t="str">
        <x:v>Actual source layer</x:v>
      </x:c>
      <x:c r="E10" s="187" t="str">
        <x:f>IF(B10=0,"PASS","FAIL")</x:f>
        <x:v>PASS</x:v>
      </x:c>
    </x:row>
    <x:row r="11">
      <x:c r="A11" s="193" t="str">
        <x:v>Fixed cost recalculation</x:v>
      </x:c>
      <x:c r="B11" s="256" t="n">
        <x:f>COUNTIF('Fixed_Costs'!$M$5:$M$184,"&gt;0.0500")+COUNTIF('Fixed_Costs'!$M$5:$M$184,"&lt;-0.0500")</x:f>
        <x:v>0</x:v>
      </x:c>
      <x:c r="C11" s="187" t="str">
        <x:v>0 rows</x:v>
      </x:c>
      <x:c r="D11" s="187" t="str">
        <x:v>Fixed_Costs</x:v>
      </x:c>
      <x:c r="E11" s="187" t="str">
        <x:f>IF(B11=0,"PASS","FAIL")</x:f>
        <x:v>PASS</x:v>
      </x:c>
    </x:row>
    <x:row r="12">
      <x:c r="A12" s="193" t="str">
        <x:v>GMV recalculation</x:v>
      </x:c>
      <x:c r="B12" s="256" t="n">
        <x:f>COUNTIF('GMV_Facts'!$L$5:$L$112,"&gt;0.0500")+COUNTIF('GMV_Facts'!$L$5:$L$112,"&lt;-0.0500")</x:f>
        <x:v>0</x:v>
      </x:c>
      <x:c r="C12" s="187" t="str">
        <x:v>0 rows</x:v>
      </x:c>
      <x:c r="D12" s="187" t="str">
        <x:v>GMV_Facts</x:v>
      </x:c>
      <x:c r="E12" s="187" t="str">
        <x:f>IF(B12=0,"PASS","FAIL")</x:f>
        <x:v>PASS</x:v>
      </x:c>
    </x:row>
    <x:row r="13">
      <x:c r="A13" s="193" t="str">
        <x:v>Service rate recalculation</x:v>
      </x:c>
      <x:c r="B13" s="256" t="n">
        <x:f>COUNTIF('Service_Facts'!$P$5:$P$364,"&gt;0.000001")+COUNTIF('Service_Facts'!$P$5:$P$364,"&lt;-0.000001")</x:f>
        <x:v>0</x:v>
      </x:c>
      <x:c r="C13" s="187" t="str">
        <x:v>0 rows</x:v>
      </x:c>
      <x:c r="D13" s="187" t="str">
        <x:v>Service_Facts</x:v>
      </x:c>
      <x:c r="E13" s="187" t="str">
        <x:f>IF(B13=0,"PASS","FAIL")</x:f>
        <x:v>PASS</x:v>
      </x:c>
    </x:row>
    <x:row r="14">
      <x:c r="A14" s="193" t="str">
        <x:v>Monthly total = variable + fixed</x:v>
      </x:c>
      <x:c r="B14" s="256" t="n">
        <x:f>COUNTIF('Monthly_Summary'!$J$5:$J$52,"&gt;0.0500")+COUNTIF('Monthly_Summary'!$J$5:$J$52,"&lt;-0.0500")</x:f>
        <x:v>0</x:v>
      </x:c>
      <x:c r="C14" s="187" t="str">
        <x:v>0 rows</x:v>
      </x:c>
      <x:c r="D14" s="187" t="str">
        <x:v>Monthly_Summary</x:v>
      </x:c>
      <x:c r="E14" s="187" t="str">
        <x:f>IF(B14=0,"PASS","FAIL")</x:f>
        <x:v>PASS</x:v>
      </x:c>
    </x:row>
    <x:row r="15">
      <x:c r="A15" s="193" t="str">
        <x:v>Latest Outlook composition</x:v>
      </x:c>
      <x:c r="B15" s="256" t="n">
        <x:f>SUMIF('Monthly_Summary'!$A$5:$A$52,"LATEST_OUTLOOK",'Monthly_Summary'!$I$5:$I$52)-SUMIF('Monthly_Summary'!$A$5:$A$52,"ACTUAL",'Monthly_Summary'!$I$5:$I$52)-SUMIF('Monthly_Summary'!$A$5:$A$52,"FORECAST",'Monthly_Summary'!$I$5:$I$52)</x:f>
        <x:v>9.313225746154785e-10</x:v>
      </x:c>
      <x:c r="C15" s="187" t="str">
        <x:v>±0.05 CNY</x:v>
      </x:c>
      <x:c r="D15" s="187" t="str">
        <x:v>Monthly_Summary</x:v>
      </x:c>
      <x:c r="E15" s="187" t="str">
        <x:f>IF(ABS(B15)&lt;0.05,"PASS","FAIL")</x:f>
        <x:v>PASS</x:v>
      </x:c>
    </x:row>
    <x:row r="16">
      <x:c r="A16" s="193" t="str">
        <x:v>Chain attribution reconciliation</x:v>
      </x:c>
      <x:c r="B16" s="256" t="n">
        <x:f>COUNTIF('Attribution'!$R$5:$R$24,"FAIL")</x:f>
        <x:v>0</x:v>
      </x:c>
      <x:c r="C16" s="187" t="str">
        <x:v>0 rows</x:v>
      </x:c>
      <x:c r="D16" s="187" t="str">
        <x:v>Attribution reconciliation</x:v>
      </x:c>
      <x:c r="E16" s="187" t="str">
        <x:f>IF(B16=0,"PASS","FAIL")</x:f>
        <x:v>PASS</x:v>
      </x:c>
    </x:row>
    <x:row r="17">
      <x:c r="A17" s="193" t="str">
        <x:v>Shapley attribution reconciliation</x:v>
      </x:c>
      <x:c r="B17" s="256" t="n">
        <x:f>COUNTIF('Attribution'!$S$5:$S$24,"FAIL")</x:f>
        <x:v>0</x:v>
      </x:c>
      <x:c r="C17" s="187" t="str">
        <x:v>0 rows</x:v>
      </x:c>
      <x:c r="D17" s="187" t="str">
        <x:v>Attribution reconciliation</x:v>
      </x:c>
      <x:c r="E17" s="187" t="str">
        <x:f>IF(B17=0,"PASS","FAIL")</x:f>
        <x:v>PASS</x:v>
      </x:c>
    </x:row>
    <x:row r="18">
      <x:c r="A18" s="193" t="str">
        <x:v>Evaluation question count</x:v>
      </x:c>
      <x:c r="B18" s="256" t="n">
        <x:f>COUNTA('Evaluation'!$A$5:$A$24)</x:f>
        <x:v>20</x:v>
      </x:c>
      <x:c r="C18" s="187" t="str">
        <x:v>20</x:v>
      </x:c>
      <x:c r="D18" s="187" t="str">
        <x:v>Evaluation</x:v>
      </x:c>
      <x:c r="E18" s="187" t="str">
        <x:f>IF(B18=20,"PASS","FAIL")</x:f>
        <x:v>PASS</x:v>
      </x:c>
    </x:row>
    <x:row r="19">
      <x:c r="A19" s="194" t="str">
        <x:v>Boundary question count</x:v>
      </x:c>
      <x:c r="B19" s="257" t="n">
        <x:f>COUNTIF('Evaluation'!$B$5:$B$24,"数据不足与越界保护")</x:f>
        <x:v>2</x:v>
      </x:c>
      <x:c r="C19" s="188" t="str">
        <x:v>2</x:v>
      </x:c>
      <x:c r="D19" s="188" t="str">
        <x:v>Evaluation</x:v>
      </x:c>
      <x:c r="E19" s="188" t="str">
        <x:f>IF(B19=2,"PASS","FAIL")</x:f>
        <x:v>PASS</x:v>
      </x:c>
    </x:row>
  </x:sheetData>
  <x:mergeCells>
    <x:mergeCell ref="A1:E1"/>
    <x:mergeCell ref="A2:E2"/>
    <x:mergeCell ref="A4:E4"/>
    <x:mergeCell ref="A5:E6"/>
  </x:mergeCells>
  <x:conditionalFormatting sqref="E9:E1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54" hidden="0" customWidth="1"/>
    <x:col min="8" max="8" width="22" hidden="0" customWidth="1"/>
    <x:col min="9" max="9" width="46" hidden="0" customWidth="1"/>
    <x:col min="10" max="10" width="16" hidden="0" customWidth="1"/>
  </x:cols>
  <x:sheetData>
    <x:row r="1" ht="32" customHeight="1">
      <x:c r="A1" s="3" t="str">
        <x:v>来源、版本与刷新记录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所有业务数据均为虚构演示数据；来源字段用于可审计性，不代表真实企业系统。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79" t="str">
        <x:v>Item</x:v>
      </x:c>
      <x:c r="B4" s="180" t="str">
        <x:v>Value</x:v>
      </x:c>
      <x:c r="C4" s="180" t="str">
        <x:v>Units</x:v>
      </x:c>
      <x:c r="D4" s="180" t="str">
        <x:v>Period/As-of</x:v>
      </x:c>
      <x:c r="E4" s="180" t="str">
        <x:v>Source Type</x:v>
      </x:c>
      <x:c r="F4" s="180" t="str">
        <x:v>Source Name</x:v>
      </x:c>
      <x:c r="G4" s="180" t="str">
        <x:v>Ref</x:v>
      </x:c>
      <x:c r="H4" s="180" t="str">
        <x:v>Owner</x:v>
      </x:c>
      <x:c r="I4" s="180" t="str">
        <x:v>Notes</x:v>
      </x:c>
      <x:c r="J4" s="181" t="str">
        <x:v>Refreshed</x:v>
      </x:c>
    </x:row>
    <x:row r="5">
      <x:c r="A5" s="199" t="str">
        <x:v>业务基线</x:v>
      </x:c>
      <x:c r="B5" s="199" t="str">
        <x:v>V1.0</x:v>
      </x:c>
      <x:c r="C5" s="199"/>
      <x:c r="D5" s="199" t="str">
        <x:v>2026-08-13</x:v>
      </x:c>
      <x:c r="E5" s="199" t="str">
        <x:v>Project document</x:v>
      </x:c>
      <x:c r="F5" s="199" t="str">
        <x:v>product-baseline.md</x:v>
      </x:c>
      <x:c r="G5" s="199" t="str">
        <x:v>docs/product-baseline.md</x:v>
      </x:c>
      <x:c r="H5" s="199" t="str">
        <x:v>Portfolio project</x:v>
      </x:c>
      <x:c r="I5" s="199" t="str">
        <x:v>原始基线与未解决决策树</x:v>
      </x:c>
      <x:c r="J5" s="199" t="str">
        <x:v>2026-08-14</x:v>
      </x:c>
    </x:row>
    <x:row r="6">
      <x:c r="A6" s="202" t="str">
        <x:v>冻结决策</x:v>
      </x:c>
      <x:c r="B6" s="202" t="str">
        <x:v>D-001..D-091</x:v>
      </x:c>
      <x:c r="C6" s="202"/>
      <x:c r="D6" s="202" t="str">
        <x:v>2026-08-13</x:v>
      </x:c>
      <x:c r="E6" s="202" t="str">
        <x:v>Decision log</x:v>
      </x:c>
      <x:c r="F6" s="202" t="str">
        <x:v>decisions.md</x:v>
      </x:c>
      <x:c r="G6" s="202" t="str">
        <x:v>docs/decisions.md</x:v>
      </x:c>
      <x:c r="H6" s="202" t="str">
        <x:v>Portfolio project</x:v>
      </x:c>
      <x:c r="I6" s="202" t="str">
        <x:v>业务模型冻结记录</x:v>
      </x:c>
      <x:c r="J6" s="202" t="str">
        <x:v>2026-08-14</x:v>
      </x:c>
    </x:row>
    <x:row r="7">
      <x:c r="A7" s="202" t="str">
        <x:v>数据字典</x:v>
      </x:c>
      <x:c r="B7" s="202" t="str">
        <x:v>V1.0</x:v>
      </x:c>
      <x:c r="C7" s="202"/>
      <x:c r="D7" s="202" t="str">
        <x:v>2026-08-13</x:v>
      </x:c>
      <x:c r="E7" s="202" t="str">
        <x:v>Project document</x:v>
      </x:c>
      <x:c r="F7" s="202" t="str">
        <x:v>data-dictionary.md</x:v>
      </x:c>
      <x:c r="G7" s="202" t="str">
        <x:v>docs/data-dictionary.md</x:v>
      </x:c>
      <x:c r="H7" s="202" t="str">
        <x:v>Portfolio project</x:v>
      </x:c>
      <x:c r="I7" s="202" t="str">
        <x:v>字段、粒度与校验</x:v>
      </x:c>
      <x:c r="J7" s="202" t="str">
        <x:v>2026-08-14</x:v>
      </x:c>
    </x:row>
    <x:row r="8">
      <x:c r="A8" s="202" t="str">
        <x:v>归因方法</x:v>
      </x:c>
      <x:c r="B8" s="202" t="str">
        <x:v>V1.0</x:v>
      </x:c>
      <x:c r="C8" s="202"/>
      <x:c r="D8" s="202" t="str">
        <x:v>2026-08-13</x:v>
      </x:c>
      <x:c r="E8" s="202" t="str">
        <x:v>Methodology</x:v>
      </x:c>
      <x:c r="F8" s="202" t="str">
        <x:v>variance-methodology.md</x:v>
      </x:c>
      <x:c r="G8" s="202" t="str">
        <x:v>docs/variance-methodology.md</x:v>
      </x:c>
      <x:c r="H8" s="202" t="str">
        <x:v>Portfolio project</x:v>
      </x:c>
      <x:c r="I8" s="202" t="str">
        <x:v>连环替代与 Shapley</x:v>
      </x:c>
      <x:c r="J8" s="202" t="str">
        <x:v>2026-08-14</x:v>
      </x:c>
    </x:row>
    <x:row r="9">
      <x:c r="A9" s="202" t="str">
        <x:v>全年演示数据</x:v>
      </x:c>
      <x:c r="B9" s="202" t="str">
        <x:v>LOGIPLAN_2026_DEMO_V1</x:v>
      </x:c>
      <x:c r="C9" s="202" t="str">
        <x:v>CNY / operational units</x:v>
      </x:c>
      <x:c r="D9" s="202" t="str">
        <x:v>2026 full year</x:v>
      </x:c>
      <x:c r="E9" s="202" t="str">
        <x:v>Synthetic generated data</x:v>
      </x:c>
      <x:c r="F9" s="202" t="str">
        <x:v>logiplan-2026-demo-data.json</x:v>
      </x:c>
      <x:c r="G9" s="202" t="str">
        <x:v>data/generated/logiplan-2026-demo-data.json</x:v>
      </x:c>
      <x:c r="H9" s="202" t="str">
        <x:v>Portfolio project</x:v>
      </x:c>
      <x:c r="I9" s="202" t="str">
        <x:v>高精度 Decimal 权威数据</x:v>
      </x:c>
      <x:c r="J9" s="202" t="str">
        <x:v>2026-08-14</x:v>
      </x:c>
    </x:row>
    <x:row r="10">
      <x:c r="A10" s="202" t="str">
        <x:v>AI 固定评估集</x:v>
      </x:c>
      <x:c r="B10" s="202" t="str">
        <x:v>LOGIPLAN_AI_EVAL_ZH_V1</x:v>
      </x:c>
      <x:c r="C10" s="202" t="str">
        <x:v>20 questions</x:v>
      </x:c>
      <x:c r="D10" s="202" t="str">
        <x:v>2026-08 close</x:v>
      </x:c>
      <x:c r="E10" s="202" t="str">
        <x:v>Synthetic evaluation baseline</x:v>
      </x:c>
      <x:c r="F10" s="202" t="str">
        <x:v>ai-evaluation-baseline.json</x:v>
      </x:c>
      <x:c r="G10" s="202" t="str">
        <x:v>data/generated/ai-evaluation-baseline.json</x:v>
      </x:c>
      <x:c r="H10" s="202" t="str">
        <x:v>Portfolio project</x:v>
      </x:c>
      <x:c r="I10" s="202" t="str">
        <x:v>标准答案与证据范围</x:v>
      </x:c>
      <x:c r="J10" s="202" t="str">
        <x:v>2026-08-14</x:v>
      </x:c>
    </x:row>
    <x:row r="11">
      <x:c r="A11" s="205" t="str">
        <x:v>工作簿</x:v>
      </x:c>
      <x:c r="B11" s="205" t="str">
        <x:v>V1.0</x:v>
      </x:c>
      <x:c r="C11" s="205" t="str">
        <x:v>xlsx</x:v>
      </x:c>
      <x:c r="D11" s="205" t="str">
        <x:v>2026-08 close</x:v>
      </x:c>
      <x:c r="E11" s="205" t="str">
        <x:v>Generated audit workbook</x:v>
      </x:c>
      <x:c r="F11" s="205" t="str">
        <x:v>LogiPlan-AI-2026-Demo-Data.xlsx</x:v>
      </x:c>
      <x:c r="G11" s="205" t="str">
        <x:v>outputs/019ff4dd-956f-7960-9fce-63812b11daf9</x:v>
      </x:c>
      <x:c r="H11" s="205" t="str">
        <x:v>Portfolio project</x:v>
      </x:c>
      <x:c r="I11" s="205" t="str">
        <x:v>公式审阅与展示层</x:v>
      </x:c>
      <x:c r="J11" s="205" t="str">
        <x:v>2026-08-14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73f4acb68b34e19"/>
  </x:tableParts>
</x:worksheet>
</file>